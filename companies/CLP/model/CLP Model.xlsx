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5.xml" ContentType="application/vnd.openxmlformats-officedocument.drawing+xml"/>
  <Override PartName="/xl/comments9.xml" ContentType="application/vnd.openxmlformats-officedocument.spreadsheetml.comment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codeName="ThisWorkbook" defaultThemeVersion="124226"/>
  <mc:AlternateContent xmlns:mc="http://schemas.openxmlformats.org/markup-compatibility/2006">
    <mc:Choice Requires="x15">
      <x15ac:absPath xmlns:x15ac="http://schemas.microsoft.com/office/spreadsheetml/2010/11/ac" url="C:\Users\tangyuc\AppData\Local\Temp\1\"/>
    </mc:Choice>
  </mc:AlternateContent>
  <xr:revisionPtr revIDLastSave="0" documentId="13_ncr:1_{1012F1A7-E457-4F9F-9694-C22B6FACE9D0}" xr6:coauthVersionLast="47" xr6:coauthVersionMax="47" xr10:uidLastSave="{00000000-0000-0000-0000-000000000000}"/>
  <bookViews>
    <workbookView xWindow="780" yWindow="780" windowWidth="38700" windowHeight="15345" autoFilterDateGrouping="0" xr2:uid="{00000000-000D-0000-FFFF-FFFF00000000}"/>
  </bookViews>
  <sheets>
    <sheet name="VA-Disclaimer" sheetId="38" r:id="rId1"/>
    <sheet name="DCF" sheetId="2" r:id="rId2"/>
    <sheet name="Final" sheetId="4" r:id="rId3"/>
    <sheet name="Driver" sheetId="33" r:id="rId4"/>
    <sheet name="SOC" sheetId="6" r:id="rId5"/>
    <sheet name="HK Sales" sheetId="10" r:id="rId6"/>
    <sheet name="SOC Accounts" sheetId="19" r:id="rId7"/>
    <sheet name="ROAFNA" sheetId="14" r:id="rId8"/>
    <sheet name="CN" sheetId="37" r:id="rId9"/>
    <sheet name="Aus" sheetId="23" r:id="rId10"/>
    <sheet name="India" sheetId="34" r:id="rId11"/>
    <sheet name="SEA" sheetId="35" r:id="rId12"/>
  </sheets>
  <definedNames>
    <definedName name="\A">#REF!</definedName>
    <definedName name="_1_0cu08.PeriodMonthC">#REF!</definedName>
    <definedName name="_2_0cu12.PeriodT">#REF!</definedName>
    <definedName name="_3_0cu13.PeriodY">#REF!</definedName>
    <definedName name="_4_0cu14.FinancialY">#REF!</definedName>
    <definedName name="_5_0cu43.ActualForecast">#REF!</definedName>
    <definedName name="_6_0cu57.Prelim">#REF!</definedName>
    <definedName name="_Model_Path">"\\ubsprod.msad.ubs.net\GroupShares\GLOBAL\IB_RESEARCH_HKG\POWER\Models\Archives\CLP 84.xlsx"</definedName>
    <definedName name="a">#REF!</definedName>
    <definedName name="Additions">#REF!</definedName>
    <definedName name="ASSOCBAL">#REF!</definedName>
    <definedName name="Attributable_To_Ordinary_Shareholders">#REF!</definedName>
    <definedName name="Average_Shares_In_Issue">#REF!</definedName>
    <definedName name="b">#REF!</definedName>
    <definedName name="Bal_Sheet">#REF!</definedName>
    <definedName name="Capacity_Reserve">#REF!</definedName>
    <definedName name="capex">#REF!</definedName>
    <definedName name="capexf">#REF!</definedName>
    <definedName name="Capital_Employed">#REF!</definedName>
    <definedName name="Capital_Expenditure">#REF!</definedName>
    <definedName name="Cash_EPS">#REF!</definedName>
    <definedName name="Cash_Flow">#REF!</definedName>
    <definedName name="CastlePeak_Bal_Sht">#REF!</definedName>
    <definedName name="Combined_Bal_Sht">#REF!</definedName>
    <definedName name="COMPOUND_GROWTH">#REF!</definedName>
    <definedName name="costs">#REF!</definedName>
    <definedName name="cu107.EPSSymbol" hidden="1">"HK$"</definedName>
    <definedName name="cu20.ItemTypeCategory">#REF!</definedName>
    <definedName name="cu71.ScalingFactor" hidden="1">1000000</definedName>
    <definedName name="CUSTransactionID" hidden="1">1123842930.037</definedName>
    <definedName name="d">#REF!</definedName>
    <definedName name="DATES">#REF!</definedName>
    <definedName name="DB">"WIREHKPROD"</definedName>
    <definedName name="debt">#REF!</definedName>
    <definedName name="Depreciation_Adjustment">#REF!</definedName>
    <definedName name="Depreciation_Amortisation">#REF!</definedName>
    <definedName name="DES">#REF!</definedName>
    <definedName name="dev_fund">#REF!</definedName>
    <definedName name="Dividend_Declar">#REF!</definedName>
    <definedName name="Dividend_Tax_Credit">#REF!</definedName>
    <definedName name="Dividends_Paid">#REF!</definedName>
    <definedName name="earnings">#REF!</definedName>
    <definedName name="EPS_FRS3">#REF!</definedName>
    <definedName name="EPS_Fully_Diluted">#REF!</definedName>
    <definedName name="EPS_Pre_Exceptional">#REF!</definedName>
    <definedName name="Extraordinaries">#REF!</definedName>
    <definedName name="F.1990">#REF!</definedName>
    <definedName name="F.1990.09">#REF!</definedName>
    <definedName name="F.1990.12">#REF!</definedName>
    <definedName name="F.1991">#REF!</definedName>
    <definedName name="F.1991.09">#REF!</definedName>
    <definedName name="F.1991.12">#REF!</definedName>
    <definedName name="F.1992">#REF!</definedName>
    <definedName name="F.1992.12">#REF!</definedName>
    <definedName name="F.1993">#REF!</definedName>
    <definedName name="F.1993.12">#REF!</definedName>
    <definedName name="F.1994">#REF!</definedName>
    <definedName name="F.1994.12">#REF!</definedName>
    <definedName name="F.1995">#REF!</definedName>
    <definedName name="F.1995.12">#REF!</definedName>
    <definedName name="F.1996">#REF!</definedName>
    <definedName name="F.1996.12">#REF!</definedName>
    <definedName name="F.1997">#REF!</definedName>
    <definedName name="F.1997.12">#REF!</definedName>
    <definedName name="F.1998">#REF!</definedName>
    <definedName name="F.1998.12">#REF!</definedName>
    <definedName name="F.1999">#REF!</definedName>
    <definedName name="F.1999.09">#REF!</definedName>
    <definedName name="F.2000.09">#REF!</definedName>
    <definedName name="F.2001.09">#REF!</definedName>
    <definedName name="F.2002.09">#REF!</definedName>
    <definedName name="F.2011.12">#REF!</definedName>
    <definedName name="F.2012.12">#REF!</definedName>
    <definedName name="F.2013.12">#REF!</definedName>
    <definedName name="F.2014.12">#REF!</definedName>
    <definedName name="F.2015.12">#REF!</definedName>
    <definedName name="F.2016.12">#REF!</definedName>
    <definedName name="F.2017.12">#REF!</definedName>
    <definedName name="F.2018.12">#REF!</definedName>
    <definedName name="F.2019.12">#REF!</definedName>
    <definedName name="F.2020.12">#REF!</definedName>
    <definedName name="F.2021.12">#REF!</definedName>
    <definedName name="F.2022.12">#REF!</definedName>
    <definedName name="FINCriteriaType">1</definedName>
    <definedName name="FINExtractRange">#REF!</definedName>
    <definedName name="Fuel_Mix">#REF!</definedName>
    <definedName name="Gearing">#REF!</definedName>
    <definedName name="Histroic">#REF!</definedName>
    <definedName name="Housing_Stat">#REF!</definedName>
    <definedName name="I1.2011.06">#REF!</definedName>
    <definedName name="I1.2012.06">#REF!</definedName>
    <definedName name="I1.2013.06">#REF!</definedName>
    <definedName name="I1.2014.06">#REF!</definedName>
    <definedName name="I1.2015.06">#REF!</definedName>
    <definedName name="I1.2016.06">#REF!</definedName>
    <definedName name="I1.2017.06">#REF!</definedName>
    <definedName name="I1.2018.06">#REF!</definedName>
    <definedName name="I1.2019.06">#REF!</definedName>
    <definedName name="I1.2020.06">#REF!</definedName>
    <definedName name="I1.2021.06">#REF!</definedName>
    <definedName name="I1.2022.06">#REF!</definedName>
    <definedName name="I2.2011.12">#REF!</definedName>
    <definedName name="I2.2012.12">#REF!</definedName>
    <definedName name="I2.2013.12">#REF!</definedName>
    <definedName name="I2.2014.12">#REF!</definedName>
    <definedName name="I2.2015.12">#REF!</definedName>
    <definedName name="I2.2016.12">#REF!</definedName>
    <definedName name="I2.2017.12">#REF!</definedName>
    <definedName name="I2.2018.12">#REF!</definedName>
    <definedName name="I2.2019.12">#REF!</definedName>
    <definedName name="I2.2020.12">#REF!</definedName>
    <definedName name="I2.2021.12">#REF!</definedName>
    <definedName name="I2.2022.12">#REF!</definedName>
    <definedName name="ICP">0</definedName>
    <definedName name="IDS">#REF!</definedName>
    <definedName name="Intangible_Fixed_Assets">#REF!</definedName>
    <definedName name="Interest_Paid">#REF!</definedName>
    <definedName name="Interim">#REF!</definedName>
    <definedName name="Investments_Other_Assets">#REF!</definedName>
    <definedName name="Macro11">#REF!</definedName>
    <definedName name="Maintenance_Capital_Expenditure">#REF!</definedName>
    <definedName name="Minorities">#REF!</definedName>
    <definedName name="Net_Assets">#REF!</definedName>
    <definedName name="Net_Capital_Employed">#REF!</definedName>
    <definedName name="Net_Deb">#REF!</definedName>
    <definedName name="Net_Debt">#REF!</definedName>
    <definedName name="Net_DPS">#REF!</definedName>
    <definedName name="Net_Exceptionals">#REF!</definedName>
    <definedName name="Net_Fixed_Assets">#REF!</definedName>
    <definedName name="Net_Interest">#REF!</definedName>
    <definedName name="Net_Working_Capital">#REF!</definedName>
    <definedName name="Net_Working_Capital_Inflation">#REF!</definedName>
    <definedName name="Non_Performing_or_Peripheral_Assets_NPAs">#REF!</definedName>
    <definedName name="OBS">#REF!</definedName>
    <definedName name="Operating">#REF!</definedName>
    <definedName name="OPERATING_STAT">#REF!</definedName>
    <definedName name="Operational_Cash_Flow">#REF!</definedName>
    <definedName name="Ordinary_Dividend">#REF!</definedName>
    <definedName name="Other">#REF!</definedName>
    <definedName name="Other_Income_Associates">#REF!</definedName>
    <definedName name="Other_Long_Term_Liabilities">#REF!</definedName>
    <definedName name="Other_Operating">#REF!</definedName>
    <definedName name="Pre_Exceptional_PBT">#REF!</definedName>
    <definedName name="Preference_Dividend">#REF!</definedName>
    <definedName name="PricePerShare">#REF!</definedName>
    <definedName name="_xlnm.Print_Area" localSheetId="9">Aus!#REF!</definedName>
    <definedName name="_xlnm.Print_Area" localSheetId="1">DCF!$A$98:$S$125</definedName>
    <definedName name="_xlnm.Print_Area" localSheetId="2">Final!$A$101:$P$137</definedName>
    <definedName name="_xlnm.Print_Area" localSheetId="5">'HK Sales'!$A$1:$AB$47</definedName>
    <definedName name="_xlnm.Print_Area" localSheetId="7">ROAFNA!$A$1:$J$16</definedName>
    <definedName name="_xlnm.Print_Area" localSheetId="4">SOC!$A$2:$P$47</definedName>
    <definedName name="PRINT_AREA_MI">#REF!</definedName>
    <definedName name="Profit">#REF!</definedName>
    <definedName name="Profit_Before_Tax">#REF!</definedName>
    <definedName name="PROFIT_MODEL">#REF!</definedName>
    <definedName name="Project_1">#REF!</definedName>
    <definedName name="Project_2">#REF!</definedName>
    <definedName name="Projection">#REF!</definedName>
    <definedName name="Propproj">#REF!</definedName>
    <definedName name="ProTime">#REF!</definedName>
    <definedName name="Provisions">#REF!</definedName>
    <definedName name="Rec.Asset_Debt">0</definedName>
    <definedName name="Reduction_Reverse">#REF!</definedName>
    <definedName name="Results">#REF!</definedName>
    <definedName name="Return_On_Capital_Employed">#REF!</definedName>
    <definedName name="ROE_Ana">#REF!</definedName>
    <definedName name="scenario">#REF!</definedName>
    <definedName name="Scrip_Factor">#REF!</definedName>
    <definedName name="senAna">#REF!</definedName>
    <definedName name="Share_Issues">#REF!</definedName>
    <definedName name="Shares_In_Issue">#REF!</definedName>
    <definedName name="Staff_Numbers">#REF!</definedName>
    <definedName name="Stock_dividend">0</definedName>
    <definedName name="SuspendRefUpd" hidden="1">FALSE</definedName>
    <definedName name="Tangible_Fixed_Assets">#REF!</definedName>
    <definedName name="Taxation">#REF!</definedName>
    <definedName name="Template.WIRE">"DBACCESS"</definedName>
    <definedName name="Template.WIRE.DBAccess.CalcMode">"Async"</definedName>
    <definedName name="Total_Equity">#REF!</definedName>
    <definedName name="Trace">FALSE</definedName>
    <definedName name="Trading_Profit">#REF!</definedName>
    <definedName name="Turnover">#REF!</definedName>
    <definedName name="Unadjusted_Cash_EPS">#REF!</definedName>
    <definedName name="Unadjusted_EPS_FRS3">#REF!</definedName>
    <definedName name="Unadjusted_EPS_Fully_Diluted">#REF!</definedName>
    <definedName name="Unadjusted_EPS_Pre_Exceptional">#REF!</definedName>
    <definedName name="Unadjusted_Net_DPS">#REF!</definedName>
    <definedName name="UNITS">#REF!</definedName>
    <definedName name="UpgradeVersion">"v3.54"</definedName>
    <definedName name="Valuation_2">#REF!</definedName>
    <definedName name="Version.WIRE">1</definedName>
    <definedName name="Wage_Costs">#REF!</definedName>
    <definedName name="Working_Capital_Movement">#REF!</definedName>
    <definedName name="Yun_Fu_Cement_Plant">#REF!</definedName>
  </definedNames>
  <calcPr calcId="191029" calcMode="manual" calcCompleted="0" calcOnSave="0"/>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64" i="37" l="1"/>
  <c r="AJ24" i="14" l="1"/>
  <c r="AK24" i="14" s="1"/>
  <c r="AI24" i="14"/>
  <c r="AJ38" i="14" l="1"/>
  <c r="AI38" i="14"/>
  <c r="AL24" i="14"/>
  <c r="AM24" i="14" s="1"/>
  <c r="AN24" i="14" s="1"/>
  <c r="AI85" i="23"/>
  <c r="AI42" i="14"/>
  <c r="AJ42" i="14"/>
  <c r="AJ160" i="37" l="1"/>
  <c r="AK160" i="37" s="1"/>
  <c r="AL160" i="37" s="1"/>
  <c r="AI160" i="37"/>
  <c r="AJ91" i="23"/>
  <c r="AK91" i="23" s="1"/>
  <c r="AL91" i="23" s="1"/>
  <c r="AM91" i="23" s="1"/>
  <c r="AN91" i="23" s="1"/>
  <c r="AI91" i="23"/>
  <c r="AH85" i="23"/>
  <c r="AI14" i="37"/>
  <c r="AC131" i="4"/>
  <c r="AD131" i="4"/>
  <c r="AE131" i="4"/>
  <c r="AF131" i="4"/>
  <c r="AG131" i="4"/>
  <c r="AH131" i="4"/>
  <c r="AI111" i="4"/>
  <c r="AI25" i="23" l="1"/>
  <c r="AH119" i="4" l="1"/>
  <c r="AJ163" i="37" l="1"/>
  <c r="AI163" i="37"/>
  <c r="AS96" i="33"/>
  <c r="AS97" i="33" s="1"/>
  <c r="AS98" i="33" s="1"/>
  <c r="AS91" i="33"/>
  <c r="AS92" i="33" s="1"/>
  <c r="AS93" i="33" s="1"/>
  <c r="AQ85" i="33"/>
  <c r="AS85" i="33" s="1"/>
  <c r="AS86" i="33" s="1"/>
  <c r="AS87" i="33" s="1"/>
  <c r="AS88" i="33" s="1"/>
  <c r="AS101" i="33" s="1"/>
  <c r="AM160" i="37"/>
  <c r="AN160" i="37" s="1"/>
  <c r="AS47" i="4"/>
  <c r="AT47" i="4" s="1"/>
  <c r="AU47" i="4" s="1"/>
  <c r="AV47" i="4" s="1"/>
  <c r="AW47" i="4" s="1"/>
  <c r="AX47" i="4" s="1"/>
  <c r="AQ86" i="33" l="1"/>
  <c r="AK49" i="4"/>
  <c r="AI41" i="23" l="1"/>
  <c r="AI39" i="23"/>
  <c r="AJ39" i="23" s="1"/>
  <c r="AR34" i="37"/>
  <c r="AR27" i="37"/>
  <c r="AR28" i="37"/>
  <c r="AR30" i="37"/>
  <c r="AR31" i="37"/>
  <c r="AR26" i="37"/>
  <c r="B6" i="2" l="1"/>
  <c r="AG73" i="23" l="1"/>
  <c r="AJ2" i="23" l="1"/>
  <c r="AJ3" i="34"/>
  <c r="AK3" i="34" s="1"/>
  <c r="AL3" i="34" s="1"/>
  <c r="AM3" i="34" s="1"/>
  <c r="AN3" i="34" s="1"/>
  <c r="AI3" i="34"/>
  <c r="AJ2" i="34" l="1"/>
  <c r="AI16" i="10" l="1"/>
  <c r="AI22" i="23"/>
  <c r="AJ22" i="23" s="1"/>
  <c r="AK22" i="23" s="1"/>
  <c r="AL22" i="23" s="1"/>
  <c r="AM22" i="23" s="1"/>
  <c r="AN22" i="23" s="1"/>
  <c r="AH2" i="23" l="1"/>
  <c r="AI84" i="23" s="1"/>
  <c r="AJ84" i="23" s="1"/>
  <c r="AG2" i="23"/>
  <c r="AT29" i="23"/>
  <c r="AU29" i="23" s="1"/>
  <c r="AT30" i="23"/>
  <c r="AU30" i="23" s="1"/>
  <c r="AT28" i="23"/>
  <c r="AU28" i="23" s="1"/>
  <c r="AI14" i="23"/>
  <c r="AG85" i="23"/>
  <c r="AH17" i="23" l="1"/>
  <c r="AH52" i="23" s="1"/>
  <c r="AG17" i="23"/>
  <c r="AG52" i="23" s="1"/>
  <c r="AG21" i="23"/>
  <c r="AH21" i="23"/>
  <c r="AI21" i="23" s="1"/>
  <c r="AH19" i="23"/>
  <c r="AH79" i="23" s="1"/>
  <c r="AG19" i="23"/>
  <c r="AG79" i="23" s="1"/>
  <c r="AJ14" i="10" l="1"/>
  <c r="AK14" i="10" s="1"/>
  <c r="AL14" i="10" s="1"/>
  <c r="AM14" i="10" s="1"/>
  <c r="AN14" i="10" s="1"/>
  <c r="G49" i="2"/>
  <c r="AH130" i="33"/>
  <c r="AH127" i="33"/>
  <c r="AH121" i="33"/>
  <c r="AH93" i="33"/>
  <c r="AH70" i="33"/>
  <c r="AH71" i="33"/>
  <c r="AI6" i="23"/>
  <c r="AH136" i="4" l="1"/>
  <c r="AH135" i="4"/>
  <c r="AH126" i="4"/>
  <c r="AH125" i="4"/>
  <c r="AH117" i="33" s="1"/>
  <c r="AG125" i="4"/>
  <c r="AH124" i="4"/>
  <c r="AG119" i="4"/>
  <c r="AG114" i="4"/>
  <c r="AG106" i="4"/>
  <c r="AF119" i="4"/>
  <c r="AF118" i="4"/>
  <c r="AH57" i="4"/>
  <c r="AF114" i="4"/>
  <c r="AH118" i="4"/>
  <c r="AH106" i="4"/>
  <c r="AH105" i="4"/>
  <c r="AH103" i="4"/>
  <c r="AH91" i="4"/>
  <c r="AH74" i="4"/>
  <c r="AH65" i="4"/>
  <c r="AH60" i="4"/>
  <c r="AG57" i="4"/>
  <c r="AH41" i="4"/>
  <c r="AH30" i="4"/>
  <c r="AG30" i="4"/>
  <c r="AH48" i="33"/>
  <c r="AH39" i="33"/>
  <c r="AH38" i="33"/>
  <c r="AH21" i="4"/>
  <c r="AH97" i="19"/>
  <c r="AH96" i="19"/>
  <c r="AH69" i="19"/>
  <c r="AH82" i="19" s="1"/>
  <c r="AH83" i="19" s="1"/>
  <c r="AH56" i="19"/>
  <c r="AH48" i="19"/>
  <c r="AH45" i="19"/>
  <c r="AH31" i="19"/>
  <c r="AH20" i="19"/>
  <c r="AH19" i="19"/>
  <c r="AH112" i="4" s="1"/>
  <c r="AH57" i="14"/>
  <c r="AH59" i="14" s="1"/>
  <c r="AF55" i="14"/>
  <c r="AG55" i="14" s="1"/>
  <c r="AH55" i="14" s="1"/>
  <c r="AH49" i="14"/>
  <c r="AH50" i="14" s="1"/>
  <c r="AH41" i="14"/>
  <c r="AH42" i="14" s="1"/>
  <c r="AH36" i="14"/>
  <c r="AH38" i="14" s="1"/>
  <c r="AH19" i="14"/>
  <c r="AH14" i="10"/>
  <c r="AH132" i="37"/>
  <c r="AI132" i="37" s="1"/>
  <c r="AH135" i="37"/>
  <c r="AI135" i="37" s="1"/>
  <c r="AH126" i="37"/>
  <c r="AI86" i="37"/>
  <c r="AJ86" i="37" s="1"/>
  <c r="AK86" i="37" s="1"/>
  <c r="AL86" i="37" s="1"/>
  <c r="AM86" i="37" s="1"/>
  <c r="AN86" i="37" s="1"/>
  <c r="AI73" i="37"/>
  <c r="AJ73" i="37" s="1"/>
  <c r="AK73" i="37" s="1"/>
  <c r="AL73" i="37" s="1"/>
  <c r="AM73" i="37" s="1"/>
  <c r="AN73" i="37" s="1"/>
  <c r="AH14" i="37"/>
  <c r="AH164" i="37" s="1"/>
  <c r="AH11" i="37"/>
  <c r="AH158" i="37" s="1"/>
  <c r="AH159" i="37" s="1"/>
  <c r="AH5" i="37"/>
  <c r="AH8" i="37" s="1"/>
  <c r="AH30" i="35"/>
  <c r="AH29" i="35"/>
  <c r="AG6" i="35"/>
  <c r="AI53" i="34"/>
  <c r="AJ53" i="34" s="1"/>
  <c r="AK53" i="34" s="1"/>
  <c r="AL53" i="34" s="1"/>
  <c r="AM53" i="34" s="1"/>
  <c r="AN53" i="34" s="1"/>
  <c r="AI51" i="34"/>
  <c r="AJ51" i="34" s="1"/>
  <c r="AI50" i="34"/>
  <c r="AJ50" i="34" s="1"/>
  <c r="AK50" i="34" s="1"/>
  <c r="AF50" i="34"/>
  <c r="AH37" i="34"/>
  <c r="AI37" i="34" s="1"/>
  <c r="AH46" i="19" l="1"/>
  <c r="AH106" i="33"/>
  <c r="AK51" i="34"/>
  <c r="AL51" i="34" s="1"/>
  <c r="AM51" i="34" s="1"/>
  <c r="AN51" i="34" s="1"/>
  <c r="AL50" i="34"/>
  <c r="AM50" i="34" l="1"/>
  <c r="AN50" i="34" l="1"/>
  <c r="AG16" i="34" l="1"/>
  <c r="AH16" i="34"/>
  <c r="AH19" i="34" s="1"/>
  <c r="AG19" i="34"/>
  <c r="AG25" i="34" s="1"/>
  <c r="AI5" i="34"/>
  <c r="AJ5" i="34" s="1"/>
  <c r="AK5" i="34" s="1"/>
  <c r="AL5" i="34" s="1"/>
  <c r="AM5" i="34" s="1"/>
  <c r="AN5" i="34" s="1"/>
  <c r="AI18" i="34"/>
  <c r="AJ18" i="34" s="1"/>
  <c r="AK18" i="34" s="1"/>
  <c r="AL18" i="34" s="1"/>
  <c r="AM18" i="34" s="1"/>
  <c r="AN18" i="34" s="1"/>
  <c r="AH23" i="34"/>
  <c r="AG23" i="34"/>
  <c r="AH76" i="23"/>
  <c r="AH80" i="23" s="1"/>
  <c r="AH81" i="23" s="1"/>
  <c r="AI81" i="23" s="1"/>
  <c r="AH41" i="23"/>
  <c r="AH39" i="23"/>
  <c r="AH50" i="23"/>
  <c r="AH45" i="23"/>
  <c r="AH47" i="23"/>
  <c r="AH49" i="23"/>
  <c r="AH42" i="23"/>
  <c r="AG42" i="23"/>
  <c r="AG50" i="23"/>
  <c r="AH16" i="23"/>
  <c r="AH15" i="23"/>
  <c r="AH89" i="23" s="1"/>
  <c r="AH90" i="23" s="1"/>
  <c r="AH25" i="6"/>
  <c r="AK23" i="34" l="1"/>
  <c r="AL23" i="34" s="1"/>
  <c r="AM23" i="34" s="1"/>
  <c r="AN23" i="34" s="1"/>
  <c r="AI80" i="23"/>
  <c r="AJ81" i="23"/>
  <c r="AK81" i="23" l="1"/>
  <c r="AL81" i="23" s="1"/>
  <c r="AM81" i="23" s="1"/>
  <c r="AN81" i="23" s="1"/>
  <c r="AJ80" i="23"/>
  <c r="AG71" i="33" l="1"/>
  <c r="AG70" i="33"/>
  <c r="AG103" i="4"/>
  <c r="AG76" i="23"/>
  <c r="AG80" i="23" s="1"/>
  <c r="AG81" i="23" s="1"/>
  <c r="AI65" i="23"/>
  <c r="AJ65" i="23" s="1"/>
  <c r="AG49" i="23"/>
  <c r="AG45" i="23"/>
  <c r="AG47" i="23"/>
  <c r="AG6" i="23"/>
  <c r="AG41" i="23"/>
  <c r="AG39" i="23"/>
  <c r="AG36" i="14"/>
  <c r="AG38" i="14" s="1"/>
  <c r="AG19" i="14"/>
  <c r="AG20" i="14" s="1"/>
  <c r="AG89" i="19"/>
  <c r="AG56" i="19"/>
  <c r="AG55" i="19" s="1"/>
  <c r="AG64" i="19" s="1"/>
  <c r="AG127" i="33"/>
  <c r="AG136" i="4"/>
  <c r="AG135" i="4"/>
  <c r="AG126" i="4"/>
  <c r="AG124" i="4"/>
  <c r="AG118" i="4"/>
  <c r="AG37" i="23"/>
  <c r="AG53" i="23" s="1"/>
  <c r="AG54" i="23" s="1"/>
  <c r="AG105" i="4"/>
  <c r="AG132" i="4"/>
  <c r="AG146" i="4"/>
  <c r="AG121" i="33"/>
  <c r="AG130" i="33"/>
  <c r="AG12" i="6"/>
  <c r="AG13" i="6" s="1"/>
  <c r="AG25" i="6"/>
  <c r="AG26" i="6"/>
  <c r="AG27" i="6"/>
  <c r="AG28" i="6"/>
  <c r="AG41" i="6"/>
  <c r="AG36" i="6" s="1"/>
  <c r="AG37" i="6" s="1"/>
  <c r="AG43" i="6"/>
  <c r="AG46" i="6"/>
  <c r="AG45" i="19"/>
  <c r="AG48" i="19"/>
  <c r="AG69" i="19"/>
  <c r="AG82" i="19" s="1"/>
  <c r="AG96" i="19"/>
  <c r="AG97" i="19"/>
  <c r="AG72" i="14"/>
  <c r="AG81" i="14"/>
  <c r="AG82" i="14"/>
  <c r="AG46" i="14"/>
  <c r="AG48" i="14" s="1"/>
  <c r="AG49" i="14"/>
  <c r="AG50" i="14" s="1"/>
  <c r="AG41" i="14"/>
  <c r="AG3" i="14"/>
  <c r="AG15" i="14"/>
  <c r="AG57" i="14"/>
  <c r="AG15" i="23"/>
  <c r="AG89" i="23" s="1"/>
  <c r="AG90" i="23" s="1"/>
  <c r="AG16" i="23"/>
  <c r="AG23" i="23" s="1"/>
  <c r="AG2" i="6"/>
  <c r="AG14" i="33"/>
  <c r="AG31" i="19"/>
  <c r="AG97" i="4"/>
  <c r="AG110" i="33"/>
  <c r="AG93" i="33"/>
  <c r="AG95" i="33"/>
  <c r="AG96" i="33"/>
  <c r="AG97" i="33"/>
  <c r="AG100" i="33"/>
  <c r="AG85" i="33"/>
  <c r="AG86" i="33"/>
  <c r="AG87" i="33"/>
  <c r="AG88" i="33"/>
  <c r="AF93" i="33"/>
  <c r="AF94" i="33"/>
  <c r="AF95" i="33"/>
  <c r="AF96" i="33"/>
  <c r="AF97" i="33"/>
  <c r="AG77" i="33"/>
  <c r="AG78" i="33"/>
  <c r="AG43" i="33"/>
  <c r="AG44" i="33"/>
  <c r="AG45" i="33"/>
  <c r="AG46" i="33"/>
  <c r="AG48" i="33"/>
  <c r="AG37" i="33"/>
  <c r="AG38" i="33"/>
  <c r="AG118" i="33" s="1"/>
  <c r="AG39" i="33"/>
  <c r="AG126" i="33" s="1"/>
  <c r="AG33" i="33"/>
  <c r="AG35" i="33"/>
  <c r="AG22" i="33"/>
  <c r="AG26" i="33"/>
  <c r="AG6" i="33"/>
  <c r="AG7" i="33"/>
  <c r="AG8" i="33"/>
  <c r="AG9" i="33"/>
  <c r="AG11" i="33"/>
  <c r="AG19" i="19"/>
  <c r="AG112" i="4" s="1"/>
  <c r="AG20" i="19"/>
  <c r="AG4" i="19"/>
  <c r="AG8" i="19"/>
  <c r="AG9" i="19" s="1"/>
  <c r="AG41" i="10"/>
  <c r="AG42" i="10"/>
  <c r="AG43" i="10"/>
  <c r="AG44" i="10"/>
  <c r="AG14" i="10"/>
  <c r="AG29" i="35"/>
  <c r="AG30" i="35"/>
  <c r="AG60" i="35"/>
  <c r="AG54" i="35"/>
  <c r="AG8" i="35"/>
  <c r="AG37" i="34"/>
  <c r="AH31" i="34" s="1"/>
  <c r="AI31" i="34" s="1"/>
  <c r="AG54" i="33"/>
  <c r="AG14" i="37"/>
  <c r="AG109" i="33" s="1"/>
  <c r="AG12" i="23"/>
  <c r="AG24" i="23"/>
  <c r="AG108" i="33" s="1"/>
  <c r="AG68" i="37"/>
  <c r="AG81" i="37" s="1"/>
  <c r="AG70" i="37"/>
  <c r="AG83" i="37" s="1"/>
  <c r="AG71" i="37"/>
  <c r="AG84" i="37" s="1"/>
  <c r="AG73" i="37"/>
  <c r="AG86" i="37" s="1"/>
  <c r="AG75" i="37"/>
  <c r="AG25" i="37"/>
  <c r="AG23" i="33"/>
  <c r="AG5" i="37"/>
  <c r="AG8" i="37" s="1"/>
  <c r="AG12" i="37" s="1"/>
  <c r="AG11" i="37"/>
  <c r="AG158" i="37" s="1"/>
  <c r="AG159" i="37" s="1"/>
  <c r="AH2" i="6"/>
  <c r="AI2" i="6"/>
  <c r="AJ2" i="6"/>
  <c r="AK2" i="6"/>
  <c r="AL2" i="6"/>
  <c r="AM2" i="6"/>
  <c r="AN2" i="6"/>
  <c r="AI11" i="6"/>
  <c r="AJ11" i="6" s="1"/>
  <c r="AK11" i="6" s="1"/>
  <c r="AL11" i="6" s="1"/>
  <c r="AM11" i="6" s="1"/>
  <c r="AN11" i="6" s="1"/>
  <c r="AH28" i="6"/>
  <c r="AI28" i="6"/>
  <c r="AJ28" i="6"/>
  <c r="AK28" i="6"/>
  <c r="AL28" i="6"/>
  <c r="AM28" i="6"/>
  <c r="AN28" i="6"/>
  <c r="AH88" i="33"/>
  <c r="AH1" i="33"/>
  <c r="AI1" i="33"/>
  <c r="AJ1" i="33"/>
  <c r="AK1" i="33"/>
  <c r="AL1" i="33"/>
  <c r="AM1" i="33"/>
  <c r="AN1" i="33"/>
  <c r="AG91" i="4"/>
  <c r="AF91" i="4"/>
  <c r="AG74" i="4"/>
  <c r="AG65" i="4"/>
  <c r="AG60" i="4"/>
  <c r="AG147" i="4"/>
  <c r="AI59" i="4"/>
  <c r="AJ59" i="4" s="1"/>
  <c r="AK59" i="4" s="1"/>
  <c r="AL59" i="4" s="1"/>
  <c r="AM59" i="4" s="1"/>
  <c r="AN59" i="4" s="1"/>
  <c r="AI63" i="4"/>
  <c r="AJ63" i="4" s="1"/>
  <c r="AK63" i="4" s="1"/>
  <c r="AL63" i="4" s="1"/>
  <c r="AM63" i="4" s="1"/>
  <c r="AN63" i="4" s="1"/>
  <c r="AI70" i="4"/>
  <c r="AJ70" i="4" s="1"/>
  <c r="AK70" i="4" s="1"/>
  <c r="AL70" i="4" s="1"/>
  <c r="AM70" i="4" s="1"/>
  <c r="AI73" i="4"/>
  <c r="AJ73" i="4" s="1"/>
  <c r="AK73" i="4" s="1"/>
  <c r="AL73" i="4" s="1"/>
  <c r="AM73" i="4" s="1"/>
  <c r="AN73" i="4" s="1"/>
  <c r="AI79" i="4"/>
  <c r="AJ79" i="4" s="1"/>
  <c r="AK79" i="4" s="1"/>
  <c r="AL79" i="4" s="1"/>
  <c r="AM79" i="4" s="1"/>
  <c r="AN79" i="4" s="1"/>
  <c r="AI82" i="4"/>
  <c r="AJ82" i="4" s="1"/>
  <c r="AK82" i="4" s="1"/>
  <c r="AL82" i="4" s="1"/>
  <c r="AM82" i="4" s="1"/>
  <c r="AN82" i="4" s="1"/>
  <c r="AI88" i="4"/>
  <c r="AJ88" i="4" s="1"/>
  <c r="AK88" i="4" s="1"/>
  <c r="AL88" i="4" s="1"/>
  <c r="AM88" i="4" s="1"/>
  <c r="AI89" i="4"/>
  <c r="AJ89" i="4" s="1"/>
  <c r="AK89" i="4" s="1"/>
  <c r="AL89" i="4" s="1"/>
  <c r="AM89" i="4" s="1"/>
  <c r="AN89" i="4" s="1"/>
  <c r="AI94" i="4"/>
  <c r="AJ94" i="4" s="1"/>
  <c r="AK94" i="4" s="1"/>
  <c r="AL94" i="4" s="1"/>
  <c r="AM94" i="4" s="1"/>
  <c r="AN94" i="4" s="1"/>
  <c r="AG24" i="33" l="1"/>
  <c r="AG20" i="33" s="1"/>
  <c r="AG164" i="37"/>
  <c r="AG39" i="14"/>
  <c r="AG28" i="23"/>
  <c r="AG15" i="33"/>
  <c r="AG15" i="37"/>
  <c r="AG18" i="37" s="1"/>
  <c r="AG20" i="37" s="1"/>
  <c r="AG53" i="33" s="1"/>
  <c r="AN88" i="4"/>
  <c r="AN70" i="4"/>
  <c r="AG7" i="23"/>
  <c r="AG20" i="23" s="1"/>
  <c r="AG18" i="23"/>
  <c r="AG101" i="33"/>
  <c r="AG105" i="33"/>
  <c r="AK65" i="23"/>
  <c r="AG16" i="33"/>
  <c r="AG62" i="35"/>
  <c r="AG67" i="14"/>
  <c r="AG46" i="19"/>
  <c r="AG72" i="19" s="1"/>
  <c r="AG137" i="4"/>
  <c r="AG15" i="6"/>
  <c r="AG16" i="6"/>
  <c r="AG83" i="19"/>
  <c r="AG42" i="14"/>
  <c r="AG107" i="33"/>
  <c r="AG59" i="14"/>
  <c r="AG84" i="33" s="1"/>
  <c r="AG89" i="33" s="1"/>
  <c r="AG69" i="37"/>
  <c r="AI18" i="6"/>
  <c r="AJ18" i="6" s="1"/>
  <c r="AK18" i="6" s="1"/>
  <c r="AG72" i="33"/>
  <c r="AG75" i="33" s="1"/>
  <c r="AG36" i="10"/>
  <c r="AG29" i="23"/>
  <c r="AG52" i="33" s="1"/>
  <c r="AI76" i="4"/>
  <c r="AH2" i="14"/>
  <c r="AG21" i="4"/>
  <c r="AG106" i="33" s="1"/>
  <c r="AG41" i="4"/>
  <c r="AG3" i="35"/>
  <c r="AG32" i="35" s="1"/>
  <c r="AG2" i="35"/>
  <c r="AG31" i="35" s="1"/>
  <c r="AK2" i="23"/>
  <c r="AK84" i="23" s="1"/>
  <c r="AK2" i="37"/>
  <c r="AK163" i="37" s="1"/>
  <c r="AL163" i="37" l="1"/>
  <c r="AM163" i="37" s="1"/>
  <c r="AN163" i="37" s="1"/>
  <c r="AG97" i="23"/>
  <c r="AL2" i="37"/>
  <c r="AM2" i="37" s="1"/>
  <c r="AN2" i="37" s="1"/>
  <c r="AL2" i="23"/>
  <c r="AL84" i="23" s="1"/>
  <c r="AK80" i="23"/>
  <c r="AL65" i="23"/>
  <c r="AG15" i="10"/>
  <c r="AG19" i="10" s="1"/>
  <c r="AG6" i="19"/>
  <c r="AG5" i="19" s="1"/>
  <c r="AG39" i="19"/>
  <c r="AH27" i="6"/>
  <c r="AH84" i="33"/>
  <c r="AG50" i="10"/>
  <c r="AG3" i="10"/>
  <c r="AG32" i="23"/>
  <c r="AG94" i="23"/>
  <c r="AI27" i="6"/>
  <c r="AJ27" i="6"/>
  <c r="AG23" i="10"/>
  <c r="AG32" i="19" s="1"/>
  <c r="AG113" i="4" s="1"/>
  <c r="AG108" i="4" s="1"/>
  <c r="AG52" i="10"/>
  <c r="AG51" i="10"/>
  <c r="AG53" i="10"/>
  <c r="AL18" i="6"/>
  <c r="AK27" i="6"/>
  <c r="AJ76" i="4"/>
  <c r="AE103" i="4"/>
  <c r="AE136" i="4"/>
  <c r="AE124" i="4"/>
  <c r="AM2" i="23" l="1"/>
  <c r="AM84" i="23" s="1"/>
  <c r="AL80" i="23"/>
  <c r="AM65" i="23"/>
  <c r="AG4" i="10"/>
  <c r="AG5" i="10" s="1"/>
  <c r="AG42" i="33"/>
  <c r="AG47" i="33" s="1"/>
  <c r="AG54" i="10"/>
  <c r="AM18" i="6"/>
  <c r="AL27" i="6"/>
  <c r="AK76" i="4"/>
  <c r="AN2" i="23" l="1"/>
  <c r="AN84" i="23" s="1"/>
  <c r="AM80" i="23"/>
  <c r="AN65" i="23"/>
  <c r="AN18" i="6"/>
  <c r="AM27" i="6"/>
  <c r="AL76" i="4"/>
  <c r="AL49" i="4"/>
  <c r="AM49" i="4" s="1"/>
  <c r="AN49" i="4" s="1"/>
  <c r="U92" i="14"/>
  <c r="U93" i="14"/>
  <c r="AH97" i="33"/>
  <c r="AN80" i="23" l="1"/>
  <c r="AN27" i="6"/>
  <c r="AM76" i="4"/>
  <c r="AI59" i="34"/>
  <c r="AJ59" i="34" s="1"/>
  <c r="AK59" i="34" s="1"/>
  <c r="AL59" i="34" s="1"/>
  <c r="AM59" i="34" s="1"/>
  <c r="AN59" i="34" s="1"/>
  <c r="AN59" i="14"/>
  <c r="AN57" i="14" s="1"/>
  <c r="AM59" i="14"/>
  <c r="AM57" i="14" s="1"/>
  <c r="AK59" i="14"/>
  <c r="AJ59" i="14"/>
  <c r="AI59" i="14"/>
  <c r="AF103" i="4"/>
  <c r="AF136" i="4"/>
  <c r="AF135" i="4"/>
  <c r="AE135" i="4"/>
  <c r="AD136" i="4"/>
  <c r="AC136" i="4"/>
  <c r="AD135" i="4"/>
  <c r="AF126" i="4"/>
  <c r="AF125" i="4"/>
  <c r="AF124" i="4"/>
  <c r="AH96" i="33"/>
  <c r="AF130" i="33"/>
  <c r="AG124" i="33" s="1"/>
  <c r="AF127" i="33"/>
  <c r="AF121" i="33"/>
  <c r="AF71" i="33"/>
  <c r="AF70" i="33"/>
  <c r="AF48" i="33"/>
  <c r="AF46" i="33"/>
  <c r="AF45" i="33"/>
  <c r="AF44" i="33"/>
  <c r="AF43" i="33"/>
  <c r="AF42" i="33"/>
  <c r="AF39" i="33"/>
  <c r="AF126" i="33" s="1"/>
  <c r="AF38" i="33"/>
  <c r="AF118" i="33" s="1"/>
  <c r="AF37" i="33"/>
  <c r="AF8" i="34"/>
  <c r="AF26" i="33"/>
  <c r="AF23" i="33"/>
  <c r="AF22" i="33"/>
  <c r="AF14" i="33"/>
  <c r="AF11" i="33"/>
  <c r="AF9" i="33"/>
  <c r="AF8" i="33"/>
  <c r="AF7" i="33"/>
  <c r="AF6" i="33"/>
  <c r="AF4" i="33"/>
  <c r="AF32" i="35"/>
  <c r="AF31" i="35"/>
  <c r="AF30" i="35"/>
  <c r="AI30" i="35" s="1"/>
  <c r="AJ30" i="35" s="1"/>
  <c r="AK30" i="35" s="1"/>
  <c r="AL30" i="35" s="1"/>
  <c r="AM30" i="35" s="1"/>
  <c r="AN30" i="35" s="1"/>
  <c r="AF29" i="35"/>
  <c r="AI29" i="35" s="1"/>
  <c r="AJ29" i="35" s="1"/>
  <c r="AK29" i="35" s="1"/>
  <c r="AL29" i="35" s="1"/>
  <c r="AM29" i="35" s="1"/>
  <c r="AN29" i="35" s="1"/>
  <c r="AF6" i="35"/>
  <c r="AF8" i="35" s="1"/>
  <c r="AF54" i="34"/>
  <c r="AE54" i="34"/>
  <c r="AE52" i="34"/>
  <c r="AF37" i="34"/>
  <c r="AF38" i="34" s="1"/>
  <c r="AF2" i="34"/>
  <c r="AG3" i="34" s="1"/>
  <c r="AF25" i="34"/>
  <c r="AF15" i="34"/>
  <c r="AE9" i="34"/>
  <c r="AE8" i="34" s="1"/>
  <c r="AF6" i="34"/>
  <c r="AF73" i="23"/>
  <c r="AF76" i="23" s="1"/>
  <c r="AF62" i="23"/>
  <c r="AF15" i="23"/>
  <c r="AF15" i="33" s="1"/>
  <c r="AF69" i="19"/>
  <c r="AF82" i="19" s="1"/>
  <c r="AF83" i="19" s="1"/>
  <c r="AF56" i="19"/>
  <c r="AF48" i="19"/>
  <c r="AF45" i="19"/>
  <c r="AF31" i="19"/>
  <c r="AF81" i="14"/>
  <c r="AF72" i="14"/>
  <c r="AF49" i="14"/>
  <c r="AF50" i="14" s="1"/>
  <c r="AF41" i="14"/>
  <c r="AF42" i="14" s="1"/>
  <c r="AF36" i="14"/>
  <c r="AF38" i="14" s="1"/>
  <c r="AF19" i="14"/>
  <c r="AF8" i="10"/>
  <c r="AF7" i="10" s="1"/>
  <c r="AF44" i="10"/>
  <c r="AH44" i="10" s="1"/>
  <c r="AF43" i="10"/>
  <c r="AH43" i="10" s="1"/>
  <c r="AF42" i="10"/>
  <c r="AH42" i="10" s="1"/>
  <c r="AF41" i="10"/>
  <c r="AH41" i="10" s="1"/>
  <c r="AF46" i="6"/>
  <c r="AE106" i="4"/>
  <c r="AF106" i="4"/>
  <c r="AF14" i="37"/>
  <c r="AF164" i="37" s="1"/>
  <c r="AF5" i="37"/>
  <c r="AF8" i="37" s="1"/>
  <c r="AF12" i="37" s="1"/>
  <c r="AF37" i="23"/>
  <c r="AF41" i="23"/>
  <c r="AF39" i="23"/>
  <c r="AF52" i="23"/>
  <c r="AF79" i="23"/>
  <c r="AF2" i="23"/>
  <c r="AF16" i="23"/>
  <c r="AF57" i="14"/>
  <c r="AF59" i="14" s="1"/>
  <c r="AF84" i="33" s="1"/>
  <c r="G35" i="2" s="1"/>
  <c r="AE70" i="33"/>
  <c r="AF49" i="23"/>
  <c r="AF45" i="23"/>
  <c r="AF47" i="23"/>
  <c r="AF33" i="33"/>
  <c r="AE57" i="4"/>
  <c r="AE100" i="33" s="1"/>
  <c r="AF97" i="4"/>
  <c r="AF74" i="4"/>
  <c r="AF65" i="4"/>
  <c r="AF60" i="4"/>
  <c r="AF14" i="10"/>
  <c r="AF57" i="4"/>
  <c r="AF100" i="33" s="1"/>
  <c r="AF101" i="33" s="1"/>
  <c r="AF41" i="4"/>
  <c r="AF30" i="4"/>
  <c r="AF21" i="4"/>
  <c r="AF106" i="33" s="1"/>
  <c r="AE37" i="34"/>
  <c r="AE30" i="35"/>
  <c r="AE29" i="35"/>
  <c r="AE32" i="35"/>
  <c r="AE31" i="35"/>
  <c r="AD29" i="35"/>
  <c r="AE6" i="35"/>
  <c r="AE8" i="35" s="1"/>
  <c r="AE130" i="33"/>
  <c r="AE127" i="33"/>
  <c r="AE121" i="33"/>
  <c r="AE94" i="33"/>
  <c r="AE93" i="33"/>
  <c r="AE87" i="33"/>
  <c r="AE48" i="33"/>
  <c r="AE39" i="33"/>
  <c r="AE126" i="33" s="1"/>
  <c r="AE38" i="33"/>
  <c r="AE118" i="33" s="1"/>
  <c r="AE37" i="33"/>
  <c r="AE26" i="33"/>
  <c r="AE11" i="33"/>
  <c r="AE126" i="4"/>
  <c r="F25" i="2" s="1"/>
  <c r="AE125" i="4"/>
  <c r="AE117" i="33" s="1"/>
  <c r="AE118" i="4"/>
  <c r="AE119" i="4"/>
  <c r="AE97" i="4"/>
  <c r="AE91" i="4"/>
  <c r="AE74" i="4"/>
  <c r="AE65" i="4"/>
  <c r="AE60" i="4"/>
  <c r="AE41" i="4"/>
  <c r="AE30" i="4"/>
  <c r="AE4" i="33"/>
  <c r="AE4" i="4" s="1"/>
  <c r="AE21" i="4"/>
  <c r="T116" i="14"/>
  <c r="AE3" i="14"/>
  <c r="AE15" i="34"/>
  <c r="AE110" i="33" s="1"/>
  <c r="AE6" i="34"/>
  <c r="AE2" i="34"/>
  <c r="AE3" i="34" s="1"/>
  <c r="AE79" i="23"/>
  <c r="AE73" i="23"/>
  <c r="AE76" i="23" s="1"/>
  <c r="AE62" i="23"/>
  <c r="AE52" i="23"/>
  <c r="AE50" i="23"/>
  <c r="AD50" i="23"/>
  <c r="AE49" i="23"/>
  <c r="AE47" i="23"/>
  <c r="AE45" i="23"/>
  <c r="AE41" i="23"/>
  <c r="AE39" i="23"/>
  <c r="AE42" i="23"/>
  <c r="AD42" i="23"/>
  <c r="AE15" i="23"/>
  <c r="AE89" i="23" s="1"/>
  <c r="AE90" i="23" s="1"/>
  <c r="AE71" i="33"/>
  <c r="AD58" i="19"/>
  <c r="AE4" i="19"/>
  <c r="AE14" i="37"/>
  <c r="AE164" i="37" s="1"/>
  <c r="AE11" i="37"/>
  <c r="AE158" i="37" s="1"/>
  <c r="AE159" i="37" s="1"/>
  <c r="AE5" i="37"/>
  <c r="AE8" i="37" s="1"/>
  <c r="AE12" i="37" s="1"/>
  <c r="AE79" i="19"/>
  <c r="AE77" i="19" s="1"/>
  <c r="AE48" i="19"/>
  <c r="AE82" i="14"/>
  <c r="AE81" i="14"/>
  <c r="AE79" i="14"/>
  <c r="AF79" i="14" s="1"/>
  <c r="AG79" i="14" s="1"/>
  <c r="AH79" i="14" s="1"/>
  <c r="AE72" i="14"/>
  <c r="AE49" i="14"/>
  <c r="AE50" i="14" s="1"/>
  <c r="AE41" i="14"/>
  <c r="AE42" i="14" s="1"/>
  <c r="AE36" i="14"/>
  <c r="AE38" i="14" s="1"/>
  <c r="AE31" i="19"/>
  <c r="AE25" i="6"/>
  <c r="AE44" i="10"/>
  <c r="AE43" i="10"/>
  <c r="AE42" i="10"/>
  <c r="AE41" i="10"/>
  <c r="AE19" i="10"/>
  <c r="AE14" i="10"/>
  <c r="AE8" i="10"/>
  <c r="AE2" i="6"/>
  <c r="AE19" i="14"/>
  <c r="AE20" i="14" s="1"/>
  <c r="AE69" i="19"/>
  <c r="AE82" i="19" s="1"/>
  <c r="AE83" i="19" s="1"/>
  <c r="AE56" i="19"/>
  <c r="AE55" i="19" s="1"/>
  <c r="AE45" i="19"/>
  <c r="AE16" i="23"/>
  <c r="AE23" i="23" s="1"/>
  <c r="AD79" i="14"/>
  <c r="AD30" i="4"/>
  <c r="AD32" i="35"/>
  <c r="AD31" i="35"/>
  <c r="AD30" i="35"/>
  <c r="AD6" i="35"/>
  <c r="AD8" i="35" s="1"/>
  <c r="AD82" i="14"/>
  <c r="AD81" i="14"/>
  <c r="AD72" i="14"/>
  <c r="AD49" i="14"/>
  <c r="AD50" i="14" s="1"/>
  <c r="AD41" i="14"/>
  <c r="AD42" i="14" s="1"/>
  <c r="AD36" i="14"/>
  <c r="AD38" i="14" s="1"/>
  <c r="AD19" i="14"/>
  <c r="AD20" i="14" s="1"/>
  <c r="AD130" i="33"/>
  <c r="AE124" i="33" s="1"/>
  <c r="AD127" i="33"/>
  <c r="AD121" i="33"/>
  <c r="AE116" i="33" s="1"/>
  <c r="AD93" i="33"/>
  <c r="AD70" i="33"/>
  <c r="AD71" i="33"/>
  <c r="AD48" i="33"/>
  <c r="AD42" i="33"/>
  <c r="AD39" i="33"/>
  <c r="AD126" i="33" s="1"/>
  <c r="AD38" i="33"/>
  <c r="AD118" i="33" s="1"/>
  <c r="AD37" i="33"/>
  <c r="AD26" i="33"/>
  <c r="AD4" i="33"/>
  <c r="AD4" i="4" s="1"/>
  <c r="AD11" i="33"/>
  <c r="AD51" i="34"/>
  <c r="AD52" i="34" s="1"/>
  <c r="AD37" i="34"/>
  <c r="AD38" i="34" s="1"/>
  <c r="AC20" i="34"/>
  <c r="AD79" i="19"/>
  <c r="AD77" i="19" s="1"/>
  <c r="AD69" i="19"/>
  <c r="AD82" i="19" s="1"/>
  <c r="AD56" i="19"/>
  <c r="AD48" i="19"/>
  <c r="AD45" i="19"/>
  <c r="AD44" i="10"/>
  <c r="AD43" i="10"/>
  <c r="AD42" i="10"/>
  <c r="AD41" i="10"/>
  <c r="AD12" i="6"/>
  <c r="AD13" i="6" s="1"/>
  <c r="AD15" i="6" s="1"/>
  <c r="AD31" i="19"/>
  <c r="AD4" i="19"/>
  <c r="AD126" i="4"/>
  <c r="E25" i="2" s="1"/>
  <c r="AD125" i="4"/>
  <c r="AD124" i="4"/>
  <c r="AD119" i="4"/>
  <c r="E23" i="2" s="1"/>
  <c r="E24" i="2" s="1"/>
  <c r="AD118" i="4"/>
  <c r="AD106" i="4"/>
  <c r="AD97" i="4"/>
  <c r="AD91" i="4"/>
  <c r="AD74" i="4"/>
  <c r="AD65" i="4"/>
  <c r="AD60" i="4"/>
  <c r="AD57" i="4"/>
  <c r="AD147" i="4" s="1"/>
  <c r="AD41" i="4"/>
  <c r="AD21" i="4"/>
  <c r="AC21" i="34"/>
  <c r="AD15" i="34"/>
  <c r="AD60" i="34" s="1"/>
  <c r="AD7" i="34"/>
  <c r="AD6" i="34" s="1"/>
  <c r="AD14" i="37"/>
  <c r="AD109" i="33" s="1"/>
  <c r="AD11" i="37"/>
  <c r="AD158" i="37" s="1"/>
  <c r="AD159" i="37" s="1"/>
  <c r="AD5" i="37"/>
  <c r="AD79" i="23"/>
  <c r="AD73" i="23"/>
  <c r="AD76" i="23" s="1"/>
  <c r="AD62" i="23"/>
  <c r="AD52" i="23"/>
  <c r="AD16" i="23"/>
  <c r="BB5" i="23" s="1"/>
  <c r="AD15" i="23"/>
  <c r="AD89" i="23" s="1"/>
  <c r="AD90" i="23" s="1"/>
  <c r="AD45" i="23"/>
  <c r="AD49" i="23"/>
  <c r="AD47" i="23"/>
  <c r="AD41" i="23"/>
  <c r="AD39" i="23"/>
  <c r="U75" i="2"/>
  <c r="AC127" i="33"/>
  <c r="AC4" i="33"/>
  <c r="AC4" i="4" s="1"/>
  <c r="AC73" i="23"/>
  <c r="AC76" i="23" s="1"/>
  <c r="AC98" i="19"/>
  <c r="AC91" i="19"/>
  <c r="AC92" i="19" s="1"/>
  <c r="AC80" i="19"/>
  <c r="AC79" i="19"/>
  <c r="AC69" i="19"/>
  <c r="AC56" i="19"/>
  <c r="AC48" i="19"/>
  <c r="AC45" i="19"/>
  <c r="AC81" i="14"/>
  <c r="AC79" i="14"/>
  <c r="AC49" i="14"/>
  <c r="AC50" i="14" s="1"/>
  <c r="AC41" i="14"/>
  <c r="AC42" i="14" s="1"/>
  <c r="AC19" i="14"/>
  <c r="AC20" i="14" s="1"/>
  <c r="AC8" i="10"/>
  <c r="AC7" i="10" s="1"/>
  <c r="AC135" i="4"/>
  <c r="AC126" i="4"/>
  <c r="D25" i="2" s="1"/>
  <c r="AC125" i="4"/>
  <c r="AC124" i="4"/>
  <c r="D27" i="2" s="1"/>
  <c r="AC119" i="4"/>
  <c r="D23" i="2" s="1"/>
  <c r="D24" i="2" s="1"/>
  <c r="AC118" i="4"/>
  <c r="AC106" i="4"/>
  <c r="AC103" i="4"/>
  <c r="AF87" i="33"/>
  <c r="AC22" i="34"/>
  <c r="AC23" i="34"/>
  <c r="AB32" i="6"/>
  <c r="AB37" i="37"/>
  <c r="AB36" i="37" s="1"/>
  <c r="AC2" i="34"/>
  <c r="AD3" i="34" s="1"/>
  <c r="AB37" i="34"/>
  <c r="AC52" i="23"/>
  <c r="AC37" i="23"/>
  <c r="AF64" i="23"/>
  <c r="Z68" i="37"/>
  <c r="Z81" i="37" s="1"/>
  <c r="Z66" i="37"/>
  <c r="Z67" i="37"/>
  <c r="Z80" i="37" s="1"/>
  <c r="Y68" i="37"/>
  <c r="Y81" i="37" s="1"/>
  <c r="X135" i="37"/>
  <c r="W68" i="37"/>
  <c r="W81" i="37" s="1"/>
  <c r="AA68" i="37"/>
  <c r="AA81" i="37" s="1"/>
  <c r="AC68" i="37"/>
  <c r="AB68" i="37"/>
  <c r="AC79" i="23"/>
  <c r="AB62" i="23"/>
  <c r="AB66" i="23" s="1"/>
  <c r="AC62" i="23"/>
  <c r="AC66" i="23" s="1"/>
  <c r="AD58" i="23"/>
  <c r="AE58" i="23" s="1"/>
  <c r="AD59" i="23"/>
  <c r="AD60" i="23"/>
  <c r="AE60" i="23" s="1"/>
  <c r="AI60" i="23"/>
  <c r="AJ60" i="23" s="1"/>
  <c r="AK60" i="23" s="1"/>
  <c r="AL60" i="23" s="1"/>
  <c r="AM60" i="23" s="1"/>
  <c r="AN60" i="23" s="1"/>
  <c r="AF63" i="23"/>
  <c r="AI63" i="23" s="1"/>
  <c r="AJ63" i="23" s="1"/>
  <c r="AK63" i="23" s="1"/>
  <c r="AL63" i="23" s="1"/>
  <c r="AM63" i="23" s="1"/>
  <c r="AN63" i="23" s="1"/>
  <c r="AC15" i="34"/>
  <c r="AC60" i="34" s="1"/>
  <c r="AC51" i="34"/>
  <c r="AC52" i="34" s="1"/>
  <c r="AB15" i="34"/>
  <c r="AB60" i="34" s="1"/>
  <c r="AA37" i="34"/>
  <c r="AC29" i="35"/>
  <c r="AC30" i="35"/>
  <c r="AC6" i="35"/>
  <c r="AC7" i="34"/>
  <c r="AC6" i="34" s="1"/>
  <c r="AK41" i="23"/>
  <c r="AL41" i="23" s="1"/>
  <c r="AM41" i="23" s="1"/>
  <c r="AN41" i="23" s="1"/>
  <c r="AB79" i="23"/>
  <c r="AB73" i="23"/>
  <c r="AB76" i="23" s="1"/>
  <c r="AC11" i="23"/>
  <c r="BA3" i="23" s="1"/>
  <c r="AB134" i="37"/>
  <c r="AC67" i="37"/>
  <c r="AC80" i="37" s="1"/>
  <c r="AC30" i="37"/>
  <c r="AC70" i="37"/>
  <c r="AC67" i="14" s="1"/>
  <c r="AC74" i="14" s="1"/>
  <c r="AC71" i="37"/>
  <c r="AD71" i="37"/>
  <c r="AC74" i="37"/>
  <c r="AC87" i="37" s="1"/>
  <c r="AB75" i="37"/>
  <c r="AC88" i="37" s="1"/>
  <c r="AB17" i="35"/>
  <c r="AB46" i="33" s="1"/>
  <c r="AA13" i="4"/>
  <c r="AB13" i="4" s="1"/>
  <c r="AA16" i="4"/>
  <c r="AB16" i="4" s="1"/>
  <c r="AA21" i="4"/>
  <c r="AA106" i="33" s="1"/>
  <c r="AB21" i="4"/>
  <c r="AC17" i="4"/>
  <c r="AD17" i="4" s="1"/>
  <c r="AE17" i="4" s="1"/>
  <c r="AF17" i="4" s="1"/>
  <c r="AC21" i="4"/>
  <c r="AC106" i="33" s="1"/>
  <c r="AC30" i="4"/>
  <c r="AB17" i="6"/>
  <c r="AB26" i="6" s="1"/>
  <c r="AB18" i="6"/>
  <c r="AB27" i="6" s="1"/>
  <c r="AC28" i="6"/>
  <c r="V29" i="6"/>
  <c r="AB4" i="6"/>
  <c r="AB79" i="19"/>
  <c r="AB102" i="19" s="1"/>
  <c r="AB80" i="19"/>
  <c r="AB62" i="19"/>
  <c r="AB71" i="14"/>
  <c r="AC71" i="14" s="1"/>
  <c r="AC57" i="14"/>
  <c r="AC59" i="14" s="1"/>
  <c r="AC84" i="33" s="1"/>
  <c r="D35" i="2" s="1"/>
  <c r="AB10" i="6"/>
  <c r="AB49" i="14" s="1"/>
  <c r="AB50" i="14" s="1"/>
  <c r="AB3" i="14"/>
  <c r="AE13" i="35"/>
  <c r="AF13" i="35" s="1"/>
  <c r="AI14" i="35"/>
  <c r="AJ14" i="35" s="1"/>
  <c r="AK14" i="35" s="1"/>
  <c r="AL14" i="35" s="1"/>
  <c r="AM14" i="35" s="1"/>
  <c r="AN14" i="35" s="1"/>
  <c r="AD28" i="6"/>
  <c r="AE19" i="6"/>
  <c r="AE28" i="6" s="1"/>
  <c r="AB6" i="6"/>
  <c r="AB36" i="10"/>
  <c r="AB56" i="19"/>
  <c r="AB16" i="10"/>
  <c r="AB4" i="19"/>
  <c r="AD6" i="14"/>
  <c r="AE6" i="14" s="1"/>
  <c r="AD24" i="6"/>
  <c r="AE24" i="6" s="1"/>
  <c r="AF24" i="6" s="1"/>
  <c r="AG24" i="6" s="1"/>
  <c r="AH24" i="6" s="1"/>
  <c r="AI24" i="6" s="1"/>
  <c r="AJ24" i="6" s="1"/>
  <c r="AK24" i="6" s="1"/>
  <c r="AL24" i="6" s="1"/>
  <c r="AM24" i="6" s="1"/>
  <c r="AN24" i="6" s="1"/>
  <c r="AJ71" i="14"/>
  <c r="AC15" i="23"/>
  <c r="AC89" i="23" s="1"/>
  <c r="AC90" i="23" s="1"/>
  <c r="AD10" i="23"/>
  <c r="AD8" i="23" s="1"/>
  <c r="AC41" i="4"/>
  <c r="AA86" i="4"/>
  <c r="P17" i="19"/>
  <c r="P25" i="6"/>
  <c r="P11" i="6"/>
  <c r="P19" i="19"/>
  <c r="Q25" i="6"/>
  <c r="Q19" i="19"/>
  <c r="R14" i="14"/>
  <c r="R4" i="6"/>
  <c r="R8" i="10" s="1"/>
  <c r="R7" i="10" s="1"/>
  <c r="R6" i="6"/>
  <c r="R69" i="19" s="1"/>
  <c r="R7" i="6"/>
  <c r="R48" i="19" s="1"/>
  <c r="R8" i="6"/>
  <c r="R45" i="19" s="1"/>
  <c r="R9" i="6"/>
  <c r="R10" i="6"/>
  <c r="R14" i="33" s="1"/>
  <c r="R14" i="6"/>
  <c r="R42" i="33" s="1"/>
  <c r="R17" i="6"/>
  <c r="R26" i="6" s="1"/>
  <c r="R20" i="6"/>
  <c r="R19" i="19"/>
  <c r="R20" i="19"/>
  <c r="S25" i="6"/>
  <c r="S26" i="6"/>
  <c r="S27" i="6"/>
  <c r="S28" i="6"/>
  <c r="S12" i="6"/>
  <c r="S13" i="6" s="1"/>
  <c r="S19" i="19"/>
  <c r="S20" i="19"/>
  <c r="T25" i="6"/>
  <c r="T12" i="6"/>
  <c r="T13" i="6" s="1"/>
  <c r="T19" i="19"/>
  <c r="T20" i="19"/>
  <c r="U25" i="6"/>
  <c r="U12" i="6"/>
  <c r="U13" i="6" s="1"/>
  <c r="U36" i="10"/>
  <c r="U6" i="19" s="1"/>
  <c r="U20" i="19"/>
  <c r="V25" i="6"/>
  <c r="V12" i="6"/>
  <c r="V13" i="6" s="1"/>
  <c r="V19" i="6"/>
  <c r="W19" i="6" s="1"/>
  <c r="V36" i="10"/>
  <c r="V20" i="19"/>
  <c r="W25" i="6"/>
  <c r="W12" i="6"/>
  <c r="W13" i="6" s="1"/>
  <c r="W36" i="10"/>
  <c r="W53" i="10" s="1"/>
  <c r="W20" i="19"/>
  <c r="X25" i="6"/>
  <c r="X11" i="6"/>
  <c r="X12" i="6" s="1"/>
  <c r="X13" i="6" s="1"/>
  <c r="X36" i="10"/>
  <c r="X3" i="10" s="1"/>
  <c r="X20" i="19"/>
  <c r="Y25" i="6"/>
  <c r="Y12" i="6"/>
  <c r="Y13" i="6" s="1"/>
  <c r="Y36" i="10"/>
  <c r="Y20" i="19"/>
  <c r="Z25" i="6"/>
  <c r="Z12" i="6"/>
  <c r="Z13" i="6" s="1"/>
  <c r="Z36" i="10"/>
  <c r="Z38" i="10" s="1"/>
  <c r="Z53" i="19" s="1"/>
  <c r="Z20" i="19"/>
  <c r="AA25" i="6"/>
  <c r="AA12" i="6"/>
  <c r="AA13" i="6" s="1"/>
  <c r="AA36" i="10"/>
  <c r="AA20" i="19"/>
  <c r="AB14" i="14"/>
  <c r="AB7" i="6"/>
  <c r="AB48" i="19" s="1"/>
  <c r="AB8" i="6"/>
  <c r="AB45" i="19" s="1"/>
  <c r="AB9" i="6"/>
  <c r="AB11" i="6"/>
  <c r="AB14" i="6"/>
  <c r="C34" i="2" s="1"/>
  <c r="AB15" i="10"/>
  <c r="AB20" i="19"/>
  <c r="AC5" i="37"/>
  <c r="AC14" i="37"/>
  <c r="AC164" i="37" s="1"/>
  <c r="AC17" i="37"/>
  <c r="AI17" i="37"/>
  <c r="AJ17" i="37" s="1"/>
  <c r="AK17" i="37" s="1"/>
  <c r="AL17" i="37" s="1"/>
  <c r="AM17" i="37" s="1"/>
  <c r="AN17" i="37" s="1"/>
  <c r="AC45" i="33"/>
  <c r="AC48" i="33"/>
  <c r="AC111" i="33"/>
  <c r="AC36" i="14"/>
  <c r="AC108" i="33"/>
  <c r="AC32" i="37"/>
  <c r="AB9" i="35"/>
  <c r="AD9" i="33"/>
  <c r="AC35" i="33"/>
  <c r="AC37" i="33"/>
  <c r="AC32" i="33"/>
  <c r="AC33" i="33"/>
  <c r="AC17" i="33"/>
  <c r="AC26" i="33"/>
  <c r="AC22" i="33"/>
  <c r="AB51" i="34"/>
  <c r="AB52" i="34" s="1"/>
  <c r="AC8" i="33"/>
  <c r="AC9" i="33"/>
  <c r="AC11" i="33"/>
  <c r="AE86" i="33"/>
  <c r="AC77" i="4"/>
  <c r="AC97" i="4"/>
  <c r="AC87" i="33"/>
  <c r="AC85" i="33"/>
  <c r="D57" i="2" s="1"/>
  <c r="AC86" i="33"/>
  <c r="AC88" i="33"/>
  <c r="AD86" i="33"/>
  <c r="AD88" i="33"/>
  <c r="AA38" i="33"/>
  <c r="AA118" i="33" s="1"/>
  <c r="AB38" i="33"/>
  <c r="AB118" i="33" s="1"/>
  <c r="AC38" i="33"/>
  <c r="AC118" i="33" s="1"/>
  <c r="AB127" i="33"/>
  <c r="AA39" i="33"/>
  <c r="AA126" i="33" s="1"/>
  <c r="AB39" i="33"/>
  <c r="AB126" i="33" s="1"/>
  <c r="AC39" i="33"/>
  <c r="AC126" i="33" s="1"/>
  <c r="AC69" i="4"/>
  <c r="AC74" i="4"/>
  <c r="AB58" i="4"/>
  <c r="AC58" i="4" s="1"/>
  <c r="AC60" i="4"/>
  <c r="AC57" i="4"/>
  <c r="AE88" i="33"/>
  <c r="AF88" i="33"/>
  <c r="AC70" i="33"/>
  <c r="AC71" i="33"/>
  <c r="AC121" i="33"/>
  <c r="AD116" i="33" s="1"/>
  <c r="AC130" i="33"/>
  <c r="AI88" i="33"/>
  <c r="AB19" i="14"/>
  <c r="AB20" i="14" s="1"/>
  <c r="O24" i="19"/>
  <c r="O27" i="19" s="1"/>
  <c r="AC49" i="23"/>
  <c r="AC47" i="23"/>
  <c r="AC45" i="23"/>
  <c r="AC41" i="23"/>
  <c r="AC39" i="23"/>
  <c r="AC73" i="37"/>
  <c r="AC25" i="37"/>
  <c r="AC7" i="33"/>
  <c r="AC6" i="33"/>
  <c r="AC44" i="33"/>
  <c r="AC43" i="33"/>
  <c r="AC37" i="19"/>
  <c r="AC36" i="10"/>
  <c r="AC53" i="10" s="1"/>
  <c r="AC91" i="4"/>
  <c r="AC8" i="19"/>
  <c r="AC72" i="4" s="1"/>
  <c r="AA71" i="4"/>
  <c r="AB71" i="4" s="1"/>
  <c r="AC71" i="4" s="1"/>
  <c r="AD71" i="4" s="1"/>
  <c r="AC31" i="19"/>
  <c r="AB75" i="14"/>
  <c r="AC75" i="14" s="1"/>
  <c r="AC72" i="14"/>
  <c r="AC4" i="19"/>
  <c r="AC46" i="10"/>
  <c r="AH46" i="10"/>
  <c r="AC41" i="10"/>
  <c r="AC42" i="10"/>
  <c r="AC43" i="10"/>
  <c r="AC44" i="10"/>
  <c r="AC93" i="33"/>
  <c r="AC77" i="33"/>
  <c r="AC78" i="33"/>
  <c r="AC79" i="33"/>
  <c r="AB92" i="19"/>
  <c r="AB13" i="10"/>
  <c r="AB52" i="23"/>
  <c r="AB37" i="23"/>
  <c r="AB16" i="23"/>
  <c r="AB23" i="23" s="1"/>
  <c r="AB24" i="23"/>
  <c r="AZ8" i="23" s="1"/>
  <c r="AB5" i="37"/>
  <c r="AB8" i="37" s="1"/>
  <c r="AB12" i="37" s="1"/>
  <c r="AB14" i="37"/>
  <c r="AB30" i="37"/>
  <c r="AB70" i="37"/>
  <c r="AB83" i="37" s="1"/>
  <c r="AB71" i="37"/>
  <c r="AB84" i="37" s="1"/>
  <c r="AB73" i="37"/>
  <c r="AB74" i="37"/>
  <c r="AB87" i="37" s="1"/>
  <c r="AC75" i="37"/>
  <c r="AD88" i="37" s="1"/>
  <c r="AA14" i="34"/>
  <c r="AB14" i="34" s="1"/>
  <c r="AB32" i="37"/>
  <c r="AB31" i="35"/>
  <c r="AB32" i="35"/>
  <c r="AB6" i="35"/>
  <c r="AB8" i="35" s="1"/>
  <c r="AD20" i="6"/>
  <c r="AE20" i="6" s="1"/>
  <c r="AF20" i="6" s="1"/>
  <c r="AB15" i="23"/>
  <c r="AB8" i="23"/>
  <c r="AB11" i="37"/>
  <c r="AB16" i="33" s="1"/>
  <c r="AB7" i="34"/>
  <c r="AB6" i="34" s="1"/>
  <c r="AB39" i="6"/>
  <c r="AB44" i="6" s="1"/>
  <c r="AB40" i="6"/>
  <c r="AB45" i="6"/>
  <c r="AC65" i="4"/>
  <c r="Z85" i="19"/>
  <c r="AA85" i="19" s="1"/>
  <c r="AB85" i="19" s="1"/>
  <c r="AC85" i="19" s="1"/>
  <c r="AD85" i="19" s="1"/>
  <c r="AE85" i="19" s="1"/>
  <c r="AF85" i="19" s="1"/>
  <c r="AG85" i="19" s="1"/>
  <c r="AA69" i="19"/>
  <c r="AA82" i="19" s="1"/>
  <c r="AA90" i="19"/>
  <c r="AD86" i="19"/>
  <c r="AE86" i="19" s="1"/>
  <c r="AF86" i="19" s="1"/>
  <c r="AG86" i="19" s="1"/>
  <c r="AH89" i="19"/>
  <c r="AC174" i="4"/>
  <c r="AC154" i="4"/>
  <c r="AB130" i="33"/>
  <c r="AC124" i="33" s="1"/>
  <c r="AB121" i="33"/>
  <c r="AC116" i="33" s="1"/>
  <c r="AB107" i="33"/>
  <c r="AB95" i="33"/>
  <c r="AB94" i="33"/>
  <c r="AB93" i="33"/>
  <c r="AB57" i="4"/>
  <c r="AB100" i="33" s="1"/>
  <c r="AB71" i="33"/>
  <c r="AB70" i="33"/>
  <c r="AB48" i="33"/>
  <c r="AB37" i="33"/>
  <c r="AB26" i="33"/>
  <c r="AB22" i="33"/>
  <c r="AB23" i="33"/>
  <c r="AA4" i="33"/>
  <c r="AB11" i="33"/>
  <c r="AB30" i="35"/>
  <c r="AB29" i="35"/>
  <c r="AB50" i="23"/>
  <c r="AB42" i="23"/>
  <c r="AB49" i="23"/>
  <c r="AB47" i="23"/>
  <c r="AB45" i="23"/>
  <c r="AB41" i="23"/>
  <c r="AB39" i="23"/>
  <c r="AB120" i="19"/>
  <c r="AB81" i="14"/>
  <c r="AB79" i="14"/>
  <c r="AA79" i="14"/>
  <c r="AB63" i="14"/>
  <c r="AB72" i="14"/>
  <c r="AB73" i="14"/>
  <c r="AC73" i="14" s="1"/>
  <c r="AD73" i="14" s="1"/>
  <c r="AE73" i="14" s="1"/>
  <c r="AF73" i="14" s="1"/>
  <c r="AG73" i="14" s="1"/>
  <c r="AB74" i="14"/>
  <c r="AB38" i="14"/>
  <c r="AB30" i="6"/>
  <c r="AB41" i="10"/>
  <c r="AB42" i="10"/>
  <c r="AB43" i="10"/>
  <c r="AB44" i="10"/>
  <c r="AB46" i="10"/>
  <c r="AB136" i="4"/>
  <c r="AB135" i="4"/>
  <c r="AB126" i="4"/>
  <c r="AB125" i="4"/>
  <c r="AB117" i="33" s="1"/>
  <c r="AB124" i="4"/>
  <c r="AB119" i="4"/>
  <c r="AB121" i="4"/>
  <c r="AB118" i="4"/>
  <c r="AB106" i="4"/>
  <c r="AB103" i="4"/>
  <c r="AB97" i="4"/>
  <c r="AB91" i="4"/>
  <c r="AB74" i="4"/>
  <c r="AB65" i="4"/>
  <c r="AB60" i="4"/>
  <c r="AB41" i="4"/>
  <c r="AB30" i="4"/>
  <c r="AA15" i="34"/>
  <c r="AA110" i="33" s="1"/>
  <c r="AA16" i="23"/>
  <c r="AA24" i="23"/>
  <c r="AA30" i="4"/>
  <c r="AB174" i="4"/>
  <c r="D103" i="2"/>
  <c r="U94" i="14"/>
  <c r="AI93" i="23"/>
  <c r="AJ93" i="23" s="1"/>
  <c r="AK93" i="23" s="1"/>
  <c r="AL93" i="23" s="1"/>
  <c r="AM93" i="23" s="1"/>
  <c r="AN93" i="23" s="1"/>
  <c r="K18" i="2"/>
  <c r="K53" i="2" s="1"/>
  <c r="K98" i="2" s="1"/>
  <c r="L18" i="2"/>
  <c r="L53" i="2" s="1"/>
  <c r="L98" i="2" s="1"/>
  <c r="M18" i="2"/>
  <c r="M53" i="2" s="1"/>
  <c r="M98" i="2" s="1"/>
  <c r="N18" i="2"/>
  <c r="N53" i="2" s="1"/>
  <c r="N98" i="2" s="1"/>
  <c r="O18" i="2"/>
  <c r="O53" i="2" s="1"/>
  <c r="O98" i="2" s="1"/>
  <c r="AJ1" i="35"/>
  <c r="AK1" i="35"/>
  <c r="AL1" i="35"/>
  <c r="AM1" i="35"/>
  <c r="AN1" i="35"/>
  <c r="AJ39" i="35"/>
  <c r="AJ45" i="35"/>
  <c r="AK39" i="35"/>
  <c r="AK45" i="35"/>
  <c r="AL39" i="35"/>
  <c r="AL45" i="35"/>
  <c r="AL47" i="35" s="1"/>
  <c r="AM39" i="35"/>
  <c r="AM45" i="35"/>
  <c r="AN39" i="35"/>
  <c r="AN45" i="35"/>
  <c r="AJ60" i="35"/>
  <c r="AK60" i="35"/>
  <c r="AL60" i="35"/>
  <c r="AM60" i="35"/>
  <c r="AN60" i="35"/>
  <c r="AJ1" i="34"/>
  <c r="AK1" i="34"/>
  <c r="AL1" i="34"/>
  <c r="AM1" i="34"/>
  <c r="AN1" i="34"/>
  <c r="AJ1" i="23"/>
  <c r="AK1" i="23"/>
  <c r="AL1" i="23"/>
  <c r="AM1" i="23"/>
  <c r="AN1" i="23"/>
  <c r="AJ6" i="23"/>
  <c r="AK6" i="23"/>
  <c r="AL6" i="23"/>
  <c r="AM6" i="23"/>
  <c r="AN6" i="23"/>
  <c r="AJ1" i="37"/>
  <c r="AK1" i="37"/>
  <c r="AL1" i="37"/>
  <c r="AM1" i="37"/>
  <c r="AN1" i="37"/>
  <c r="AJ106" i="37"/>
  <c r="AJ119" i="37"/>
  <c r="AK106" i="37"/>
  <c r="AL106" i="37"/>
  <c r="AL119" i="37"/>
  <c r="AM106" i="37"/>
  <c r="AN106" i="37"/>
  <c r="AN119" i="37"/>
  <c r="AK119" i="37"/>
  <c r="AM119" i="37"/>
  <c r="AJ2" i="14"/>
  <c r="AK2" i="14"/>
  <c r="AL2" i="14"/>
  <c r="AM2" i="14"/>
  <c r="AN2" i="14"/>
  <c r="AJ2" i="10"/>
  <c r="AJ1" i="19" s="1"/>
  <c r="AK2" i="10"/>
  <c r="AK1" i="19" s="1"/>
  <c r="AL2" i="10"/>
  <c r="AL1" i="19" s="1"/>
  <c r="AM2" i="10"/>
  <c r="AM1" i="19" s="1"/>
  <c r="AN2" i="10"/>
  <c r="AN1" i="19" s="1"/>
  <c r="AJ88" i="33"/>
  <c r="AK88" i="33"/>
  <c r="AL88" i="33"/>
  <c r="AM88" i="33"/>
  <c r="AN88" i="33"/>
  <c r="AN106" i="4"/>
  <c r="AM106" i="4"/>
  <c r="AL106" i="4"/>
  <c r="AK106" i="4"/>
  <c r="AJ106" i="4"/>
  <c r="AA56" i="19"/>
  <c r="A73" i="23"/>
  <c r="AA76" i="23"/>
  <c r="AA79" i="23"/>
  <c r="AA121" i="4"/>
  <c r="AA119" i="4"/>
  <c r="B23" i="2" s="1"/>
  <c r="B24" i="2" s="1"/>
  <c r="AA118" i="4"/>
  <c r="AA106" i="4"/>
  <c r="AA103" i="4"/>
  <c r="AA136" i="4"/>
  <c r="AA135" i="4"/>
  <c r="AA132" i="4"/>
  <c r="AA124" i="4"/>
  <c r="AA126" i="4"/>
  <c r="B25" i="2" s="1"/>
  <c r="AA127" i="33"/>
  <c r="AA121" i="33"/>
  <c r="AB116" i="33" s="1"/>
  <c r="AA71" i="33"/>
  <c r="AA70" i="33"/>
  <c r="AA66" i="23"/>
  <c r="AA8" i="10"/>
  <c r="AA92" i="19"/>
  <c r="AA80" i="19"/>
  <c r="AA79" i="19"/>
  <c r="AA62" i="19"/>
  <c r="AA61" i="19"/>
  <c r="AA48" i="19"/>
  <c r="Z48" i="19"/>
  <c r="Y48" i="19"/>
  <c r="AA45" i="19"/>
  <c r="AA31" i="19"/>
  <c r="AA81" i="14"/>
  <c r="AA71" i="14"/>
  <c r="AA72" i="14"/>
  <c r="AA73" i="14"/>
  <c r="AA75" i="14"/>
  <c r="AA49" i="14"/>
  <c r="AA50" i="14" s="1"/>
  <c r="AA41" i="14"/>
  <c r="AA39" i="14" s="1"/>
  <c r="AA19" i="14"/>
  <c r="AA20" i="14" s="1"/>
  <c r="AA43" i="6"/>
  <c r="H18" i="2"/>
  <c r="H53" i="2" s="1"/>
  <c r="H98" i="2" s="1"/>
  <c r="I18" i="2"/>
  <c r="I53" i="2" s="1"/>
  <c r="I98" i="2" s="1"/>
  <c r="J18" i="2"/>
  <c r="J53" i="2" s="1"/>
  <c r="J98" i="2" s="1"/>
  <c r="AG1" i="35"/>
  <c r="AH1" i="35"/>
  <c r="AI1" i="35"/>
  <c r="AG39" i="35"/>
  <c r="AG45" i="35"/>
  <c r="AH39" i="35"/>
  <c r="AH45" i="35"/>
  <c r="AI39" i="35"/>
  <c r="AI45" i="35"/>
  <c r="AH60" i="35"/>
  <c r="AI60" i="35"/>
  <c r="AG1" i="34"/>
  <c r="AH1" i="34"/>
  <c r="AI1" i="34"/>
  <c r="AG1" i="23"/>
  <c r="AH1" i="23"/>
  <c r="AI1" i="23"/>
  <c r="AH6" i="23"/>
  <c r="AH18" i="23" s="1"/>
  <c r="AG1" i="37"/>
  <c r="AH1" i="37"/>
  <c r="AI1" i="37"/>
  <c r="AG106" i="37"/>
  <c r="AG119" i="37"/>
  <c r="AH106" i="37"/>
  <c r="AH119" i="37"/>
  <c r="AI106" i="37"/>
  <c r="AI119" i="37"/>
  <c r="AG2" i="14"/>
  <c r="AI2" i="14"/>
  <c r="AG2" i="10"/>
  <c r="AG1" i="19" s="1"/>
  <c r="AH2" i="10"/>
  <c r="AH1" i="19" s="1"/>
  <c r="AI2" i="10"/>
  <c r="AI1" i="19" s="1"/>
  <c r="AG1" i="33"/>
  <c r="AI106" i="4"/>
  <c r="AA46" i="10"/>
  <c r="AA44" i="10"/>
  <c r="AA43" i="10"/>
  <c r="AA42" i="10"/>
  <c r="AA41" i="10"/>
  <c r="AA30" i="35"/>
  <c r="AA29" i="35"/>
  <c r="AA54" i="35"/>
  <c r="AA60" i="35"/>
  <c r="AA32" i="35"/>
  <c r="AA31" i="35"/>
  <c r="AA46" i="37"/>
  <c r="AA70" i="37"/>
  <c r="AA30" i="37"/>
  <c r="AA71" i="37"/>
  <c r="AA84" i="37" s="1"/>
  <c r="AA73" i="37"/>
  <c r="AA74" i="37"/>
  <c r="AA87" i="37" s="1"/>
  <c r="AA75" i="37"/>
  <c r="AB88" i="37" s="1"/>
  <c r="AA67" i="37"/>
  <c r="AA80" i="37" s="1"/>
  <c r="AA66" i="37"/>
  <c r="AA79" i="37" s="1"/>
  <c r="AA138" i="37"/>
  <c r="AA151" i="37"/>
  <c r="AA36" i="37"/>
  <c r="AA25" i="37"/>
  <c r="AA32" i="37"/>
  <c r="AA52" i="23"/>
  <c r="AA37" i="23"/>
  <c r="AA50" i="23"/>
  <c r="AA42" i="23"/>
  <c r="AA49" i="23"/>
  <c r="AA47" i="23"/>
  <c r="AA45" i="23"/>
  <c r="AA41" i="23"/>
  <c r="AA105" i="4"/>
  <c r="AA130" i="33"/>
  <c r="AB124" i="33" s="1"/>
  <c r="AA38" i="14"/>
  <c r="AA93" i="33"/>
  <c r="AA57" i="4"/>
  <c r="AA147" i="4" s="1"/>
  <c r="AA48" i="33"/>
  <c r="AA37" i="33"/>
  <c r="AA26" i="33"/>
  <c r="AA11" i="33"/>
  <c r="AA15" i="35"/>
  <c r="AA111" i="33" s="1"/>
  <c r="AA6" i="35"/>
  <c r="AA8" i="35" s="1"/>
  <c r="AA10" i="35" s="1"/>
  <c r="AA51" i="34"/>
  <c r="AA52" i="34" s="1"/>
  <c r="AA8" i="23"/>
  <c r="AA14" i="37"/>
  <c r="AA164" i="37" s="1"/>
  <c r="AA11" i="37"/>
  <c r="AA158" i="37" s="1"/>
  <c r="AA159" i="37" s="1"/>
  <c r="AA5" i="37"/>
  <c r="AA8" i="37" s="1"/>
  <c r="AA12" i="37" s="1"/>
  <c r="AA146" i="4"/>
  <c r="AA96" i="4"/>
  <c r="AA97" i="4"/>
  <c r="AA91" i="4"/>
  <c r="AA74" i="4"/>
  <c r="AA65" i="4"/>
  <c r="AA72" i="33" s="1"/>
  <c r="AA75" i="33" s="1"/>
  <c r="AA60" i="4"/>
  <c r="Z57" i="4"/>
  <c r="Z147" i="4" s="1"/>
  <c r="AA41" i="4"/>
  <c r="T94" i="14"/>
  <c r="AB55" i="14"/>
  <c r="AA55" i="14"/>
  <c r="K9" i="37"/>
  <c r="K5" i="37" s="1"/>
  <c r="K8" i="37" s="1"/>
  <c r="K12" i="37" s="1"/>
  <c r="K15" i="37" s="1"/>
  <c r="K18" i="37" s="1"/>
  <c r="K20" i="37" s="1"/>
  <c r="J9" i="37"/>
  <c r="J5" i="37" s="1"/>
  <c r="J8" i="37" s="1"/>
  <c r="J12" i="37" s="1"/>
  <c r="J15" i="37" s="1"/>
  <c r="J18" i="37" s="1"/>
  <c r="J20" i="37" s="1"/>
  <c r="I9" i="37"/>
  <c r="I5" i="37" s="1"/>
  <c r="I8" i="37" s="1"/>
  <c r="I12" i="37" s="1"/>
  <c r="I15" i="37" s="1"/>
  <c r="I18" i="37" s="1"/>
  <c r="I20" i="37" s="1"/>
  <c r="S41" i="4"/>
  <c r="M41" i="4"/>
  <c r="K41" i="4"/>
  <c r="T164" i="4"/>
  <c r="T166" i="4"/>
  <c r="U166" i="4"/>
  <c r="U164" i="4"/>
  <c r="U165" i="4" s="1"/>
  <c r="V164" i="4"/>
  <c r="V165" i="4" s="1"/>
  <c r="V166" i="4"/>
  <c r="W164" i="4"/>
  <c r="X164" i="4"/>
  <c r="Y164" i="4"/>
  <c r="Y165" i="4" s="1"/>
  <c r="Z164" i="4"/>
  <c r="Z165" i="4" s="1"/>
  <c r="AA164" i="4"/>
  <c r="AA174" i="4" s="1"/>
  <c r="W163" i="4"/>
  <c r="AA156" i="4"/>
  <c r="X38" i="37"/>
  <c r="W38" i="37"/>
  <c r="Z29" i="37"/>
  <c r="Z56" i="19"/>
  <c r="Z55" i="19" s="1"/>
  <c r="Y56" i="19"/>
  <c r="X56" i="19"/>
  <c r="X55" i="19" s="1"/>
  <c r="X66" i="19" s="1"/>
  <c r="W56" i="19"/>
  <c r="W55" i="19" s="1"/>
  <c r="W65" i="19" s="1"/>
  <c r="V56" i="19"/>
  <c r="U56" i="19"/>
  <c r="U55" i="19" s="1"/>
  <c r="T56" i="19"/>
  <c r="S56" i="19"/>
  <c r="R56" i="19"/>
  <c r="R55" i="19" s="1"/>
  <c r="Q56" i="19"/>
  <c r="P56" i="19"/>
  <c r="O56" i="19"/>
  <c r="O45" i="19"/>
  <c r="O69" i="19"/>
  <c r="O36" i="10"/>
  <c r="N56" i="19"/>
  <c r="N45" i="19"/>
  <c r="I56" i="19"/>
  <c r="T80" i="19"/>
  <c r="U80" i="19"/>
  <c r="V80" i="19"/>
  <c r="W80" i="19"/>
  <c r="X80" i="19"/>
  <c r="Y80" i="19"/>
  <c r="Z80" i="19"/>
  <c r="S80" i="19"/>
  <c r="U62" i="19"/>
  <c r="V62" i="19"/>
  <c r="W62" i="19"/>
  <c r="X62" i="19"/>
  <c r="Y62" i="19"/>
  <c r="Z62" i="19"/>
  <c r="U61" i="19"/>
  <c r="V61" i="19"/>
  <c r="W61" i="19"/>
  <c r="X61" i="19"/>
  <c r="Y61" i="19"/>
  <c r="Z61" i="19"/>
  <c r="O70" i="14"/>
  <c r="P70" i="14"/>
  <c r="P70" i="37"/>
  <c r="P69" i="37" s="1"/>
  <c r="C70" i="14"/>
  <c r="D70" i="14"/>
  <c r="E70" i="14"/>
  <c r="F70" i="14"/>
  <c r="G70" i="14"/>
  <c r="H70" i="14"/>
  <c r="I70" i="14"/>
  <c r="J70" i="14"/>
  <c r="K70" i="14"/>
  <c r="L70" i="14"/>
  <c r="M70" i="14"/>
  <c r="N70" i="14"/>
  <c r="Q70" i="14"/>
  <c r="R70" i="14"/>
  <c r="S70" i="14"/>
  <c r="T70" i="14"/>
  <c r="U70" i="14"/>
  <c r="V70" i="14"/>
  <c r="W70" i="14"/>
  <c r="X70" i="14"/>
  <c r="Y70" i="14"/>
  <c r="Z70" i="14"/>
  <c r="U71" i="14"/>
  <c r="V71" i="14"/>
  <c r="W71" i="14"/>
  <c r="X71" i="14"/>
  <c r="Y71" i="14"/>
  <c r="Z71" i="14"/>
  <c r="U72" i="14"/>
  <c r="V72" i="14"/>
  <c r="W72" i="14"/>
  <c r="X72" i="14"/>
  <c r="Y72" i="14"/>
  <c r="Z72" i="14"/>
  <c r="U73" i="14"/>
  <c r="V73" i="14"/>
  <c r="W73" i="14"/>
  <c r="X73" i="14"/>
  <c r="Y73" i="14"/>
  <c r="Z73" i="14"/>
  <c r="U75" i="14"/>
  <c r="V75" i="14"/>
  <c r="W75" i="14"/>
  <c r="X75" i="14"/>
  <c r="Y75" i="14"/>
  <c r="Z75" i="14"/>
  <c r="S64" i="14"/>
  <c r="T71" i="14" s="1"/>
  <c r="S65" i="14"/>
  <c r="B79" i="14"/>
  <c r="B83" i="14" s="1"/>
  <c r="C79" i="14"/>
  <c r="D79" i="14"/>
  <c r="E79" i="14"/>
  <c r="F79" i="14"/>
  <c r="G79" i="14"/>
  <c r="H79" i="14"/>
  <c r="I79" i="14"/>
  <c r="J79" i="14"/>
  <c r="K79" i="14"/>
  <c r="L79" i="14"/>
  <c r="M79" i="14"/>
  <c r="N79" i="14"/>
  <c r="O79" i="14"/>
  <c r="P79" i="14"/>
  <c r="Q79" i="14"/>
  <c r="R79" i="14"/>
  <c r="S79" i="14"/>
  <c r="T79" i="14"/>
  <c r="U79" i="14"/>
  <c r="V79" i="14"/>
  <c r="W79" i="14"/>
  <c r="X79" i="14"/>
  <c r="Y79" i="14"/>
  <c r="Z79" i="14"/>
  <c r="B85" i="14"/>
  <c r="C85" i="14"/>
  <c r="D85" i="14"/>
  <c r="E85" i="14"/>
  <c r="F85" i="14"/>
  <c r="G85" i="14"/>
  <c r="H85" i="14"/>
  <c r="I85" i="14"/>
  <c r="J85" i="14"/>
  <c r="K85" i="14"/>
  <c r="L85" i="14"/>
  <c r="M85" i="14"/>
  <c r="N85" i="14"/>
  <c r="O85" i="14"/>
  <c r="P85" i="14"/>
  <c r="Q85" i="14"/>
  <c r="B86" i="14"/>
  <c r="C86" i="14"/>
  <c r="D86" i="14"/>
  <c r="E86" i="14"/>
  <c r="F86" i="14"/>
  <c r="G86" i="14"/>
  <c r="H86" i="14"/>
  <c r="I86" i="14"/>
  <c r="J86" i="14"/>
  <c r="K86" i="14"/>
  <c r="L86" i="14"/>
  <c r="M86" i="14"/>
  <c r="N86" i="14"/>
  <c r="O86" i="14"/>
  <c r="P86" i="14"/>
  <c r="Q86" i="14"/>
  <c r="B81" i="14"/>
  <c r="C81" i="14"/>
  <c r="D81" i="14"/>
  <c r="E81" i="14"/>
  <c r="F81" i="14"/>
  <c r="G81" i="14"/>
  <c r="H81" i="14"/>
  <c r="I81" i="14"/>
  <c r="J81" i="14"/>
  <c r="K81" i="14"/>
  <c r="L81" i="14"/>
  <c r="M81" i="14"/>
  <c r="N81" i="14"/>
  <c r="O81" i="14"/>
  <c r="P81" i="14"/>
  <c r="Q81" i="14"/>
  <c r="R81" i="14"/>
  <c r="S81" i="14"/>
  <c r="T81" i="14"/>
  <c r="U81" i="14"/>
  <c r="V81" i="14"/>
  <c r="W81" i="14"/>
  <c r="X81" i="14"/>
  <c r="Y81" i="14"/>
  <c r="Z81" i="14"/>
  <c r="B82" i="14"/>
  <c r="C82" i="14"/>
  <c r="D82" i="14"/>
  <c r="E82" i="14"/>
  <c r="F82" i="14"/>
  <c r="G82" i="14"/>
  <c r="H82" i="14"/>
  <c r="I82" i="14"/>
  <c r="J82" i="14"/>
  <c r="K82" i="14"/>
  <c r="L82" i="14"/>
  <c r="M82" i="14"/>
  <c r="N82" i="14"/>
  <c r="O82" i="14"/>
  <c r="P82" i="14"/>
  <c r="Q82" i="14"/>
  <c r="R82" i="14"/>
  <c r="S82" i="14"/>
  <c r="T82" i="14"/>
  <c r="U82" i="14"/>
  <c r="V82" i="14"/>
  <c r="W82" i="14"/>
  <c r="X82" i="14"/>
  <c r="Y82" i="14"/>
  <c r="Z82" i="14"/>
  <c r="W34" i="14"/>
  <c r="V34" i="14"/>
  <c r="U34" i="14"/>
  <c r="T34" i="14"/>
  <c r="S34" i="14"/>
  <c r="Z34" i="14"/>
  <c r="Z33" i="14" s="1"/>
  <c r="B26" i="33"/>
  <c r="C26" i="33"/>
  <c r="D26" i="33"/>
  <c r="E26" i="33"/>
  <c r="F26" i="33"/>
  <c r="G26" i="33"/>
  <c r="H26" i="33"/>
  <c r="I26" i="33"/>
  <c r="J26" i="33"/>
  <c r="K26" i="33"/>
  <c r="L26" i="33"/>
  <c r="M26" i="33"/>
  <c r="O26" i="33"/>
  <c r="P26" i="33"/>
  <c r="Q26" i="33"/>
  <c r="R26" i="33"/>
  <c r="S26" i="33"/>
  <c r="T26" i="33"/>
  <c r="U26" i="33"/>
  <c r="V26" i="33"/>
  <c r="W26" i="33"/>
  <c r="X26" i="33"/>
  <c r="Y26" i="33"/>
  <c r="Z26" i="33"/>
  <c r="B22" i="33"/>
  <c r="B23" i="33"/>
  <c r="C22" i="33"/>
  <c r="D22" i="33"/>
  <c r="D23" i="33"/>
  <c r="E22" i="33"/>
  <c r="F22" i="33"/>
  <c r="F23" i="33"/>
  <c r="G22" i="33"/>
  <c r="G23" i="33"/>
  <c r="H22" i="33"/>
  <c r="H23" i="33"/>
  <c r="I22" i="33"/>
  <c r="I23" i="33"/>
  <c r="J22" i="33"/>
  <c r="J23" i="33"/>
  <c r="K22" i="33"/>
  <c r="K23" i="33"/>
  <c r="L22" i="33"/>
  <c r="L23" i="33"/>
  <c r="M22" i="33"/>
  <c r="M23" i="33"/>
  <c r="N22" i="33"/>
  <c r="N23" i="33"/>
  <c r="N12" i="4"/>
  <c r="N105" i="4" s="1"/>
  <c r="O22" i="33"/>
  <c r="O23" i="33"/>
  <c r="P22" i="33"/>
  <c r="Q22" i="33"/>
  <c r="Q23" i="33"/>
  <c r="R22" i="33"/>
  <c r="S22" i="33"/>
  <c r="S23" i="33"/>
  <c r="T22" i="33"/>
  <c r="U22" i="33"/>
  <c r="V22" i="33"/>
  <c r="V23" i="33"/>
  <c r="W22" i="33"/>
  <c r="W23" i="33"/>
  <c r="X22" i="33"/>
  <c r="X23" i="33"/>
  <c r="Y22" i="33"/>
  <c r="Z22" i="33"/>
  <c r="C23" i="33"/>
  <c r="E23" i="33"/>
  <c r="P23" i="33"/>
  <c r="R23" i="33"/>
  <c r="T23" i="33"/>
  <c r="U23" i="33"/>
  <c r="Y23" i="33"/>
  <c r="Z23" i="33"/>
  <c r="B16" i="33"/>
  <c r="C16" i="33"/>
  <c r="D16" i="33"/>
  <c r="E16" i="33"/>
  <c r="F16" i="33"/>
  <c r="G16" i="33"/>
  <c r="H16" i="33"/>
  <c r="I16" i="33"/>
  <c r="J16" i="33"/>
  <c r="K16" i="33"/>
  <c r="L16" i="33"/>
  <c r="M16" i="33"/>
  <c r="N16" i="33"/>
  <c r="O16" i="33"/>
  <c r="P16" i="33"/>
  <c r="P14" i="33"/>
  <c r="P15" i="23"/>
  <c r="P15" i="33" s="1"/>
  <c r="P17" i="33"/>
  <c r="P18" i="33"/>
  <c r="B15" i="33"/>
  <c r="C15" i="33"/>
  <c r="D15" i="33"/>
  <c r="E15" i="33"/>
  <c r="F15" i="33"/>
  <c r="G15" i="33"/>
  <c r="H15" i="33"/>
  <c r="I15" i="33"/>
  <c r="J15" i="33"/>
  <c r="K15" i="33"/>
  <c r="L15" i="33"/>
  <c r="Z76" i="33"/>
  <c r="Z14" i="33"/>
  <c r="AA14" i="33"/>
  <c r="B49" i="14"/>
  <c r="C49" i="14"/>
  <c r="C50" i="14" s="1"/>
  <c r="D49" i="14"/>
  <c r="D50" i="14" s="1"/>
  <c r="E49" i="14"/>
  <c r="E50" i="14" s="1"/>
  <c r="F49" i="14"/>
  <c r="F50" i="14" s="1"/>
  <c r="G49" i="14"/>
  <c r="G50" i="14" s="1"/>
  <c r="H49" i="14"/>
  <c r="H50" i="14" s="1"/>
  <c r="I49" i="14"/>
  <c r="I50" i="14" s="1"/>
  <c r="J49" i="14"/>
  <c r="J50" i="14" s="1"/>
  <c r="K49" i="14"/>
  <c r="K50" i="14" s="1"/>
  <c r="L49" i="14"/>
  <c r="L50" i="14" s="1"/>
  <c r="M49" i="14"/>
  <c r="M50" i="14" s="1"/>
  <c r="N49" i="14"/>
  <c r="N50" i="14" s="1"/>
  <c r="O49" i="14"/>
  <c r="O50" i="14" s="1"/>
  <c r="P49" i="14"/>
  <c r="P50" i="14" s="1"/>
  <c r="Q49" i="14"/>
  <c r="Q50" i="14" s="1"/>
  <c r="S49" i="14"/>
  <c r="S50" i="14" s="1"/>
  <c r="T49" i="14"/>
  <c r="T50" i="14" s="1"/>
  <c r="U49" i="14"/>
  <c r="U50" i="14" s="1"/>
  <c r="V49" i="14"/>
  <c r="V50" i="14" s="1"/>
  <c r="W49" i="14"/>
  <c r="W50" i="14" s="1"/>
  <c r="X49" i="14"/>
  <c r="X50" i="14" s="1"/>
  <c r="Y49" i="14"/>
  <c r="Y50" i="14" s="1"/>
  <c r="Z49" i="14"/>
  <c r="Z50" i="14" s="1"/>
  <c r="S68" i="14"/>
  <c r="T75" i="14" s="1"/>
  <c r="S66" i="14"/>
  <c r="T73" i="14" s="1"/>
  <c r="R85" i="14"/>
  <c r="R86" i="14"/>
  <c r="AA19" i="10"/>
  <c r="Z19" i="10"/>
  <c r="L118" i="4"/>
  <c r="L119" i="4"/>
  <c r="L9" i="4"/>
  <c r="L10" i="4" s="1"/>
  <c r="L15" i="4" s="1"/>
  <c r="L28" i="33" s="1"/>
  <c r="L103" i="4"/>
  <c r="L105" i="4"/>
  <c r="L110" i="4"/>
  <c r="L111" i="4"/>
  <c r="M136" i="4"/>
  <c r="M137" i="4" s="1"/>
  <c r="N136" i="4"/>
  <c r="N137" i="4" s="1"/>
  <c r="O136" i="4"/>
  <c r="S136" i="4"/>
  <c r="S137" i="4" s="1"/>
  <c r="T136" i="4"/>
  <c r="T137" i="4" s="1"/>
  <c r="V136" i="4"/>
  <c r="V137" i="4" s="1"/>
  <c r="W136" i="4"/>
  <c r="Y136" i="4"/>
  <c r="Y135" i="4"/>
  <c r="Z136" i="4"/>
  <c r="B1" i="35"/>
  <c r="C1" i="35"/>
  <c r="D1" i="35"/>
  <c r="E1" i="35"/>
  <c r="F1" i="35"/>
  <c r="G1" i="35"/>
  <c r="H1" i="35"/>
  <c r="I1" i="35"/>
  <c r="J1" i="35"/>
  <c r="K1" i="35"/>
  <c r="L1" i="35"/>
  <c r="M1" i="35"/>
  <c r="N1" i="35"/>
  <c r="O1" i="35"/>
  <c r="P1" i="35"/>
  <c r="Q1" i="35"/>
  <c r="R1" i="35"/>
  <c r="S1" i="35"/>
  <c r="T1" i="35"/>
  <c r="U1" i="35"/>
  <c r="V1" i="35"/>
  <c r="W1" i="35"/>
  <c r="X1" i="35"/>
  <c r="Y1" i="35"/>
  <c r="Z1" i="35"/>
  <c r="AA1" i="35"/>
  <c r="AB1" i="35"/>
  <c r="AC1" i="35"/>
  <c r="AD1" i="35"/>
  <c r="AE1" i="35"/>
  <c r="AF1" i="35"/>
  <c r="AA9" i="33"/>
  <c r="O6" i="35"/>
  <c r="O7" i="35"/>
  <c r="R6" i="35"/>
  <c r="R8" i="35" s="1"/>
  <c r="R10" i="35" s="1"/>
  <c r="R16" i="35" s="1"/>
  <c r="R17" i="35" s="1"/>
  <c r="R46" i="33" s="1"/>
  <c r="T6" i="35"/>
  <c r="T8" i="35" s="1"/>
  <c r="T10" i="35" s="1"/>
  <c r="T16" i="35" s="1"/>
  <c r="T18" i="35" s="1"/>
  <c r="V6" i="35"/>
  <c r="V8" i="35" s="1"/>
  <c r="V10" i="35" s="1"/>
  <c r="V16" i="35" s="1"/>
  <c r="V18" i="35" s="1"/>
  <c r="W6" i="35"/>
  <c r="W8" i="35" s="1"/>
  <c r="W10" i="35" s="1"/>
  <c r="X6" i="35"/>
  <c r="X8" i="35" s="1"/>
  <c r="X10" i="35" s="1"/>
  <c r="X16" i="35" s="1"/>
  <c r="X18" i="35" s="1"/>
  <c r="Y6" i="35"/>
  <c r="Y8" i="35" s="1"/>
  <c r="Y10" i="35" s="1"/>
  <c r="Y16" i="35" s="1"/>
  <c r="Y18" i="35" s="1"/>
  <c r="Z6" i="35"/>
  <c r="Z8" i="35" s="1"/>
  <c r="Z10" i="35" s="1"/>
  <c r="Z16" i="35" s="1"/>
  <c r="Z18" i="35" s="1"/>
  <c r="P7" i="35"/>
  <c r="S7" i="35"/>
  <c r="U7" i="35"/>
  <c r="U35" i="33" s="1"/>
  <c r="U18" i="35"/>
  <c r="U55" i="33" s="1"/>
  <c r="Q22" i="35"/>
  <c r="Q18" i="35" s="1"/>
  <c r="R22" i="35"/>
  <c r="P23" i="35"/>
  <c r="P22" i="35" s="1"/>
  <c r="P18" i="35" s="1"/>
  <c r="S24" i="35"/>
  <c r="S18" i="35" s="1"/>
  <c r="AC24" i="35"/>
  <c r="AD24" i="35" s="1"/>
  <c r="AH24" i="35"/>
  <c r="AI24" i="35" s="1"/>
  <c r="AJ24" i="35" s="1"/>
  <c r="AK24" i="35" s="1"/>
  <c r="AL24" i="35" s="1"/>
  <c r="AM24" i="35" s="1"/>
  <c r="AN24" i="35" s="1"/>
  <c r="R25" i="35"/>
  <c r="P29" i="35"/>
  <c r="Q29" i="35"/>
  <c r="R29" i="35"/>
  <c r="S29" i="35"/>
  <c r="T29" i="35"/>
  <c r="U29" i="35"/>
  <c r="V29" i="35"/>
  <c r="W29" i="35"/>
  <c r="X29" i="35"/>
  <c r="Y29" i="35"/>
  <c r="Z29" i="35"/>
  <c r="U30" i="35"/>
  <c r="V30" i="35"/>
  <c r="W30" i="35"/>
  <c r="X30" i="35"/>
  <c r="Y30" i="35"/>
  <c r="Z30" i="35"/>
  <c r="W31" i="35"/>
  <c r="X31" i="35"/>
  <c r="Y31" i="35"/>
  <c r="Z31" i="35"/>
  <c r="W32" i="35"/>
  <c r="X32" i="35"/>
  <c r="Y32" i="35"/>
  <c r="Z32" i="35"/>
  <c r="P39" i="35"/>
  <c r="P45" i="35"/>
  <c r="Q39" i="35"/>
  <c r="Q45" i="35"/>
  <c r="R39" i="35"/>
  <c r="S39" i="35"/>
  <c r="S45" i="35"/>
  <c r="T39" i="35"/>
  <c r="T45" i="35"/>
  <c r="U39" i="35"/>
  <c r="U45" i="35"/>
  <c r="V39" i="35"/>
  <c r="V45" i="35"/>
  <c r="W39" i="35"/>
  <c r="W45" i="35"/>
  <c r="X39" i="35"/>
  <c r="Y39" i="35"/>
  <c r="Y45" i="35"/>
  <c r="Z39" i="35"/>
  <c r="AA39" i="35"/>
  <c r="AA45" i="35"/>
  <c r="AB39" i="35"/>
  <c r="AB45" i="35"/>
  <c r="AC39" i="35"/>
  <c r="AD39" i="35"/>
  <c r="AD45" i="35"/>
  <c r="AE39" i="35"/>
  <c r="AE45" i="35"/>
  <c r="AF39" i="35"/>
  <c r="AF45" i="35"/>
  <c r="R45" i="35"/>
  <c r="X45" i="35"/>
  <c r="Z45" i="35"/>
  <c r="AC45" i="35"/>
  <c r="P54" i="35"/>
  <c r="Q54" i="35"/>
  <c r="Q60" i="35"/>
  <c r="R54" i="35"/>
  <c r="S54" i="35"/>
  <c r="S60" i="35"/>
  <c r="T54" i="35"/>
  <c r="U54" i="35"/>
  <c r="U60" i="35"/>
  <c r="V54" i="35"/>
  <c r="V60" i="35"/>
  <c r="W54" i="35"/>
  <c r="X54" i="35"/>
  <c r="Y54" i="35"/>
  <c r="Y60" i="35"/>
  <c r="Z54" i="35"/>
  <c r="Z60" i="35"/>
  <c r="P60" i="35"/>
  <c r="R60" i="35"/>
  <c r="T60" i="35"/>
  <c r="W60" i="35"/>
  <c r="X60" i="35"/>
  <c r="AB60" i="35"/>
  <c r="AC60" i="35"/>
  <c r="AD60" i="35"/>
  <c r="AE60" i="35"/>
  <c r="AF60" i="35"/>
  <c r="B1" i="34"/>
  <c r="C1" i="34"/>
  <c r="D1" i="34"/>
  <c r="E1" i="34"/>
  <c r="F1" i="34"/>
  <c r="G1" i="34"/>
  <c r="H1" i="34"/>
  <c r="I1" i="34"/>
  <c r="J1" i="34"/>
  <c r="K1" i="34"/>
  <c r="L1" i="34"/>
  <c r="M1" i="34"/>
  <c r="N1" i="34"/>
  <c r="O1" i="34"/>
  <c r="P1" i="34"/>
  <c r="Q1" i="34"/>
  <c r="R1" i="34"/>
  <c r="S1" i="34"/>
  <c r="T1" i="34"/>
  <c r="U1" i="34"/>
  <c r="V1" i="34"/>
  <c r="W1" i="34"/>
  <c r="X1" i="34"/>
  <c r="Y1" i="34"/>
  <c r="Z1" i="34"/>
  <c r="AA1" i="34"/>
  <c r="AB1" i="34"/>
  <c r="AC1" i="34"/>
  <c r="AD1" i="34"/>
  <c r="AE1" i="34"/>
  <c r="AF1" i="34"/>
  <c r="O7" i="34"/>
  <c r="O6" i="34" s="1"/>
  <c r="P7" i="34"/>
  <c r="P6" i="34" s="1"/>
  <c r="Q7" i="34"/>
  <c r="Q6" i="34" s="1"/>
  <c r="R7" i="34"/>
  <c r="R6" i="34" s="1"/>
  <c r="W7" i="34"/>
  <c r="W6" i="34" s="1"/>
  <c r="X7" i="34"/>
  <c r="X6" i="34" s="1"/>
  <c r="Y7" i="34"/>
  <c r="Y6" i="34" s="1"/>
  <c r="Z7" i="34"/>
  <c r="Z6" i="34" s="1"/>
  <c r="R15" i="34"/>
  <c r="R110" i="33" s="1"/>
  <c r="S15" i="34"/>
  <c r="S110" i="33" s="1"/>
  <c r="T15" i="34"/>
  <c r="T110" i="33" s="1"/>
  <c r="U15" i="34"/>
  <c r="U60" i="34" s="1"/>
  <c r="V15" i="34"/>
  <c r="V60" i="34" s="1"/>
  <c r="Q16" i="34"/>
  <c r="Q15" i="34" s="1"/>
  <c r="W16" i="34"/>
  <c r="W19" i="34" s="1"/>
  <c r="X16" i="34"/>
  <c r="X19" i="34" s="1"/>
  <c r="Y16" i="34"/>
  <c r="Y19" i="34" s="1"/>
  <c r="Z16" i="34"/>
  <c r="Z19" i="34" s="1"/>
  <c r="V20" i="34"/>
  <c r="O21" i="34"/>
  <c r="P21" i="34"/>
  <c r="Q21" i="34"/>
  <c r="R21" i="34"/>
  <c r="R22" i="34"/>
  <c r="S21" i="34"/>
  <c r="S19" i="34" s="1"/>
  <c r="S54" i="33" s="1"/>
  <c r="S24" i="34"/>
  <c r="T21" i="34"/>
  <c r="T19" i="34" s="1"/>
  <c r="U21" i="34"/>
  <c r="U22" i="34"/>
  <c r="V21" i="34"/>
  <c r="V22" i="34"/>
  <c r="T24" i="34"/>
  <c r="U24" i="34"/>
  <c r="V24" i="34"/>
  <c r="O25" i="34"/>
  <c r="P25" i="34"/>
  <c r="Q25" i="34"/>
  <c r="O38" i="34"/>
  <c r="O44" i="34"/>
  <c r="O46" i="34" s="1"/>
  <c r="P38" i="34"/>
  <c r="P44" i="34"/>
  <c r="Q38" i="34"/>
  <c r="R38" i="34"/>
  <c r="R44" i="34"/>
  <c r="S38" i="34"/>
  <c r="S44" i="34"/>
  <c r="T38" i="34"/>
  <c r="T44" i="34"/>
  <c r="U38" i="34"/>
  <c r="V38" i="34"/>
  <c r="V44" i="34"/>
  <c r="W38" i="34"/>
  <c r="X38" i="34"/>
  <c r="Y38" i="34"/>
  <c r="Y44" i="34"/>
  <c r="Z38" i="34"/>
  <c r="Z43" i="34"/>
  <c r="Z44" i="34" s="1"/>
  <c r="AB41" i="34"/>
  <c r="AB42" i="34"/>
  <c r="AC42" i="34" s="1"/>
  <c r="AD42" i="34" s="1"/>
  <c r="AE42" i="34" s="1"/>
  <c r="AF42" i="34" s="1"/>
  <c r="AG42" i="34" s="1"/>
  <c r="AH42" i="34" s="1"/>
  <c r="AI42" i="34" s="1"/>
  <c r="AJ42" i="34" s="1"/>
  <c r="AK42" i="34" s="1"/>
  <c r="AL42" i="34" s="1"/>
  <c r="AM42" i="34" s="1"/>
  <c r="AN42" i="34" s="1"/>
  <c r="AC43" i="34"/>
  <c r="AD43" i="34" s="1"/>
  <c r="AE43" i="34" s="1"/>
  <c r="Q44" i="34"/>
  <c r="U44" i="34"/>
  <c r="W44" i="34"/>
  <c r="X44" i="34"/>
  <c r="T51" i="34"/>
  <c r="T52" i="34" s="1"/>
  <c r="U51" i="34"/>
  <c r="U52" i="34" s="1"/>
  <c r="V51" i="34"/>
  <c r="V52" i="34" s="1"/>
  <c r="W51" i="34"/>
  <c r="W52" i="34" s="1"/>
  <c r="X51" i="34"/>
  <c r="X52" i="34" s="1"/>
  <c r="Y51" i="34"/>
  <c r="Y52" i="34" s="1"/>
  <c r="Z51" i="34"/>
  <c r="Z52" i="34" s="1"/>
  <c r="AB87" i="33"/>
  <c r="W60" i="34"/>
  <c r="X60" i="34"/>
  <c r="Y60" i="34"/>
  <c r="Z60" i="34"/>
  <c r="B1" i="23"/>
  <c r="C1" i="23"/>
  <c r="D1" i="23"/>
  <c r="E1" i="23"/>
  <c r="F1" i="23"/>
  <c r="G1" i="23"/>
  <c r="H1" i="23"/>
  <c r="I1" i="23"/>
  <c r="J1" i="23"/>
  <c r="K1" i="23"/>
  <c r="L1" i="23"/>
  <c r="M1" i="23"/>
  <c r="N1" i="23"/>
  <c r="O1" i="23"/>
  <c r="P1" i="23"/>
  <c r="Q1" i="23"/>
  <c r="R1" i="23"/>
  <c r="S1" i="23"/>
  <c r="T1" i="23"/>
  <c r="U1" i="23"/>
  <c r="AR21" i="23" s="1"/>
  <c r="V1" i="23"/>
  <c r="AS21" i="23" s="1"/>
  <c r="W1" i="23"/>
  <c r="AT21" i="23" s="1"/>
  <c r="X1" i="23"/>
  <c r="AV51" i="23" s="1"/>
  <c r="Y1" i="23"/>
  <c r="AW51" i="23" s="1"/>
  <c r="Z1" i="23"/>
  <c r="AX51" i="23" s="1"/>
  <c r="AA1" i="23"/>
  <c r="AB1" i="23"/>
  <c r="AZ51" i="23" s="1"/>
  <c r="AC1" i="23"/>
  <c r="AT16" i="23" s="1"/>
  <c r="AW16" i="23" s="1"/>
  <c r="AZ16" i="23" s="1"/>
  <c r="AD1" i="23"/>
  <c r="BB51" i="23" s="1"/>
  <c r="AE1" i="23"/>
  <c r="BB21" i="23" s="1"/>
  <c r="AF1" i="23"/>
  <c r="BC21" i="23" s="1"/>
  <c r="T2" i="23"/>
  <c r="AS3" i="23"/>
  <c r="AT3" i="23"/>
  <c r="AU3" i="23"/>
  <c r="AV3" i="23"/>
  <c r="AW3" i="23"/>
  <c r="AX3" i="23"/>
  <c r="AR4" i="23"/>
  <c r="AS4" i="23"/>
  <c r="AT4" i="23"/>
  <c r="AU4" i="23"/>
  <c r="AV4" i="23"/>
  <c r="AW4" i="23"/>
  <c r="AX4" i="23"/>
  <c r="AR6" i="23"/>
  <c r="AS6" i="23"/>
  <c r="AT6" i="23"/>
  <c r="AU6" i="23"/>
  <c r="AV6" i="23"/>
  <c r="AW6" i="23"/>
  <c r="AX6" i="23"/>
  <c r="AY6" i="23"/>
  <c r="AZ6" i="23"/>
  <c r="BA6" i="23"/>
  <c r="BB6" i="23"/>
  <c r="BC6" i="23"/>
  <c r="BD6" i="23"/>
  <c r="U8" i="23"/>
  <c r="V8" i="23"/>
  <c r="W8" i="23"/>
  <c r="X8" i="23"/>
  <c r="Y8" i="23"/>
  <c r="Z8" i="23"/>
  <c r="AT8" i="23"/>
  <c r="AU8" i="23"/>
  <c r="AV8" i="23"/>
  <c r="AW8" i="23"/>
  <c r="AX8" i="23"/>
  <c r="AR9" i="23"/>
  <c r="AS9" i="23"/>
  <c r="AT9" i="23"/>
  <c r="AU9" i="23"/>
  <c r="AV9" i="23"/>
  <c r="AW9" i="23"/>
  <c r="AX9" i="23"/>
  <c r="T11" i="23"/>
  <c r="AR3" i="23" s="1"/>
  <c r="U12" i="23"/>
  <c r="V12" i="23"/>
  <c r="W12" i="23"/>
  <c r="X12" i="23"/>
  <c r="Y12" i="23"/>
  <c r="Z12" i="23"/>
  <c r="AA15" i="23"/>
  <c r="M15" i="23"/>
  <c r="M15" i="33" s="1"/>
  <c r="N15" i="23"/>
  <c r="N15" i="33" s="1"/>
  <c r="O15" i="23"/>
  <c r="O15" i="33" s="1"/>
  <c r="Q15" i="23"/>
  <c r="Q15" i="33" s="1"/>
  <c r="R15" i="23"/>
  <c r="R15" i="33" s="1"/>
  <c r="S15" i="23"/>
  <c r="S15" i="33" s="1"/>
  <c r="T15" i="23"/>
  <c r="T15" i="33" s="1"/>
  <c r="U15" i="23"/>
  <c r="U89" i="23" s="1"/>
  <c r="U90" i="23" s="1"/>
  <c r="V15" i="23"/>
  <c r="V15" i="33" s="1"/>
  <c r="W15" i="23"/>
  <c r="W15" i="33" s="1"/>
  <c r="X15" i="23"/>
  <c r="X15" i="33" s="1"/>
  <c r="Y15" i="23"/>
  <c r="Y89" i="23" s="1"/>
  <c r="Y90" i="23" s="1"/>
  <c r="Z15" i="23"/>
  <c r="Z89" i="23" s="1"/>
  <c r="Z90" i="23" s="1"/>
  <c r="U16" i="23"/>
  <c r="AS5" i="23" s="1"/>
  <c r="V16" i="23"/>
  <c r="AT5" i="23" s="1"/>
  <c r="W16" i="23"/>
  <c r="W23" i="23" s="1"/>
  <c r="X16" i="23"/>
  <c r="AV5" i="23" s="1"/>
  <c r="Y16" i="23"/>
  <c r="AW5" i="23" s="1"/>
  <c r="Z16" i="23"/>
  <c r="Z23" i="23" s="1"/>
  <c r="R24" i="23"/>
  <c r="R108" i="33" s="1"/>
  <c r="S24" i="23"/>
  <c r="S108" i="33" s="1"/>
  <c r="T24" i="23"/>
  <c r="T108" i="33" s="1"/>
  <c r="U24" i="23"/>
  <c r="AS8" i="23" s="1"/>
  <c r="V25" i="23"/>
  <c r="V85" i="23" s="1"/>
  <c r="W25" i="23"/>
  <c r="W85" i="23" s="1"/>
  <c r="X25" i="23"/>
  <c r="X85" i="23" s="1"/>
  <c r="Y25" i="23"/>
  <c r="Y85" i="23" s="1"/>
  <c r="Z25" i="23"/>
  <c r="Z85" i="23" s="1"/>
  <c r="T31" i="23"/>
  <c r="U31" i="23"/>
  <c r="W31" i="23"/>
  <c r="X31" i="23"/>
  <c r="Y31" i="23"/>
  <c r="U38" i="23"/>
  <c r="V38" i="23"/>
  <c r="W38" i="23"/>
  <c r="X38" i="23"/>
  <c r="Y38" i="23"/>
  <c r="Z38" i="23"/>
  <c r="AA39" i="23" s="1"/>
  <c r="V41" i="23"/>
  <c r="W41" i="23"/>
  <c r="X41" i="23"/>
  <c r="Y41" i="23"/>
  <c r="Z41" i="23"/>
  <c r="W42" i="23"/>
  <c r="W50" i="23"/>
  <c r="X42" i="23"/>
  <c r="X50" i="23"/>
  <c r="Y42" i="23"/>
  <c r="Z42" i="23"/>
  <c r="Z50" i="23"/>
  <c r="Y45" i="23"/>
  <c r="Z45" i="23"/>
  <c r="X47" i="23"/>
  <c r="Y47" i="23"/>
  <c r="Z47" i="23"/>
  <c r="X49" i="23"/>
  <c r="Y49" i="23"/>
  <c r="Z49" i="23"/>
  <c r="Y50" i="23"/>
  <c r="W52" i="23"/>
  <c r="W53" i="23" s="1"/>
  <c r="W54" i="23" s="1"/>
  <c r="AU52" i="23" s="1"/>
  <c r="X52" i="23"/>
  <c r="X53" i="23" s="1"/>
  <c r="X54" i="23" s="1"/>
  <c r="AV52" i="23" s="1"/>
  <c r="Y52" i="23"/>
  <c r="Y53" i="23" s="1"/>
  <c r="Y54" i="23" s="1"/>
  <c r="AW52" i="23" s="1"/>
  <c r="Z52" i="23"/>
  <c r="Z53" i="23" s="1"/>
  <c r="Z54" i="23" s="1"/>
  <c r="AX52" i="23" s="1"/>
  <c r="V66" i="23"/>
  <c r="W66" i="23"/>
  <c r="X66" i="23"/>
  <c r="Y76" i="23"/>
  <c r="Y66" i="23"/>
  <c r="Z66" i="23"/>
  <c r="AA77" i="23" s="1"/>
  <c r="AY54" i="23" s="1"/>
  <c r="V76" i="23"/>
  <c r="W76" i="23"/>
  <c r="X76" i="23"/>
  <c r="Z76" i="23"/>
  <c r="W79" i="23"/>
  <c r="X79" i="23"/>
  <c r="Y79" i="23"/>
  <c r="Z79" i="23"/>
  <c r="U85" i="23"/>
  <c r="AE101" i="23"/>
  <c r="AE102" i="23"/>
  <c r="AF102" i="23" s="1"/>
  <c r="AG102" i="23" s="1"/>
  <c r="AH102" i="23" s="1"/>
  <c r="AI102" i="23" s="1"/>
  <c r="AJ102" i="23" s="1"/>
  <c r="AK102" i="23" s="1"/>
  <c r="AE103" i="23"/>
  <c r="AF103" i="23" s="1"/>
  <c r="Y104" i="23"/>
  <c r="Z104" i="23"/>
  <c r="AA104" i="23"/>
  <c r="AB104" i="23"/>
  <c r="AC104" i="23"/>
  <c r="AD104" i="23"/>
  <c r="Y105" i="23"/>
  <c r="Z105" i="23"/>
  <c r="AA105" i="23"/>
  <c r="AB105" i="23"/>
  <c r="AC105" i="23"/>
  <c r="AD105" i="23"/>
  <c r="AE107" i="23"/>
  <c r="AF107" i="23" s="1"/>
  <c r="AG107" i="23" s="1"/>
  <c r="AH107" i="23" s="1"/>
  <c r="AI107" i="23" s="1"/>
  <c r="AJ107" i="23" s="1"/>
  <c r="AK107" i="23" s="1"/>
  <c r="AL107" i="23" s="1"/>
  <c r="AM107" i="23" s="1"/>
  <c r="AN107" i="23" s="1"/>
  <c r="AE108" i="23"/>
  <c r="AF108" i="23" s="1"/>
  <c r="AG108" i="23" s="1"/>
  <c r="AH108" i="23" s="1"/>
  <c r="AI108" i="23" s="1"/>
  <c r="AJ108" i="23" s="1"/>
  <c r="AK108" i="23" s="1"/>
  <c r="AL108" i="23" s="1"/>
  <c r="AM108" i="23" s="1"/>
  <c r="AN108" i="23" s="1"/>
  <c r="AE109" i="23"/>
  <c r="AF109" i="23" s="1"/>
  <c r="AG109" i="23" s="1"/>
  <c r="AH109" i="23" s="1"/>
  <c r="AI109" i="23" s="1"/>
  <c r="AJ109" i="23" s="1"/>
  <c r="AK109" i="23" s="1"/>
  <c r="AL109" i="23" s="1"/>
  <c r="AM109" i="23" s="1"/>
  <c r="AN109" i="23" s="1"/>
  <c r="B1" i="37"/>
  <c r="C1" i="37"/>
  <c r="D1" i="37"/>
  <c r="E1" i="37"/>
  <c r="F1" i="37"/>
  <c r="G1" i="37"/>
  <c r="H1" i="37"/>
  <c r="I1" i="37"/>
  <c r="J1" i="37"/>
  <c r="K1" i="37"/>
  <c r="L1" i="37"/>
  <c r="M1" i="37"/>
  <c r="N1" i="37"/>
  <c r="O1" i="37"/>
  <c r="P1" i="37"/>
  <c r="Q1" i="37"/>
  <c r="R1" i="37"/>
  <c r="S1" i="37"/>
  <c r="T1" i="37"/>
  <c r="U1" i="37"/>
  <c r="V1" i="37"/>
  <c r="W1" i="37"/>
  <c r="X1" i="37"/>
  <c r="Y1" i="37"/>
  <c r="Z1" i="37"/>
  <c r="AA1" i="37"/>
  <c r="AB1" i="37"/>
  <c r="AC1" i="37"/>
  <c r="AD1" i="37"/>
  <c r="AE1" i="37"/>
  <c r="AF1" i="37"/>
  <c r="M5" i="37"/>
  <c r="M8" i="37" s="1"/>
  <c r="M12" i="37" s="1"/>
  <c r="M15" i="37" s="1"/>
  <c r="M18" i="37" s="1"/>
  <c r="M20" i="37" s="1"/>
  <c r="N5" i="37"/>
  <c r="N8" i="37" s="1"/>
  <c r="N12" i="37" s="1"/>
  <c r="N15" i="37" s="1"/>
  <c r="N18" i="37" s="1"/>
  <c r="N20" i="37" s="1"/>
  <c r="O5" i="37"/>
  <c r="O8" i="37" s="1"/>
  <c r="O12" i="37" s="1"/>
  <c r="O15" i="37" s="1"/>
  <c r="O18" i="37" s="1"/>
  <c r="O20" i="37" s="1"/>
  <c r="P5" i="37"/>
  <c r="P8" i="37" s="1"/>
  <c r="P12" i="37" s="1"/>
  <c r="P15" i="37" s="1"/>
  <c r="P18" i="37" s="1"/>
  <c r="P20" i="37" s="1"/>
  <c r="Q5" i="37"/>
  <c r="Q8" i="37" s="1"/>
  <c r="Q12" i="37" s="1"/>
  <c r="Q15" i="37" s="1"/>
  <c r="Q18" i="37" s="1"/>
  <c r="Q20" i="37" s="1"/>
  <c r="R5" i="37"/>
  <c r="R8" i="37" s="1"/>
  <c r="R12" i="37" s="1"/>
  <c r="R15" i="37" s="1"/>
  <c r="R18" i="37" s="1"/>
  <c r="R20" i="37" s="1"/>
  <c r="S5" i="37"/>
  <c r="S8" i="37" s="1"/>
  <c r="S12" i="37" s="1"/>
  <c r="S14" i="37"/>
  <c r="S164" i="37" s="1"/>
  <c r="T5" i="37"/>
  <c r="T8" i="37" s="1"/>
  <c r="T12" i="37" s="1"/>
  <c r="T14" i="37"/>
  <c r="T164" i="37" s="1"/>
  <c r="U5" i="37"/>
  <c r="U8" i="37" s="1"/>
  <c r="U12" i="37" s="1"/>
  <c r="U14" i="37"/>
  <c r="U164" i="37" s="1"/>
  <c r="V5" i="37"/>
  <c r="V8" i="37" s="1"/>
  <c r="V12" i="37" s="1"/>
  <c r="V14" i="37"/>
  <c r="V109" i="33" s="1"/>
  <c r="W5" i="37"/>
  <c r="W8" i="37" s="1"/>
  <c r="W12" i="37" s="1"/>
  <c r="W14" i="37"/>
  <c r="W109" i="33" s="1"/>
  <c r="X5" i="37"/>
  <c r="X8" i="37" s="1"/>
  <c r="X12" i="37" s="1"/>
  <c r="X14" i="37"/>
  <c r="X164" i="37" s="1"/>
  <c r="Y5" i="37"/>
  <c r="Y8" i="37" s="1"/>
  <c r="Y12" i="37" s="1"/>
  <c r="Y14" i="37"/>
  <c r="Y109" i="33" s="1"/>
  <c r="Z5" i="37"/>
  <c r="Z8" i="37" s="1"/>
  <c r="Z12" i="37" s="1"/>
  <c r="Z14" i="37"/>
  <c r="Z109" i="33" s="1"/>
  <c r="B8" i="37"/>
  <c r="B12" i="37" s="1"/>
  <c r="B15" i="37" s="1"/>
  <c r="B18" i="37" s="1"/>
  <c r="C8" i="37"/>
  <c r="C12" i="37" s="1"/>
  <c r="C15" i="37" s="1"/>
  <c r="C18" i="37" s="1"/>
  <c r="D8" i="37"/>
  <c r="D12" i="37" s="1"/>
  <c r="D15" i="37" s="1"/>
  <c r="D18" i="37" s="1"/>
  <c r="E8" i="37"/>
  <c r="E12" i="37" s="1"/>
  <c r="E15" i="37" s="1"/>
  <c r="E18" i="37" s="1"/>
  <c r="F8" i="37"/>
  <c r="F12" i="37" s="1"/>
  <c r="F15" i="37" s="1"/>
  <c r="F18" i="37" s="1"/>
  <c r="G8" i="37"/>
  <c r="G12" i="37" s="1"/>
  <c r="G15" i="37" s="1"/>
  <c r="G18" i="37" s="1"/>
  <c r="H8" i="37"/>
  <c r="H12" i="37" s="1"/>
  <c r="H15" i="37" s="1"/>
  <c r="H18" i="37" s="1"/>
  <c r="L9" i="37"/>
  <c r="L5" i="37" s="1"/>
  <c r="L8" i="37" s="1"/>
  <c r="L12" i="37" s="1"/>
  <c r="L15" i="37" s="1"/>
  <c r="L18" i="37" s="1"/>
  <c r="L20" i="37" s="1"/>
  <c r="AA23" i="33"/>
  <c r="Q11" i="37"/>
  <c r="Q158" i="37" s="1"/>
  <c r="R11" i="37"/>
  <c r="R158" i="37" s="1"/>
  <c r="R159" i="37" s="1"/>
  <c r="S11" i="37"/>
  <c r="S16" i="33" s="1"/>
  <c r="T11" i="37"/>
  <c r="T158" i="37" s="1"/>
  <c r="T159" i="37" s="1"/>
  <c r="U11" i="37"/>
  <c r="U16" i="33" s="1"/>
  <c r="V11" i="37"/>
  <c r="V16" i="33" s="1"/>
  <c r="W11" i="37"/>
  <c r="W158" i="37" s="1"/>
  <c r="W159" i="37" s="1"/>
  <c r="X11" i="37"/>
  <c r="X158" i="37" s="1"/>
  <c r="X159" i="37" s="1"/>
  <c r="Y11" i="37"/>
  <c r="Y158" i="37" s="1"/>
  <c r="Y159" i="37" s="1"/>
  <c r="Z11" i="37"/>
  <c r="Z158" i="37" s="1"/>
  <c r="Z159" i="37" s="1"/>
  <c r="B25" i="37"/>
  <c r="C25" i="37"/>
  <c r="D25" i="37"/>
  <c r="E25" i="37"/>
  <c r="E29" i="37"/>
  <c r="E32" i="37"/>
  <c r="F25" i="37"/>
  <c r="G25" i="37"/>
  <c r="G29" i="37"/>
  <c r="G32" i="37"/>
  <c r="H25" i="37"/>
  <c r="I25" i="37"/>
  <c r="J25" i="37"/>
  <c r="K25" i="37"/>
  <c r="L25" i="37"/>
  <c r="M25" i="37"/>
  <c r="N25" i="37"/>
  <c r="O25" i="37"/>
  <c r="P25" i="37"/>
  <c r="Q25" i="37"/>
  <c r="R25" i="37"/>
  <c r="S25" i="37"/>
  <c r="T25" i="37"/>
  <c r="U25" i="37"/>
  <c r="V25" i="37"/>
  <c r="W25" i="37"/>
  <c r="W29" i="37"/>
  <c r="W32" i="37"/>
  <c r="X25" i="37"/>
  <c r="Y25" i="37"/>
  <c r="Z25" i="37"/>
  <c r="Z32" i="37"/>
  <c r="B29" i="37"/>
  <c r="C29" i="37"/>
  <c r="C52" i="33"/>
  <c r="C32" i="37"/>
  <c r="C54" i="33"/>
  <c r="C55" i="33"/>
  <c r="D29" i="37"/>
  <c r="D32" i="37"/>
  <c r="F29" i="37"/>
  <c r="F32" i="37"/>
  <c r="G52" i="33"/>
  <c r="G54" i="33"/>
  <c r="G55" i="33"/>
  <c r="H29" i="37"/>
  <c r="I29" i="37"/>
  <c r="J29" i="37"/>
  <c r="J52" i="33"/>
  <c r="J54" i="33"/>
  <c r="J55" i="33"/>
  <c r="K29" i="37"/>
  <c r="K52" i="33"/>
  <c r="K54" i="33"/>
  <c r="K55" i="33"/>
  <c r="L29" i="37"/>
  <c r="M29" i="37"/>
  <c r="N29" i="37"/>
  <c r="N52" i="33"/>
  <c r="N54" i="33"/>
  <c r="N55" i="33"/>
  <c r="O29" i="37"/>
  <c r="P29" i="37"/>
  <c r="Q29" i="37"/>
  <c r="R29" i="37"/>
  <c r="S29" i="37"/>
  <c r="S52" i="33"/>
  <c r="R52" i="33"/>
  <c r="T29" i="37"/>
  <c r="U29" i="37"/>
  <c r="V29" i="37"/>
  <c r="X29" i="37"/>
  <c r="X32" i="37"/>
  <c r="Y29" i="37"/>
  <c r="B32" i="37"/>
  <c r="H32" i="37"/>
  <c r="I32" i="37"/>
  <c r="J32" i="37"/>
  <c r="K32" i="37"/>
  <c r="L32" i="37"/>
  <c r="M32" i="37"/>
  <c r="N32" i="37"/>
  <c r="O32" i="37"/>
  <c r="P32" i="37"/>
  <c r="Q32" i="37"/>
  <c r="R32" i="37"/>
  <c r="S32" i="37"/>
  <c r="T32" i="37"/>
  <c r="U32" i="37"/>
  <c r="V32" i="37"/>
  <c r="Y32" i="37"/>
  <c r="B46" i="37"/>
  <c r="C46" i="37"/>
  <c r="D46" i="37"/>
  <c r="E46" i="37"/>
  <c r="F46" i="37"/>
  <c r="G46" i="37"/>
  <c r="H46" i="37"/>
  <c r="I46" i="37"/>
  <c r="J46" i="37"/>
  <c r="K46" i="37"/>
  <c r="L46" i="37"/>
  <c r="M46" i="37"/>
  <c r="N46" i="37"/>
  <c r="O46" i="37"/>
  <c r="P46" i="37"/>
  <c r="Q46" i="37"/>
  <c r="R46" i="37"/>
  <c r="S46" i="37"/>
  <c r="T46" i="37"/>
  <c r="U46" i="37"/>
  <c r="V46" i="37"/>
  <c r="W46" i="37"/>
  <c r="X46" i="37"/>
  <c r="Y46" i="37"/>
  <c r="Y50" i="37"/>
  <c r="Y53" i="37"/>
  <c r="Z46" i="37"/>
  <c r="B50" i="37"/>
  <c r="C50" i="37"/>
  <c r="D50" i="37"/>
  <c r="E50" i="37"/>
  <c r="F50" i="37"/>
  <c r="G50" i="37"/>
  <c r="H50" i="37"/>
  <c r="I50" i="37"/>
  <c r="J50" i="37"/>
  <c r="K50" i="37"/>
  <c r="L50" i="37"/>
  <c r="M50" i="37"/>
  <c r="N50" i="37"/>
  <c r="O50" i="37"/>
  <c r="P50" i="37"/>
  <c r="Q50" i="37"/>
  <c r="R50" i="37"/>
  <c r="S50" i="37"/>
  <c r="T50" i="37"/>
  <c r="U50" i="37"/>
  <c r="V50" i="37"/>
  <c r="W50" i="37"/>
  <c r="W53" i="37"/>
  <c r="W59" i="37"/>
  <c r="X50" i="37"/>
  <c r="X53" i="37"/>
  <c r="X59" i="37"/>
  <c r="Z50" i="37"/>
  <c r="Z53" i="37"/>
  <c r="B53" i="37"/>
  <c r="C53" i="37"/>
  <c r="D53" i="37"/>
  <c r="E53" i="37"/>
  <c r="F53" i="37"/>
  <c r="G53" i="37"/>
  <c r="H53" i="37"/>
  <c r="I53" i="37"/>
  <c r="J53" i="37"/>
  <c r="K53" i="37"/>
  <c r="L53" i="37"/>
  <c r="M53" i="37"/>
  <c r="N53" i="37"/>
  <c r="O53" i="37"/>
  <c r="P53" i="37"/>
  <c r="Q53" i="37"/>
  <c r="R53" i="37"/>
  <c r="S53" i="37"/>
  <c r="T53" i="37"/>
  <c r="U53" i="37"/>
  <c r="V53" i="37"/>
  <c r="B65" i="37"/>
  <c r="C65" i="37"/>
  <c r="D65" i="37"/>
  <c r="E65" i="37"/>
  <c r="F65" i="37"/>
  <c r="G65" i="37"/>
  <c r="H65" i="37"/>
  <c r="I65" i="37"/>
  <c r="J65" i="37"/>
  <c r="K65" i="37"/>
  <c r="L65" i="37"/>
  <c r="M65" i="37"/>
  <c r="N65" i="37"/>
  <c r="O65" i="37"/>
  <c r="P65" i="37"/>
  <c r="Q66" i="37"/>
  <c r="Q67" i="37"/>
  <c r="Q68" i="37"/>
  <c r="R66" i="37"/>
  <c r="R67" i="37"/>
  <c r="R68" i="37"/>
  <c r="S66" i="37"/>
  <c r="T66" i="37"/>
  <c r="T67" i="37"/>
  <c r="T68" i="37"/>
  <c r="U66" i="37"/>
  <c r="U67" i="37"/>
  <c r="U68" i="37"/>
  <c r="V66" i="37"/>
  <c r="V67" i="37"/>
  <c r="V68" i="37"/>
  <c r="W66" i="37"/>
  <c r="W79" i="37" s="1"/>
  <c r="X66" i="37"/>
  <c r="X79" i="37" s="1"/>
  <c r="Y66" i="37"/>
  <c r="Y79" i="37" s="1"/>
  <c r="S67" i="37"/>
  <c r="S68" i="37"/>
  <c r="W67" i="37"/>
  <c r="W80" i="37" s="1"/>
  <c r="X67" i="37"/>
  <c r="X80" i="37" s="1"/>
  <c r="Y67" i="37"/>
  <c r="Y80" i="37" s="1"/>
  <c r="B69" i="37"/>
  <c r="C69" i="37"/>
  <c r="D69" i="37"/>
  <c r="E69" i="37"/>
  <c r="F69" i="37"/>
  <c r="G69" i="37"/>
  <c r="H69" i="37"/>
  <c r="I69" i="37"/>
  <c r="J69" i="37"/>
  <c r="K69" i="37"/>
  <c r="L69" i="37"/>
  <c r="M69" i="37"/>
  <c r="N69" i="37"/>
  <c r="O69" i="37"/>
  <c r="Q70" i="37"/>
  <c r="Q67" i="14" s="1"/>
  <c r="R70" i="37"/>
  <c r="S70" i="37"/>
  <c r="S69" i="37" s="1"/>
  <c r="T70" i="37"/>
  <c r="T69" i="37" s="1"/>
  <c r="U70" i="37"/>
  <c r="U69" i="37" s="1"/>
  <c r="V70" i="37"/>
  <c r="V67" i="14" s="1"/>
  <c r="W70" i="37"/>
  <c r="W67" i="14" s="1"/>
  <c r="X70" i="37"/>
  <c r="X67" i="14" s="1"/>
  <c r="Y70" i="37"/>
  <c r="Y69" i="37" s="1"/>
  <c r="Z70" i="37"/>
  <c r="Z67" i="14" s="1"/>
  <c r="AA74" i="14" s="1"/>
  <c r="Z71" i="37"/>
  <c r="B72" i="37"/>
  <c r="C72" i="37"/>
  <c r="D72" i="37"/>
  <c r="E72" i="37"/>
  <c r="F72" i="37"/>
  <c r="G72" i="37"/>
  <c r="H72" i="37"/>
  <c r="I72" i="37"/>
  <c r="J72" i="37"/>
  <c r="K72" i="37"/>
  <c r="L72" i="37"/>
  <c r="M72" i="37"/>
  <c r="N72" i="37"/>
  <c r="O72" i="37"/>
  <c r="P72" i="37"/>
  <c r="Q73" i="37"/>
  <c r="Q74" i="37"/>
  <c r="Q75" i="37"/>
  <c r="R73" i="37"/>
  <c r="S73" i="37"/>
  <c r="T73" i="37"/>
  <c r="T74" i="37"/>
  <c r="T75" i="37"/>
  <c r="U73" i="37"/>
  <c r="U74" i="37"/>
  <c r="U75" i="37"/>
  <c r="V73" i="37"/>
  <c r="V74" i="37"/>
  <c r="V75" i="37"/>
  <c r="W73" i="37"/>
  <c r="W74" i="37"/>
  <c r="W87" i="37" s="1"/>
  <c r="W75" i="37"/>
  <c r="W88" i="37" s="1"/>
  <c r="X73" i="37"/>
  <c r="X86" i="37" s="1"/>
  <c r="Y73" i="37"/>
  <c r="Y86" i="37" s="1"/>
  <c r="Z73" i="37"/>
  <c r="Z86" i="37" s="1"/>
  <c r="Z74" i="37"/>
  <c r="Z75" i="37"/>
  <c r="AA88" i="37" s="1"/>
  <c r="R74" i="37"/>
  <c r="R75" i="37"/>
  <c r="S74" i="37"/>
  <c r="S75" i="37"/>
  <c r="X74" i="37"/>
  <c r="X87" i="37" s="1"/>
  <c r="Y74" i="37"/>
  <c r="Y87" i="37" s="1"/>
  <c r="X75" i="37"/>
  <c r="X88" i="37" s="1"/>
  <c r="Y75" i="37"/>
  <c r="Z88" i="37" s="1"/>
  <c r="B78" i="37"/>
  <c r="C78" i="37"/>
  <c r="D78" i="37"/>
  <c r="E78" i="37"/>
  <c r="F78" i="37"/>
  <c r="G78" i="37"/>
  <c r="H78" i="37"/>
  <c r="I78" i="37"/>
  <c r="J78" i="37"/>
  <c r="K78" i="37"/>
  <c r="L78" i="37"/>
  <c r="M78" i="37"/>
  <c r="N78" i="37"/>
  <c r="O78" i="37"/>
  <c r="P78" i="37"/>
  <c r="B82" i="37"/>
  <c r="C82" i="37"/>
  <c r="D82" i="37"/>
  <c r="E82" i="37"/>
  <c r="F82" i="37"/>
  <c r="G82" i="37"/>
  <c r="H82" i="37"/>
  <c r="I82" i="37"/>
  <c r="J82" i="37"/>
  <c r="K82" i="37"/>
  <c r="L82" i="37"/>
  <c r="M82" i="37"/>
  <c r="N82" i="37"/>
  <c r="O82" i="37"/>
  <c r="P82" i="37"/>
  <c r="B85" i="37"/>
  <c r="C85" i="37"/>
  <c r="D85" i="37"/>
  <c r="E85" i="37"/>
  <c r="F85" i="37"/>
  <c r="G85" i="37"/>
  <c r="H85" i="37"/>
  <c r="I85" i="37"/>
  <c r="J85" i="37"/>
  <c r="K85" i="37"/>
  <c r="L85" i="37"/>
  <c r="M85" i="37"/>
  <c r="N85" i="37"/>
  <c r="O85" i="37"/>
  <c r="P85" i="37"/>
  <c r="X103" i="37"/>
  <c r="X106" i="37" s="1"/>
  <c r="X119" i="37"/>
  <c r="Q106" i="37"/>
  <c r="Q119" i="37"/>
  <c r="R106" i="37"/>
  <c r="S106" i="37"/>
  <c r="T106" i="37"/>
  <c r="T119" i="37"/>
  <c r="U106" i="37"/>
  <c r="U119" i="37"/>
  <c r="V106" i="37"/>
  <c r="V119" i="37"/>
  <c r="W106" i="37"/>
  <c r="Y106" i="37"/>
  <c r="Z106" i="37"/>
  <c r="Z119" i="37"/>
  <c r="AA106" i="37"/>
  <c r="AA119" i="37"/>
  <c r="AB106" i="37"/>
  <c r="AB119" i="37"/>
  <c r="AC106" i="37"/>
  <c r="AC119" i="37"/>
  <c r="AD106" i="37"/>
  <c r="AE106" i="37"/>
  <c r="AF106" i="37"/>
  <c r="R119" i="37"/>
  <c r="S119" i="37"/>
  <c r="W119" i="37"/>
  <c r="Y119" i="37"/>
  <c r="AD119" i="37"/>
  <c r="AE119" i="37"/>
  <c r="AF119" i="37"/>
  <c r="A125" i="37"/>
  <c r="A126" i="37"/>
  <c r="A127" i="37"/>
  <c r="A128" i="37"/>
  <c r="A129" i="37"/>
  <c r="A130" i="37"/>
  <c r="AC130" i="37"/>
  <c r="AD130" i="37" s="1"/>
  <c r="AE130" i="37" s="1"/>
  <c r="A131" i="37"/>
  <c r="AB67" i="37"/>
  <c r="AB80" i="37" s="1"/>
  <c r="A132" i="37"/>
  <c r="A133" i="37"/>
  <c r="AB133" i="37"/>
  <c r="AC133" i="37" s="1"/>
  <c r="A134" i="37"/>
  <c r="A135" i="37"/>
  <c r="A136" i="37"/>
  <c r="Q138" i="37"/>
  <c r="Q151" i="37"/>
  <c r="R138" i="37"/>
  <c r="R151" i="37"/>
  <c r="S138" i="37"/>
  <c r="S151" i="37"/>
  <c r="T138" i="37"/>
  <c r="T151" i="37"/>
  <c r="U138" i="37"/>
  <c r="U151" i="37"/>
  <c r="V138" i="37"/>
  <c r="V151" i="37"/>
  <c r="W138" i="37"/>
  <c r="W151" i="37"/>
  <c r="Y138" i="37"/>
  <c r="Y151" i="37"/>
  <c r="Z138" i="37"/>
  <c r="A141" i="37"/>
  <c r="A142" i="37"/>
  <c r="A143" i="37"/>
  <c r="A144" i="37"/>
  <c r="A145" i="37"/>
  <c r="A146" i="37"/>
  <c r="A147" i="37"/>
  <c r="A148" i="37"/>
  <c r="A149" i="37"/>
  <c r="Z149" i="37"/>
  <c r="Z151" i="37" s="1"/>
  <c r="X151" i="37"/>
  <c r="B1" i="19"/>
  <c r="C1" i="19"/>
  <c r="D1" i="19"/>
  <c r="E1" i="19"/>
  <c r="F1" i="19"/>
  <c r="N4" i="19"/>
  <c r="N36" i="10"/>
  <c r="N53" i="10" s="1"/>
  <c r="O4" i="19"/>
  <c r="P4" i="19"/>
  <c r="Q4" i="19"/>
  <c r="Q16" i="10"/>
  <c r="Q6" i="19" s="1"/>
  <c r="Q5" i="19" s="1"/>
  <c r="Q36" i="10"/>
  <c r="Q52" i="10" s="1"/>
  <c r="R4" i="19"/>
  <c r="S4" i="19"/>
  <c r="T4" i="19"/>
  <c r="U4" i="19"/>
  <c r="V4" i="19"/>
  <c r="W4" i="19"/>
  <c r="X4" i="19"/>
  <c r="Y4" i="19"/>
  <c r="Z4" i="19"/>
  <c r="AA4" i="19"/>
  <c r="B7" i="19"/>
  <c r="C4" i="19" s="1"/>
  <c r="C7" i="19"/>
  <c r="C26" i="10" s="1"/>
  <c r="D7" i="19"/>
  <c r="D26" i="10" s="1"/>
  <c r="E7" i="19"/>
  <c r="F4" i="19" s="1"/>
  <c r="F7" i="19"/>
  <c r="G7" i="19"/>
  <c r="G26" i="10" s="1"/>
  <c r="H7" i="19"/>
  <c r="I4" i="19" s="1"/>
  <c r="I7" i="19"/>
  <c r="J7" i="19"/>
  <c r="J26" i="10" s="1"/>
  <c r="K7" i="19"/>
  <c r="L7" i="19"/>
  <c r="L26" i="10" s="1"/>
  <c r="M8" i="19"/>
  <c r="M9" i="19" s="1"/>
  <c r="N8" i="19"/>
  <c r="N9" i="19" s="1"/>
  <c r="O8" i="19"/>
  <c r="O9" i="19" s="1"/>
  <c r="P8" i="19"/>
  <c r="P9" i="19" s="1"/>
  <c r="Q8" i="19"/>
  <c r="Q9" i="19" s="1"/>
  <c r="R8" i="19"/>
  <c r="R9" i="19" s="1"/>
  <c r="S8" i="19"/>
  <c r="S9" i="19" s="1"/>
  <c r="T8" i="19"/>
  <c r="T9" i="19" s="1"/>
  <c r="U8" i="19"/>
  <c r="U9" i="19" s="1"/>
  <c r="V8" i="19"/>
  <c r="V9" i="19" s="1"/>
  <c r="W8" i="19"/>
  <c r="W9" i="19" s="1"/>
  <c r="X8" i="19"/>
  <c r="X9" i="19" s="1"/>
  <c r="Y8" i="19"/>
  <c r="Y9" i="19" s="1"/>
  <c r="Z8" i="19"/>
  <c r="Z9" i="19" s="1"/>
  <c r="C17" i="19"/>
  <c r="D17" i="19"/>
  <c r="E17" i="19"/>
  <c r="E25" i="6"/>
  <c r="E12" i="6"/>
  <c r="E13" i="6" s="1"/>
  <c r="E26" i="6"/>
  <c r="F17" i="19"/>
  <c r="G17" i="19"/>
  <c r="H17" i="19"/>
  <c r="H25" i="6"/>
  <c r="H11" i="6"/>
  <c r="H12" i="6" s="1"/>
  <c r="H13" i="6" s="1"/>
  <c r="H20" i="6"/>
  <c r="I17" i="19"/>
  <c r="I14" i="14"/>
  <c r="I15" i="14" s="1"/>
  <c r="I11" i="6"/>
  <c r="I12" i="6" s="1"/>
  <c r="I13" i="6" s="1"/>
  <c r="I14" i="6"/>
  <c r="I42" i="33" s="1"/>
  <c r="I19" i="6"/>
  <c r="I20" i="6"/>
  <c r="J17" i="19"/>
  <c r="K17" i="19"/>
  <c r="L17" i="19"/>
  <c r="L25" i="6"/>
  <c r="L12" i="6"/>
  <c r="L13" i="6" s="1"/>
  <c r="M17" i="19"/>
  <c r="M25" i="6"/>
  <c r="M12" i="6"/>
  <c r="M13" i="6" s="1"/>
  <c r="M15" i="6" s="1"/>
  <c r="N17" i="19"/>
  <c r="O17" i="19"/>
  <c r="O19" i="19"/>
  <c r="C24" i="19"/>
  <c r="D24" i="19"/>
  <c r="E24" i="19"/>
  <c r="F24" i="19"/>
  <c r="G24" i="19"/>
  <c r="H24" i="19"/>
  <c r="I24" i="19"/>
  <c r="J24" i="19"/>
  <c r="J25" i="19"/>
  <c r="K24" i="19"/>
  <c r="K26" i="19" s="1"/>
  <c r="L24" i="19"/>
  <c r="L26" i="19" s="1"/>
  <c r="M24" i="19"/>
  <c r="M26" i="19" s="1"/>
  <c r="N24" i="19"/>
  <c r="C30" i="19"/>
  <c r="D30" i="19"/>
  <c r="D31" i="19"/>
  <c r="D36" i="10"/>
  <c r="D52" i="10" s="1"/>
  <c r="E30" i="19"/>
  <c r="F30" i="19"/>
  <c r="F31" i="19"/>
  <c r="F36" i="10"/>
  <c r="F38" i="10" s="1"/>
  <c r="G30" i="19"/>
  <c r="G31" i="19"/>
  <c r="G36" i="10"/>
  <c r="G23" i="10" s="1"/>
  <c r="G32" i="19" s="1"/>
  <c r="H30" i="19"/>
  <c r="I30" i="19"/>
  <c r="I31" i="19"/>
  <c r="I36" i="10"/>
  <c r="I23" i="10" s="1"/>
  <c r="I32" i="19" s="1"/>
  <c r="J30" i="19"/>
  <c r="J31" i="19"/>
  <c r="J36" i="10"/>
  <c r="J53" i="10" s="1"/>
  <c r="K30" i="19"/>
  <c r="L30" i="19"/>
  <c r="L31" i="19"/>
  <c r="L36" i="10"/>
  <c r="L50" i="10" s="1"/>
  <c r="M30" i="19"/>
  <c r="N30" i="19"/>
  <c r="O30" i="19"/>
  <c r="O31" i="19"/>
  <c r="O32" i="19"/>
  <c r="P30" i="19"/>
  <c r="P31" i="19"/>
  <c r="P32" i="19"/>
  <c r="B31" i="19"/>
  <c r="C31" i="19"/>
  <c r="E31" i="19"/>
  <c r="H31" i="19"/>
  <c r="K31" i="19"/>
  <c r="K36" i="10"/>
  <c r="K23" i="10" s="1"/>
  <c r="K32" i="19" s="1"/>
  <c r="M31" i="19"/>
  <c r="N31" i="19"/>
  <c r="Q31" i="19"/>
  <c r="R31" i="19"/>
  <c r="S31" i="19"/>
  <c r="T31" i="19"/>
  <c r="U31" i="19"/>
  <c r="V31" i="19"/>
  <c r="W31" i="19"/>
  <c r="Y31" i="19"/>
  <c r="Z31" i="19"/>
  <c r="T32" i="19"/>
  <c r="W37" i="19"/>
  <c r="W40" i="19" s="1"/>
  <c r="O40" i="19"/>
  <c r="P37" i="19" s="1"/>
  <c r="P40" i="19" s="1"/>
  <c r="Q37" i="19" s="1"/>
  <c r="Q40" i="19" s="1"/>
  <c r="R37" i="19" s="1"/>
  <c r="R40" i="19" s="1"/>
  <c r="S37" i="19" s="1"/>
  <c r="S40" i="19" s="1"/>
  <c r="T37" i="19" s="1"/>
  <c r="T40" i="19" s="1"/>
  <c r="U37" i="19" s="1"/>
  <c r="U40" i="19" s="1"/>
  <c r="V37" i="19" s="1"/>
  <c r="V41" i="19"/>
  <c r="V42" i="19"/>
  <c r="B45" i="19"/>
  <c r="C45" i="19"/>
  <c r="D45" i="19"/>
  <c r="D46" i="19" s="1"/>
  <c r="E45" i="19"/>
  <c r="E46" i="19" s="1"/>
  <c r="F45" i="19"/>
  <c r="F46" i="19" s="1"/>
  <c r="G45" i="19"/>
  <c r="G46" i="19" s="1"/>
  <c r="H45" i="19"/>
  <c r="H46" i="19" s="1"/>
  <c r="I45" i="19"/>
  <c r="J45" i="19"/>
  <c r="J46" i="19" s="1"/>
  <c r="K45" i="19"/>
  <c r="K46" i="19" s="1"/>
  <c r="L45" i="19"/>
  <c r="L46" i="19" s="1"/>
  <c r="M45" i="19"/>
  <c r="M46" i="19" s="1"/>
  <c r="P45" i="19"/>
  <c r="Q45" i="19"/>
  <c r="S45" i="19"/>
  <c r="T45" i="19"/>
  <c r="U45" i="19"/>
  <c r="V45" i="19"/>
  <c r="W45" i="19"/>
  <c r="X45" i="19"/>
  <c r="X46" i="19" s="1"/>
  <c r="X72" i="19" s="1"/>
  <c r="Y45" i="19"/>
  <c r="Z45" i="19"/>
  <c r="E48" i="19"/>
  <c r="E36" i="10"/>
  <c r="E3" i="10" s="1"/>
  <c r="F48" i="19"/>
  <c r="G48" i="19"/>
  <c r="H48" i="19"/>
  <c r="I48" i="19"/>
  <c r="J48" i="19"/>
  <c r="K48" i="19"/>
  <c r="L48" i="19"/>
  <c r="M48" i="19"/>
  <c r="N48" i="19"/>
  <c r="O48" i="19"/>
  <c r="P48" i="19"/>
  <c r="P36" i="10"/>
  <c r="P50" i="10" s="1"/>
  <c r="Q48" i="19"/>
  <c r="S48" i="19"/>
  <c r="T48" i="19"/>
  <c r="U48" i="19"/>
  <c r="V48" i="19"/>
  <c r="W48" i="19"/>
  <c r="X48" i="19"/>
  <c r="B49" i="19"/>
  <c r="B69" i="19"/>
  <c r="B70" i="19" s="1"/>
  <c r="B12" i="19" s="1"/>
  <c r="C69" i="19"/>
  <c r="D69" i="19"/>
  <c r="E69" i="19"/>
  <c r="F69" i="19"/>
  <c r="G69" i="19"/>
  <c r="H69" i="19"/>
  <c r="I69" i="19"/>
  <c r="J69" i="19"/>
  <c r="K69" i="19"/>
  <c r="L69" i="19"/>
  <c r="M69" i="19"/>
  <c r="M36" i="10"/>
  <c r="M38" i="10" s="1"/>
  <c r="N69" i="19"/>
  <c r="P69" i="19"/>
  <c r="Q69" i="19"/>
  <c r="S69" i="19"/>
  <c r="T69" i="19"/>
  <c r="T82" i="19"/>
  <c r="T73" i="19" s="1"/>
  <c r="U69" i="19"/>
  <c r="V69" i="19"/>
  <c r="W69" i="19"/>
  <c r="X69" i="19"/>
  <c r="X6" i="19"/>
  <c r="Y69" i="19"/>
  <c r="Y82" i="19" s="1"/>
  <c r="Z69" i="19"/>
  <c r="Z82" i="19" s="1"/>
  <c r="Z83" i="19" s="1"/>
  <c r="Y114" i="19"/>
  <c r="Y116" i="19"/>
  <c r="S120" i="19"/>
  <c r="T120" i="19"/>
  <c r="U120" i="19"/>
  <c r="V120" i="19"/>
  <c r="W120" i="19"/>
  <c r="X120" i="19"/>
  <c r="Z120" i="19"/>
  <c r="S121" i="19"/>
  <c r="T121" i="19"/>
  <c r="U121" i="19"/>
  <c r="V121" i="19"/>
  <c r="W121" i="19"/>
  <c r="X121" i="19"/>
  <c r="Z121" i="19"/>
  <c r="S122" i="19"/>
  <c r="T122" i="19"/>
  <c r="U122" i="19"/>
  <c r="V122" i="19"/>
  <c r="W122" i="19"/>
  <c r="X122" i="19"/>
  <c r="Z122" i="19"/>
  <c r="Y124" i="19"/>
  <c r="Y120" i="19" s="1"/>
  <c r="Y125" i="19"/>
  <c r="Y97" i="19" s="1"/>
  <c r="Y126" i="19"/>
  <c r="Y129" i="19"/>
  <c r="Y115" i="19" s="1"/>
  <c r="Y134" i="19"/>
  <c r="T134" i="19" s="1"/>
  <c r="AA134" i="19"/>
  <c r="Y135" i="19"/>
  <c r="T135" i="19" s="1"/>
  <c r="AA135" i="19"/>
  <c r="Y136" i="19"/>
  <c r="T136" i="19" s="1"/>
  <c r="AO136" i="19" s="1"/>
  <c r="AA136" i="19"/>
  <c r="S79" i="19"/>
  <c r="S102" i="19" s="1"/>
  <c r="T79" i="19"/>
  <c r="T102" i="19" s="1"/>
  <c r="U79" i="19"/>
  <c r="U101" i="19" s="1"/>
  <c r="V79" i="19"/>
  <c r="V101" i="19" s="1"/>
  <c r="W79" i="19"/>
  <c r="W102" i="19" s="1"/>
  <c r="X79" i="19"/>
  <c r="Y79" i="19"/>
  <c r="Y102" i="19" s="1"/>
  <c r="Z79" i="19"/>
  <c r="Z101" i="19" s="1"/>
  <c r="S82" i="19"/>
  <c r="S73" i="19" s="1"/>
  <c r="U82" i="19"/>
  <c r="U73" i="19" s="1"/>
  <c r="W84" i="19"/>
  <c r="X84" i="19" s="1"/>
  <c r="Y84" i="19" s="1"/>
  <c r="Z84" i="19" s="1"/>
  <c r="AC88" i="19"/>
  <c r="V89" i="19"/>
  <c r="V83" i="19" s="1"/>
  <c r="V82" i="19" s="1"/>
  <c r="AC89" i="19"/>
  <c r="AD89" i="19" s="1"/>
  <c r="AE89" i="19" s="1"/>
  <c r="Z90" i="19"/>
  <c r="S92" i="19"/>
  <c r="T92" i="19"/>
  <c r="U92" i="19"/>
  <c r="V92" i="19"/>
  <c r="W92" i="19"/>
  <c r="X92" i="19"/>
  <c r="Y92" i="19"/>
  <c r="Z92" i="19"/>
  <c r="S96" i="19"/>
  <c r="T96" i="19"/>
  <c r="U96" i="19"/>
  <c r="V96" i="19"/>
  <c r="W96" i="19"/>
  <c r="X96" i="19"/>
  <c r="Z96" i="19"/>
  <c r="S97" i="19"/>
  <c r="T97" i="19"/>
  <c r="U97" i="19"/>
  <c r="V97" i="19"/>
  <c r="W97" i="19"/>
  <c r="X97" i="19"/>
  <c r="Z97" i="19"/>
  <c r="S98" i="19"/>
  <c r="T98" i="19"/>
  <c r="U98" i="19"/>
  <c r="V98" i="19"/>
  <c r="W98" i="19"/>
  <c r="X98" i="19"/>
  <c r="Z98" i="19"/>
  <c r="G2" i="14"/>
  <c r="H2" i="14"/>
  <c r="I2" i="14"/>
  <c r="J2" i="14"/>
  <c r="K2" i="14"/>
  <c r="L2" i="14"/>
  <c r="M2" i="14"/>
  <c r="N2" i="14"/>
  <c r="O2" i="14"/>
  <c r="P2" i="14"/>
  <c r="Q2" i="14"/>
  <c r="R2" i="14"/>
  <c r="S2" i="14"/>
  <c r="T2" i="14"/>
  <c r="U2" i="14"/>
  <c r="V2" i="14"/>
  <c r="W2" i="14"/>
  <c r="X2" i="14"/>
  <c r="Y2" i="14"/>
  <c r="Z2" i="14"/>
  <c r="AA2" i="14"/>
  <c r="AB2" i="14"/>
  <c r="AC2" i="14"/>
  <c r="AD2" i="14"/>
  <c r="AE2" i="14"/>
  <c r="AF2" i="14"/>
  <c r="B3" i="14"/>
  <c r="B4" i="14" s="1"/>
  <c r="C3" i="14"/>
  <c r="D3" i="14"/>
  <c r="E3" i="14"/>
  <c r="F3" i="14"/>
  <c r="G3" i="14"/>
  <c r="H3" i="14"/>
  <c r="I3" i="14"/>
  <c r="J3" i="14"/>
  <c r="K3" i="14"/>
  <c r="L3" i="14"/>
  <c r="M3" i="14"/>
  <c r="N3" i="14"/>
  <c r="O3" i="14"/>
  <c r="P3" i="14"/>
  <c r="Q3" i="14"/>
  <c r="R3" i="14"/>
  <c r="S3" i="14"/>
  <c r="T3" i="14"/>
  <c r="U3" i="14"/>
  <c r="V3" i="14"/>
  <c r="W3" i="14"/>
  <c r="X3" i="14"/>
  <c r="Y3" i="14"/>
  <c r="Z3" i="14"/>
  <c r="D6" i="14"/>
  <c r="E6" i="14" s="1"/>
  <c r="T6" i="14"/>
  <c r="U6" i="14" s="1"/>
  <c r="D11" i="14"/>
  <c r="E11" i="14" s="1"/>
  <c r="F11" i="14" s="1"/>
  <c r="G11" i="14" s="1"/>
  <c r="H11" i="14" s="1"/>
  <c r="I11" i="14" s="1"/>
  <c r="J11" i="14" s="1"/>
  <c r="K11" i="14" s="1"/>
  <c r="L11" i="14" s="1"/>
  <c r="M11" i="14" s="1"/>
  <c r="N11" i="14" s="1"/>
  <c r="O11" i="14" s="1"/>
  <c r="P11" i="14" s="1"/>
  <c r="Q11" i="14" s="1"/>
  <c r="R11" i="14" s="1"/>
  <c r="C15" i="14"/>
  <c r="D15" i="14"/>
  <c r="E15" i="14"/>
  <c r="F15" i="14"/>
  <c r="G15" i="14"/>
  <c r="H15" i="14"/>
  <c r="K15" i="14"/>
  <c r="L15" i="14"/>
  <c r="M15" i="14"/>
  <c r="N15" i="14"/>
  <c r="O15" i="14"/>
  <c r="P15" i="14"/>
  <c r="Q15" i="14"/>
  <c r="T15" i="14"/>
  <c r="U15" i="14"/>
  <c r="V15" i="14"/>
  <c r="W15" i="14"/>
  <c r="X15" i="14"/>
  <c r="Y15" i="14"/>
  <c r="Z15" i="14"/>
  <c r="M19" i="14"/>
  <c r="M20" i="14" s="1"/>
  <c r="M26" i="14"/>
  <c r="M27" i="14"/>
  <c r="N19" i="14"/>
  <c r="N20" i="14" s="1"/>
  <c r="O19" i="14"/>
  <c r="O20" i="14" s="1"/>
  <c r="P19" i="14"/>
  <c r="P20" i="14" s="1"/>
  <c r="Q19" i="14"/>
  <c r="Q20" i="14" s="1"/>
  <c r="R19" i="14"/>
  <c r="R20" i="14" s="1"/>
  <c r="S19" i="14"/>
  <c r="S20" i="14" s="1"/>
  <c r="T19" i="14"/>
  <c r="T20" i="14" s="1"/>
  <c r="U19" i="14"/>
  <c r="U20" i="14" s="1"/>
  <c r="V19" i="14"/>
  <c r="V20" i="14" s="1"/>
  <c r="W19" i="14"/>
  <c r="W20" i="14" s="1"/>
  <c r="X19" i="14"/>
  <c r="X20" i="14" s="1"/>
  <c r="Y19" i="14"/>
  <c r="Y20" i="14" s="1"/>
  <c r="Z19" i="14"/>
  <c r="Z20" i="14" s="1"/>
  <c r="B20" i="14"/>
  <c r="B26" i="14"/>
  <c r="B30" i="14" s="1"/>
  <c r="C20" i="14"/>
  <c r="D20" i="14"/>
  <c r="E20" i="14"/>
  <c r="F20" i="14"/>
  <c r="G20" i="14"/>
  <c r="G26" i="14"/>
  <c r="G27" i="14"/>
  <c r="H20" i="14"/>
  <c r="I20" i="14"/>
  <c r="J20" i="14"/>
  <c r="K20" i="14"/>
  <c r="L20" i="14"/>
  <c r="C26" i="14"/>
  <c r="C30" i="14" s="1"/>
  <c r="D26" i="14"/>
  <c r="D30" i="14" s="1"/>
  <c r="E26" i="14"/>
  <c r="E30" i="14" s="1"/>
  <c r="F26" i="14"/>
  <c r="F27" i="14"/>
  <c r="H26" i="14"/>
  <c r="H27" i="14"/>
  <c r="I26" i="14"/>
  <c r="J26" i="14"/>
  <c r="K26" i="14"/>
  <c r="L26" i="14"/>
  <c r="L27" i="14"/>
  <c r="N26" i="14"/>
  <c r="N27" i="14"/>
  <c r="I27" i="14"/>
  <c r="J27" i="14"/>
  <c r="K27" i="14"/>
  <c r="O27" i="14"/>
  <c r="B41" i="14"/>
  <c r="C41" i="14"/>
  <c r="C42" i="14" s="1"/>
  <c r="D41" i="14"/>
  <c r="D42" i="14" s="1"/>
  <c r="E41" i="14"/>
  <c r="E42" i="14" s="1"/>
  <c r="F41" i="14"/>
  <c r="F42" i="14" s="1"/>
  <c r="G41" i="14"/>
  <c r="G42" i="14" s="1"/>
  <c r="H41" i="14"/>
  <c r="H42" i="14" s="1"/>
  <c r="I41" i="14"/>
  <c r="I42" i="14" s="1"/>
  <c r="J41" i="14"/>
  <c r="J42" i="14" s="1"/>
  <c r="K41" i="14"/>
  <c r="K42" i="14" s="1"/>
  <c r="L41" i="14"/>
  <c r="L42" i="14" s="1"/>
  <c r="M41" i="14"/>
  <c r="M42" i="14" s="1"/>
  <c r="N41" i="14"/>
  <c r="N42" i="14" s="1"/>
  <c r="O41" i="14"/>
  <c r="O42" i="14" s="1"/>
  <c r="P41" i="14"/>
  <c r="P42" i="14" s="1"/>
  <c r="Q41" i="14"/>
  <c r="Q42" i="14" s="1"/>
  <c r="S41" i="14"/>
  <c r="S42" i="14" s="1"/>
  <c r="T41" i="14"/>
  <c r="U41" i="14"/>
  <c r="U42" i="14" s="1"/>
  <c r="V41" i="14"/>
  <c r="W41" i="14"/>
  <c r="W42" i="14" s="1"/>
  <c r="X41" i="14"/>
  <c r="X42" i="14" s="1"/>
  <c r="X36" i="14"/>
  <c r="X107" i="33" s="1"/>
  <c r="Y41" i="14"/>
  <c r="Y42" i="14" s="1"/>
  <c r="Z41" i="14"/>
  <c r="Z42" i="14" s="1"/>
  <c r="B47" i="14"/>
  <c r="C47" i="14"/>
  <c r="D47" i="14"/>
  <c r="E47" i="14"/>
  <c r="F47" i="14"/>
  <c r="G47" i="14"/>
  <c r="H47" i="14"/>
  <c r="I47" i="14"/>
  <c r="J47" i="14"/>
  <c r="K47" i="14"/>
  <c r="L47" i="14"/>
  <c r="M47" i="14"/>
  <c r="N47" i="14"/>
  <c r="O47" i="14"/>
  <c r="P47" i="14"/>
  <c r="Q47" i="14"/>
  <c r="R47" i="14"/>
  <c r="S47" i="14"/>
  <c r="T47" i="14"/>
  <c r="U47" i="14"/>
  <c r="V47" i="14"/>
  <c r="W47" i="14"/>
  <c r="X47" i="14" s="1"/>
  <c r="Y47" i="14" s="1"/>
  <c r="Z47" i="14" s="1"/>
  <c r="AA47" i="14" s="1"/>
  <c r="AB47" i="14" s="1"/>
  <c r="B48" i="14"/>
  <c r="C48" i="14"/>
  <c r="D48" i="14"/>
  <c r="E48" i="14"/>
  <c r="F48" i="14"/>
  <c r="G48" i="14"/>
  <c r="H48" i="14"/>
  <c r="I48" i="14"/>
  <c r="J48" i="14"/>
  <c r="K48" i="14"/>
  <c r="L48" i="14"/>
  <c r="M48" i="14"/>
  <c r="N48" i="14"/>
  <c r="O48" i="14"/>
  <c r="P48" i="14"/>
  <c r="Q48" i="14"/>
  <c r="R48" i="14"/>
  <c r="S48" i="14"/>
  <c r="T48" i="14"/>
  <c r="U48" i="14"/>
  <c r="V48" i="14"/>
  <c r="W48" i="14"/>
  <c r="X48" i="14"/>
  <c r="Y48" i="14"/>
  <c r="Z48" i="14"/>
  <c r="B56" i="14"/>
  <c r="C56" i="14"/>
  <c r="D56" i="14"/>
  <c r="E56" i="14"/>
  <c r="F56" i="14"/>
  <c r="G56" i="14"/>
  <c r="H56" i="14"/>
  <c r="I56" i="14"/>
  <c r="J56" i="14"/>
  <c r="K56" i="14"/>
  <c r="L56" i="14"/>
  <c r="M56" i="14"/>
  <c r="N56" i="14"/>
  <c r="O56" i="14"/>
  <c r="P56" i="14"/>
  <c r="Q56" i="14"/>
  <c r="R56" i="14"/>
  <c r="S56" i="14"/>
  <c r="T56" i="14"/>
  <c r="U56" i="14"/>
  <c r="V56" i="14"/>
  <c r="W56" i="14"/>
  <c r="X56" i="14"/>
  <c r="X57" i="14" s="1"/>
  <c r="X59" i="14" s="1"/>
  <c r="X84" i="33" s="1"/>
  <c r="X85" i="33"/>
  <c r="X86" i="33"/>
  <c r="X87" i="33"/>
  <c r="X88" i="33"/>
  <c r="Y56" i="14"/>
  <c r="Y57" i="14" s="1"/>
  <c r="Y59" i="14" s="1"/>
  <c r="Y84" i="33" s="1"/>
  <c r="Z56" i="14"/>
  <c r="Z57" i="14" s="1"/>
  <c r="Z59" i="14" s="1"/>
  <c r="Z84" i="33" s="1"/>
  <c r="Z85" i="33"/>
  <c r="Z86" i="33"/>
  <c r="Z87" i="33"/>
  <c r="Z88" i="33"/>
  <c r="B57" i="14"/>
  <c r="B59" i="14" s="1"/>
  <c r="B84" i="33" s="1"/>
  <c r="C57" i="14"/>
  <c r="C59" i="14" s="1"/>
  <c r="C84" i="33" s="1"/>
  <c r="D57" i="14"/>
  <c r="D59" i="14" s="1"/>
  <c r="D84" i="33" s="1"/>
  <c r="E57" i="14"/>
  <c r="E59" i="14" s="1"/>
  <c r="E84" i="33" s="1"/>
  <c r="F57" i="14"/>
  <c r="F59" i="14" s="1"/>
  <c r="F84" i="33" s="1"/>
  <c r="G57" i="14"/>
  <c r="G59" i="14" s="1"/>
  <c r="G84" i="33" s="1"/>
  <c r="H57" i="14"/>
  <c r="H59" i="14" s="1"/>
  <c r="H84" i="33" s="1"/>
  <c r="I57" i="14"/>
  <c r="I59" i="14" s="1"/>
  <c r="I84" i="33" s="1"/>
  <c r="J57" i="14"/>
  <c r="J59" i="14" s="1"/>
  <c r="J84" i="33" s="1"/>
  <c r="K57" i="14"/>
  <c r="K59" i="14" s="1"/>
  <c r="K84" i="33" s="1"/>
  <c r="L57" i="14"/>
  <c r="L59" i="14" s="1"/>
  <c r="L84" i="33" s="1"/>
  <c r="M57" i="14"/>
  <c r="M59" i="14" s="1"/>
  <c r="M84" i="33" s="1"/>
  <c r="N57" i="14"/>
  <c r="N59" i="14" s="1"/>
  <c r="N84" i="33" s="1"/>
  <c r="O57" i="14"/>
  <c r="O59" i="14" s="1"/>
  <c r="O84" i="33" s="1"/>
  <c r="O85" i="33"/>
  <c r="O86" i="33"/>
  <c r="O87" i="33"/>
  <c r="O88" i="33"/>
  <c r="P57" i="14"/>
  <c r="P58" i="14"/>
  <c r="Q57" i="14"/>
  <c r="Q58" i="14"/>
  <c r="R57" i="14"/>
  <c r="R58" i="14"/>
  <c r="S57" i="14"/>
  <c r="T57" i="14"/>
  <c r="T58" i="14"/>
  <c r="U57" i="14"/>
  <c r="U58" i="14"/>
  <c r="V57" i="14"/>
  <c r="W57" i="14"/>
  <c r="W58" i="14"/>
  <c r="S58" i="14"/>
  <c r="U85" i="33"/>
  <c r="U86" i="33"/>
  <c r="U87" i="33"/>
  <c r="U88" i="33"/>
  <c r="V58" i="14"/>
  <c r="B35" i="14"/>
  <c r="B94" i="33" s="1"/>
  <c r="C35" i="14"/>
  <c r="C94" i="33" s="1"/>
  <c r="C93" i="33"/>
  <c r="C95" i="33"/>
  <c r="C96" i="33"/>
  <c r="C97" i="33"/>
  <c r="D35" i="14"/>
  <c r="D94" i="33" s="1"/>
  <c r="E35" i="14"/>
  <c r="E94" i="33" s="1"/>
  <c r="F35" i="14"/>
  <c r="F94" i="33" s="1"/>
  <c r="G35" i="14"/>
  <c r="G94" i="33" s="1"/>
  <c r="H35" i="14"/>
  <c r="H94" i="33" s="1"/>
  <c r="I35" i="14"/>
  <c r="I94" i="33" s="1"/>
  <c r="J35" i="14"/>
  <c r="J94" i="33" s="1"/>
  <c r="K35" i="14"/>
  <c r="K94" i="33" s="1"/>
  <c r="L35" i="14"/>
  <c r="L94" i="33" s="1"/>
  <c r="M35" i="14"/>
  <c r="M94" i="33" s="1"/>
  <c r="N35" i="14"/>
  <c r="N94" i="33" s="1"/>
  <c r="O35" i="14"/>
  <c r="O94" i="33" s="1"/>
  <c r="P35" i="14"/>
  <c r="P94" i="33" s="1"/>
  <c r="Q35" i="14"/>
  <c r="Q94" i="33" s="1"/>
  <c r="Q93" i="33"/>
  <c r="Q95" i="33"/>
  <c r="Q96" i="33"/>
  <c r="Q97" i="33"/>
  <c r="R35" i="14"/>
  <c r="R94" i="33" s="1"/>
  <c r="S35" i="14"/>
  <c r="S94" i="33" s="1"/>
  <c r="S93" i="33"/>
  <c r="S95" i="33"/>
  <c r="S96" i="33"/>
  <c r="S97" i="33"/>
  <c r="T35" i="14"/>
  <c r="T94" i="33" s="1"/>
  <c r="U35" i="14"/>
  <c r="U94" i="33" s="1"/>
  <c r="V35" i="14"/>
  <c r="V94" i="33" s="1"/>
  <c r="W35" i="14"/>
  <c r="X35" i="14"/>
  <c r="X94" i="33" s="1"/>
  <c r="Y35" i="14"/>
  <c r="Y94" i="33" s="1"/>
  <c r="P36" i="14"/>
  <c r="P107" i="33" s="1"/>
  <c r="R36" i="14"/>
  <c r="R107" i="33" s="1"/>
  <c r="S36" i="14"/>
  <c r="S107" i="33" s="1"/>
  <c r="T36" i="14"/>
  <c r="U36" i="14"/>
  <c r="U107" i="33" s="1"/>
  <c r="V36" i="14"/>
  <c r="V107" i="33" s="1"/>
  <c r="W36" i="14"/>
  <c r="W107" i="33" s="1"/>
  <c r="Y36" i="14"/>
  <c r="G2" i="10"/>
  <c r="G1" i="19" s="1"/>
  <c r="H2" i="10"/>
  <c r="H1" i="19" s="1"/>
  <c r="I2" i="10"/>
  <c r="I1" i="19" s="1"/>
  <c r="J2" i="10"/>
  <c r="J1" i="19" s="1"/>
  <c r="K2" i="10"/>
  <c r="K1" i="19" s="1"/>
  <c r="L2" i="10"/>
  <c r="L1" i="19" s="1"/>
  <c r="M2" i="10"/>
  <c r="M1" i="19" s="1"/>
  <c r="N2" i="10"/>
  <c r="N1" i="19" s="1"/>
  <c r="O2" i="10"/>
  <c r="O1" i="19" s="1"/>
  <c r="P2" i="10"/>
  <c r="P1" i="19" s="1"/>
  <c r="Q2" i="10"/>
  <c r="Q1" i="19" s="1"/>
  <c r="R2" i="10"/>
  <c r="R1" i="19" s="1"/>
  <c r="S2" i="10"/>
  <c r="S1" i="19" s="1"/>
  <c r="T2" i="10"/>
  <c r="T1" i="19" s="1"/>
  <c r="U2" i="10"/>
  <c r="U1" i="19" s="1"/>
  <c r="V2" i="10"/>
  <c r="V1" i="19" s="1"/>
  <c r="W2" i="10"/>
  <c r="W1" i="19" s="1"/>
  <c r="X2" i="10"/>
  <c r="X1" i="19" s="1"/>
  <c r="Y2" i="10"/>
  <c r="Y1" i="19" s="1"/>
  <c r="Z2" i="10"/>
  <c r="Z1" i="19" s="1"/>
  <c r="AA2" i="10"/>
  <c r="AA1" i="19" s="1"/>
  <c r="AB2" i="10"/>
  <c r="AB1" i="19" s="1"/>
  <c r="AC2" i="10"/>
  <c r="AC1" i="19" s="1"/>
  <c r="AD2" i="10"/>
  <c r="AD1" i="19" s="1"/>
  <c r="AE2" i="10"/>
  <c r="AE1" i="19" s="1"/>
  <c r="AF2" i="10"/>
  <c r="AF1" i="19" s="1"/>
  <c r="AS3" i="10"/>
  <c r="AR3" i="10" s="1"/>
  <c r="AS18" i="10" s="1"/>
  <c r="AS4" i="10"/>
  <c r="AR4" i="10" s="1"/>
  <c r="AS19" i="10" s="1"/>
  <c r="AS5" i="10"/>
  <c r="AR5" i="10" s="1"/>
  <c r="AS6" i="10"/>
  <c r="B6" i="10"/>
  <c r="C6" i="10"/>
  <c r="D6" i="10"/>
  <c r="E6" i="10"/>
  <c r="B8" i="10"/>
  <c r="C8" i="10"/>
  <c r="D8" i="10"/>
  <c r="E8" i="10"/>
  <c r="F8" i="10"/>
  <c r="G8" i="10"/>
  <c r="G6" i="10" s="1"/>
  <c r="H8" i="10"/>
  <c r="H6" i="10" s="1"/>
  <c r="I8" i="10"/>
  <c r="I6" i="10" s="1"/>
  <c r="J8" i="10"/>
  <c r="J7" i="10" s="1"/>
  <c r="K8" i="10"/>
  <c r="L8" i="10"/>
  <c r="M8" i="10"/>
  <c r="M7" i="10" s="1"/>
  <c r="N8" i="10"/>
  <c r="O8" i="10"/>
  <c r="O7" i="10" s="1"/>
  <c r="P8" i="10"/>
  <c r="P7" i="10" s="1"/>
  <c r="Q8" i="10"/>
  <c r="S8" i="10"/>
  <c r="T8" i="10"/>
  <c r="T7" i="10" s="1"/>
  <c r="U8" i="10"/>
  <c r="U7" i="10" s="1"/>
  <c r="V8" i="10"/>
  <c r="W8" i="10"/>
  <c r="W7" i="10" s="1"/>
  <c r="X8" i="10"/>
  <c r="X7" i="10" s="1"/>
  <c r="Y8" i="10"/>
  <c r="Y7" i="10" s="1"/>
  <c r="Z8" i="10"/>
  <c r="Z7" i="10" s="1"/>
  <c r="C14" i="10"/>
  <c r="D14" i="10"/>
  <c r="E14" i="10"/>
  <c r="F14" i="10"/>
  <c r="G14" i="10"/>
  <c r="H14" i="10"/>
  <c r="I14" i="10"/>
  <c r="J14" i="10"/>
  <c r="K14" i="10"/>
  <c r="L14" i="10"/>
  <c r="M14" i="10"/>
  <c r="N14" i="10"/>
  <c r="O14" i="10"/>
  <c r="P14" i="10"/>
  <c r="Q14" i="10"/>
  <c r="R14" i="10"/>
  <c r="S14" i="10"/>
  <c r="T14" i="10"/>
  <c r="U14" i="10"/>
  <c r="V14" i="10"/>
  <c r="W14" i="10"/>
  <c r="X14" i="10"/>
  <c r="Y14" i="10"/>
  <c r="Z14" i="10"/>
  <c r="AA14" i="10"/>
  <c r="J15" i="10"/>
  <c r="O15" i="10"/>
  <c r="O19" i="10" s="1"/>
  <c r="N19" i="10"/>
  <c r="AS15" i="10"/>
  <c r="K16" i="10"/>
  <c r="K6" i="19" s="1"/>
  <c r="Y16" i="10"/>
  <c r="Y19" i="10" s="1"/>
  <c r="X19" i="10"/>
  <c r="W19" i="10"/>
  <c r="P17" i="10"/>
  <c r="Q17" i="10" s="1"/>
  <c r="B19" i="10"/>
  <c r="C19" i="10"/>
  <c r="D19" i="10"/>
  <c r="E19" i="10"/>
  <c r="F19" i="10"/>
  <c r="G19" i="10"/>
  <c r="H19" i="10"/>
  <c r="I19" i="10"/>
  <c r="R19" i="10"/>
  <c r="S19" i="10"/>
  <c r="T19" i="10"/>
  <c r="U19" i="10"/>
  <c r="V19" i="10"/>
  <c r="L22" i="10"/>
  <c r="N22" i="10"/>
  <c r="N19" i="19" s="1"/>
  <c r="Q23" i="10"/>
  <c r="Q32" i="19" s="1"/>
  <c r="R23" i="10"/>
  <c r="R32" i="19" s="1"/>
  <c r="S23" i="10"/>
  <c r="S32" i="19" s="1"/>
  <c r="B25" i="10"/>
  <c r="C25" i="10"/>
  <c r="D25" i="10"/>
  <c r="E25" i="10"/>
  <c r="F25" i="10"/>
  <c r="G25" i="10"/>
  <c r="H25" i="10"/>
  <c r="I25" i="10"/>
  <c r="J25" i="10"/>
  <c r="K25" i="10"/>
  <c r="L25" i="10"/>
  <c r="M25" i="10"/>
  <c r="N25" i="10"/>
  <c r="O25" i="10"/>
  <c r="M26" i="10"/>
  <c r="N26" i="10"/>
  <c r="O26" i="10"/>
  <c r="P26" i="10"/>
  <c r="Q26" i="10"/>
  <c r="R26" i="10"/>
  <c r="S26" i="10"/>
  <c r="T26" i="10"/>
  <c r="U26" i="10"/>
  <c r="V26" i="10"/>
  <c r="W26" i="10"/>
  <c r="X26" i="10"/>
  <c r="Y26" i="10"/>
  <c r="Z26" i="10"/>
  <c r="B27" i="10"/>
  <c r="C27" i="10"/>
  <c r="D27" i="10"/>
  <c r="E27" i="10"/>
  <c r="F27" i="10"/>
  <c r="G27" i="10"/>
  <c r="H27" i="10"/>
  <c r="I27" i="10"/>
  <c r="J27" i="10"/>
  <c r="K27" i="10"/>
  <c r="L27" i="10"/>
  <c r="M27" i="10"/>
  <c r="N27" i="10"/>
  <c r="O27" i="10"/>
  <c r="C29" i="10"/>
  <c r="D29" i="10"/>
  <c r="E29" i="10"/>
  <c r="F29" i="10"/>
  <c r="G29" i="10"/>
  <c r="H29" i="10"/>
  <c r="I29" i="10"/>
  <c r="B36" i="10"/>
  <c r="B51" i="10" s="1"/>
  <c r="C36" i="10"/>
  <c r="C3" i="10" s="1"/>
  <c r="H36" i="10"/>
  <c r="H52" i="10" s="1"/>
  <c r="R36" i="10"/>
  <c r="R52" i="10" s="1"/>
  <c r="S36" i="10"/>
  <c r="S3" i="10" s="1"/>
  <c r="T36" i="10"/>
  <c r="T50" i="10" s="1"/>
  <c r="C41" i="10"/>
  <c r="D41" i="10"/>
  <c r="E41" i="10"/>
  <c r="F41" i="10"/>
  <c r="G41" i="10"/>
  <c r="H41" i="10"/>
  <c r="I41" i="10"/>
  <c r="J41" i="10"/>
  <c r="K41" i="10"/>
  <c r="L41" i="10"/>
  <c r="M41" i="10"/>
  <c r="N41" i="10"/>
  <c r="O41" i="10"/>
  <c r="P41" i="10"/>
  <c r="Q41" i="10"/>
  <c r="R41" i="10"/>
  <c r="S41" i="10"/>
  <c r="T41" i="10"/>
  <c r="U41" i="10"/>
  <c r="V41" i="10"/>
  <c r="W41" i="10"/>
  <c r="X41" i="10"/>
  <c r="Y41" i="10"/>
  <c r="Z41" i="10"/>
  <c r="C42" i="10"/>
  <c r="D42" i="10"/>
  <c r="E42" i="10"/>
  <c r="F42" i="10"/>
  <c r="G42" i="10"/>
  <c r="H42" i="10"/>
  <c r="I42" i="10"/>
  <c r="J42" i="10"/>
  <c r="K42" i="10"/>
  <c r="L42" i="10"/>
  <c r="M42" i="10"/>
  <c r="N42" i="10"/>
  <c r="O42" i="10"/>
  <c r="P42" i="10"/>
  <c r="Q42" i="10"/>
  <c r="R42" i="10"/>
  <c r="S42" i="10"/>
  <c r="T42" i="10"/>
  <c r="U42" i="10"/>
  <c r="V42" i="10"/>
  <c r="W42" i="10"/>
  <c r="X42" i="10"/>
  <c r="Y42" i="10"/>
  <c r="Z42" i="10"/>
  <c r="C43" i="10"/>
  <c r="D43" i="10"/>
  <c r="E43" i="10"/>
  <c r="F43" i="10"/>
  <c r="G43" i="10"/>
  <c r="H43" i="10"/>
  <c r="I43" i="10"/>
  <c r="J43" i="10"/>
  <c r="K43" i="10"/>
  <c r="L43" i="10"/>
  <c r="M43" i="10"/>
  <c r="N43" i="10"/>
  <c r="O43" i="10"/>
  <c r="P43" i="10"/>
  <c r="Q43" i="10"/>
  <c r="R43" i="10"/>
  <c r="S43" i="10"/>
  <c r="T43" i="10"/>
  <c r="U43" i="10"/>
  <c r="V43" i="10"/>
  <c r="W43" i="10"/>
  <c r="X43" i="10"/>
  <c r="Y43" i="10"/>
  <c r="Z43" i="10"/>
  <c r="D44" i="10"/>
  <c r="E44" i="10"/>
  <c r="F44" i="10"/>
  <c r="G44" i="10"/>
  <c r="H44" i="10"/>
  <c r="I44" i="10"/>
  <c r="J44" i="10"/>
  <c r="K44" i="10"/>
  <c r="L44" i="10"/>
  <c r="M44" i="10"/>
  <c r="N44" i="10"/>
  <c r="O44" i="10"/>
  <c r="P44" i="10"/>
  <c r="Q44" i="10"/>
  <c r="R44" i="10"/>
  <c r="S44" i="10"/>
  <c r="T44" i="10"/>
  <c r="U44" i="10"/>
  <c r="V44" i="10"/>
  <c r="W44" i="10"/>
  <c r="X44" i="10"/>
  <c r="Y44" i="10"/>
  <c r="Z44" i="10"/>
  <c r="D46" i="10"/>
  <c r="E46" i="10"/>
  <c r="F46" i="10"/>
  <c r="G46" i="10"/>
  <c r="H46" i="10"/>
  <c r="I46" i="10"/>
  <c r="J46" i="10"/>
  <c r="K46" i="10"/>
  <c r="L46" i="10"/>
  <c r="M46" i="10"/>
  <c r="N46" i="10"/>
  <c r="O46" i="10"/>
  <c r="P46" i="10"/>
  <c r="Q46" i="10"/>
  <c r="R46" i="10"/>
  <c r="S46" i="10"/>
  <c r="T46" i="10"/>
  <c r="U46" i="10"/>
  <c r="V46" i="10"/>
  <c r="W46" i="10"/>
  <c r="X46" i="10"/>
  <c r="Y46" i="10"/>
  <c r="Z46" i="10"/>
  <c r="B56" i="10"/>
  <c r="M2" i="6"/>
  <c r="N2" i="6"/>
  <c r="O2" i="6"/>
  <c r="P2" i="6"/>
  <c r="Q2" i="6"/>
  <c r="R2" i="6"/>
  <c r="S2" i="6"/>
  <c r="T2" i="6"/>
  <c r="U2" i="6"/>
  <c r="V2" i="6"/>
  <c r="W2" i="6"/>
  <c r="X2" i="6"/>
  <c r="Y2" i="6"/>
  <c r="Z2" i="6"/>
  <c r="AA2" i="6"/>
  <c r="AB2" i="6"/>
  <c r="AC2" i="6"/>
  <c r="AD2" i="6"/>
  <c r="AF2" i="6"/>
  <c r="B7" i="6"/>
  <c r="B12" i="6" s="1"/>
  <c r="B13" i="6" s="1"/>
  <c r="C7" i="6"/>
  <c r="C12" i="6" s="1"/>
  <c r="C13" i="6" s="1"/>
  <c r="C25" i="6"/>
  <c r="D7" i="6"/>
  <c r="D12" i="6" s="1"/>
  <c r="D13" i="6" s="1"/>
  <c r="G11" i="6"/>
  <c r="G12" i="6" s="1"/>
  <c r="G13" i="6" s="1"/>
  <c r="F12" i="6"/>
  <c r="F13" i="6" s="1"/>
  <c r="J12" i="6"/>
  <c r="J13" i="6" s="1"/>
  <c r="K12" i="6"/>
  <c r="K13" i="6" s="1"/>
  <c r="N12" i="6"/>
  <c r="N13" i="6" s="1"/>
  <c r="O12" i="6"/>
  <c r="O13" i="6" s="1"/>
  <c r="O15" i="6" s="1"/>
  <c r="AB28" i="6"/>
  <c r="B25" i="6"/>
  <c r="B26" i="6"/>
  <c r="D25" i="6"/>
  <c r="D26" i="6"/>
  <c r="F25" i="6"/>
  <c r="G25" i="6"/>
  <c r="J25" i="6"/>
  <c r="J26" i="6"/>
  <c r="J28" i="6"/>
  <c r="K25" i="6"/>
  <c r="N25" i="6"/>
  <c r="N26" i="6"/>
  <c r="N28" i="6"/>
  <c r="O25" i="6"/>
  <c r="C26" i="6"/>
  <c r="F26" i="6"/>
  <c r="G26" i="6"/>
  <c r="H26" i="6"/>
  <c r="I26" i="6"/>
  <c r="K26" i="6"/>
  <c r="K28" i="6"/>
  <c r="L26" i="6"/>
  <c r="L28" i="6"/>
  <c r="M26" i="6"/>
  <c r="O26" i="6"/>
  <c r="P26" i="6"/>
  <c r="Q26" i="6"/>
  <c r="Q28" i="6"/>
  <c r="T26" i="6"/>
  <c r="U26" i="6"/>
  <c r="V26" i="6"/>
  <c r="W26" i="6"/>
  <c r="W27" i="6"/>
  <c r="X26" i="6"/>
  <c r="Y26" i="6"/>
  <c r="Z26" i="6"/>
  <c r="T27" i="6"/>
  <c r="U27" i="6"/>
  <c r="V27" i="6"/>
  <c r="X27" i="6"/>
  <c r="Y27" i="6"/>
  <c r="Z27" i="6"/>
  <c r="M28" i="6"/>
  <c r="O28" i="6"/>
  <c r="P28" i="6"/>
  <c r="R28" i="6"/>
  <c r="T28" i="6"/>
  <c r="U28" i="6"/>
  <c r="AA28" i="6"/>
  <c r="I39" i="6"/>
  <c r="I44" i="6" s="1"/>
  <c r="I40" i="6"/>
  <c r="I45" i="6" s="1"/>
  <c r="I43" i="6" s="1"/>
  <c r="R39" i="6"/>
  <c r="R44" i="6" s="1"/>
  <c r="R40" i="6"/>
  <c r="R45" i="6"/>
  <c r="B41" i="6"/>
  <c r="B37" i="6" s="1"/>
  <c r="C41" i="6"/>
  <c r="C37" i="6" s="1"/>
  <c r="D41" i="6"/>
  <c r="D36" i="6" s="1"/>
  <c r="E41" i="6"/>
  <c r="E36" i="6" s="1"/>
  <c r="F41" i="6"/>
  <c r="G41" i="6"/>
  <c r="G36" i="6" s="1"/>
  <c r="H41" i="6"/>
  <c r="H36" i="6" s="1"/>
  <c r="J41" i="6"/>
  <c r="J37" i="6" s="1"/>
  <c r="K41" i="6"/>
  <c r="K37" i="6" s="1"/>
  <c r="L41" i="6"/>
  <c r="L37" i="6" s="1"/>
  <c r="M41" i="6"/>
  <c r="M37" i="6" s="1"/>
  <c r="N41" i="6"/>
  <c r="N36" i="6" s="1"/>
  <c r="O41" i="6"/>
  <c r="O37" i="6" s="1"/>
  <c r="P41" i="6"/>
  <c r="P36" i="6" s="1"/>
  <c r="P37" i="6" s="1"/>
  <c r="Q41" i="6"/>
  <c r="Q36" i="6" s="1"/>
  <c r="Q37" i="6" s="1"/>
  <c r="S41" i="6"/>
  <c r="S36" i="6" s="1"/>
  <c r="S37" i="6" s="1"/>
  <c r="T41" i="6"/>
  <c r="T36" i="6" s="1"/>
  <c r="T37" i="6" s="1"/>
  <c r="U41" i="6"/>
  <c r="U36" i="6" s="1"/>
  <c r="U37" i="6" s="1"/>
  <c r="V41" i="6"/>
  <c r="V36" i="6" s="1"/>
  <c r="V37" i="6" s="1"/>
  <c r="W41" i="6"/>
  <c r="W36" i="6" s="1"/>
  <c r="W37" i="6" s="1"/>
  <c r="X41" i="6"/>
  <c r="X36" i="6" s="1"/>
  <c r="X37" i="6" s="1"/>
  <c r="Y41" i="6"/>
  <c r="Y36" i="6" s="1"/>
  <c r="Y37" i="6" s="1"/>
  <c r="Z41" i="6"/>
  <c r="Z36" i="6" s="1"/>
  <c r="Z37" i="6" s="1"/>
  <c r="B43" i="6"/>
  <c r="C43" i="6"/>
  <c r="D43" i="6"/>
  <c r="E43" i="6"/>
  <c r="F43" i="6"/>
  <c r="M43" i="6"/>
  <c r="N43" i="6"/>
  <c r="O43" i="6"/>
  <c r="P43" i="6"/>
  <c r="Q43" i="6"/>
  <c r="S43" i="6"/>
  <c r="T43" i="6"/>
  <c r="U43" i="6"/>
  <c r="V43" i="6"/>
  <c r="W43" i="6"/>
  <c r="X43" i="6"/>
  <c r="Y43" i="6"/>
  <c r="Z43" i="6"/>
  <c r="B44" i="6"/>
  <c r="B46" i="6" s="1"/>
  <c r="B51" i="33" s="1"/>
  <c r="C44" i="6"/>
  <c r="C46" i="6" s="1"/>
  <c r="C51" i="33" s="1"/>
  <c r="D44" i="6"/>
  <c r="D46" i="6" s="1"/>
  <c r="D51" i="33" s="1"/>
  <c r="E44" i="6"/>
  <c r="E46" i="6" s="1"/>
  <c r="E51" i="33" s="1"/>
  <c r="F44" i="6"/>
  <c r="F46" i="6" s="1"/>
  <c r="F51" i="33" s="1"/>
  <c r="G44" i="6"/>
  <c r="G45" i="6"/>
  <c r="G43" i="6" s="1"/>
  <c r="H44" i="6"/>
  <c r="H45" i="6"/>
  <c r="H43" i="6" s="1"/>
  <c r="J44" i="6"/>
  <c r="K44" i="6"/>
  <c r="K45" i="6"/>
  <c r="L44" i="6"/>
  <c r="L45" i="6"/>
  <c r="L43" i="6" s="1"/>
  <c r="M44" i="6"/>
  <c r="M46" i="6" s="1"/>
  <c r="M51" i="33" s="1"/>
  <c r="P44" i="6"/>
  <c r="P46" i="6" s="1"/>
  <c r="P51" i="33" s="1"/>
  <c r="Q44" i="6"/>
  <c r="Q46" i="6" s="1"/>
  <c r="S44" i="6"/>
  <c r="T44" i="6"/>
  <c r="U44" i="6"/>
  <c r="V44" i="6"/>
  <c r="W44" i="6"/>
  <c r="X44" i="6"/>
  <c r="X46" i="6" s="1"/>
  <c r="X163" i="4" s="1"/>
  <c r="Y44" i="6"/>
  <c r="Y46" i="6" s="1"/>
  <c r="Z44" i="6"/>
  <c r="Z46" i="6" s="1"/>
  <c r="J45" i="6"/>
  <c r="J43" i="6" s="1"/>
  <c r="N46" i="6"/>
  <c r="N51" i="33" s="1"/>
  <c r="O46" i="6"/>
  <c r="O51" i="33" s="1"/>
  <c r="B1" i="33"/>
  <c r="C1" i="33"/>
  <c r="D1" i="33"/>
  <c r="E1" i="33"/>
  <c r="F1" i="33"/>
  <c r="G1" i="33"/>
  <c r="H1" i="33"/>
  <c r="I1" i="33"/>
  <c r="J1" i="33"/>
  <c r="K1" i="33"/>
  <c r="L1" i="33"/>
  <c r="M1" i="33"/>
  <c r="N1" i="33"/>
  <c r="O1" i="33"/>
  <c r="P1" i="33"/>
  <c r="Q1" i="33"/>
  <c r="R1" i="33"/>
  <c r="S1" i="33"/>
  <c r="T1" i="33"/>
  <c r="U1" i="33"/>
  <c r="V1" i="33"/>
  <c r="W1" i="33"/>
  <c r="X1" i="33"/>
  <c r="Y1" i="33"/>
  <c r="Z1" i="33"/>
  <c r="AA1" i="33"/>
  <c r="AB1" i="33"/>
  <c r="AC1" i="33"/>
  <c r="AD1" i="33"/>
  <c r="AE1" i="33"/>
  <c r="AF1" i="33"/>
  <c r="B4" i="33"/>
  <c r="B4" i="4" s="1"/>
  <c r="C4" i="33"/>
  <c r="C4" i="4" s="1"/>
  <c r="D4" i="33"/>
  <c r="D4" i="4" s="1"/>
  <c r="E4" i="33"/>
  <c r="E4" i="4" s="1"/>
  <c r="F4" i="33"/>
  <c r="F4" i="4" s="1"/>
  <c r="G4" i="33"/>
  <c r="G4" i="4" s="1"/>
  <c r="H4" i="33"/>
  <c r="H4" i="4" s="1"/>
  <c r="I4" i="33"/>
  <c r="I4" i="4" s="1"/>
  <c r="J4" i="33"/>
  <c r="J4" i="4" s="1"/>
  <c r="K4" i="33"/>
  <c r="K4" i="4" s="1"/>
  <c r="L4" i="33"/>
  <c r="L4" i="4" s="1"/>
  <c r="M4" i="33"/>
  <c r="M4" i="4" s="1"/>
  <c r="N4" i="33"/>
  <c r="N4" i="4" s="1"/>
  <c r="O4" i="33"/>
  <c r="O4" i="4" s="1"/>
  <c r="P4" i="33"/>
  <c r="P4" i="4" s="1"/>
  <c r="Q4" i="33"/>
  <c r="Q4" i="4" s="1"/>
  <c r="S4" i="33"/>
  <c r="T4" i="33"/>
  <c r="T4" i="4" s="1"/>
  <c r="T6" i="33"/>
  <c r="T7" i="33"/>
  <c r="T8" i="33"/>
  <c r="T9" i="33"/>
  <c r="T11" i="33"/>
  <c r="U4" i="33"/>
  <c r="U4" i="4" s="1"/>
  <c r="V4" i="33"/>
  <c r="V4" i="4" s="1"/>
  <c r="W4" i="33"/>
  <c r="W4" i="4" s="1"/>
  <c r="X4" i="33"/>
  <c r="X4" i="4" s="1"/>
  <c r="Y4" i="33"/>
  <c r="Z4" i="33"/>
  <c r="Z4" i="4" s="1"/>
  <c r="B6" i="33"/>
  <c r="C6" i="33"/>
  <c r="D6" i="33"/>
  <c r="E6" i="33"/>
  <c r="F6" i="33"/>
  <c r="G6" i="33"/>
  <c r="H6" i="33"/>
  <c r="I6" i="33"/>
  <c r="I7" i="33"/>
  <c r="I8" i="33"/>
  <c r="I9" i="33"/>
  <c r="J6" i="33"/>
  <c r="K6" i="33"/>
  <c r="L6" i="33"/>
  <c r="M6" i="33"/>
  <c r="N6" i="33"/>
  <c r="O6" i="33"/>
  <c r="P6" i="33"/>
  <c r="Q6" i="33"/>
  <c r="R6" i="33"/>
  <c r="S6" i="33"/>
  <c r="U6" i="33"/>
  <c r="V6" i="33"/>
  <c r="W6" i="33"/>
  <c r="X6" i="33"/>
  <c r="Y6" i="33"/>
  <c r="Z6" i="33"/>
  <c r="B7" i="33"/>
  <c r="C7" i="33"/>
  <c r="D7" i="33"/>
  <c r="E7" i="33"/>
  <c r="F7" i="33"/>
  <c r="F8" i="33"/>
  <c r="F9" i="33"/>
  <c r="G7" i="33"/>
  <c r="H7" i="33"/>
  <c r="J7" i="33"/>
  <c r="K7" i="33"/>
  <c r="L7" i="33"/>
  <c r="M7" i="33"/>
  <c r="N7" i="33"/>
  <c r="N8" i="33"/>
  <c r="N9" i="33"/>
  <c r="O7" i="33"/>
  <c r="P7" i="33"/>
  <c r="P8" i="33"/>
  <c r="P9" i="33"/>
  <c r="Q7" i="33"/>
  <c r="R7" i="33"/>
  <c r="S7" i="33"/>
  <c r="U7" i="33"/>
  <c r="V7" i="33"/>
  <c r="W7" i="33"/>
  <c r="X7" i="33"/>
  <c r="Y7" i="33"/>
  <c r="Z7" i="33"/>
  <c r="Z8" i="33"/>
  <c r="Z9" i="33"/>
  <c r="B8" i="33"/>
  <c r="C8" i="33"/>
  <c r="C11" i="33"/>
  <c r="C9" i="33"/>
  <c r="D8" i="33"/>
  <c r="D9" i="33"/>
  <c r="E8" i="33"/>
  <c r="G8" i="33"/>
  <c r="G9" i="33"/>
  <c r="H8" i="33"/>
  <c r="I11" i="33"/>
  <c r="J8" i="33"/>
  <c r="K8" i="33"/>
  <c r="L8" i="33"/>
  <c r="M8" i="33"/>
  <c r="O8" i="33"/>
  <c r="Q8" i="33"/>
  <c r="R8" i="33"/>
  <c r="S8" i="33"/>
  <c r="U8" i="33"/>
  <c r="V8" i="33"/>
  <c r="W8" i="33"/>
  <c r="X8" i="33"/>
  <c r="Y8" i="33"/>
  <c r="B9" i="33"/>
  <c r="E9" i="33"/>
  <c r="H9" i="33"/>
  <c r="J9" i="33"/>
  <c r="K9" i="33"/>
  <c r="L9" i="33"/>
  <c r="M9" i="33"/>
  <c r="O9" i="33"/>
  <c r="Q9" i="33"/>
  <c r="R9" i="33"/>
  <c r="S9" i="33"/>
  <c r="U9" i="33"/>
  <c r="V9" i="33"/>
  <c r="W9" i="33"/>
  <c r="X9" i="33"/>
  <c r="Y9" i="33"/>
  <c r="B11" i="33"/>
  <c r="D11" i="33"/>
  <c r="E11" i="33"/>
  <c r="F11" i="33"/>
  <c r="G11" i="33"/>
  <c r="H11" i="33"/>
  <c r="J11" i="33"/>
  <c r="K11" i="33"/>
  <c r="L11" i="33"/>
  <c r="M11" i="33"/>
  <c r="N11" i="33"/>
  <c r="O11" i="33"/>
  <c r="P11" i="33"/>
  <c r="Q11" i="33"/>
  <c r="R11" i="33"/>
  <c r="S11" i="33"/>
  <c r="U11" i="33"/>
  <c r="V11" i="33"/>
  <c r="W11" i="33"/>
  <c r="X11" i="33"/>
  <c r="Y11" i="33"/>
  <c r="Z11" i="33"/>
  <c r="O14" i="33"/>
  <c r="Q14" i="33"/>
  <c r="S14" i="33"/>
  <c r="T14" i="33"/>
  <c r="U14" i="33"/>
  <c r="V14" i="33"/>
  <c r="W14" i="33"/>
  <c r="X14" i="33"/>
  <c r="Y14" i="33"/>
  <c r="B17" i="33"/>
  <c r="C17" i="33"/>
  <c r="D17" i="33"/>
  <c r="E17" i="33"/>
  <c r="F17" i="33"/>
  <c r="G17" i="33"/>
  <c r="H17" i="33"/>
  <c r="I17" i="33"/>
  <c r="J17" i="33"/>
  <c r="K17" i="33"/>
  <c r="L17" i="33"/>
  <c r="M17" i="33"/>
  <c r="N17" i="33"/>
  <c r="O17" i="33"/>
  <c r="Q17" i="33"/>
  <c r="R17" i="33"/>
  <c r="S17" i="33"/>
  <c r="T17" i="33"/>
  <c r="U17" i="33"/>
  <c r="V17" i="33"/>
  <c r="W17" i="33"/>
  <c r="X17" i="33"/>
  <c r="Y17" i="33"/>
  <c r="Z17" i="33"/>
  <c r="B18" i="33"/>
  <c r="C18" i="33"/>
  <c r="D18" i="33"/>
  <c r="E18" i="33"/>
  <c r="F18" i="33"/>
  <c r="G18" i="33"/>
  <c r="H18" i="33"/>
  <c r="I18" i="33"/>
  <c r="J18" i="33"/>
  <c r="K18" i="33"/>
  <c r="L18" i="33"/>
  <c r="M18" i="33"/>
  <c r="N18" i="33"/>
  <c r="O18" i="33"/>
  <c r="Q18" i="33"/>
  <c r="R18" i="33"/>
  <c r="S18" i="33"/>
  <c r="T18" i="33"/>
  <c r="U18" i="33"/>
  <c r="V18" i="33"/>
  <c r="W18" i="33"/>
  <c r="X18" i="33"/>
  <c r="Y18" i="33"/>
  <c r="Z18" i="33"/>
  <c r="T32" i="33"/>
  <c r="U32" i="33"/>
  <c r="U37" i="33"/>
  <c r="U33" i="33"/>
  <c r="V32" i="33"/>
  <c r="W32" i="33"/>
  <c r="X32" i="33"/>
  <c r="Y32" i="33"/>
  <c r="Z32" i="33"/>
  <c r="T33" i="33"/>
  <c r="V33" i="33"/>
  <c r="W33" i="33"/>
  <c r="X33" i="33"/>
  <c r="Y33" i="33"/>
  <c r="Z33" i="33"/>
  <c r="T35" i="33"/>
  <c r="V35" i="33"/>
  <c r="W35" i="33"/>
  <c r="X35" i="33"/>
  <c r="X37" i="33"/>
  <c r="Y35" i="33"/>
  <c r="Z35" i="33"/>
  <c r="B37" i="33"/>
  <c r="C37" i="33"/>
  <c r="D37" i="33"/>
  <c r="E37" i="33"/>
  <c r="F37" i="33"/>
  <c r="G37" i="33"/>
  <c r="H37" i="33"/>
  <c r="I37" i="33"/>
  <c r="J37" i="33"/>
  <c r="K37" i="33"/>
  <c r="L37" i="33"/>
  <c r="M37" i="33"/>
  <c r="N37" i="33"/>
  <c r="O37" i="33"/>
  <c r="P37" i="33"/>
  <c r="Q37" i="33"/>
  <c r="R37" i="33"/>
  <c r="S37" i="33"/>
  <c r="T37" i="33"/>
  <c r="V37" i="33"/>
  <c r="W37" i="33"/>
  <c r="Y37" i="33"/>
  <c r="Z37" i="33"/>
  <c r="B38" i="33"/>
  <c r="B118" i="33" s="1"/>
  <c r="B121" i="33"/>
  <c r="C116" i="33" s="1"/>
  <c r="B116" i="33"/>
  <c r="B117" i="33"/>
  <c r="C38" i="33"/>
  <c r="C118" i="33" s="1"/>
  <c r="C121" i="33"/>
  <c r="D116" i="33" s="1"/>
  <c r="C117" i="33"/>
  <c r="D38" i="33"/>
  <c r="D118" i="33" s="1"/>
  <c r="E38" i="33"/>
  <c r="E118" i="33" s="1"/>
  <c r="F38" i="33"/>
  <c r="F118" i="33" s="1"/>
  <c r="F121" i="33"/>
  <c r="G116" i="33" s="1"/>
  <c r="E121" i="33"/>
  <c r="F116" i="33" s="1"/>
  <c r="F117" i="33"/>
  <c r="G38" i="33"/>
  <c r="G118" i="33" s="1"/>
  <c r="H38" i="33"/>
  <c r="H118" i="33" s="1"/>
  <c r="H121" i="33"/>
  <c r="I116" i="33" s="1"/>
  <c r="G121" i="33"/>
  <c r="H116" i="33" s="1"/>
  <c r="H125" i="4"/>
  <c r="H117" i="33" s="1"/>
  <c r="I38" i="33"/>
  <c r="I118" i="33" s="1"/>
  <c r="I121" i="33"/>
  <c r="J116" i="33" s="1"/>
  <c r="I125" i="4"/>
  <c r="I117" i="33" s="1"/>
  <c r="J38" i="33"/>
  <c r="J118" i="33" s="1"/>
  <c r="K38" i="33"/>
  <c r="K118" i="33" s="1"/>
  <c r="K121" i="33"/>
  <c r="L116" i="33" s="1"/>
  <c r="J121" i="33"/>
  <c r="K125" i="4"/>
  <c r="K117" i="33" s="1"/>
  <c r="K119" i="33"/>
  <c r="L38" i="33"/>
  <c r="L118" i="33" s="1"/>
  <c r="L121" i="33"/>
  <c r="M116" i="33" s="1"/>
  <c r="L125" i="33"/>
  <c r="L125" i="4"/>
  <c r="L119" i="33"/>
  <c r="M38" i="33"/>
  <c r="M118" i="33" s="1"/>
  <c r="M121" i="33"/>
  <c r="N116" i="33" s="1"/>
  <c r="M117" i="33"/>
  <c r="M119" i="33"/>
  <c r="N38" i="33"/>
  <c r="N118" i="33" s="1"/>
  <c r="N121" i="33"/>
  <c r="O116" i="33" s="1"/>
  <c r="N117" i="33"/>
  <c r="N119" i="33"/>
  <c r="O38" i="33"/>
  <c r="O118" i="33" s="1"/>
  <c r="P38" i="33"/>
  <c r="P118" i="33" s="1"/>
  <c r="P121" i="33"/>
  <c r="Q116" i="33" s="1"/>
  <c r="O121" i="33"/>
  <c r="P116" i="33" s="1"/>
  <c r="P117" i="33"/>
  <c r="Q38" i="33"/>
  <c r="Q118" i="33" s="1"/>
  <c r="Q121" i="33"/>
  <c r="R116" i="33" s="1"/>
  <c r="Q117" i="33"/>
  <c r="R38" i="33"/>
  <c r="R118" i="33" s="1"/>
  <c r="S38" i="33"/>
  <c r="S118" i="33" s="1"/>
  <c r="T38" i="33"/>
  <c r="T118" i="33" s="1"/>
  <c r="U38" i="33"/>
  <c r="U118" i="33" s="1"/>
  <c r="V38" i="33"/>
  <c r="V118" i="33" s="1"/>
  <c r="W38" i="33"/>
  <c r="W118" i="33" s="1"/>
  <c r="W121" i="33"/>
  <c r="X116" i="33" s="1"/>
  <c r="V121" i="33"/>
  <c r="W116" i="33" s="1"/>
  <c r="W117" i="33"/>
  <c r="X38" i="33"/>
  <c r="X118" i="33" s="1"/>
  <c r="Y38" i="33"/>
  <c r="Y118" i="33" s="1"/>
  <c r="Y121" i="33"/>
  <c r="Z116" i="33" s="1"/>
  <c r="X121" i="33"/>
  <c r="Y116" i="33" s="1"/>
  <c r="Y117" i="33"/>
  <c r="Z38" i="33"/>
  <c r="Z118" i="33" s="1"/>
  <c r="Z121" i="33"/>
  <c r="AA116" i="33" s="1"/>
  <c r="Z117" i="33"/>
  <c r="B39" i="33"/>
  <c r="C39" i="33"/>
  <c r="D39" i="33"/>
  <c r="E39" i="33"/>
  <c r="F39" i="33"/>
  <c r="G39" i="33"/>
  <c r="H39" i="33"/>
  <c r="H126" i="33" s="1"/>
  <c r="I39" i="33"/>
  <c r="I126" i="33" s="1"/>
  <c r="I130" i="33"/>
  <c r="H130" i="33"/>
  <c r="I124" i="33" s="1"/>
  <c r="J39" i="33"/>
  <c r="J126" i="33" s="1"/>
  <c r="K39" i="33"/>
  <c r="K126" i="33" s="1"/>
  <c r="K130" i="33"/>
  <c r="L124" i="33" s="1"/>
  <c r="J130" i="33"/>
  <c r="K124" i="33" s="1"/>
  <c r="L39" i="33"/>
  <c r="L126" i="33" s="1"/>
  <c r="L130" i="33"/>
  <c r="M124" i="33" s="1"/>
  <c r="L128" i="33"/>
  <c r="M39" i="33"/>
  <c r="M126" i="33" s="1"/>
  <c r="N39" i="33"/>
  <c r="N126" i="33" s="1"/>
  <c r="N130" i="33"/>
  <c r="O124" i="33" s="1"/>
  <c r="M130" i="33"/>
  <c r="N124" i="33" s="1"/>
  <c r="N128" i="33"/>
  <c r="O39" i="33"/>
  <c r="O126" i="33" s="1"/>
  <c r="P39" i="33"/>
  <c r="P126" i="33" s="1"/>
  <c r="Q39" i="33"/>
  <c r="Q126" i="33" s="1"/>
  <c r="R39" i="33"/>
  <c r="R126" i="33" s="1"/>
  <c r="S39" i="33"/>
  <c r="S126" i="33" s="1"/>
  <c r="T39" i="33"/>
  <c r="T126" i="33" s="1"/>
  <c r="U39" i="33"/>
  <c r="U126" i="33" s="1"/>
  <c r="U130" i="33"/>
  <c r="V124" i="33" s="1"/>
  <c r="T130" i="33"/>
  <c r="U124" i="33" s="1"/>
  <c r="U128" i="33"/>
  <c r="V128" i="33" s="1"/>
  <c r="W128" i="33" s="1"/>
  <c r="X128" i="33" s="1"/>
  <c r="V39" i="33"/>
  <c r="V126" i="33" s="1"/>
  <c r="V130" i="33"/>
  <c r="W124" i="33" s="1"/>
  <c r="V127" i="33"/>
  <c r="W39" i="33"/>
  <c r="W126" i="33" s="1"/>
  <c r="W130" i="33"/>
  <c r="X124" i="33" s="1"/>
  <c r="W127" i="33"/>
  <c r="X39" i="33"/>
  <c r="X126" i="33" s="1"/>
  <c r="Y39" i="33"/>
  <c r="Y126" i="33" s="1"/>
  <c r="Z39" i="33"/>
  <c r="Z126" i="33" s="1"/>
  <c r="B42" i="33"/>
  <c r="C42" i="33"/>
  <c r="D42" i="33"/>
  <c r="E42" i="33"/>
  <c r="F42" i="33"/>
  <c r="G42" i="33"/>
  <c r="H42" i="33"/>
  <c r="J42" i="33"/>
  <c r="K42" i="33"/>
  <c r="L42" i="33"/>
  <c r="M42" i="33"/>
  <c r="N42" i="33"/>
  <c r="O42" i="33"/>
  <c r="P42" i="33"/>
  <c r="Q42" i="33"/>
  <c r="S42" i="33"/>
  <c r="T42" i="33"/>
  <c r="U42" i="33"/>
  <c r="V42" i="33"/>
  <c r="W42" i="33"/>
  <c r="W48" i="33"/>
  <c r="W43" i="33"/>
  <c r="W44" i="33"/>
  <c r="W45" i="33"/>
  <c r="W46" i="33"/>
  <c r="X42" i="33"/>
  <c r="Y42" i="33"/>
  <c r="Z42" i="33"/>
  <c r="B43" i="33"/>
  <c r="C43" i="33"/>
  <c r="C48" i="33"/>
  <c r="C44" i="33"/>
  <c r="C45" i="33"/>
  <c r="C46" i="33"/>
  <c r="D43" i="33"/>
  <c r="E43" i="33"/>
  <c r="F43" i="33"/>
  <c r="G43" i="33"/>
  <c r="H43" i="33"/>
  <c r="I43" i="33"/>
  <c r="J43" i="33"/>
  <c r="K43" i="33"/>
  <c r="L43" i="33"/>
  <c r="M43" i="33"/>
  <c r="N43" i="33"/>
  <c r="O43" i="33"/>
  <c r="P43" i="33"/>
  <c r="Q43" i="33"/>
  <c r="R43" i="33"/>
  <c r="S43" i="33"/>
  <c r="T43" i="33"/>
  <c r="U43" i="33"/>
  <c r="V43" i="33"/>
  <c r="X43" i="33"/>
  <c r="Y43" i="33"/>
  <c r="Z43" i="33"/>
  <c r="B44" i="33"/>
  <c r="D44" i="33"/>
  <c r="E44" i="33"/>
  <c r="F44" i="33"/>
  <c r="G44" i="33"/>
  <c r="H44" i="33"/>
  <c r="I44" i="33"/>
  <c r="J44" i="33"/>
  <c r="J48" i="33"/>
  <c r="J45" i="33"/>
  <c r="J46" i="33"/>
  <c r="K44" i="33"/>
  <c r="L44" i="33"/>
  <c r="M44" i="33"/>
  <c r="N44" i="33"/>
  <c r="O44" i="33"/>
  <c r="P44" i="33"/>
  <c r="Q44" i="33"/>
  <c r="R44" i="33"/>
  <c r="S44" i="33"/>
  <c r="T44" i="33"/>
  <c r="U44" i="33"/>
  <c r="V44" i="33"/>
  <c r="X44" i="33"/>
  <c r="Y44" i="33"/>
  <c r="Z44" i="33"/>
  <c r="B45" i="33"/>
  <c r="D45" i="33"/>
  <c r="E45" i="33"/>
  <c r="F45" i="33"/>
  <c r="G45" i="33"/>
  <c r="H45" i="33"/>
  <c r="I45" i="33"/>
  <c r="K45" i="33"/>
  <c r="L45" i="33"/>
  <c r="M45" i="33"/>
  <c r="N45" i="33"/>
  <c r="O45" i="33"/>
  <c r="P45" i="33"/>
  <c r="Q45" i="33"/>
  <c r="S45" i="33"/>
  <c r="T45" i="33"/>
  <c r="U45" i="33"/>
  <c r="V45" i="33"/>
  <c r="X45" i="33"/>
  <c r="Y45" i="33"/>
  <c r="Z45" i="33"/>
  <c r="B46" i="33"/>
  <c r="D46" i="33"/>
  <c r="E46" i="33"/>
  <c r="F46" i="33"/>
  <c r="G46" i="33"/>
  <c r="H46" i="33"/>
  <c r="I46" i="33"/>
  <c r="K46" i="33"/>
  <c r="L46" i="33"/>
  <c r="M46" i="33"/>
  <c r="N46" i="33"/>
  <c r="O46" i="33"/>
  <c r="P46" i="33"/>
  <c r="Q46" i="33"/>
  <c r="S46" i="33"/>
  <c r="T46" i="33"/>
  <c r="U46" i="33"/>
  <c r="V46" i="33"/>
  <c r="V48" i="33"/>
  <c r="X46" i="33"/>
  <c r="Y46" i="33"/>
  <c r="Y48" i="33"/>
  <c r="Z46" i="33"/>
  <c r="B48" i="33"/>
  <c r="D48" i="33"/>
  <c r="E48" i="33"/>
  <c r="F48" i="33"/>
  <c r="G48" i="33"/>
  <c r="H48" i="33"/>
  <c r="I48" i="33"/>
  <c r="K48" i="33"/>
  <c r="L48" i="33"/>
  <c r="M48" i="33"/>
  <c r="N48" i="33"/>
  <c r="O48" i="33"/>
  <c r="P48" i="33"/>
  <c r="Q48" i="33"/>
  <c r="R48" i="33"/>
  <c r="S48" i="33"/>
  <c r="T48" i="33"/>
  <c r="U48" i="33"/>
  <c r="X48" i="33"/>
  <c r="Z48" i="33"/>
  <c r="S51" i="33"/>
  <c r="T51" i="33"/>
  <c r="U51" i="33"/>
  <c r="V51" i="33"/>
  <c r="W51" i="33"/>
  <c r="B52" i="33"/>
  <c r="B54" i="33"/>
  <c r="B55" i="33"/>
  <c r="D52" i="33"/>
  <c r="E52" i="33"/>
  <c r="F52" i="33"/>
  <c r="H52" i="33"/>
  <c r="I52" i="33"/>
  <c r="L52" i="33"/>
  <c r="M52" i="33"/>
  <c r="O52" i="33"/>
  <c r="P52" i="33"/>
  <c r="Q52" i="33"/>
  <c r="D54" i="33"/>
  <c r="E54" i="33"/>
  <c r="F54" i="33"/>
  <c r="H54" i="33"/>
  <c r="I54" i="33"/>
  <c r="L54" i="33"/>
  <c r="M54" i="33"/>
  <c r="O54" i="33"/>
  <c r="P54" i="33"/>
  <c r="Q54" i="33"/>
  <c r="D55" i="33"/>
  <c r="E55" i="33"/>
  <c r="F55" i="33"/>
  <c r="H55" i="33"/>
  <c r="I55" i="33"/>
  <c r="L55" i="33"/>
  <c r="M55" i="33"/>
  <c r="R55" i="33"/>
  <c r="Y70" i="33"/>
  <c r="Y71" i="33"/>
  <c r="Y65" i="4"/>
  <c r="Y72" i="33" s="1"/>
  <c r="Y75" i="33" s="1"/>
  <c r="Z70" i="33"/>
  <c r="Z71" i="33"/>
  <c r="B72" i="33"/>
  <c r="B73" i="33" s="1"/>
  <c r="C72" i="33"/>
  <c r="C75" i="33" s="1"/>
  <c r="D72" i="33"/>
  <c r="D75" i="33" s="1"/>
  <c r="E72" i="33"/>
  <c r="E75" i="33" s="1"/>
  <c r="F72" i="33"/>
  <c r="F73" i="33" s="1"/>
  <c r="G72" i="33"/>
  <c r="G75" i="33" s="1"/>
  <c r="H72" i="33"/>
  <c r="H75" i="33" s="1"/>
  <c r="I72" i="33"/>
  <c r="I75" i="33" s="1"/>
  <c r="J72" i="33"/>
  <c r="J75" i="33" s="1"/>
  <c r="K72" i="33"/>
  <c r="K73" i="33" s="1"/>
  <c r="L72" i="33"/>
  <c r="L73" i="33" s="1"/>
  <c r="M72" i="33"/>
  <c r="M73" i="33" s="1"/>
  <c r="N72" i="33"/>
  <c r="N73" i="33" s="1"/>
  <c r="O72" i="33"/>
  <c r="O73" i="33" s="1"/>
  <c r="P72" i="33"/>
  <c r="P73" i="33" s="1"/>
  <c r="Q72" i="33"/>
  <c r="Q73" i="33" s="1"/>
  <c r="R72" i="33"/>
  <c r="R73" i="33" s="1"/>
  <c r="S72" i="33"/>
  <c r="T72" i="33"/>
  <c r="T75" i="33" s="1"/>
  <c r="U72" i="33"/>
  <c r="U75" i="33" s="1"/>
  <c r="V72" i="33"/>
  <c r="V73" i="33" s="1"/>
  <c r="B76" i="33"/>
  <c r="C76" i="33"/>
  <c r="D76" i="33"/>
  <c r="E76" i="33"/>
  <c r="F76" i="33"/>
  <c r="G76" i="33"/>
  <c r="H76" i="33"/>
  <c r="I76" i="33"/>
  <c r="J76" i="33"/>
  <c r="K76" i="33"/>
  <c r="L76" i="33"/>
  <c r="M76" i="33"/>
  <c r="N76" i="33"/>
  <c r="O76" i="33"/>
  <c r="P76" i="33"/>
  <c r="Q76" i="33"/>
  <c r="R76" i="33"/>
  <c r="S76" i="33"/>
  <c r="T76" i="33"/>
  <c r="U76" i="33"/>
  <c r="V76" i="33"/>
  <c r="W76" i="33"/>
  <c r="X76" i="33"/>
  <c r="Y76" i="33"/>
  <c r="B77" i="33"/>
  <c r="C77" i="33"/>
  <c r="D77" i="33"/>
  <c r="E77" i="33"/>
  <c r="F77" i="33"/>
  <c r="G77" i="33"/>
  <c r="H77" i="33"/>
  <c r="I77" i="33"/>
  <c r="J77" i="33"/>
  <c r="K77" i="33"/>
  <c r="L77" i="33"/>
  <c r="M77" i="33"/>
  <c r="N77" i="33"/>
  <c r="O77" i="33"/>
  <c r="P77" i="33"/>
  <c r="Q77" i="33"/>
  <c r="Q78" i="33"/>
  <c r="Q79" i="33"/>
  <c r="R77" i="33"/>
  <c r="S77" i="33"/>
  <c r="T77" i="33"/>
  <c r="U77" i="33"/>
  <c r="V77" i="33"/>
  <c r="W77" i="33"/>
  <c r="X77" i="33"/>
  <c r="Y77" i="33"/>
  <c r="Z77" i="33"/>
  <c r="B78" i="33"/>
  <c r="C78" i="33"/>
  <c r="D78" i="33"/>
  <c r="E78" i="33"/>
  <c r="F78" i="33"/>
  <c r="G78" i="33"/>
  <c r="H78" i="33"/>
  <c r="I78" i="33"/>
  <c r="J78" i="33"/>
  <c r="K78" i="33"/>
  <c r="L78" i="33"/>
  <c r="M78" i="33"/>
  <c r="N78" i="33"/>
  <c r="O78" i="33"/>
  <c r="P78" i="33"/>
  <c r="R78" i="33"/>
  <c r="S78" i="33"/>
  <c r="T78" i="33"/>
  <c r="U78" i="33"/>
  <c r="V78" i="33"/>
  <c r="W78" i="33"/>
  <c r="X78" i="33"/>
  <c r="Y78" i="33"/>
  <c r="Z78" i="33"/>
  <c r="B79" i="33"/>
  <c r="C79" i="33"/>
  <c r="D79" i="33"/>
  <c r="E79" i="33"/>
  <c r="F79" i="33"/>
  <c r="G79" i="33"/>
  <c r="H79" i="33"/>
  <c r="I79" i="33"/>
  <c r="J79" i="33"/>
  <c r="K79" i="33"/>
  <c r="L79" i="33"/>
  <c r="M79" i="33"/>
  <c r="N79" i="33"/>
  <c r="O79" i="33"/>
  <c r="P79" i="33"/>
  <c r="R79" i="33"/>
  <c r="S79" i="33"/>
  <c r="T79" i="33"/>
  <c r="U79" i="33"/>
  <c r="V79" i="33"/>
  <c r="W79" i="33"/>
  <c r="X79" i="33"/>
  <c r="Y79" i="33"/>
  <c r="Z79" i="33"/>
  <c r="B85" i="33"/>
  <c r="C85" i="33"/>
  <c r="D85" i="33"/>
  <c r="E85" i="33"/>
  <c r="F85" i="33"/>
  <c r="G85" i="33"/>
  <c r="H85" i="33"/>
  <c r="I85" i="33"/>
  <c r="J85" i="33"/>
  <c r="K85" i="33"/>
  <c r="L85" i="33"/>
  <c r="M85" i="33"/>
  <c r="N85" i="33"/>
  <c r="P85" i="33"/>
  <c r="Q85" i="33"/>
  <c r="Q86" i="33"/>
  <c r="Q87" i="33"/>
  <c r="Q88" i="33"/>
  <c r="R85" i="33"/>
  <c r="S85" i="33"/>
  <c r="T85" i="33"/>
  <c r="V85" i="33"/>
  <c r="W85" i="33"/>
  <c r="Y85" i="33"/>
  <c r="B86" i="33"/>
  <c r="C86" i="33"/>
  <c r="D86" i="33"/>
  <c r="E86" i="33"/>
  <c r="F86" i="33"/>
  <c r="G86" i="33"/>
  <c r="H86" i="33"/>
  <c r="I86" i="33"/>
  <c r="J86" i="33"/>
  <c r="K86" i="33"/>
  <c r="L86" i="33"/>
  <c r="L87" i="33"/>
  <c r="L88" i="33"/>
  <c r="M86" i="33"/>
  <c r="N86" i="33"/>
  <c r="P86" i="33"/>
  <c r="R86" i="33"/>
  <c r="S86" i="33"/>
  <c r="T86" i="33"/>
  <c r="V86" i="33"/>
  <c r="W86" i="33"/>
  <c r="Y86" i="33"/>
  <c r="AA86" i="33"/>
  <c r="B87" i="33"/>
  <c r="C87" i="33"/>
  <c r="D87" i="33"/>
  <c r="E87" i="33"/>
  <c r="F87" i="33"/>
  <c r="G87" i="33"/>
  <c r="H87" i="33"/>
  <c r="I87" i="33"/>
  <c r="J87" i="33"/>
  <c r="K87" i="33"/>
  <c r="M87" i="33"/>
  <c r="N87" i="33"/>
  <c r="P87" i="33"/>
  <c r="R87" i="33"/>
  <c r="S87" i="33"/>
  <c r="T87" i="33"/>
  <c r="V87" i="33"/>
  <c r="V88" i="33"/>
  <c r="W87" i="33"/>
  <c r="Y87" i="33"/>
  <c r="AA87" i="33"/>
  <c r="B88" i="33"/>
  <c r="C88" i="33"/>
  <c r="D88" i="33"/>
  <c r="E88" i="33"/>
  <c r="F88" i="33"/>
  <c r="G88" i="33"/>
  <c r="H88" i="33"/>
  <c r="I88" i="33"/>
  <c r="J88" i="33"/>
  <c r="K88" i="33"/>
  <c r="M88" i="33"/>
  <c r="N88" i="33"/>
  <c r="P88" i="33"/>
  <c r="R88" i="33"/>
  <c r="S88" i="33"/>
  <c r="T88" i="33"/>
  <c r="W88" i="33"/>
  <c r="Y88" i="33"/>
  <c r="AA88" i="33"/>
  <c r="AB88" i="33"/>
  <c r="B93" i="33"/>
  <c r="D93" i="33"/>
  <c r="E93" i="33"/>
  <c r="F93" i="33"/>
  <c r="F100" i="33"/>
  <c r="G93" i="33"/>
  <c r="H93" i="33"/>
  <c r="I93" i="33"/>
  <c r="J93" i="33"/>
  <c r="K93" i="33"/>
  <c r="L93" i="33"/>
  <c r="M93" i="33"/>
  <c r="M100" i="33"/>
  <c r="N93" i="33"/>
  <c r="O93" i="33"/>
  <c r="P93" i="33"/>
  <c r="P100" i="33"/>
  <c r="R93" i="33"/>
  <c r="R100" i="33"/>
  <c r="T93" i="33"/>
  <c r="U93" i="33"/>
  <c r="U100" i="33"/>
  <c r="V93" i="33"/>
  <c r="W93" i="33"/>
  <c r="X93" i="33"/>
  <c r="Y93" i="33"/>
  <c r="Z93" i="33"/>
  <c r="Z94" i="33"/>
  <c r="Z95" i="33"/>
  <c r="Z96" i="33"/>
  <c r="Z97" i="33"/>
  <c r="B95" i="33"/>
  <c r="D95" i="33"/>
  <c r="E95" i="33"/>
  <c r="F95" i="33"/>
  <c r="G95" i="33"/>
  <c r="H95" i="33"/>
  <c r="I95" i="33"/>
  <c r="I96" i="33"/>
  <c r="I97" i="33"/>
  <c r="J95" i="33"/>
  <c r="J96" i="33"/>
  <c r="J97" i="33"/>
  <c r="K95" i="33"/>
  <c r="L95" i="33"/>
  <c r="M95" i="33"/>
  <c r="M59" i="34" s="1"/>
  <c r="M97" i="33" s="1"/>
  <c r="N95" i="33"/>
  <c r="N59" i="34" s="1"/>
  <c r="N97" i="33" s="1"/>
  <c r="O95" i="33"/>
  <c r="P95" i="33"/>
  <c r="P96" i="33"/>
  <c r="P97" i="33"/>
  <c r="R95" i="33"/>
  <c r="T95" i="33"/>
  <c r="U95" i="33"/>
  <c r="V95" i="33"/>
  <c r="V96" i="33"/>
  <c r="V97" i="33"/>
  <c r="W95" i="33"/>
  <c r="X95" i="33"/>
  <c r="X96" i="33"/>
  <c r="X97" i="33"/>
  <c r="Y95" i="33"/>
  <c r="B96" i="33"/>
  <c r="D96" i="33"/>
  <c r="E96" i="33"/>
  <c r="F96" i="33"/>
  <c r="G96" i="33"/>
  <c r="G97" i="33"/>
  <c r="H96" i="33"/>
  <c r="K96" i="33"/>
  <c r="L96" i="33"/>
  <c r="M96" i="33"/>
  <c r="N96" i="33"/>
  <c r="O96" i="33"/>
  <c r="R96" i="33"/>
  <c r="T96" i="33"/>
  <c r="U96" i="33"/>
  <c r="W96" i="33"/>
  <c r="Y96" i="33"/>
  <c r="AA96" i="33"/>
  <c r="B97" i="33"/>
  <c r="D97" i="33"/>
  <c r="E97" i="33"/>
  <c r="F97" i="33"/>
  <c r="H97" i="33"/>
  <c r="K97" i="33"/>
  <c r="L97" i="33"/>
  <c r="O97" i="33"/>
  <c r="R97" i="33"/>
  <c r="T97" i="33"/>
  <c r="U97" i="33"/>
  <c r="W97" i="33"/>
  <c r="Y97" i="33"/>
  <c r="B100" i="33"/>
  <c r="C100" i="33"/>
  <c r="D100" i="33"/>
  <c r="E100" i="33"/>
  <c r="G100" i="33"/>
  <c r="K100" i="33"/>
  <c r="L100" i="33"/>
  <c r="N100" i="33"/>
  <c r="O100" i="33"/>
  <c r="Q100" i="33"/>
  <c r="S100" i="33"/>
  <c r="T100" i="33"/>
  <c r="V100" i="33"/>
  <c r="W100" i="33"/>
  <c r="X100" i="33"/>
  <c r="Y100" i="33"/>
  <c r="B106" i="33"/>
  <c r="C106" i="33"/>
  <c r="D106" i="33"/>
  <c r="E106" i="33"/>
  <c r="F106" i="33"/>
  <c r="G106" i="33"/>
  <c r="H106" i="33"/>
  <c r="I106" i="33"/>
  <c r="J106" i="33"/>
  <c r="K106" i="33"/>
  <c r="L106" i="33"/>
  <c r="M106" i="33"/>
  <c r="N106" i="33"/>
  <c r="O106" i="33"/>
  <c r="P106" i="33"/>
  <c r="Q106" i="33"/>
  <c r="R106" i="33"/>
  <c r="S106" i="33"/>
  <c r="T106" i="33"/>
  <c r="U106" i="33"/>
  <c r="U111" i="33"/>
  <c r="V106" i="33"/>
  <c r="W106" i="33"/>
  <c r="X106" i="33"/>
  <c r="Y106" i="33"/>
  <c r="Z106" i="33"/>
  <c r="B107" i="33"/>
  <c r="C107" i="33"/>
  <c r="D107" i="33"/>
  <c r="D108" i="33"/>
  <c r="D109" i="33"/>
  <c r="D110" i="33"/>
  <c r="D111" i="33"/>
  <c r="E107" i="33"/>
  <c r="F107" i="33"/>
  <c r="G107" i="33"/>
  <c r="H107" i="33"/>
  <c r="I107" i="33"/>
  <c r="J107" i="33"/>
  <c r="K107" i="33"/>
  <c r="L107" i="33"/>
  <c r="L108" i="33"/>
  <c r="L109" i="33"/>
  <c r="L110" i="33"/>
  <c r="L111" i="33"/>
  <c r="M107" i="33"/>
  <c r="N107" i="33"/>
  <c r="O107" i="33"/>
  <c r="Z107" i="33"/>
  <c r="B108" i="33"/>
  <c r="C108" i="33"/>
  <c r="E108" i="33"/>
  <c r="F108" i="33"/>
  <c r="G108" i="33"/>
  <c r="H108" i="33"/>
  <c r="I108" i="33"/>
  <c r="J108" i="33"/>
  <c r="K108" i="33"/>
  <c r="M108" i="33"/>
  <c r="N108" i="33"/>
  <c r="O108" i="33"/>
  <c r="P108" i="33"/>
  <c r="Q108" i="33"/>
  <c r="V108" i="33"/>
  <c r="W108" i="33"/>
  <c r="X108" i="33"/>
  <c r="Y108" i="33"/>
  <c r="Z108" i="33"/>
  <c r="B109" i="33"/>
  <c r="C109" i="33"/>
  <c r="E109" i="33"/>
  <c r="F109" i="33"/>
  <c r="G109" i="33"/>
  <c r="G110" i="33"/>
  <c r="G111" i="33"/>
  <c r="H109" i="33"/>
  <c r="I109" i="33"/>
  <c r="I110" i="33"/>
  <c r="I111" i="33"/>
  <c r="J109" i="33"/>
  <c r="K109" i="33"/>
  <c r="M109" i="33"/>
  <c r="N109" i="33"/>
  <c r="O109" i="33"/>
  <c r="P109" i="33"/>
  <c r="Q109" i="33"/>
  <c r="R109" i="33"/>
  <c r="B110" i="33"/>
  <c r="C110" i="33"/>
  <c r="E110" i="33"/>
  <c r="F110" i="33"/>
  <c r="F111" i="33"/>
  <c r="H110" i="33"/>
  <c r="J110" i="33"/>
  <c r="K110" i="33"/>
  <c r="M110" i="33"/>
  <c r="N110" i="33"/>
  <c r="O110" i="33"/>
  <c r="P110" i="33"/>
  <c r="W110" i="33"/>
  <c r="X110" i="33"/>
  <c r="Y110" i="33"/>
  <c r="Z110" i="33"/>
  <c r="B111" i="33"/>
  <c r="C111" i="33"/>
  <c r="E111" i="33"/>
  <c r="H111" i="33"/>
  <c r="J111" i="33"/>
  <c r="K111" i="33"/>
  <c r="M111" i="33"/>
  <c r="N111" i="33"/>
  <c r="O111" i="33"/>
  <c r="P111" i="33"/>
  <c r="Q111" i="33"/>
  <c r="R111" i="33"/>
  <c r="S111" i="33"/>
  <c r="T111" i="33"/>
  <c r="V111" i="33"/>
  <c r="W111" i="33"/>
  <c r="X111" i="33"/>
  <c r="Y111" i="33"/>
  <c r="Z111" i="33"/>
  <c r="D117" i="33"/>
  <c r="E117" i="33"/>
  <c r="D121" i="33"/>
  <c r="E116" i="33" s="1"/>
  <c r="O117" i="33"/>
  <c r="R117" i="33"/>
  <c r="S117" i="33"/>
  <c r="T117" i="33"/>
  <c r="V117" i="33"/>
  <c r="X117" i="33"/>
  <c r="J119" i="33"/>
  <c r="J125" i="4"/>
  <c r="J117" i="33" s="1"/>
  <c r="R121" i="33"/>
  <c r="S116" i="33" s="1"/>
  <c r="S121" i="33"/>
  <c r="T116" i="33" s="1"/>
  <c r="T121" i="33"/>
  <c r="U116" i="33" s="1"/>
  <c r="U121" i="33"/>
  <c r="V116" i="33" s="1"/>
  <c r="U125" i="4"/>
  <c r="U117" i="33" s="1"/>
  <c r="AA117" i="33"/>
  <c r="X127" i="33"/>
  <c r="Y127" i="33"/>
  <c r="Z127" i="33"/>
  <c r="J128" i="33"/>
  <c r="M128" i="33"/>
  <c r="O128" i="33"/>
  <c r="Q128" i="33"/>
  <c r="R128" i="33" s="1"/>
  <c r="S128" i="33" s="1"/>
  <c r="S130" i="33"/>
  <c r="T124" i="33" s="1"/>
  <c r="R130" i="33"/>
  <c r="S124" i="33" s="1"/>
  <c r="B130" i="33"/>
  <c r="C124" i="33" s="1"/>
  <c r="C130" i="33" s="1"/>
  <c r="D124" i="33" s="1"/>
  <c r="D130" i="33" s="1"/>
  <c r="E124" i="33" s="1"/>
  <c r="E130" i="33" s="1"/>
  <c r="F124" i="33" s="1"/>
  <c r="F130" i="33" s="1"/>
  <c r="G124" i="33" s="1"/>
  <c r="G130" i="33" s="1"/>
  <c r="H124" i="33" s="1"/>
  <c r="O130" i="33"/>
  <c r="P124" i="33" s="1"/>
  <c r="P130" i="33"/>
  <c r="Q124" i="33" s="1"/>
  <c r="Q130" i="33"/>
  <c r="X130" i="33"/>
  <c r="Y124" i="33" s="1"/>
  <c r="Y130" i="33"/>
  <c r="Z124" i="33" s="1"/>
  <c r="Z130" i="33"/>
  <c r="AA124" i="33" s="1"/>
  <c r="B9" i="4"/>
  <c r="B10" i="4" s="1"/>
  <c r="B15" i="4" s="1"/>
  <c r="B28" i="33" s="1"/>
  <c r="C9" i="4"/>
  <c r="C10" i="4" s="1"/>
  <c r="C15" i="4" s="1"/>
  <c r="C20" i="4" s="1"/>
  <c r="C22" i="4" s="1"/>
  <c r="C118" i="4"/>
  <c r="C119" i="4"/>
  <c r="C103" i="4"/>
  <c r="C105" i="4"/>
  <c r="C110" i="4"/>
  <c r="C111" i="4"/>
  <c r="D9" i="4"/>
  <c r="D10" i="4" s="1"/>
  <c r="D15" i="4" s="1"/>
  <c r="D28" i="33" s="1"/>
  <c r="E9" i="4"/>
  <c r="E10" i="4" s="1"/>
  <c r="E15" i="4" s="1"/>
  <c r="E20" i="4" s="1"/>
  <c r="E22" i="4" s="1"/>
  <c r="F9" i="4"/>
  <c r="F10" i="4" s="1"/>
  <c r="F15" i="4" s="1"/>
  <c r="F28" i="33" s="1"/>
  <c r="G9" i="4"/>
  <c r="G10" i="4" s="1"/>
  <c r="G15" i="4" s="1"/>
  <c r="G20" i="4" s="1"/>
  <c r="G22" i="4" s="1"/>
  <c r="G102" i="4" s="1"/>
  <c r="H9" i="4"/>
  <c r="H10" i="4" s="1"/>
  <c r="H15" i="4" s="1"/>
  <c r="H20" i="4" s="1"/>
  <c r="H22" i="4" s="1"/>
  <c r="I9" i="4"/>
  <c r="J9" i="4"/>
  <c r="J10" i="4" s="1"/>
  <c r="J15" i="4" s="1"/>
  <c r="J20" i="4" s="1"/>
  <c r="J22" i="4" s="1"/>
  <c r="J102" i="4" s="1"/>
  <c r="K9" i="4"/>
  <c r="K10" i="4" s="1"/>
  <c r="K15" i="4" s="1"/>
  <c r="K20" i="4" s="1"/>
  <c r="K22" i="4" s="1"/>
  <c r="K24" i="4" s="1"/>
  <c r="K27" i="4" s="1"/>
  <c r="K31" i="4" s="1"/>
  <c r="K58" i="33" s="1"/>
  <c r="M9" i="4"/>
  <c r="M10" i="4" s="1"/>
  <c r="M15" i="4" s="1"/>
  <c r="M20" i="4" s="1"/>
  <c r="M22" i="4" s="1"/>
  <c r="O9" i="4"/>
  <c r="P9" i="4"/>
  <c r="P10" i="4" s="1"/>
  <c r="P15" i="4" s="1"/>
  <c r="P20" i="4" s="1"/>
  <c r="P22" i="4" s="1"/>
  <c r="Q9" i="4"/>
  <c r="R9" i="4"/>
  <c r="S9" i="4"/>
  <c r="S10" i="4" s="1"/>
  <c r="S15" i="4" s="1"/>
  <c r="S28" i="33" s="1"/>
  <c r="T9" i="4"/>
  <c r="T10" i="4" s="1"/>
  <c r="T15" i="4" s="1"/>
  <c r="T28" i="33" s="1"/>
  <c r="U9" i="4"/>
  <c r="U10" i="4" s="1"/>
  <c r="U15" i="4" s="1"/>
  <c r="U20" i="4" s="1"/>
  <c r="U22" i="4" s="1"/>
  <c r="V9" i="4"/>
  <c r="V10" i="4" s="1"/>
  <c r="V15" i="4" s="1"/>
  <c r="V20" i="4" s="1"/>
  <c r="V22" i="4" s="1"/>
  <c r="W9" i="4"/>
  <c r="Y9" i="4"/>
  <c r="Y10" i="4" s="1"/>
  <c r="Y15" i="4" s="1"/>
  <c r="Z9" i="4"/>
  <c r="Z10" i="4" s="1"/>
  <c r="Z15" i="4" s="1"/>
  <c r="Z20" i="4" s="1"/>
  <c r="Z22" i="4" s="1"/>
  <c r="X14" i="4"/>
  <c r="X9" i="4" s="1"/>
  <c r="X25" i="4"/>
  <c r="Y25" i="4"/>
  <c r="Z25" i="4"/>
  <c r="P28" i="4"/>
  <c r="Q28" i="4"/>
  <c r="R28" i="4"/>
  <c r="S28" i="4"/>
  <c r="X28" i="4"/>
  <c r="X118" i="4"/>
  <c r="X121" i="4"/>
  <c r="X122" i="4" s="1"/>
  <c r="X119" i="4"/>
  <c r="Z28" i="4"/>
  <c r="Z30" i="4" s="1"/>
  <c r="J29" i="4"/>
  <c r="H30" i="4"/>
  <c r="I30" i="4"/>
  <c r="T38" i="4"/>
  <c r="T41" i="4" s="1"/>
  <c r="H40" i="4"/>
  <c r="H41" i="4" s="1"/>
  <c r="J40" i="4"/>
  <c r="B41" i="4"/>
  <c r="C41" i="4"/>
  <c r="D41" i="4"/>
  <c r="E41" i="4"/>
  <c r="F41" i="4"/>
  <c r="G41" i="4"/>
  <c r="I41" i="4"/>
  <c r="L41" i="4"/>
  <c r="N41" i="4"/>
  <c r="O41" i="4"/>
  <c r="P41" i="4"/>
  <c r="Q41" i="4"/>
  <c r="R41" i="4"/>
  <c r="U41" i="4"/>
  <c r="V41" i="4"/>
  <c r="W41" i="4"/>
  <c r="X41" i="4"/>
  <c r="Y41" i="4"/>
  <c r="Z41" i="4"/>
  <c r="K45" i="4"/>
  <c r="K46" i="4" s="1"/>
  <c r="L45" i="4"/>
  <c r="L46" i="4" s="1"/>
  <c r="M45" i="4"/>
  <c r="N45" i="4"/>
  <c r="N46" i="4" s="1"/>
  <c r="O45" i="4"/>
  <c r="Q45" i="4"/>
  <c r="R45" i="4"/>
  <c r="S45" i="4"/>
  <c r="U45" i="4"/>
  <c r="V45" i="4"/>
  <c r="V46" i="4"/>
  <c r="T46" i="4"/>
  <c r="U46" i="4"/>
  <c r="P52" i="4"/>
  <c r="P53" i="4" s="1"/>
  <c r="U52" i="4"/>
  <c r="V52" i="4" s="1"/>
  <c r="V53" i="4" s="1"/>
  <c r="B53" i="4"/>
  <c r="B47" i="4" s="1"/>
  <c r="C53" i="4"/>
  <c r="C45" i="4" s="1"/>
  <c r="D53" i="4"/>
  <c r="D47" i="4" s="1"/>
  <c r="E53" i="4"/>
  <c r="F53" i="4"/>
  <c r="F45" i="4" s="1"/>
  <c r="G53" i="4"/>
  <c r="G45" i="4" s="1"/>
  <c r="H53" i="4"/>
  <c r="I53" i="4"/>
  <c r="J53" i="4"/>
  <c r="K53" i="4"/>
  <c r="L53" i="4"/>
  <c r="M53" i="4"/>
  <c r="N53" i="4"/>
  <c r="O53" i="4"/>
  <c r="Q53" i="4"/>
  <c r="R53" i="4"/>
  <c r="S53" i="4"/>
  <c r="T53" i="4"/>
  <c r="H57" i="4"/>
  <c r="H64" i="4" s="1"/>
  <c r="H75" i="4" s="1"/>
  <c r="I57" i="4"/>
  <c r="I64" i="4" s="1"/>
  <c r="I75" i="4" s="1"/>
  <c r="J57" i="4"/>
  <c r="G60" i="4"/>
  <c r="G64" i="4" s="1"/>
  <c r="G75" i="4" s="1"/>
  <c r="P60" i="4"/>
  <c r="P64" i="4" s="1"/>
  <c r="P75" i="4" s="1"/>
  <c r="Q60" i="4"/>
  <c r="R60" i="4"/>
  <c r="S60" i="4"/>
  <c r="S64" i="4" s="1"/>
  <c r="S74" i="4"/>
  <c r="T60" i="4"/>
  <c r="T64" i="4" s="1"/>
  <c r="T74" i="4"/>
  <c r="U60" i="4"/>
  <c r="U74" i="4"/>
  <c r="V60" i="4"/>
  <c r="V64" i="4" s="1"/>
  <c r="V74" i="4"/>
  <c r="W60" i="4"/>
  <c r="W64" i="4" s="1"/>
  <c r="W65" i="4"/>
  <c r="W72" i="33" s="1"/>
  <c r="W73" i="33" s="1"/>
  <c r="W74" i="4"/>
  <c r="W95" i="4"/>
  <c r="W96" i="4" s="1"/>
  <c r="X60" i="4"/>
  <c r="X64" i="4" s="1"/>
  <c r="X65" i="4"/>
  <c r="X72" i="33" s="1"/>
  <c r="X73" i="33" s="1"/>
  <c r="X74" i="4"/>
  <c r="Y60" i="4"/>
  <c r="Y74" i="4"/>
  <c r="Z60" i="4"/>
  <c r="Z64" i="4" s="1"/>
  <c r="B64" i="4"/>
  <c r="B75" i="4" s="1"/>
  <c r="B96" i="4"/>
  <c r="B90" i="4"/>
  <c r="B92" i="4" s="1"/>
  <c r="B84" i="4"/>
  <c r="C64" i="4"/>
  <c r="C75" i="4" s="1"/>
  <c r="D64" i="4"/>
  <c r="D75" i="4" s="1"/>
  <c r="E64" i="4"/>
  <c r="E75" i="4" s="1"/>
  <c r="F64" i="4"/>
  <c r="F75" i="4" s="1"/>
  <c r="K64" i="4"/>
  <c r="K75" i="4" s="1"/>
  <c r="L64" i="4"/>
  <c r="L75" i="4" s="1"/>
  <c r="M64" i="4"/>
  <c r="M75" i="4" s="1"/>
  <c r="N64" i="4"/>
  <c r="N74" i="4"/>
  <c r="O64" i="4"/>
  <c r="O75" i="4" s="1"/>
  <c r="O95" i="4"/>
  <c r="O96" i="4" s="1"/>
  <c r="O90" i="4"/>
  <c r="O92" i="4" s="1"/>
  <c r="O84" i="4"/>
  <c r="Z65" i="4"/>
  <c r="Z72" i="33" s="1"/>
  <c r="Z75" i="33" s="1"/>
  <c r="Z74" i="4"/>
  <c r="G83" i="4"/>
  <c r="G84" i="4" s="1"/>
  <c r="L83" i="4"/>
  <c r="L84" i="4" s="1"/>
  <c r="C84" i="4"/>
  <c r="C96" i="4"/>
  <c r="C90" i="4"/>
  <c r="C92" i="4" s="1"/>
  <c r="D84" i="4"/>
  <c r="E84" i="4"/>
  <c r="F84" i="4"/>
  <c r="H84" i="4"/>
  <c r="I84" i="4"/>
  <c r="J84" i="4"/>
  <c r="K84" i="4"/>
  <c r="M84" i="4"/>
  <c r="N84" i="4"/>
  <c r="P84" i="4"/>
  <c r="Q84" i="4"/>
  <c r="R84" i="4"/>
  <c r="S84" i="4"/>
  <c r="T84" i="4"/>
  <c r="U84" i="4"/>
  <c r="V84" i="4"/>
  <c r="W84" i="4"/>
  <c r="X84" i="4"/>
  <c r="Y84" i="4"/>
  <c r="Z84" i="4"/>
  <c r="D90" i="4"/>
  <c r="D92" i="4" s="1"/>
  <c r="E90" i="4"/>
  <c r="E92" i="4" s="1"/>
  <c r="E96" i="4"/>
  <c r="F90" i="4"/>
  <c r="F92" i="4" s="1"/>
  <c r="F96" i="4"/>
  <c r="G90" i="4"/>
  <c r="G92" i="4" s="1"/>
  <c r="G96" i="4"/>
  <c r="H90" i="4"/>
  <c r="H92" i="4" s="1"/>
  <c r="I90" i="4"/>
  <c r="I92" i="4" s="1"/>
  <c r="J90" i="4"/>
  <c r="J92" i="4" s="1"/>
  <c r="J96" i="4"/>
  <c r="K90" i="4"/>
  <c r="K92" i="4" s="1"/>
  <c r="K95" i="4"/>
  <c r="K96" i="4" s="1"/>
  <c r="L90" i="4"/>
  <c r="L92" i="4" s="1"/>
  <c r="M90" i="4"/>
  <c r="N90" i="4"/>
  <c r="N95" i="4"/>
  <c r="N96" i="4" s="1"/>
  <c r="L95" i="4"/>
  <c r="L96" i="4" s="1"/>
  <c r="M95" i="4"/>
  <c r="M96" i="4" s="1"/>
  <c r="P95" i="4"/>
  <c r="P96" i="4" s="1"/>
  <c r="Q95" i="4"/>
  <c r="Q96" i="4" s="1"/>
  <c r="R95" i="4"/>
  <c r="R96" i="4" s="1"/>
  <c r="S95" i="4"/>
  <c r="S96" i="4" s="1"/>
  <c r="T95" i="4"/>
  <c r="T96" i="4" s="1"/>
  <c r="U95" i="4"/>
  <c r="U96" i="4" s="1"/>
  <c r="V95" i="4"/>
  <c r="V96" i="4" s="1"/>
  <c r="X95" i="4"/>
  <c r="X96" i="4" s="1"/>
  <c r="D96" i="4"/>
  <c r="H96" i="4"/>
  <c r="I96" i="4"/>
  <c r="Y96" i="4"/>
  <c r="Y97" i="4"/>
  <c r="Z96" i="4"/>
  <c r="X97" i="4"/>
  <c r="Z97" i="4"/>
  <c r="B103" i="4"/>
  <c r="D103" i="4"/>
  <c r="E103" i="4"/>
  <c r="F103" i="4"/>
  <c r="G103" i="4"/>
  <c r="H103" i="4"/>
  <c r="I103" i="4"/>
  <c r="J103" i="4"/>
  <c r="K103" i="4"/>
  <c r="M103" i="4"/>
  <c r="N103" i="4"/>
  <c r="O103" i="4"/>
  <c r="P103" i="4"/>
  <c r="R103" i="4"/>
  <c r="R106" i="4"/>
  <c r="S103" i="4"/>
  <c r="T103" i="4"/>
  <c r="T106" i="4"/>
  <c r="U103" i="4"/>
  <c r="U106" i="4"/>
  <c r="V103" i="4"/>
  <c r="V106" i="4"/>
  <c r="W103" i="4"/>
  <c r="X103" i="4"/>
  <c r="Y103" i="4"/>
  <c r="Z103" i="4"/>
  <c r="Z106" i="4"/>
  <c r="Z126" i="4"/>
  <c r="B105" i="4"/>
  <c r="D105" i="4"/>
  <c r="E105" i="4"/>
  <c r="F105" i="4"/>
  <c r="G105" i="4"/>
  <c r="H105" i="4"/>
  <c r="I105" i="4"/>
  <c r="J105" i="4"/>
  <c r="K105" i="4"/>
  <c r="M105" i="4"/>
  <c r="O105" i="4"/>
  <c r="P105" i="4"/>
  <c r="Q105" i="4"/>
  <c r="R105" i="4"/>
  <c r="T105" i="4"/>
  <c r="U105" i="4"/>
  <c r="V105" i="4"/>
  <c r="W105" i="4"/>
  <c r="X105" i="4"/>
  <c r="Y105" i="4"/>
  <c r="Z105" i="4"/>
  <c r="I106" i="4"/>
  <c r="J106" i="4"/>
  <c r="K106" i="4"/>
  <c r="K118" i="4"/>
  <c r="K119" i="4"/>
  <c r="K110" i="4"/>
  <c r="K111" i="4"/>
  <c r="M106" i="4"/>
  <c r="N106" i="4"/>
  <c r="O106" i="4"/>
  <c r="P106" i="4"/>
  <c r="Q106" i="4"/>
  <c r="S106" i="4"/>
  <c r="W106" i="4"/>
  <c r="X106" i="4"/>
  <c r="Y106" i="4"/>
  <c r="D110" i="4"/>
  <c r="E110" i="4"/>
  <c r="F110" i="4"/>
  <c r="G110" i="4"/>
  <c r="H110" i="4"/>
  <c r="I110" i="4"/>
  <c r="J110" i="4"/>
  <c r="M110" i="4"/>
  <c r="N110" i="4"/>
  <c r="O110" i="4"/>
  <c r="P110" i="4"/>
  <c r="Q110" i="4"/>
  <c r="R110" i="4"/>
  <c r="D111" i="4"/>
  <c r="E111" i="4"/>
  <c r="F111" i="4"/>
  <c r="G111" i="4"/>
  <c r="H111" i="4"/>
  <c r="I111" i="4"/>
  <c r="J111" i="4"/>
  <c r="M111" i="4"/>
  <c r="N111" i="4"/>
  <c r="O111" i="4"/>
  <c r="P111" i="4"/>
  <c r="R111" i="4"/>
  <c r="B118" i="4"/>
  <c r="B117" i="4" s="1"/>
  <c r="D118" i="4"/>
  <c r="D119" i="4"/>
  <c r="E118" i="4"/>
  <c r="F118" i="4"/>
  <c r="F119" i="4"/>
  <c r="G118" i="4"/>
  <c r="H118" i="4"/>
  <c r="I118" i="4"/>
  <c r="J118" i="4"/>
  <c r="M118" i="4"/>
  <c r="N118" i="4"/>
  <c r="N119" i="4"/>
  <c r="O118" i="4"/>
  <c r="P118" i="4"/>
  <c r="Q118" i="4"/>
  <c r="Q117" i="4" s="1"/>
  <c r="R118" i="4"/>
  <c r="S118" i="4"/>
  <c r="S121" i="4"/>
  <c r="S119" i="4"/>
  <c r="T118" i="4"/>
  <c r="U118" i="4"/>
  <c r="U121" i="4"/>
  <c r="U122" i="4" s="1"/>
  <c r="U119" i="4"/>
  <c r="V118" i="4"/>
  <c r="W118" i="4"/>
  <c r="W121" i="4"/>
  <c r="W122" i="4" s="1"/>
  <c r="W119" i="4"/>
  <c r="Y118" i="4"/>
  <c r="Z118" i="4"/>
  <c r="E119" i="4"/>
  <c r="G119" i="4"/>
  <c r="H119" i="4"/>
  <c r="I119" i="4"/>
  <c r="J119" i="4"/>
  <c r="M119" i="4"/>
  <c r="O119" i="4"/>
  <c r="P119" i="4"/>
  <c r="T119" i="4"/>
  <c r="V119" i="4"/>
  <c r="Y119" i="4"/>
  <c r="Z119" i="4"/>
  <c r="R121" i="4"/>
  <c r="T121" i="4"/>
  <c r="T122" i="4" s="1"/>
  <c r="V121" i="4"/>
  <c r="V122" i="4" s="1"/>
  <c r="Y121" i="4"/>
  <c r="Z121" i="4"/>
  <c r="Z122" i="4" s="1"/>
  <c r="B124" i="4"/>
  <c r="B127" i="4" s="1"/>
  <c r="B129" i="4" s="1"/>
  <c r="C124" i="4"/>
  <c r="C128" i="4"/>
  <c r="D124" i="4"/>
  <c r="E124" i="4"/>
  <c r="F124" i="4"/>
  <c r="G124" i="4"/>
  <c r="H124" i="4"/>
  <c r="I124" i="4"/>
  <c r="J124" i="4"/>
  <c r="K124" i="4"/>
  <c r="L124" i="4"/>
  <c r="M124" i="4"/>
  <c r="M127" i="4" s="1"/>
  <c r="N124" i="4"/>
  <c r="N127" i="4" s="1"/>
  <c r="N129" i="4" s="1"/>
  <c r="N140" i="4" s="1"/>
  <c r="O124" i="4"/>
  <c r="P124" i="4"/>
  <c r="Q124" i="4"/>
  <c r="R124" i="4"/>
  <c r="S124" i="4"/>
  <c r="T124" i="4"/>
  <c r="T127" i="4"/>
  <c r="U124" i="4"/>
  <c r="U127" i="4"/>
  <c r="V124" i="4"/>
  <c r="V129" i="4" s="1"/>
  <c r="W124" i="4"/>
  <c r="W129" i="4" s="1"/>
  <c r="X124" i="4"/>
  <c r="X129" i="4" s="1"/>
  <c r="X135" i="4"/>
  <c r="X136" i="4"/>
  <c r="Y124" i="4"/>
  <c r="Z124" i="4"/>
  <c r="G125" i="4"/>
  <c r="G117" i="33" s="1"/>
  <c r="Y126" i="4"/>
  <c r="Y127" i="4"/>
  <c r="Q127" i="4"/>
  <c r="Q136" i="4"/>
  <c r="Q137" i="4" s="1"/>
  <c r="R127" i="4"/>
  <c r="S127" i="4"/>
  <c r="D128" i="4"/>
  <c r="E128" i="4"/>
  <c r="F128" i="4"/>
  <c r="G128" i="4"/>
  <c r="H128" i="4"/>
  <c r="H132" i="4"/>
  <c r="H135" i="4"/>
  <c r="I128" i="4"/>
  <c r="J128" i="4"/>
  <c r="K128" i="4"/>
  <c r="G132" i="4"/>
  <c r="G137" i="4" s="1"/>
  <c r="B135" i="4"/>
  <c r="B137" i="4" s="1"/>
  <c r="C135" i="4"/>
  <c r="C137" i="4" s="1"/>
  <c r="D135" i="4"/>
  <c r="D137" i="4" s="1"/>
  <c r="E135" i="4"/>
  <c r="E136" i="4"/>
  <c r="F135" i="4"/>
  <c r="F137" i="4" s="1"/>
  <c r="I135" i="4"/>
  <c r="I137" i="4" s="1"/>
  <c r="J135" i="4"/>
  <c r="K135" i="4"/>
  <c r="L135" i="4"/>
  <c r="L136" i="4"/>
  <c r="Z135" i="4"/>
  <c r="K136" i="4"/>
  <c r="P136" i="4"/>
  <c r="P137" i="4" s="1"/>
  <c r="R136" i="4"/>
  <c r="R137" i="4" s="1"/>
  <c r="U136" i="4"/>
  <c r="U137" i="4" s="1"/>
  <c r="Y139" i="4"/>
  <c r="S157" i="4"/>
  <c r="T157" i="4"/>
  <c r="U157" i="4"/>
  <c r="O158" i="4"/>
  <c r="P158" i="4"/>
  <c r="W153" i="4"/>
  <c r="X153" i="4"/>
  <c r="Y153" i="4"/>
  <c r="Z153" i="4"/>
  <c r="O153" i="4"/>
  <c r="P153" i="4"/>
  <c r="Q153" i="4"/>
  <c r="R153" i="4"/>
  <c r="S153" i="4"/>
  <c r="T153" i="4"/>
  <c r="U153" i="4"/>
  <c r="V153" i="4"/>
  <c r="S163" i="4"/>
  <c r="T163" i="4"/>
  <c r="U163" i="4"/>
  <c r="V163" i="4"/>
  <c r="T146" i="4"/>
  <c r="U146" i="4"/>
  <c r="V146" i="4"/>
  <c r="W146" i="4"/>
  <c r="X146" i="4"/>
  <c r="Y146" i="4"/>
  <c r="Z146" i="4"/>
  <c r="T147" i="4"/>
  <c r="U147" i="4"/>
  <c r="V147" i="4"/>
  <c r="W147" i="4"/>
  <c r="X147" i="4"/>
  <c r="Y147" i="4"/>
  <c r="B9" i="2"/>
  <c r="L19" i="2"/>
  <c r="M19" i="2" s="1"/>
  <c r="N19" i="2" s="1"/>
  <c r="O19" i="2" s="1"/>
  <c r="S6" i="2"/>
  <c r="B18" i="2"/>
  <c r="B53" i="2" s="1"/>
  <c r="B98" i="2" s="1"/>
  <c r="C18" i="2"/>
  <c r="C53" i="2" s="1"/>
  <c r="C98" i="2" s="1"/>
  <c r="D18" i="2"/>
  <c r="D53" i="2" s="1"/>
  <c r="D98" i="2" s="1"/>
  <c r="E18" i="2"/>
  <c r="E53" i="2" s="1"/>
  <c r="E98" i="2" s="1"/>
  <c r="F18" i="2"/>
  <c r="F53" i="2" s="1"/>
  <c r="F98" i="2" s="1"/>
  <c r="G18" i="2"/>
  <c r="G53" i="2" s="1"/>
  <c r="G98" i="2" s="1"/>
  <c r="AA44" i="34"/>
  <c r="S86" i="14"/>
  <c r="S85" i="14"/>
  <c r="AD149" i="37"/>
  <c r="AE149" i="37" s="1"/>
  <c r="AB54" i="35"/>
  <c r="T86" i="14"/>
  <c r="T85" i="14"/>
  <c r="U86" i="14"/>
  <c r="U85" i="14"/>
  <c r="V85" i="14"/>
  <c r="V86" i="14"/>
  <c r="W86" i="14"/>
  <c r="W85" i="14"/>
  <c r="X86" i="14"/>
  <c r="X85" i="14"/>
  <c r="Y86" i="14"/>
  <c r="Y85" i="14"/>
  <c r="Z85" i="14"/>
  <c r="Z86" i="14"/>
  <c r="AB85" i="33"/>
  <c r="C57" i="2" s="1"/>
  <c r="C55" i="2"/>
  <c r="AB57" i="14"/>
  <c r="AB59" i="14" s="1"/>
  <c r="AB84" i="33" s="1"/>
  <c r="C35" i="2" s="1"/>
  <c r="AA95" i="33"/>
  <c r="AA85" i="33"/>
  <c r="B57" i="2" s="1"/>
  <c r="R41" i="14"/>
  <c r="R42" i="14" s="1"/>
  <c r="B64" i="2"/>
  <c r="AB32" i="33"/>
  <c r="AA32" i="33"/>
  <c r="AA26" i="6"/>
  <c r="AA94" i="33"/>
  <c r="V39" i="19"/>
  <c r="V38" i="19" s="1"/>
  <c r="AA46" i="33"/>
  <c r="AC151" i="37"/>
  <c r="AA27" i="6"/>
  <c r="AA82" i="14"/>
  <c r="AA18" i="33"/>
  <c r="AA97" i="33"/>
  <c r="AB151" i="37"/>
  <c r="AA35" i="33"/>
  <c r="AA17" i="33"/>
  <c r="AA79" i="33"/>
  <c r="AA33" i="33"/>
  <c r="AA8" i="33"/>
  <c r="AA78" i="33"/>
  <c r="AB37" i="19"/>
  <c r="AA41" i="19"/>
  <c r="AA42" i="19"/>
  <c r="AA84" i="4"/>
  <c r="AB17" i="33"/>
  <c r="AA22" i="33"/>
  <c r="AA6" i="19"/>
  <c r="AA39" i="19"/>
  <c r="AB132" i="4"/>
  <c r="AC20" i="19"/>
  <c r="AA7" i="34"/>
  <c r="AA6" i="34" s="1"/>
  <c r="AA107" i="33"/>
  <c r="AB111" i="33"/>
  <c r="AA45" i="33"/>
  <c r="AB86" i="33"/>
  <c r="AA44" i="33"/>
  <c r="AA153" i="4"/>
  <c r="AA77" i="33"/>
  <c r="B62" i="2"/>
  <c r="B79" i="2"/>
  <c r="AY9" i="23"/>
  <c r="AA43" i="33"/>
  <c r="B55" i="2"/>
  <c r="AY4" i="23"/>
  <c r="AY3" i="23"/>
  <c r="AA12" i="23"/>
  <c r="AA6" i="33"/>
  <c r="AA7" i="33"/>
  <c r="B103" i="2"/>
  <c r="AA57" i="14"/>
  <c r="AA59" i="14" s="1"/>
  <c r="AA84" i="33" s="1"/>
  <c r="B70" i="2"/>
  <c r="B78" i="2" s="1"/>
  <c r="AA46" i="14"/>
  <c r="AA76" i="33" s="1"/>
  <c r="AA3" i="14"/>
  <c r="AA15" i="14"/>
  <c r="B71" i="2"/>
  <c r="AA41" i="6"/>
  <c r="AA36" i="6" s="1"/>
  <c r="AA37" i="6" s="1"/>
  <c r="B100" i="2" s="1"/>
  <c r="B99" i="2"/>
  <c r="AA46" i="6"/>
  <c r="AA51" i="33" s="1"/>
  <c r="AA8" i="19"/>
  <c r="AA9" i="19" s="1"/>
  <c r="AA26" i="10"/>
  <c r="B33" i="2"/>
  <c r="B34" i="2"/>
  <c r="AA42" i="33"/>
  <c r="B36" i="2"/>
  <c r="AA85" i="14"/>
  <c r="AA86" i="14"/>
  <c r="AA70" i="14"/>
  <c r="AA110" i="19"/>
  <c r="AA96" i="19"/>
  <c r="AA111" i="19"/>
  <c r="AA97" i="19"/>
  <c r="AA112" i="19"/>
  <c r="AA98" i="19"/>
  <c r="AA114" i="19"/>
  <c r="AA120" i="19"/>
  <c r="AA115" i="19"/>
  <c r="AA121" i="19"/>
  <c r="AA116" i="19"/>
  <c r="AA122" i="19"/>
  <c r="B28" i="2"/>
  <c r="B26" i="2"/>
  <c r="AB9" i="33"/>
  <c r="AB82" i="14"/>
  <c r="C103" i="2"/>
  <c r="C28" i="2"/>
  <c r="AB78" i="33"/>
  <c r="AC84" i="19"/>
  <c r="AD84" i="19" s="1"/>
  <c r="AE84" i="19" s="1"/>
  <c r="AF84" i="19" s="1"/>
  <c r="AC54" i="35"/>
  <c r="AB97" i="33"/>
  <c r="AB146" i="4"/>
  <c r="AB96" i="4"/>
  <c r="AB165" i="4"/>
  <c r="AB90" i="19"/>
  <c r="AB79" i="33"/>
  <c r="AB46" i="14"/>
  <c r="AB76" i="33" s="1"/>
  <c r="AB77" i="33"/>
  <c r="Y74" i="19"/>
  <c r="Z74" i="19"/>
  <c r="C70" i="2"/>
  <c r="C78" i="2" s="1"/>
  <c r="AZ4" i="23"/>
  <c r="AB105" i="4"/>
  <c r="C36" i="2"/>
  <c r="AB35" i="33"/>
  <c r="AB8" i="33"/>
  <c r="AB6" i="33"/>
  <c r="AB7" i="33"/>
  <c r="C64" i="2"/>
  <c r="AB84" i="4"/>
  <c r="C62" i="2"/>
  <c r="C79" i="2"/>
  <c r="AB25" i="37"/>
  <c r="AB96" i="33"/>
  <c r="AB45" i="33"/>
  <c r="AZ3" i="23"/>
  <c r="AB43" i="33"/>
  <c r="AZ9" i="23"/>
  <c r="AB12" i="23"/>
  <c r="AB33" i="33"/>
  <c r="AB44" i="33"/>
  <c r="AB153" i="4"/>
  <c r="AB26" i="10"/>
  <c r="AB8" i="19"/>
  <c r="AB9" i="19" s="1"/>
  <c r="AB42" i="19"/>
  <c r="AB41" i="19"/>
  <c r="AB61" i="19"/>
  <c r="AB96" i="19"/>
  <c r="AB121" i="19"/>
  <c r="AB97" i="19"/>
  <c r="AB122" i="19"/>
  <c r="AB98" i="19"/>
  <c r="AB74" i="19"/>
  <c r="AA74" i="19"/>
  <c r="V6" i="19"/>
  <c r="V5" i="19" s="1"/>
  <c r="V4" i="10" s="1"/>
  <c r="D64" i="2"/>
  <c r="D55" i="2"/>
  <c r="AC132" i="4"/>
  <c r="X39" i="19"/>
  <c r="AC96" i="33"/>
  <c r="AC94" i="33"/>
  <c r="AC95" i="33"/>
  <c r="AC97" i="33"/>
  <c r="T62" i="19"/>
  <c r="I6" i="19"/>
  <c r="AB39" i="19"/>
  <c r="D62" i="2"/>
  <c r="AC146" i="4"/>
  <c r="AC105" i="4"/>
  <c r="AC153" i="4"/>
  <c r="AC96" i="4"/>
  <c r="AC38" i="34"/>
  <c r="BA8" i="23"/>
  <c r="D79" i="2"/>
  <c r="AD20" i="19"/>
  <c r="BA4" i="23"/>
  <c r="BA9" i="23"/>
  <c r="AC26" i="10"/>
  <c r="AD87" i="33"/>
  <c r="AB41" i="14"/>
  <c r="AB39" i="14" s="1"/>
  <c r="AD23" i="33"/>
  <c r="AB69" i="19"/>
  <c r="R49" i="14"/>
  <c r="R50" i="14" s="1"/>
  <c r="AC42" i="23"/>
  <c r="AC50" i="23"/>
  <c r="AC31" i="35"/>
  <c r="AH2" i="35"/>
  <c r="AC32" i="35"/>
  <c r="AC11" i="37"/>
  <c r="AC158" i="37" s="1"/>
  <c r="AC159" i="37" s="1"/>
  <c r="AC23" i="33"/>
  <c r="U76" i="2"/>
  <c r="D28" i="2"/>
  <c r="AC82" i="14"/>
  <c r="AC27" i="6"/>
  <c r="AC14" i="33"/>
  <c r="D70" i="2"/>
  <c r="D78" i="2" s="1"/>
  <c r="AC46" i="14"/>
  <c r="AC48" i="14" s="1"/>
  <c r="AC3" i="14"/>
  <c r="AC74" i="19"/>
  <c r="AC41" i="19"/>
  <c r="AC42" i="19"/>
  <c r="AD37" i="19"/>
  <c r="AD29" i="10"/>
  <c r="AE29" i="10" s="1"/>
  <c r="AF29" i="10" s="1"/>
  <c r="AC25" i="6"/>
  <c r="AC26" i="6"/>
  <c r="D33" i="2"/>
  <c r="AC12" i="6"/>
  <c r="AC13" i="6" s="1"/>
  <c r="AC15" i="6" s="1"/>
  <c r="AC42" i="33"/>
  <c r="D34" i="2"/>
  <c r="D99" i="2"/>
  <c r="B46" i="2"/>
  <c r="B48" i="2" s="1"/>
  <c r="AC41" i="6"/>
  <c r="AC36" i="6" s="1"/>
  <c r="AC37" i="6" s="1"/>
  <c r="D100" i="2" s="1"/>
  <c r="AC46" i="6"/>
  <c r="AC51" i="33" s="1"/>
  <c r="AC43" i="6"/>
  <c r="AC61" i="19"/>
  <c r="AC115" i="19"/>
  <c r="AC116" i="19"/>
  <c r="AC114" i="19"/>
  <c r="AC121" i="19"/>
  <c r="AC107" i="19" s="1"/>
  <c r="AC111" i="19"/>
  <c r="AC110" i="19"/>
  <c r="AC122" i="19"/>
  <c r="AC108" i="19" s="1"/>
  <c r="AC112" i="19"/>
  <c r="AC120" i="19"/>
  <c r="AC106" i="19" s="1"/>
  <c r="T55" i="19"/>
  <c r="T64" i="19" s="1"/>
  <c r="L23" i="10"/>
  <c r="L32" i="19" s="1"/>
  <c r="V28" i="6"/>
  <c r="X22" i="10"/>
  <c r="X19" i="19" s="1"/>
  <c r="AU5" i="23"/>
  <c r="AC15" i="10"/>
  <c r="AC19" i="10" s="1"/>
  <c r="AA22" i="10"/>
  <c r="AA19" i="19" s="1"/>
  <c r="V3" i="10"/>
  <c r="V38" i="10"/>
  <c r="V56" i="10" s="1"/>
  <c r="AC165" i="4"/>
  <c r="AD56" i="33"/>
  <c r="AE56" i="33" s="1"/>
  <c r="AC8" i="37"/>
  <c r="AC12" i="37" s="1"/>
  <c r="E103" i="2"/>
  <c r="X53" i="10"/>
  <c r="AB52" i="10"/>
  <c r="AB50" i="10"/>
  <c r="P67" i="14"/>
  <c r="W3" i="10"/>
  <c r="W50" i="10"/>
  <c r="X52" i="10"/>
  <c r="X51" i="10"/>
  <c r="AF28" i="6"/>
  <c r="W29" i="6"/>
  <c r="X29" i="6" s="1"/>
  <c r="Y29" i="6" s="1"/>
  <c r="Z29" i="6" s="1"/>
  <c r="AA29" i="6" s="1"/>
  <c r="AB29" i="6" s="1"/>
  <c r="AC29" i="6" s="1"/>
  <c r="AC41" i="34"/>
  <c r="AD41" i="34" s="1"/>
  <c r="AE41" i="34" s="1"/>
  <c r="AF41" i="34" s="1"/>
  <c r="AG41" i="34" s="1"/>
  <c r="AH41" i="34" s="1"/>
  <c r="AI41" i="34" s="1"/>
  <c r="AJ41" i="34" s="1"/>
  <c r="AK41" i="34" s="1"/>
  <c r="AL41" i="34" s="1"/>
  <c r="AM41" i="34" s="1"/>
  <c r="AN41" i="34" s="1"/>
  <c r="AD67" i="37"/>
  <c r="AD80" i="37" s="1"/>
  <c r="AC97" i="19"/>
  <c r="AC96" i="19"/>
  <c r="AA102" i="19"/>
  <c r="R68" i="14"/>
  <c r="Q68" i="14" s="1"/>
  <c r="AB22" i="10"/>
  <c r="AB19" i="19" s="1"/>
  <c r="L38" i="10"/>
  <c r="L49" i="19" s="1"/>
  <c r="AA38" i="10"/>
  <c r="AA56" i="10" s="1"/>
  <c r="V53" i="10"/>
  <c r="V22" i="10"/>
  <c r="V19" i="19" s="1"/>
  <c r="AA51" i="10"/>
  <c r="AD132" i="4"/>
  <c r="AD22" i="33"/>
  <c r="AE36" i="34"/>
  <c r="S60" i="34"/>
  <c r="AF129" i="37"/>
  <c r="AG129" i="37" s="1"/>
  <c r="AG74" i="37" s="1"/>
  <c r="AD74" i="37"/>
  <c r="AD87" i="37" s="1"/>
  <c r="AF9" i="23"/>
  <c r="AC134" i="37"/>
  <c r="AC66" i="37" s="1"/>
  <c r="AB66" i="37"/>
  <c r="AB79" i="37" s="1"/>
  <c r="D51" i="10"/>
  <c r="G103" i="2"/>
  <c r="T61" i="19"/>
  <c r="C25" i="2"/>
  <c r="AE37" i="10"/>
  <c r="AF37" i="10" s="1"/>
  <c r="T6" i="19"/>
  <c r="V23" i="23"/>
  <c r="V29" i="23" s="1"/>
  <c r="V52" i="33" s="1"/>
  <c r="AE9" i="33"/>
  <c r="AE111" i="33"/>
  <c r="AD111" i="33"/>
  <c r="AC9" i="35"/>
  <c r="AD9" i="35" s="1"/>
  <c r="AY8" i="23"/>
  <c r="AA108" i="33"/>
  <c r="AD66" i="23"/>
  <c r="AF59" i="23"/>
  <c r="AR8" i="23"/>
  <c r="AB86" i="37"/>
  <c r="AD75" i="37"/>
  <c r="AE88" i="37" s="1"/>
  <c r="AD70" i="37"/>
  <c r="AD67" i="14" s="1"/>
  <c r="AB164" i="37"/>
  <c r="AB109" i="33"/>
  <c r="Y98" i="19"/>
  <c r="Y122" i="19"/>
  <c r="Y112" i="19"/>
  <c r="F103" i="2"/>
  <c r="AD26" i="6"/>
  <c r="AC38" i="14"/>
  <c r="AC107" i="33"/>
  <c r="AD94" i="33"/>
  <c r="AD57" i="14"/>
  <c r="AD59" i="14" s="1"/>
  <c r="AD84" i="33" s="1"/>
  <c r="E35" i="2" s="1"/>
  <c r="AA34" i="14"/>
  <c r="AA33" i="14" s="1"/>
  <c r="V51" i="10"/>
  <c r="V50" i="10"/>
  <c r="V52" i="10"/>
  <c r="V23" i="10"/>
  <c r="V32" i="19" s="1"/>
  <c r="AA7" i="10"/>
  <c r="Y3" i="10"/>
  <c r="Y23" i="10"/>
  <c r="Y32" i="19" s="1"/>
  <c r="C38" i="10"/>
  <c r="C49" i="19" s="1"/>
  <c r="X38" i="10"/>
  <c r="X56" i="10" s="1"/>
  <c r="X23" i="10"/>
  <c r="X32" i="19" s="1"/>
  <c r="X50" i="10"/>
  <c r="C99" i="2"/>
  <c r="AD27" i="6"/>
  <c r="AD124" i="33"/>
  <c r="AD69" i="4"/>
  <c r="AD127" i="4" s="1"/>
  <c r="AH5" i="35"/>
  <c r="AH9" i="33" s="1"/>
  <c r="AD37" i="23"/>
  <c r="AD36" i="10"/>
  <c r="AD3" i="10" s="1"/>
  <c r="AC8" i="35"/>
  <c r="AI6" i="35"/>
  <c r="AJ6" i="35" s="1"/>
  <c r="AK6" i="35" s="1"/>
  <c r="AL6" i="35" s="1"/>
  <c r="AM6" i="35" s="1"/>
  <c r="AN6" i="35" s="1"/>
  <c r="AF15" i="35"/>
  <c r="AG15" i="35" s="1"/>
  <c r="AG111" i="33" s="1"/>
  <c r="AG112" i="33" s="1"/>
  <c r="AE35" i="34"/>
  <c r="AH35" i="34"/>
  <c r="AH29" i="34" s="1"/>
  <c r="AI29" i="34" s="1"/>
  <c r="AF58" i="23"/>
  <c r="AG58" i="23" s="1"/>
  <c r="AE85" i="33"/>
  <c r="F57" i="2" s="1"/>
  <c r="AA15" i="33"/>
  <c r="AA89" i="23"/>
  <c r="AA90" i="23" s="1"/>
  <c r="AA23" i="23"/>
  <c r="B54" i="2" s="1"/>
  <c r="AY5" i="23"/>
  <c r="AV21" i="23"/>
  <c r="AE22" i="33"/>
  <c r="AE71" i="37"/>
  <c r="AE84" i="37" s="1"/>
  <c r="AU68" i="37"/>
  <c r="AC81" i="37"/>
  <c r="AE67" i="37"/>
  <c r="AE80" i="37" s="1"/>
  <c r="AF131" i="37"/>
  <c r="AF11" i="37"/>
  <c r="AH23" i="33"/>
  <c r="AC84" i="37"/>
  <c r="AD73" i="37"/>
  <c r="T109" i="33"/>
  <c r="AD68" i="37"/>
  <c r="AD81" i="37" s="1"/>
  <c r="I26" i="10"/>
  <c r="J4" i="19"/>
  <c r="D4" i="19"/>
  <c r="X102" i="19"/>
  <c r="X100" i="19"/>
  <c r="Y100" i="19"/>
  <c r="Y77" i="19"/>
  <c r="X101" i="19"/>
  <c r="K4" i="19"/>
  <c r="AB100" i="19"/>
  <c r="AC82" i="19"/>
  <c r="AC15" i="14"/>
  <c r="AB25" i="6"/>
  <c r="AB15" i="14"/>
  <c r="AB86" i="14"/>
  <c r="AB85" i="14"/>
  <c r="AB70" i="14"/>
  <c r="R64" i="14"/>
  <c r="Q64" i="14" s="1"/>
  <c r="U116" i="14"/>
  <c r="T118" i="14"/>
  <c r="Q4" i="14"/>
  <c r="AD14" i="10"/>
  <c r="AD19" i="10"/>
  <c r="O51" i="10"/>
  <c r="Q53" i="10"/>
  <c r="Q3" i="10"/>
  <c r="Q38" i="10"/>
  <c r="Q56" i="10" s="1"/>
  <c r="AB38" i="10"/>
  <c r="AB53" i="19" s="1"/>
  <c r="AB53" i="10"/>
  <c r="AB23" i="10"/>
  <c r="AB32" i="19" s="1"/>
  <c r="AB51" i="10"/>
  <c r="AB45" i="10"/>
  <c r="AA53" i="10"/>
  <c r="AA3" i="10"/>
  <c r="AA23" i="10"/>
  <c r="AA32" i="19" s="1"/>
  <c r="AA52" i="10"/>
  <c r="AA50" i="10"/>
  <c r="Q11" i="6"/>
  <c r="Q12" i="6" s="1"/>
  <c r="Q13" i="6" s="1"/>
  <c r="P12" i="6"/>
  <c r="P13" i="6" s="1"/>
  <c r="AB4" i="33"/>
  <c r="AB4" i="4" s="1"/>
  <c r="AD16" i="33"/>
  <c r="AF71" i="37"/>
  <c r="AF84" i="37" s="1"/>
  <c r="AE23" i="33"/>
  <c r="AD25" i="37"/>
  <c r="AD14" i="33"/>
  <c r="H103" i="2"/>
  <c r="AE57" i="14"/>
  <c r="AE59" i="14" s="1"/>
  <c r="AE84" i="33" s="1"/>
  <c r="F35" i="2" s="1"/>
  <c r="P6" i="19"/>
  <c r="AH3" i="35"/>
  <c r="AD84" i="23"/>
  <c r="AD95" i="33" s="1"/>
  <c r="X138" i="37"/>
  <c r="X68" i="37"/>
  <c r="X81" i="37" s="1"/>
  <c r="D26" i="2"/>
  <c r="AC117" i="33"/>
  <c r="AB8" i="10"/>
  <c r="AB9" i="10" s="1"/>
  <c r="E70" i="2"/>
  <c r="E78" i="2" s="1"/>
  <c r="AE14" i="33"/>
  <c r="AD85" i="33"/>
  <c r="E57" i="2" s="1"/>
  <c r="BB8" i="23"/>
  <c r="AD108" i="33"/>
  <c r="BB4" i="23"/>
  <c r="E55" i="2"/>
  <c r="AD17" i="33"/>
  <c r="AD77" i="33"/>
  <c r="E79" i="2"/>
  <c r="E62" i="2"/>
  <c r="AD12" i="23"/>
  <c r="BB3" i="23"/>
  <c r="AD25" i="6"/>
  <c r="AD15" i="14"/>
  <c r="AD6" i="33"/>
  <c r="BB9" i="23"/>
  <c r="AD43" i="33"/>
  <c r="AD8" i="19"/>
  <c r="AD72" i="4" s="1"/>
  <c r="AD61" i="4" s="1"/>
  <c r="AD26" i="10"/>
  <c r="AD97" i="33"/>
  <c r="AE74" i="37"/>
  <c r="AE87" i="37" s="1"/>
  <c r="AE70" i="37"/>
  <c r="AF70" i="37"/>
  <c r="AD96" i="33"/>
  <c r="AD33" i="33"/>
  <c r="AD105" i="4"/>
  <c r="AD146" i="4"/>
  <c r="AD8" i="33"/>
  <c r="AD45" i="33"/>
  <c r="AD44" i="33"/>
  <c r="AD7" i="33"/>
  <c r="AD78" i="33"/>
  <c r="AE20" i="19"/>
  <c r="AF20" i="19"/>
  <c r="AI26" i="4"/>
  <c r="AJ26" i="4" s="1"/>
  <c r="AK26" i="4" s="1"/>
  <c r="AL26" i="4" s="1"/>
  <c r="AM26" i="4" s="1"/>
  <c r="AN26" i="4" s="1"/>
  <c r="E34" i="2"/>
  <c r="AD96" i="4"/>
  <c r="E99" i="2"/>
  <c r="AD41" i="6"/>
  <c r="AD36" i="6" s="1"/>
  <c r="AD37" i="6" s="1"/>
  <c r="E100" i="2" s="1"/>
  <c r="AD46" i="6"/>
  <c r="AD51" i="33" s="1"/>
  <c r="AD43" i="6"/>
  <c r="E33" i="2"/>
  <c r="E83" i="2" s="1"/>
  <c r="AD8" i="10"/>
  <c r="AD79" i="33"/>
  <c r="AC9" i="19"/>
  <c r="AA100" i="33"/>
  <c r="AF61" i="23"/>
  <c r="AD54" i="35"/>
  <c r="AE54" i="35"/>
  <c r="Y55" i="19"/>
  <c r="Y64" i="19" s="1"/>
  <c r="AB31" i="19"/>
  <c r="AI89" i="19"/>
  <c r="AJ89" i="19" s="1"/>
  <c r="AK89" i="19" s="1"/>
  <c r="AL89" i="19" s="1"/>
  <c r="AM89" i="19" s="1"/>
  <c r="AN89" i="19" s="1"/>
  <c r="AB81" i="37"/>
  <c r="O6" i="19"/>
  <c r="O52" i="10"/>
  <c r="O50" i="10"/>
  <c r="O38" i="10"/>
  <c r="O55" i="10" s="1"/>
  <c r="O53" i="10"/>
  <c r="O3" i="10"/>
  <c r="S55" i="19"/>
  <c r="S65" i="19" s="1"/>
  <c r="AD46" i="14"/>
  <c r="AD48" i="14" s="1"/>
  <c r="AD3" i="14"/>
  <c r="AE27" i="6"/>
  <c r="Z87" i="37"/>
  <c r="Z102" i="19"/>
  <c r="Z100" i="19"/>
  <c r="Z77" i="19"/>
  <c r="R69" i="37"/>
  <c r="R67" i="14"/>
  <c r="AA101" i="19"/>
  <c r="AA77" i="19"/>
  <c r="AA100" i="19"/>
  <c r="F36" i="6"/>
  <c r="F37" i="6"/>
  <c r="Q50" i="10"/>
  <c r="Q51" i="10"/>
  <c r="Z100" i="33"/>
  <c r="L4" i="19"/>
  <c r="K26" i="10"/>
  <c r="X83" i="37"/>
  <c r="AI5" i="37"/>
  <c r="AJ5" i="37" s="1"/>
  <c r="AK5" i="37" s="1"/>
  <c r="AL5" i="37" s="1"/>
  <c r="AM5" i="37" s="1"/>
  <c r="AN5" i="37" s="1"/>
  <c r="AD8" i="37"/>
  <c r="AD12" i="37" s="1"/>
  <c r="AB15" i="33"/>
  <c r="AB89" i="23"/>
  <c r="AB90" i="23" s="1"/>
  <c r="AF27" i="6"/>
  <c r="B22" i="2"/>
  <c r="AE109" i="33"/>
  <c r="AC37" i="37"/>
  <c r="AE26" i="6"/>
  <c r="AD39" i="14"/>
  <c r="AD107" i="33"/>
  <c r="F70" i="2"/>
  <c r="F78" i="2" s="1"/>
  <c r="AE46" i="14"/>
  <c r="AE76" i="33" s="1"/>
  <c r="AD35" i="33"/>
  <c r="AD41" i="19"/>
  <c r="AE37" i="19"/>
  <c r="AD42" i="19"/>
  <c r="AS16" i="23"/>
  <c r="AV16" i="23" s="1"/>
  <c r="AY16" i="23" s="1"/>
  <c r="AY21" i="23"/>
  <c r="AE132" i="4"/>
  <c r="O137" i="4"/>
  <c r="AY51" i="23"/>
  <c r="AX21" i="23"/>
  <c r="AR16" i="23"/>
  <c r="AU16" i="23" s="1"/>
  <c r="AX16" i="23" s="1"/>
  <c r="BA21" i="23"/>
  <c r="AH36" i="34"/>
  <c r="AF68" i="37"/>
  <c r="AF81" i="37" s="1"/>
  <c r="AE68" i="37"/>
  <c r="AE81" i="37" s="1"/>
  <c r="AE96" i="33"/>
  <c r="AE73" i="37"/>
  <c r="AE86" i="37" s="1"/>
  <c r="AE37" i="23"/>
  <c r="L3" i="10"/>
  <c r="L53" i="10"/>
  <c r="AB18" i="33"/>
  <c r="AJ121" i="37"/>
  <c r="AE46" i="33"/>
  <c r="AF73" i="37"/>
  <c r="AF86" i="37" s="1"/>
  <c r="AE15" i="33"/>
  <c r="F55" i="2"/>
  <c r="BC4" i="23"/>
  <c r="R24" i="33"/>
  <c r="AF132" i="4"/>
  <c r="C27" i="2"/>
  <c r="E26" i="2"/>
  <c r="AD117" i="33"/>
  <c r="C23" i="2"/>
  <c r="C24" i="2" s="1"/>
  <c r="AB106" i="33"/>
  <c r="AD106" i="33"/>
  <c r="Z137" i="4"/>
  <c r="B27" i="2"/>
  <c r="AI16" i="4"/>
  <c r="AJ16" i="4" s="1"/>
  <c r="AJ107" i="4"/>
  <c r="AK107" i="4" s="1"/>
  <c r="AL107" i="4" s="1"/>
  <c r="AM107" i="4" s="1"/>
  <c r="AN107" i="4" s="1"/>
  <c r="AF54" i="35"/>
  <c r="AF62" i="35" s="1"/>
  <c r="AE25" i="37"/>
  <c r="AE36" i="10"/>
  <c r="AE50" i="10" s="1"/>
  <c r="F6" i="10"/>
  <c r="AE35" i="33"/>
  <c r="AE79" i="33"/>
  <c r="AE78" i="33"/>
  <c r="AF82" i="14"/>
  <c r="AE16" i="33"/>
  <c r="BC3" i="23"/>
  <c r="AE6" i="33"/>
  <c r="AE12" i="6"/>
  <c r="AE13" i="6" s="1"/>
  <c r="BC7" i="23"/>
  <c r="AE12" i="23"/>
  <c r="F26" i="2"/>
  <c r="AE24" i="23"/>
  <c r="AE108" i="33" s="1"/>
  <c r="AH86" i="33"/>
  <c r="AF86" i="33"/>
  <c r="AF35" i="33"/>
  <c r="AE75" i="37"/>
  <c r="AF88" i="37" s="1"/>
  <c r="AI88" i="37" s="1"/>
  <c r="AJ88" i="37" s="1"/>
  <c r="AK88" i="37" s="1"/>
  <c r="AL88" i="37" s="1"/>
  <c r="AM88" i="37" s="1"/>
  <c r="AN88" i="37" s="1"/>
  <c r="D20" i="4"/>
  <c r="D22" i="4" s="1"/>
  <c r="H6" i="19"/>
  <c r="AA40" i="37"/>
  <c r="AA42" i="37" s="1"/>
  <c r="AE64" i="19"/>
  <c r="AE15" i="14"/>
  <c r="AF75" i="37"/>
  <c r="AE33" i="33"/>
  <c r="F33" i="2"/>
  <c r="F83" i="2" s="1"/>
  <c r="H57" i="2"/>
  <c r="AJ132" i="37"/>
  <c r="AK132" i="37" s="1"/>
  <c r="AL132" i="37" s="1"/>
  <c r="AM132" i="37" s="1"/>
  <c r="AN132" i="37" s="1"/>
  <c r="AF36" i="10"/>
  <c r="F34" i="2"/>
  <c r="AE42" i="33"/>
  <c r="AF85" i="33"/>
  <c r="G57" i="2" s="1"/>
  <c r="AF24" i="23"/>
  <c r="AH85" i="33"/>
  <c r="AF25" i="37"/>
  <c r="AF124" i="33"/>
  <c r="G70" i="2"/>
  <c r="G78" i="2" s="1"/>
  <c r="AF46" i="14"/>
  <c r="AF48" i="14" s="1"/>
  <c r="AF3" i="14"/>
  <c r="AG4" i="14" s="1"/>
  <c r="AF107" i="33"/>
  <c r="AF39" i="14"/>
  <c r="AF26" i="6"/>
  <c r="AF19" i="19"/>
  <c r="AF112" i="4" s="1"/>
  <c r="AI85" i="33"/>
  <c r="J57" i="2" s="1"/>
  <c r="AF78" i="33"/>
  <c r="AF25" i="6"/>
  <c r="AE7" i="33"/>
  <c r="AE44" i="33"/>
  <c r="F99" i="2"/>
  <c r="AE41" i="6"/>
  <c r="AE36" i="6" s="1"/>
  <c r="AE37" i="6" s="1"/>
  <c r="F100" i="2" s="1"/>
  <c r="AE43" i="6"/>
  <c r="AE46" i="6"/>
  <c r="AE7" i="10"/>
  <c r="AE41" i="19"/>
  <c r="AE42" i="19"/>
  <c r="AF37" i="19"/>
  <c r="AF41" i="19"/>
  <c r="AF42" i="19"/>
  <c r="AG37" i="19"/>
  <c r="AG38" i="19" s="1"/>
  <c r="AE26" i="10"/>
  <c r="AE8" i="19"/>
  <c r="AE61" i="4" s="1"/>
  <c r="AE72" i="4" s="1"/>
  <c r="AF4" i="19"/>
  <c r="AF12" i="6"/>
  <c r="AF13" i="6" s="1"/>
  <c r="AF26" i="10"/>
  <c r="AF8" i="19"/>
  <c r="AF61" i="4" s="1"/>
  <c r="AF72" i="4" s="1"/>
  <c r="G33" i="2"/>
  <c r="G83" i="2" s="1"/>
  <c r="G34" i="2"/>
  <c r="AE97" i="33"/>
  <c r="F27" i="2"/>
  <c r="AE6" i="23"/>
  <c r="AF53" i="23"/>
  <c r="AI26" i="23"/>
  <c r="AF15" i="14"/>
  <c r="AI74" i="33"/>
  <c r="AI74" i="4" s="1"/>
  <c r="AE146" i="4"/>
  <c r="BC9" i="23"/>
  <c r="AE43" i="33"/>
  <c r="AE105" i="4"/>
  <c r="F79" i="2"/>
  <c r="F62" i="2"/>
  <c r="AE77" i="33"/>
  <c r="AE8" i="33"/>
  <c r="AF146" i="4"/>
  <c r="G27" i="2"/>
  <c r="AE25" i="34"/>
  <c r="AE45" i="33"/>
  <c r="AF77" i="33"/>
  <c r="G79" i="2"/>
  <c r="G62" i="2"/>
  <c r="AF41" i="6"/>
  <c r="AF36" i="6" s="1"/>
  <c r="G99" i="2"/>
  <c r="AN97" i="33"/>
  <c r="AM97" i="33"/>
  <c r="AE96" i="4"/>
  <c r="G25" i="2"/>
  <c r="AF105" i="4"/>
  <c r="AF23" i="23"/>
  <c r="G54" i="2" s="1"/>
  <c r="BD5" i="23"/>
  <c r="BD9" i="23"/>
  <c r="AF96" i="4"/>
  <c r="BD3" i="23"/>
  <c r="AF12" i="23"/>
  <c r="G55" i="2"/>
  <c r="BD4" i="23"/>
  <c r="AF43" i="6"/>
  <c r="AF9" i="10"/>
  <c r="G23" i="2"/>
  <c r="G24" i="2" s="1"/>
  <c r="AF55" i="19"/>
  <c r="AF64" i="19" s="1"/>
  <c r="AC55" i="19" l="1"/>
  <c r="AC64" i="19" s="1"/>
  <c r="AC46" i="19"/>
  <c r="AC72" i="19" s="1"/>
  <c r="AC109" i="33"/>
  <c r="S6" i="19"/>
  <c r="AC15" i="37"/>
  <c r="AJ26" i="23"/>
  <c r="AK26" i="23" s="1"/>
  <c r="AL26" i="23" s="1"/>
  <c r="AM26" i="23" s="1"/>
  <c r="AN26" i="23" s="1"/>
  <c r="AI24" i="23"/>
  <c r="AC69" i="37"/>
  <c r="R4" i="33"/>
  <c r="R4" i="4" s="1"/>
  <c r="I100" i="33"/>
  <c r="R10" i="4"/>
  <c r="R15" i="4" s="1"/>
  <c r="R20" i="4" s="1"/>
  <c r="R22" i="4" s="1"/>
  <c r="J83" i="14"/>
  <c r="L51" i="10"/>
  <c r="Y83" i="37"/>
  <c r="Y67" i="14"/>
  <c r="L52" i="10"/>
  <c r="D23" i="10"/>
  <c r="D32" i="19" s="1"/>
  <c r="D33" i="19" s="1"/>
  <c r="L53" i="19"/>
  <c r="L6" i="19"/>
  <c r="L5" i="19" s="1"/>
  <c r="X23" i="23"/>
  <c r="X29" i="23" s="1"/>
  <c r="D6" i="19"/>
  <c r="D50" i="10"/>
  <c r="M4" i="19"/>
  <c r="D53" i="10"/>
  <c r="D38" i="10"/>
  <c r="D49" i="19" s="1"/>
  <c r="D22" i="10"/>
  <c r="O5" i="19"/>
  <c r="D3" i="10"/>
  <c r="S65" i="37"/>
  <c r="AB6" i="19"/>
  <c r="AB5" i="19" s="1"/>
  <c r="AB4" i="10" s="1"/>
  <c r="Z39" i="14"/>
  <c r="I10" i="4"/>
  <c r="I15" i="4" s="1"/>
  <c r="I20" i="4" s="1"/>
  <c r="I22" i="4" s="1"/>
  <c r="F54" i="2"/>
  <c r="C26" i="2"/>
  <c r="AF54" i="23"/>
  <c r="S67" i="14"/>
  <c r="BC5" i="23"/>
  <c r="H4" i="19"/>
  <c r="W23" i="10"/>
  <c r="W32" i="19" s="1"/>
  <c r="AB86" i="4"/>
  <c r="AD15" i="37"/>
  <c r="AD18" i="37" s="1"/>
  <c r="AD20" i="37" s="1"/>
  <c r="J6" i="19"/>
  <c r="Z28" i="33"/>
  <c r="AD164" i="37"/>
  <c r="Q19" i="10"/>
  <c r="B129" i="2"/>
  <c r="V39" i="23"/>
  <c r="J64" i="4"/>
  <c r="J75" i="4" s="1"/>
  <c r="N26" i="33"/>
  <c r="N9" i="4"/>
  <c r="N10" i="4" s="1"/>
  <c r="N15" i="4" s="1"/>
  <c r="N20" i="4" s="1"/>
  <c r="N22" i="4" s="1"/>
  <c r="J100" i="33"/>
  <c r="P46" i="19"/>
  <c r="Q10" i="4"/>
  <c r="Q15" i="4" s="1"/>
  <c r="Q20" i="4" s="1"/>
  <c r="Q22" i="4" s="1"/>
  <c r="Q102" i="4" s="1"/>
  <c r="Z62" i="35"/>
  <c r="D37" i="6"/>
  <c r="T67" i="14"/>
  <c r="V100" i="19"/>
  <c r="V102" i="19"/>
  <c r="U23" i="23"/>
  <c r="AS7" i="23" s="1"/>
  <c r="I51" i="10"/>
  <c r="S76" i="19"/>
  <c r="S74" i="19" s="1"/>
  <c r="T60" i="34"/>
  <c r="E101" i="33"/>
  <c r="U28" i="33"/>
  <c r="E6" i="19"/>
  <c r="S5" i="19"/>
  <c r="F75" i="33"/>
  <c r="F81" i="33" s="1"/>
  <c r="F6" i="19"/>
  <c r="X39" i="14"/>
  <c r="C52" i="10"/>
  <c r="AA83" i="37"/>
  <c r="AC16" i="33"/>
  <c r="Y153" i="37"/>
  <c r="W69" i="37"/>
  <c r="W83" i="37"/>
  <c r="G38" i="10"/>
  <c r="G49" i="19" s="1"/>
  <c r="AA65" i="37"/>
  <c r="AA42" i="14"/>
  <c r="Z6" i="19"/>
  <c r="G50" i="10"/>
  <c r="R6" i="19"/>
  <c r="R5" i="19" s="1"/>
  <c r="Z39" i="19"/>
  <c r="F24" i="33"/>
  <c r="F20" i="33" s="1"/>
  <c r="F19" i="33" s="1"/>
  <c r="S46" i="34"/>
  <c r="C22" i="10"/>
  <c r="AC6" i="19"/>
  <c r="AC5" i="19" s="1"/>
  <c r="AC4" i="10" s="1"/>
  <c r="AC39" i="19"/>
  <c r="AC38" i="19" s="1"/>
  <c r="AF109" i="33"/>
  <c r="AB158" i="37"/>
  <c r="AB159" i="37" s="1"/>
  <c r="AJ2" i="35"/>
  <c r="AK2" i="35" s="1"/>
  <c r="AL2" i="35" s="1"/>
  <c r="AM2" i="35" s="1"/>
  <c r="AN2" i="35" s="1"/>
  <c r="AH31" i="35"/>
  <c r="AJ3" i="35"/>
  <c r="AK3" i="35" s="1"/>
  <c r="AL3" i="35" s="1"/>
  <c r="AM3" i="35" s="1"/>
  <c r="AN3" i="35" s="1"/>
  <c r="AH32" i="35"/>
  <c r="AI32" i="35" s="1"/>
  <c r="AJ32" i="35" s="1"/>
  <c r="AK32" i="35" s="1"/>
  <c r="AL32" i="35" s="1"/>
  <c r="Y83" i="14"/>
  <c r="O127" i="4"/>
  <c r="C53" i="10"/>
  <c r="V49" i="19"/>
  <c r="C50" i="10"/>
  <c r="C23" i="10"/>
  <c r="C32" i="19" s="1"/>
  <c r="C6" i="19"/>
  <c r="AG30" i="34"/>
  <c r="AG29" i="34"/>
  <c r="AG31" i="34"/>
  <c r="S121" i="37"/>
  <c r="D45" i="10"/>
  <c r="AI36" i="34"/>
  <c r="AJ36" i="34" s="1"/>
  <c r="AK36" i="34" s="1"/>
  <c r="AL36" i="34" s="1"/>
  <c r="AM36" i="34" s="1"/>
  <c r="AN36" i="34" s="1"/>
  <c r="AH30" i="34"/>
  <c r="AI30" i="34" s="1"/>
  <c r="AE18" i="23"/>
  <c r="AE7" i="23"/>
  <c r="V53" i="19"/>
  <c r="AL59" i="14"/>
  <c r="Q53" i="19"/>
  <c r="F49" i="19"/>
  <c r="AC72" i="33"/>
  <c r="AC75" i="33" s="1"/>
  <c r="L75" i="33"/>
  <c r="L81" i="33" s="1"/>
  <c r="R20" i="33"/>
  <c r="I73" i="33"/>
  <c r="AG116" i="33"/>
  <c r="R16" i="34"/>
  <c r="AD110" i="33"/>
  <c r="AD112" i="33" s="1"/>
  <c r="R60" i="34"/>
  <c r="AL97" i="33"/>
  <c r="AH7" i="23"/>
  <c r="E31" i="6"/>
  <c r="AI64" i="23"/>
  <c r="AJ64" i="23" s="1"/>
  <c r="AK64" i="23" s="1"/>
  <c r="AL64" i="23" s="1"/>
  <c r="AM64" i="23" s="1"/>
  <c r="AN64" i="23" s="1"/>
  <c r="AG62" i="23"/>
  <c r="AI62" i="23" s="1"/>
  <c r="AJ62" i="23" s="1"/>
  <c r="AK62" i="23" s="1"/>
  <c r="AL62" i="23" s="1"/>
  <c r="AM62" i="23" s="1"/>
  <c r="AN62" i="23" s="1"/>
  <c r="AG61" i="23"/>
  <c r="AI61" i="23" s="1"/>
  <c r="AJ61" i="23" s="1"/>
  <c r="AK61" i="23" s="1"/>
  <c r="AL61" i="23" s="1"/>
  <c r="AM61" i="23" s="1"/>
  <c r="AN61" i="23" s="1"/>
  <c r="AG59" i="23"/>
  <c r="AG13" i="35"/>
  <c r="AH13" i="35" s="1"/>
  <c r="AI13" i="35" s="1"/>
  <c r="AJ13" i="35" s="1"/>
  <c r="AK13" i="35" s="1"/>
  <c r="AL13" i="35" s="1"/>
  <c r="AM13" i="35" s="1"/>
  <c r="AN13" i="35" s="1"/>
  <c r="AF79" i="33"/>
  <c r="AF14" i="34"/>
  <c r="AF60" i="34"/>
  <c r="E24" i="33"/>
  <c r="AG72" i="37"/>
  <c r="AG87" i="37"/>
  <c r="U67" i="14"/>
  <c r="V74" i="14" s="1"/>
  <c r="AF67" i="37"/>
  <c r="AF80" i="37" s="1"/>
  <c r="AG131" i="37"/>
  <c r="AG67" i="37" s="1"/>
  <c r="AG80" i="37" s="1"/>
  <c r="Z83" i="14"/>
  <c r="AG84" i="19"/>
  <c r="AH84" i="19" s="1"/>
  <c r="AG29" i="10"/>
  <c r="AH29" i="10" s="1"/>
  <c r="AF6" i="19"/>
  <c r="AF5" i="19" s="1"/>
  <c r="AG45" i="10"/>
  <c r="AG37" i="10"/>
  <c r="AH20" i="6"/>
  <c r="AI20" i="6" s="1"/>
  <c r="AJ20" i="6" s="1"/>
  <c r="AK20" i="6" s="1"/>
  <c r="AL20" i="6" s="1"/>
  <c r="AM20" i="6" s="1"/>
  <c r="AN20" i="6" s="1"/>
  <c r="AG21" i="6"/>
  <c r="AG23" i="6" s="1"/>
  <c r="AK97" i="33"/>
  <c r="AJ97" i="33"/>
  <c r="AI97" i="33"/>
  <c r="AI35" i="34"/>
  <c r="AJ35" i="34" s="1"/>
  <c r="AK35" i="34" s="1"/>
  <c r="AL35" i="34" s="1"/>
  <c r="AM35" i="34" s="1"/>
  <c r="AN35" i="34" s="1"/>
  <c r="AF50" i="23"/>
  <c r="AJ21" i="23"/>
  <c r="AK21" i="23" s="1"/>
  <c r="AL21" i="23" s="1"/>
  <c r="AM21" i="23" s="1"/>
  <c r="AN21" i="23" s="1"/>
  <c r="AG9" i="23"/>
  <c r="AI91" i="4"/>
  <c r="AN76" i="4"/>
  <c r="W46" i="34"/>
  <c r="I57" i="2"/>
  <c r="AZ21" i="23"/>
  <c r="AA109" i="33"/>
  <c r="B42" i="2" s="1"/>
  <c r="Z24" i="33"/>
  <c r="AH85" i="19"/>
  <c r="I46" i="19"/>
  <c r="AH86" i="19"/>
  <c r="AI86" i="19" s="1"/>
  <c r="AJ86" i="19" s="1"/>
  <c r="AK86" i="19" s="1"/>
  <c r="AL86" i="19" s="1"/>
  <c r="AM86" i="19" s="1"/>
  <c r="AN86" i="19" s="1"/>
  <c r="AI22" i="14"/>
  <c r="AH65" i="14"/>
  <c r="AI65" i="14" s="1"/>
  <c r="AJ65" i="14" s="1"/>
  <c r="AK65" i="14" s="1"/>
  <c r="AL65" i="14" s="1"/>
  <c r="AM65" i="14" s="1"/>
  <c r="AN65" i="14" s="1"/>
  <c r="AI23" i="14"/>
  <c r="AJ23" i="14" s="1"/>
  <c r="AK23" i="14" s="1"/>
  <c r="AL23" i="14" s="1"/>
  <c r="AM23" i="14" s="1"/>
  <c r="AN23" i="14" s="1"/>
  <c r="AI19" i="14"/>
  <c r="AJ19" i="14" s="1"/>
  <c r="AK19" i="14" s="1"/>
  <c r="AL19" i="14" s="1"/>
  <c r="AM19" i="14" s="1"/>
  <c r="AN19" i="14" s="1"/>
  <c r="H35" i="2"/>
  <c r="H46" i="6"/>
  <c r="H51" i="33" s="1"/>
  <c r="AI32" i="6"/>
  <c r="AJ32" i="6" s="1"/>
  <c r="AK32" i="6" s="1"/>
  <c r="AL32" i="6" s="1"/>
  <c r="AM32" i="6" s="1"/>
  <c r="AN32" i="6" s="1"/>
  <c r="C101" i="33"/>
  <c r="AH132" i="4"/>
  <c r="AD137" i="4"/>
  <c r="L127" i="4"/>
  <c r="AB147" i="4"/>
  <c r="AA9" i="4"/>
  <c r="AA10" i="4" s="1"/>
  <c r="AA15" i="4" s="1"/>
  <c r="AA20" i="4" s="1"/>
  <c r="AA22" i="4" s="1"/>
  <c r="Q129" i="4"/>
  <c r="Q140" i="4" s="1"/>
  <c r="W6" i="23"/>
  <c r="W18" i="23" s="1"/>
  <c r="W65" i="37"/>
  <c r="T76" i="19"/>
  <c r="T74" i="19" s="1"/>
  <c r="W46" i="19"/>
  <c r="W72" i="19" s="1"/>
  <c r="C36" i="6"/>
  <c r="AG17" i="4"/>
  <c r="W10" i="4"/>
  <c r="W15" i="4" s="1"/>
  <c r="W28" i="33" s="1"/>
  <c r="AQ136" i="19"/>
  <c r="U110" i="33"/>
  <c r="AC15" i="33"/>
  <c r="AF89" i="23"/>
  <c r="AF90" i="23" s="1"/>
  <c r="AC24" i="33"/>
  <c r="AC20" i="33" s="1"/>
  <c r="Z15" i="33"/>
  <c r="AC83" i="37"/>
  <c r="G40" i="37"/>
  <c r="G42" i="37" s="1"/>
  <c r="G20" i="37" s="1"/>
  <c r="G53" i="33" s="1"/>
  <c r="E26" i="10"/>
  <c r="S46" i="19"/>
  <c r="S72" i="19" s="1"/>
  <c r="T100" i="19"/>
  <c r="T101" i="19"/>
  <c r="B26" i="10"/>
  <c r="AC39" i="14"/>
  <c r="K51" i="10"/>
  <c r="E22" i="10"/>
  <c r="K50" i="10"/>
  <c r="L45" i="10"/>
  <c r="K53" i="10"/>
  <c r="K52" i="10"/>
  <c r="R3" i="10"/>
  <c r="K38" i="10"/>
  <c r="K70" i="19" s="1"/>
  <c r="K12" i="19" s="1"/>
  <c r="R45" i="10"/>
  <c r="R53" i="10"/>
  <c r="R50" i="10"/>
  <c r="R51" i="10"/>
  <c r="K3" i="10"/>
  <c r="R38" i="10"/>
  <c r="R56" i="10" s="1"/>
  <c r="E23" i="10"/>
  <c r="E32" i="19" s="1"/>
  <c r="E45" i="10"/>
  <c r="E53" i="10"/>
  <c r="E38" i="10"/>
  <c r="E56" i="10" s="1"/>
  <c r="E52" i="10"/>
  <c r="E50" i="10"/>
  <c r="E51" i="10"/>
  <c r="R43" i="6"/>
  <c r="C47" i="4"/>
  <c r="C46" i="4" s="1"/>
  <c r="U158" i="37"/>
  <c r="U159" i="37" s="1"/>
  <c r="W164" i="37"/>
  <c r="X80" i="23"/>
  <c r="X81" i="23" s="1"/>
  <c r="AV53" i="23" s="1"/>
  <c r="W39" i="23"/>
  <c r="Y45" i="10"/>
  <c r="AB47" i="10"/>
  <c r="AB55" i="10"/>
  <c r="AA117" i="4"/>
  <c r="AB44" i="34"/>
  <c r="AU21" i="23"/>
  <c r="AC44" i="34"/>
  <c r="AC46" i="34" s="1"/>
  <c r="B24" i="33"/>
  <c r="B20" i="33" s="1"/>
  <c r="B19" i="33" s="1"/>
  <c r="Q153" i="37"/>
  <c r="AD83" i="37"/>
  <c r="T46" i="19"/>
  <c r="T72" i="19" s="1"/>
  <c r="U100" i="19"/>
  <c r="C50" i="19"/>
  <c r="Y108" i="19"/>
  <c r="J52" i="10"/>
  <c r="N23" i="10"/>
  <c r="N32" i="19" s="1"/>
  <c r="N33" i="19" s="1"/>
  <c r="N51" i="10"/>
  <c r="J23" i="10"/>
  <c r="J32" i="19" s="1"/>
  <c r="J33" i="19" s="1"/>
  <c r="N3" i="10"/>
  <c r="N52" i="10"/>
  <c r="J51" i="10"/>
  <c r="O45" i="10"/>
  <c r="N38" i="10"/>
  <c r="N55" i="10" s="1"/>
  <c r="N50" i="10"/>
  <c r="K45" i="10"/>
  <c r="J50" i="10"/>
  <c r="D20" i="10"/>
  <c r="E83" i="14"/>
  <c r="T45" i="4"/>
  <c r="AF147" i="4"/>
  <c r="AF148" i="4" s="1"/>
  <c r="AC149" i="4"/>
  <c r="E127" i="4"/>
  <c r="E129" i="4" s="1"/>
  <c r="AE47" i="35"/>
  <c r="V47" i="35"/>
  <c r="AB6" i="23"/>
  <c r="AB7" i="23" s="1"/>
  <c r="AB97" i="23" s="1"/>
  <c r="AX5" i="23"/>
  <c r="Z39" i="23"/>
  <c r="W153" i="37"/>
  <c r="V72" i="37"/>
  <c r="U153" i="37"/>
  <c r="R72" i="37"/>
  <c r="AD121" i="37"/>
  <c r="Z69" i="37"/>
  <c r="I20" i="10"/>
  <c r="X20" i="10"/>
  <c r="AD16" i="6"/>
  <c r="AD21" i="6" s="1"/>
  <c r="AD23" i="6" s="1"/>
  <c r="AD18" i="19" s="1"/>
  <c r="R46" i="6"/>
  <c r="R163" i="4" s="1"/>
  <c r="O36" i="6"/>
  <c r="AF5" i="4"/>
  <c r="P28" i="33"/>
  <c r="N92" i="4"/>
  <c r="J101" i="33"/>
  <c r="AE62" i="35"/>
  <c r="R19" i="34"/>
  <c r="V19" i="34"/>
  <c r="V54" i="33" s="1"/>
  <c r="AF52" i="34"/>
  <c r="R61" i="33"/>
  <c r="AE66" i="23"/>
  <c r="AE77" i="23" s="1"/>
  <c r="AU51" i="23"/>
  <c r="Y23" i="23"/>
  <c r="Y29" i="23" s="1"/>
  <c r="Q65" i="37"/>
  <c r="O24" i="33"/>
  <c r="O20" i="33" s="1"/>
  <c r="Z65" i="37"/>
  <c r="AA72" i="37"/>
  <c r="S158" i="37"/>
  <c r="S159" i="37" s="1"/>
  <c r="AB72" i="37"/>
  <c r="X69" i="37"/>
  <c r="P63" i="33"/>
  <c r="Z83" i="37"/>
  <c r="AA24" i="33"/>
  <c r="V164" i="37"/>
  <c r="R16" i="33"/>
  <c r="M70" i="19"/>
  <c r="M12" i="19" s="1"/>
  <c r="Q83" i="14"/>
  <c r="U38" i="14"/>
  <c r="J30" i="14"/>
  <c r="J31" i="14" s="1"/>
  <c r="Y6" i="19"/>
  <c r="Y5" i="19" s="1"/>
  <c r="Z49" i="19"/>
  <c r="J22" i="10"/>
  <c r="Q49" i="19"/>
  <c r="P34" i="19"/>
  <c r="P27" i="10" s="1"/>
  <c r="H20" i="10"/>
  <c r="J3" i="10"/>
  <c r="V70" i="19"/>
  <c r="V12" i="19" s="1"/>
  <c r="G33" i="19"/>
  <c r="O117" i="4"/>
  <c r="K28" i="33"/>
  <c r="R117" i="4"/>
  <c r="K35" i="4"/>
  <c r="T75" i="4"/>
  <c r="J73" i="33"/>
  <c r="X75" i="4"/>
  <c r="Q101" i="33"/>
  <c r="B20" i="4"/>
  <c r="B22" i="4" s="1"/>
  <c r="B102" i="4" s="1"/>
  <c r="B108" i="4" s="1"/>
  <c r="S46" i="4"/>
  <c r="R46" i="4"/>
  <c r="J24" i="4"/>
  <c r="J27" i="4" s="1"/>
  <c r="J35" i="4" s="1"/>
  <c r="U53" i="4"/>
  <c r="N75" i="33"/>
  <c r="N81" i="33" s="1"/>
  <c r="P129" i="4"/>
  <c r="P140" i="4" s="1"/>
  <c r="AB137" i="4"/>
  <c r="R64" i="4"/>
  <c r="R75" i="4" s="1"/>
  <c r="J28" i="33"/>
  <c r="J137" i="4"/>
  <c r="J117" i="4"/>
  <c r="J108" i="4" s="1"/>
  <c r="K101" i="33"/>
  <c r="AB101" i="33"/>
  <c r="H100" i="33"/>
  <c r="H101" i="33" s="1"/>
  <c r="T117" i="4"/>
  <c r="P51" i="4"/>
  <c r="P45" i="4" s="1"/>
  <c r="W83" i="19"/>
  <c r="W82" i="19" s="1"/>
  <c r="W76" i="19" s="1"/>
  <c r="W74" i="19" s="1"/>
  <c r="V45" i="10"/>
  <c r="O46" i="4"/>
  <c r="G3" i="10"/>
  <c r="S75" i="14"/>
  <c r="L20" i="4"/>
  <c r="L22" i="4" s="1"/>
  <c r="L24" i="4" s="1"/>
  <c r="L27" i="4" s="1"/>
  <c r="AB14" i="33"/>
  <c r="Q55" i="10"/>
  <c r="I47" i="4"/>
  <c r="AB101" i="19"/>
  <c r="AC100" i="33"/>
  <c r="AC105" i="33" s="1"/>
  <c r="AB77" i="19"/>
  <c r="L101" i="33"/>
  <c r="AC147" i="4"/>
  <c r="AC148" i="4" s="1"/>
  <c r="X109" i="33"/>
  <c r="X112" i="33" s="1"/>
  <c r="AD23" i="23"/>
  <c r="E54" i="2" s="1"/>
  <c r="E56" i="2" s="1"/>
  <c r="E58" i="2" s="1"/>
  <c r="AA86" i="37"/>
  <c r="Y110" i="19"/>
  <c r="AA16" i="34"/>
  <c r="AA19" i="34" s="1"/>
  <c r="AA25" i="34" s="1"/>
  <c r="H4" i="14"/>
  <c r="F23" i="2"/>
  <c r="F24" i="2" s="1"/>
  <c r="Y53" i="10"/>
  <c r="M6" i="19"/>
  <c r="M5" i="19" s="1"/>
  <c r="M13" i="19" s="1"/>
  <c r="G37" i="6"/>
  <c r="Y16" i="33"/>
  <c r="Y96" i="19"/>
  <c r="Z79" i="37"/>
  <c r="T16" i="33"/>
  <c r="G9" i="10"/>
  <c r="W16" i="33"/>
  <c r="V62" i="35"/>
  <c r="I45" i="4"/>
  <c r="M36" i="6"/>
  <c r="M92" i="4"/>
  <c r="M98" i="4" s="1"/>
  <c r="M99" i="4" s="1"/>
  <c r="D73" i="33"/>
  <c r="Y164" i="37"/>
  <c r="X83" i="19"/>
  <c r="X82" i="19" s="1"/>
  <c r="X73" i="19" s="1"/>
  <c r="U108" i="33"/>
  <c r="AC18" i="37"/>
  <c r="AC20" i="37" s="1"/>
  <c r="AD21" i="37" s="1"/>
  <c r="AB53" i="23"/>
  <c r="AB54" i="23" s="1"/>
  <c r="AZ52" i="23" s="1"/>
  <c r="U46" i="19"/>
  <c r="U72" i="19" s="1"/>
  <c r="G46" i="6"/>
  <c r="G51" i="33" s="1"/>
  <c r="V94" i="23"/>
  <c r="AD24" i="33"/>
  <c r="D31" i="6"/>
  <c r="AA38" i="34"/>
  <c r="AA46" i="34" s="1"/>
  <c r="Y52" i="10"/>
  <c r="O4" i="14"/>
  <c r="J45" i="4"/>
  <c r="AD134" i="37"/>
  <c r="AD66" i="37" s="1"/>
  <c r="AD79" i="37" s="1"/>
  <c r="AB56" i="10"/>
  <c r="Y38" i="10"/>
  <c r="Y55" i="10" s="1"/>
  <c r="AD53" i="23"/>
  <c r="AD54" i="23" s="1"/>
  <c r="BB52" i="23" s="1"/>
  <c r="Y50" i="10"/>
  <c r="V46" i="19"/>
  <c r="V72" i="19" s="1"/>
  <c r="AB4" i="14"/>
  <c r="B75" i="33"/>
  <c r="B81" i="33" s="1"/>
  <c r="J47" i="4"/>
  <c r="G22" i="10"/>
  <c r="Z149" i="4"/>
  <c r="AD15" i="33"/>
  <c r="Y51" i="10"/>
  <c r="U16" i="35"/>
  <c r="U10" i="35" s="1"/>
  <c r="U8" i="35" s="1"/>
  <c r="U6" i="35" s="1"/>
  <c r="AC4" i="14"/>
  <c r="Z47" i="35"/>
  <c r="AI121" i="37"/>
  <c r="C24" i="33"/>
  <c r="C20" i="33" s="1"/>
  <c r="C19" i="33" s="1"/>
  <c r="Q46" i="4"/>
  <c r="U51" i="10"/>
  <c r="Z16" i="33"/>
  <c r="AE39" i="14"/>
  <c r="Y9" i="10"/>
  <c r="G53" i="10"/>
  <c r="AE107" i="33"/>
  <c r="E28" i="33"/>
  <c r="V75" i="33"/>
  <c r="V81" i="33" s="1"/>
  <c r="AE10" i="23"/>
  <c r="AE8" i="23" s="1"/>
  <c r="B6" i="19"/>
  <c r="B5" i="19" s="1"/>
  <c r="B4" i="10" s="1"/>
  <c r="G6" i="19"/>
  <c r="AC66" i="19"/>
  <c r="Y22" i="10"/>
  <c r="Y19" i="19" s="1"/>
  <c r="Y101" i="19"/>
  <c r="T46" i="34"/>
  <c r="B53" i="10"/>
  <c r="X16" i="33"/>
  <c r="G52" i="10"/>
  <c r="AE147" i="4"/>
  <c r="AE148" i="4" s="1"/>
  <c r="BA51" i="23"/>
  <c r="G51" i="10"/>
  <c r="T5" i="19"/>
  <c r="T4" i="10" s="1"/>
  <c r="AC72" i="37"/>
  <c r="R46" i="19"/>
  <c r="AF149" i="4"/>
  <c r="AE3" i="10"/>
  <c r="AC163" i="4"/>
  <c r="D101" i="33"/>
  <c r="W9" i="10"/>
  <c r="AA80" i="23"/>
  <c r="AA81" i="23" s="1"/>
  <c r="AY53" i="23" s="1"/>
  <c r="U148" i="4"/>
  <c r="R28" i="33"/>
  <c r="S9" i="10"/>
  <c r="S47" i="35"/>
  <c r="H47" i="4"/>
  <c r="R9" i="10"/>
  <c r="Z40" i="37"/>
  <c r="Z42" i="37" s="1"/>
  <c r="AA43" i="37" s="1"/>
  <c r="H40" i="37"/>
  <c r="H42" i="37" s="1"/>
  <c r="H20" i="37" s="1"/>
  <c r="H53" i="33" s="1"/>
  <c r="AE104" i="23"/>
  <c r="Q46" i="34"/>
  <c r="AB24" i="33"/>
  <c r="AB43" i="6"/>
  <c r="AE46" i="19"/>
  <c r="AE72" i="19" s="1"/>
  <c r="X65" i="19"/>
  <c r="O53" i="19"/>
  <c r="D55" i="10"/>
  <c r="X65" i="37"/>
  <c r="O10" i="4"/>
  <c r="O15" i="4" s="1"/>
  <c r="O9" i="10"/>
  <c r="AC76" i="33"/>
  <c r="O54" i="10"/>
  <c r="AB117" i="4"/>
  <c r="G31" i="6"/>
  <c r="X137" i="4"/>
  <c r="X140" i="4" s="1"/>
  <c r="M117" i="4"/>
  <c r="W101" i="33"/>
  <c r="D40" i="37"/>
  <c r="D42" i="37" s="1"/>
  <c r="D20" i="37" s="1"/>
  <c r="D53" i="33" s="1"/>
  <c r="W80" i="23"/>
  <c r="W81" i="23" s="1"/>
  <c r="AU53" i="23" s="1"/>
  <c r="X46" i="34"/>
  <c r="H9" i="10"/>
  <c r="AB54" i="10"/>
  <c r="AF47" i="33"/>
  <c r="Q70" i="19"/>
  <c r="Q12" i="19" s="1"/>
  <c r="B40" i="37"/>
  <c r="B42" i="37" s="1"/>
  <c r="B20" i="37" s="1"/>
  <c r="B53" i="33" s="1"/>
  <c r="AD46" i="19"/>
  <c r="AD72" i="19" s="1"/>
  <c r="AD6" i="23"/>
  <c r="AD7" i="23" s="1"/>
  <c r="AD20" i="23" s="1"/>
  <c r="Y4" i="14"/>
  <c r="F4" i="14"/>
  <c r="T153" i="37"/>
  <c r="N117" i="4"/>
  <c r="Y20" i="4"/>
  <c r="Y22" i="4" s="1"/>
  <c r="Y102" i="4" s="1"/>
  <c r="Y28" i="33"/>
  <c r="AC61" i="4"/>
  <c r="AI136" i="37"/>
  <c r="AI71" i="37" s="1"/>
  <c r="AA129" i="4"/>
  <c r="E27" i="2"/>
  <c r="E41" i="2" s="1"/>
  <c r="AC86" i="37"/>
  <c r="AC16" i="23"/>
  <c r="B36" i="6"/>
  <c r="Y129" i="4"/>
  <c r="E20" i="10"/>
  <c r="E9" i="10"/>
  <c r="K4" i="14"/>
  <c r="W60" i="37"/>
  <c r="Z46" i="34"/>
  <c r="Y24" i="33"/>
  <c r="G24" i="33"/>
  <c r="G20" i="33" s="1"/>
  <c r="G19" i="33" s="1"/>
  <c r="N46" i="19"/>
  <c r="P19" i="10"/>
  <c r="Q20" i="10" s="1"/>
  <c r="J15" i="14"/>
  <c r="T60" i="33"/>
  <c r="W40" i="37"/>
  <c r="W167" i="4" s="1"/>
  <c r="Y64" i="4"/>
  <c r="Y75" i="4" s="1"/>
  <c r="AD52" i="10"/>
  <c r="G4" i="14"/>
  <c r="I25" i="6"/>
  <c r="I31" i="6" s="1"/>
  <c r="U109" i="33"/>
  <c r="AD39" i="19"/>
  <c r="AD38" i="19" s="1"/>
  <c r="Q64" i="4"/>
  <c r="Q75" i="4" s="1"/>
  <c r="V9" i="10"/>
  <c r="L36" i="6"/>
  <c r="C83" i="14"/>
  <c r="AQ135" i="19"/>
  <c r="D83" i="14"/>
  <c r="W52" i="10"/>
  <c r="V65" i="37"/>
  <c r="Y60" i="37"/>
  <c r="Y62" i="37" s="1"/>
  <c r="W22" i="10"/>
  <c r="W19" i="19" s="1"/>
  <c r="Z20" i="10"/>
  <c r="W62" i="35"/>
  <c r="G24" i="4"/>
  <c r="G27" i="4" s="1"/>
  <c r="G35" i="4" s="1"/>
  <c r="X117" i="4"/>
  <c r="T72" i="37"/>
  <c r="U65" i="37"/>
  <c r="X60" i="37"/>
  <c r="X62" i="37" s="1"/>
  <c r="T62" i="35"/>
  <c r="W47" i="35"/>
  <c r="F47" i="4"/>
  <c r="F46" i="4" s="1"/>
  <c r="AC84" i="4"/>
  <c r="AD55" i="19"/>
  <c r="J9" i="10"/>
  <c r="AC8" i="23"/>
  <c r="N129" i="33"/>
  <c r="L70" i="19"/>
  <c r="L12" i="19" s="1"/>
  <c r="AB7" i="10"/>
  <c r="AW21" i="23"/>
  <c r="W64" i="19"/>
  <c r="U74" i="14"/>
  <c r="U73" i="33"/>
  <c r="G28" i="33"/>
  <c r="Y106" i="19"/>
  <c r="D31" i="14"/>
  <c r="Q46" i="19"/>
  <c r="S72" i="37"/>
  <c r="T65" i="37"/>
  <c r="X40" i="37"/>
  <c r="X167" i="4" s="1"/>
  <c r="V48" i="4"/>
  <c r="U9" i="10"/>
  <c r="C22" i="2"/>
  <c r="C29" i="2" s="1"/>
  <c r="AF101" i="23"/>
  <c r="AF105" i="23" s="1"/>
  <c r="W38" i="10"/>
  <c r="X47" i="10" s="1"/>
  <c r="V7" i="10"/>
  <c r="D70" i="19"/>
  <c r="D12" i="19" s="1"/>
  <c r="AC17" i="35"/>
  <c r="W6" i="19"/>
  <c r="W5" i="19" s="1"/>
  <c r="AC62" i="35"/>
  <c r="W20" i="10"/>
  <c r="AE105" i="23"/>
  <c r="X45" i="10"/>
  <c r="K36" i="6"/>
  <c r="V110" i="33"/>
  <c r="V112" i="33" s="1"/>
  <c r="S129" i="4"/>
  <c r="S140" i="4" s="1"/>
  <c r="C117" i="4"/>
  <c r="AD77" i="4"/>
  <c r="AB105" i="33"/>
  <c r="W45" i="10"/>
  <c r="AO134" i="19"/>
  <c r="B82" i="2"/>
  <c r="W51" i="10"/>
  <c r="S61" i="33"/>
  <c r="M83" i="14"/>
  <c r="AC80" i="23"/>
  <c r="AC81" i="23" s="1"/>
  <c r="BA53" i="23" s="1"/>
  <c r="W66" i="19"/>
  <c r="AD72" i="37"/>
  <c r="AA5" i="19"/>
  <c r="AA13" i="19" s="1"/>
  <c r="K83" i="14"/>
  <c r="AA165" i="4"/>
  <c r="Z80" i="23"/>
  <c r="Z81" i="23" s="1"/>
  <c r="AX53" i="23" s="1"/>
  <c r="AC12" i="23"/>
  <c r="Q62" i="35"/>
  <c r="F83" i="14"/>
  <c r="AA53" i="23"/>
  <c r="AA54" i="23" s="1"/>
  <c r="AY52" i="23" s="1"/>
  <c r="D45" i="4"/>
  <c r="D46" i="4" s="1"/>
  <c r="AA16" i="33"/>
  <c r="F47" i="33"/>
  <c r="Z77" i="23"/>
  <c r="AX54" i="23" s="1"/>
  <c r="Y6" i="23"/>
  <c r="Y7" i="23" s="1"/>
  <c r="X62" i="35"/>
  <c r="X9" i="10"/>
  <c r="AA163" i="4"/>
  <c r="V55" i="10"/>
  <c r="T66" i="19"/>
  <c r="L137" i="4"/>
  <c r="K117" i="4"/>
  <c r="Y5" i="4"/>
  <c r="Y80" i="23"/>
  <c r="Y81" i="23" s="1"/>
  <c r="AW53" i="23" s="1"/>
  <c r="O8" i="35"/>
  <c r="O10" i="35" s="1"/>
  <c r="O16" i="35" s="1"/>
  <c r="O18" i="35" s="1"/>
  <c r="O25" i="35" s="1"/>
  <c r="S71" i="14"/>
  <c r="T65" i="19"/>
  <c r="AA16" i="35"/>
  <c r="AA18" i="35" s="1"/>
  <c r="AA25" i="35" s="1"/>
  <c r="D5" i="4"/>
  <c r="D6" i="4" s="1"/>
  <c r="R66" i="14"/>
  <c r="S73" i="14" s="1"/>
  <c r="I5" i="19"/>
  <c r="I4" i="10" s="1"/>
  <c r="AE121" i="37"/>
  <c r="R65" i="37"/>
  <c r="C40" i="37"/>
  <c r="C42" i="37" s="1"/>
  <c r="C20" i="37" s="1"/>
  <c r="C53" i="33" s="1"/>
  <c r="W77" i="23"/>
  <c r="AU54" i="23" s="1"/>
  <c r="F20" i="10"/>
  <c r="J41" i="4"/>
  <c r="Z9" i="10"/>
  <c r="N4" i="14"/>
  <c r="U47" i="35"/>
  <c r="Y121" i="19"/>
  <c r="Y107" i="19" s="1"/>
  <c r="AB72" i="4"/>
  <c r="C70" i="19"/>
  <c r="C12" i="19" s="1"/>
  <c r="F20" i="4"/>
  <c r="F22" i="4" s="1"/>
  <c r="F24" i="4" s="1"/>
  <c r="F27" i="4" s="1"/>
  <c r="AD23" i="10"/>
  <c r="AD32" i="19" s="1"/>
  <c r="AD113" i="4" s="1"/>
  <c r="V28" i="33"/>
  <c r="X64" i="19"/>
  <c r="Z148" i="4"/>
  <c r="L55" i="10"/>
  <c r="AT7" i="23"/>
  <c r="AB38" i="19"/>
  <c r="R5" i="4"/>
  <c r="R6" i="4" s="1"/>
  <c r="L4" i="14"/>
  <c r="Y62" i="35"/>
  <c r="AF47" i="35"/>
  <c r="T47" i="35"/>
  <c r="L117" i="4"/>
  <c r="R83" i="14"/>
  <c r="AD72" i="33"/>
  <c r="AD75" i="33" s="1"/>
  <c r="AF3" i="34"/>
  <c r="H28" i="33"/>
  <c r="AA48" i="14"/>
  <c r="L56" i="10"/>
  <c r="E117" i="4"/>
  <c r="U76" i="19"/>
  <c r="U77" i="19" s="1"/>
  <c r="AG121" i="37"/>
  <c r="Y111" i="19"/>
  <c r="AA9" i="10"/>
  <c r="AE72" i="37"/>
  <c r="AD9" i="19"/>
  <c r="B45" i="4"/>
  <c r="B46" i="4" s="1"/>
  <c r="K127" i="4"/>
  <c r="Z164" i="37"/>
  <c r="G101" i="33"/>
  <c r="W72" i="37"/>
  <c r="AD69" i="37"/>
  <c r="X55" i="10"/>
  <c r="C55" i="10"/>
  <c r="C33" i="19"/>
  <c r="C5" i="19"/>
  <c r="C4" i="10" s="1"/>
  <c r="C5" i="10" s="1"/>
  <c r="V144" i="4"/>
  <c r="T20" i="10"/>
  <c r="M9" i="10"/>
  <c r="U174" i="4"/>
  <c r="AG47" i="35"/>
  <c r="AA83" i="14"/>
  <c r="AC53" i="23"/>
  <c r="AC54" i="23" s="1"/>
  <c r="BA52" i="23" s="1"/>
  <c r="Y15" i="33"/>
  <c r="AE137" i="4"/>
  <c r="AD62" i="35"/>
  <c r="C61" i="2"/>
  <c r="C71" i="2" s="1"/>
  <c r="U144" i="4"/>
  <c r="W144" i="4"/>
  <c r="S20" i="10"/>
  <c r="K9" i="10"/>
  <c r="N83" i="14"/>
  <c r="Y46" i="19"/>
  <c r="Y72" i="19" s="1"/>
  <c r="AC83" i="14"/>
  <c r="AW7" i="23"/>
  <c r="Y40" i="37"/>
  <c r="Y167" i="4" s="1"/>
  <c r="AA92" i="4"/>
  <c r="AA98" i="4" s="1"/>
  <c r="I28" i="33"/>
  <c r="AA28" i="23"/>
  <c r="B84" i="2" s="1"/>
  <c r="F40" i="37"/>
  <c r="F42" i="37" s="1"/>
  <c r="F20" i="37" s="1"/>
  <c r="F53" i="33" s="1"/>
  <c r="L83" i="14"/>
  <c r="AF80" i="23"/>
  <c r="AF81" i="23" s="1"/>
  <c r="Y121" i="37"/>
  <c r="AF39" i="19"/>
  <c r="AF38" i="19" s="1"/>
  <c r="AD50" i="10"/>
  <c r="AI13" i="10"/>
  <c r="AJ13" i="10" s="1"/>
  <c r="AK13" i="10" s="1"/>
  <c r="W75" i="33"/>
  <c r="W81" i="33" s="1"/>
  <c r="O49" i="19"/>
  <c r="S77" i="19"/>
  <c r="E37" i="6"/>
  <c r="AD51" i="10"/>
  <c r="I127" i="4"/>
  <c r="W117" i="4"/>
  <c r="W121" i="37"/>
  <c r="U72" i="37"/>
  <c r="E40" i="37"/>
  <c r="E42" i="37" s="1"/>
  <c r="E20" i="37" s="1"/>
  <c r="E53" i="33" s="1"/>
  <c r="AB19" i="10"/>
  <c r="AB20" i="10" s="1"/>
  <c r="AD38" i="10"/>
  <c r="U64" i="4"/>
  <c r="U75" i="4" s="1"/>
  <c r="F9" i="10"/>
  <c r="S64" i="19"/>
  <c r="V54" i="10"/>
  <c r="AN47" i="35"/>
  <c r="T5" i="4"/>
  <c r="T6" i="4" s="1"/>
  <c r="AC18" i="33"/>
  <c r="AB62" i="35"/>
  <c r="AM47" i="35"/>
  <c r="AB47" i="35"/>
  <c r="S62" i="35"/>
  <c r="AI47" i="35"/>
  <c r="AB110" i="33"/>
  <c r="C42" i="2" s="1"/>
  <c r="AB16" i="34"/>
  <c r="AB19" i="34" s="1"/>
  <c r="AB25" i="34" s="1"/>
  <c r="O5" i="4"/>
  <c r="O6" i="4" s="1"/>
  <c r="V46" i="34"/>
  <c r="AC14" i="34"/>
  <c r="AC16" i="34" s="1"/>
  <c r="AC19" i="34" s="1"/>
  <c r="AC25" i="34" s="1"/>
  <c r="AC110" i="33"/>
  <c r="D42" i="2" s="1"/>
  <c r="AZ7" i="23"/>
  <c r="AB28" i="23"/>
  <c r="Y77" i="23"/>
  <c r="AW54" i="23" s="1"/>
  <c r="U15" i="33"/>
  <c r="V24" i="33"/>
  <c r="X28" i="23"/>
  <c r="AV7" i="23"/>
  <c r="AZ5" i="23"/>
  <c r="BC8" i="23"/>
  <c r="Q61" i="33"/>
  <c r="AB108" i="33"/>
  <c r="B56" i="2"/>
  <c r="B58" i="2" s="1"/>
  <c r="V89" i="23"/>
  <c r="V90" i="23" s="1"/>
  <c r="T89" i="23"/>
  <c r="V28" i="23"/>
  <c r="T12" i="23"/>
  <c r="AE97" i="23"/>
  <c r="T8" i="23"/>
  <c r="T16" i="23"/>
  <c r="V5" i="4"/>
  <c r="V6" i="4" s="1"/>
  <c r="W89" i="23"/>
  <c r="W90" i="23" s="1"/>
  <c r="X89" i="23"/>
  <c r="X90" i="23" s="1"/>
  <c r="AD32" i="33"/>
  <c r="AD36" i="33" s="1"/>
  <c r="W86" i="37"/>
  <c r="AB65" i="37"/>
  <c r="AB138" i="37"/>
  <c r="AB153" i="37" s="1"/>
  <c r="AD84" i="37"/>
  <c r="Q16" i="33"/>
  <c r="Y65" i="37"/>
  <c r="V69" i="37"/>
  <c r="S109" i="33"/>
  <c r="S112" i="33" s="1"/>
  <c r="V158" i="37"/>
  <c r="V159" i="37" s="1"/>
  <c r="Y72" i="37"/>
  <c r="X72" i="37"/>
  <c r="Y88" i="37"/>
  <c r="AA69" i="37"/>
  <c r="Z72" i="37"/>
  <c r="X153" i="37"/>
  <c r="AF74" i="37"/>
  <c r="AF87" i="37" s="1"/>
  <c r="Q69" i="37"/>
  <c r="P24" i="19"/>
  <c r="P27" i="19" s="1"/>
  <c r="P26" i="14" s="1"/>
  <c r="O26" i="14"/>
  <c r="O30" i="14" s="1"/>
  <c r="O31" i="14" s="1"/>
  <c r="Z66" i="19"/>
  <c r="Z65" i="19"/>
  <c r="AD83" i="19"/>
  <c r="AD73" i="19"/>
  <c r="H5" i="19"/>
  <c r="H4" i="10" s="1"/>
  <c r="Y65" i="19"/>
  <c r="S101" i="19"/>
  <c r="Z46" i="19"/>
  <c r="Z72" i="19" s="1"/>
  <c r="S100" i="19"/>
  <c r="Z64" i="19"/>
  <c r="W101" i="19"/>
  <c r="U102" i="19"/>
  <c r="T77" i="19"/>
  <c r="H26" i="10"/>
  <c r="W100" i="19"/>
  <c r="E4" i="19"/>
  <c r="E5" i="19" s="1"/>
  <c r="P5" i="19"/>
  <c r="P4" i="10" s="1"/>
  <c r="L33" i="19"/>
  <c r="Z86" i="19"/>
  <c r="AB83" i="14"/>
  <c r="P4" i="14"/>
  <c r="S59" i="14"/>
  <c r="S84" i="33" s="1"/>
  <c r="S89" i="33" s="1"/>
  <c r="AF4" i="14"/>
  <c r="AG5" i="14" s="1"/>
  <c r="AD74" i="14"/>
  <c r="AE74" i="14" s="1"/>
  <c r="AF74" i="14" s="1"/>
  <c r="AG74" i="14" s="1"/>
  <c r="AB42" i="14"/>
  <c r="J81" i="33"/>
  <c r="S39" i="14"/>
  <c r="X4" i="14"/>
  <c r="R38" i="14"/>
  <c r="C31" i="14"/>
  <c r="AB34" i="14"/>
  <c r="AB33" i="14" s="1"/>
  <c r="S38" i="14"/>
  <c r="AI44" i="10"/>
  <c r="AJ44" i="10" s="1"/>
  <c r="AK44" i="10" s="1"/>
  <c r="AL44" i="10" s="1"/>
  <c r="AM44" i="10" s="1"/>
  <c r="AN44" i="10" s="1"/>
  <c r="AB14" i="10"/>
  <c r="C45" i="10"/>
  <c r="AC14" i="10"/>
  <c r="AB3" i="10"/>
  <c r="I3" i="10"/>
  <c r="B3" i="10"/>
  <c r="AD9" i="10"/>
  <c r="AE53" i="10"/>
  <c r="H51" i="10"/>
  <c r="I22" i="10"/>
  <c r="L7" i="10"/>
  <c r="B52" i="10"/>
  <c r="U20" i="10"/>
  <c r="AE38" i="10"/>
  <c r="AE53" i="19" s="1"/>
  <c r="AE54" i="19" s="1"/>
  <c r="AE23" i="10"/>
  <c r="AE32" i="19" s="1"/>
  <c r="AE113" i="4" s="1"/>
  <c r="I50" i="10"/>
  <c r="B22" i="10"/>
  <c r="S45" i="10"/>
  <c r="AE45" i="10"/>
  <c r="I52" i="10"/>
  <c r="AC23" i="10"/>
  <c r="AC32" i="19" s="1"/>
  <c r="AC113" i="4" s="1"/>
  <c r="I9" i="10"/>
  <c r="AF53" i="10"/>
  <c r="AE52" i="10"/>
  <c r="S52" i="10"/>
  <c r="AC51" i="10"/>
  <c r="AF51" i="10"/>
  <c r="AE22" i="10"/>
  <c r="AE19" i="19" s="1"/>
  <c r="AE112" i="4" s="1"/>
  <c r="S50" i="10"/>
  <c r="AC3" i="10"/>
  <c r="AC5" i="10" s="1"/>
  <c r="AE51" i="10"/>
  <c r="I38" i="10"/>
  <c r="I55" i="10" s="1"/>
  <c r="AE9" i="10"/>
  <c r="S53" i="10"/>
  <c r="K7" i="10"/>
  <c r="AC52" i="10"/>
  <c r="C56" i="10"/>
  <c r="AF38" i="10"/>
  <c r="AF70" i="19" s="1"/>
  <c r="AF12" i="19" s="1"/>
  <c r="V20" i="10"/>
  <c r="S51" i="10"/>
  <c r="J19" i="10"/>
  <c r="J20" i="10" s="1"/>
  <c r="K15" i="10"/>
  <c r="AA47" i="10"/>
  <c r="AC22" i="10"/>
  <c r="AC19" i="19" s="1"/>
  <c r="AC112" i="4" s="1"/>
  <c r="D47" i="10"/>
  <c r="P9" i="10"/>
  <c r="B50" i="10"/>
  <c r="H45" i="10"/>
  <c r="I45" i="10"/>
  <c r="AC45" i="10"/>
  <c r="H50" i="10"/>
  <c r="I53" i="10"/>
  <c r="N9" i="10"/>
  <c r="H22" i="10"/>
  <c r="AC38" i="10"/>
  <c r="AC56" i="10" s="1"/>
  <c r="AD45" i="10"/>
  <c r="N7" i="10"/>
  <c r="AC50" i="10"/>
  <c r="H3" i="10"/>
  <c r="H38" i="10"/>
  <c r="H23" i="10"/>
  <c r="H32" i="19" s="1"/>
  <c r="H33" i="19" s="1"/>
  <c r="AF23" i="10"/>
  <c r="AF32" i="19" s="1"/>
  <c r="AF113" i="4" s="1"/>
  <c r="H53" i="10"/>
  <c r="B37" i="10"/>
  <c r="B23" i="10"/>
  <c r="B32" i="19" s="1"/>
  <c r="AF3" i="10"/>
  <c r="J45" i="10"/>
  <c r="D47" i="33"/>
  <c r="B10" i="33"/>
  <c r="O75" i="33"/>
  <c r="O81" i="33" s="1"/>
  <c r="Z101" i="33"/>
  <c r="U5" i="4"/>
  <c r="U6" i="4" s="1"/>
  <c r="P75" i="33"/>
  <c r="P81" i="33" s="1"/>
  <c r="R101" i="33"/>
  <c r="Q24" i="33"/>
  <c r="T24" i="33"/>
  <c r="B5" i="4"/>
  <c r="B6" i="4" s="1"/>
  <c r="R75" i="33"/>
  <c r="R81" i="33" s="1"/>
  <c r="K75" i="33"/>
  <c r="K81" i="33" s="1"/>
  <c r="B101" i="33"/>
  <c r="H73" i="33"/>
  <c r="G5" i="4"/>
  <c r="G6" i="4" s="1"/>
  <c r="N120" i="33"/>
  <c r="Y36" i="33"/>
  <c r="K89" i="33"/>
  <c r="H10" i="33"/>
  <c r="E5" i="4"/>
  <c r="E6" i="4" s="1"/>
  <c r="X101" i="33"/>
  <c r="S101" i="33"/>
  <c r="M129" i="4"/>
  <c r="M140" i="4" s="1"/>
  <c r="G47" i="4"/>
  <c r="G46" i="4" s="1"/>
  <c r="O129" i="4"/>
  <c r="O140" i="4" s="1"/>
  <c r="H117" i="4"/>
  <c r="K34" i="4"/>
  <c r="K102" i="4"/>
  <c r="G56" i="2"/>
  <c r="G58" i="2" s="1"/>
  <c r="AA62" i="35"/>
  <c r="X47" i="35"/>
  <c r="AC47" i="35"/>
  <c r="AF110" i="33"/>
  <c r="L5" i="4"/>
  <c r="L6" i="4" s="1"/>
  <c r="AA60" i="34"/>
  <c r="AB38" i="34"/>
  <c r="X5" i="4"/>
  <c r="X6" i="4" s="1"/>
  <c r="F5" i="4"/>
  <c r="F6" i="4" s="1"/>
  <c r="X77" i="23"/>
  <c r="AV54" i="23" s="1"/>
  <c r="AB29" i="23"/>
  <c r="AF42" i="23"/>
  <c r="Q10" i="33"/>
  <c r="AI10" i="37"/>
  <c r="K47" i="33"/>
  <c r="P47" i="33"/>
  <c r="Q72" i="37"/>
  <c r="O10" i="33"/>
  <c r="V153" i="37"/>
  <c r="U5" i="19"/>
  <c r="U4" i="10" s="1"/>
  <c r="Z73" i="19"/>
  <c r="L30" i="14"/>
  <c r="L31" i="14" s="1"/>
  <c r="AA107" i="19"/>
  <c r="Z74" i="14"/>
  <c r="AD4" i="14"/>
  <c r="AD7" i="14" s="1"/>
  <c r="U39" i="14"/>
  <c r="R39" i="14"/>
  <c r="H81" i="33"/>
  <c r="S83" i="14"/>
  <c r="B130" i="2"/>
  <c r="P59" i="14"/>
  <c r="P84" i="33" s="1"/>
  <c r="P89" i="33" s="1"/>
  <c r="AD76" i="33"/>
  <c r="G99" i="33"/>
  <c r="V38" i="14"/>
  <c r="F56" i="10"/>
  <c r="F55" i="10"/>
  <c r="T45" i="10"/>
  <c r="P45" i="10"/>
  <c r="U53" i="10"/>
  <c r="Q7" i="10"/>
  <c r="G45" i="10"/>
  <c r="Z45" i="10"/>
  <c r="X54" i="10"/>
  <c r="AA45" i="10"/>
  <c r="M50" i="10"/>
  <c r="Z3" i="10"/>
  <c r="M56" i="10"/>
  <c r="T38" i="10"/>
  <c r="F53" i="10"/>
  <c r="Z53" i="10"/>
  <c r="F50" i="10"/>
  <c r="U50" i="10"/>
  <c r="M23" i="10"/>
  <c r="M32" i="19" s="1"/>
  <c r="M33" i="19" s="1"/>
  <c r="F22" i="10"/>
  <c r="Z22" i="10"/>
  <c r="Z19" i="19" s="1"/>
  <c r="M45" i="10"/>
  <c r="U52" i="10"/>
  <c r="F52" i="10"/>
  <c r="F3" i="10"/>
  <c r="Z52" i="10"/>
  <c r="M52" i="10"/>
  <c r="P51" i="10"/>
  <c r="AR6" i="10"/>
  <c r="AS21" i="10" s="1"/>
  <c r="Z51" i="10"/>
  <c r="M51" i="10"/>
  <c r="P53" i="10"/>
  <c r="N45" i="10"/>
  <c r="Z23" i="10"/>
  <c r="Z32" i="19" s="1"/>
  <c r="Z50" i="10"/>
  <c r="P38" i="10"/>
  <c r="AE20" i="10"/>
  <c r="T53" i="10"/>
  <c r="P52" i="10"/>
  <c r="Y20" i="10"/>
  <c r="F51" i="10"/>
  <c r="P3" i="10"/>
  <c r="S7" i="10"/>
  <c r="Q9" i="10"/>
  <c r="U38" i="10"/>
  <c r="U49" i="19" s="1"/>
  <c r="V50" i="19" s="1"/>
  <c r="T51" i="10"/>
  <c r="T9" i="10"/>
  <c r="Q45" i="10"/>
  <c r="U45" i="10"/>
  <c r="F23" i="10"/>
  <c r="F32" i="19" s="1"/>
  <c r="F33" i="19" s="1"/>
  <c r="U22" i="10"/>
  <c r="U19" i="19" s="1"/>
  <c r="M53" i="10"/>
  <c r="F45" i="10"/>
  <c r="T3" i="10"/>
  <c r="U23" i="10"/>
  <c r="U32" i="19" s="1"/>
  <c r="M3" i="10"/>
  <c r="T52" i="10"/>
  <c r="U3" i="10"/>
  <c r="X51" i="33"/>
  <c r="N47" i="33"/>
  <c r="AE72" i="33"/>
  <c r="AE75" i="33" s="1"/>
  <c r="AE81" i="33" s="1"/>
  <c r="AE73" i="33" s="1"/>
  <c r="F42" i="2"/>
  <c r="P120" i="33"/>
  <c r="T73" i="33"/>
  <c r="N101" i="33"/>
  <c r="X10" i="33"/>
  <c r="Q75" i="33"/>
  <c r="Q81" i="33" s="1"/>
  <c r="AE10" i="33"/>
  <c r="AE6" i="4" s="1"/>
  <c r="Z10" i="33"/>
  <c r="R112" i="33"/>
  <c r="AB9" i="4"/>
  <c r="AB10" i="4" s="1"/>
  <c r="AB15" i="4" s="1"/>
  <c r="AC13" i="4"/>
  <c r="AD13" i="4" s="1"/>
  <c r="G117" i="4"/>
  <c r="G108" i="4" s="1"/>
  <c r="AE71" i="4"/>
  <c r="AF108" i="33"/>
  <c r="BD8" i="23"/>
  <c r="V169" i="4"/>
  <c r="R4" i="10"/>
  <c r="R5" i="10" s="1"/>
  <c r="R29" i="10" s="1"/>
  <c r="AI41" i="37"/>
  <c r="Y16" i="6"/>
  <c r="AH54" i="35"/>
  <c r="AH62" i="35" s="1"/>
  <c r="T119" i="14"/>
  <c r="X75" i="33"/>
  <c r="X81" i="33" s="1"/>
  <c r="S25" i="34"/>
  <c r="S16" i="34"/>
  <c r="S9" i="34" s="1"/>
  <c r="S7" i="34" s="1"/>
  <c r="S6" i="34" s="1"/>
  <c r="AH127" i="37"/>
  <c r="AH75" i="37" s="1"/>
  <c r="M28" i="33"/>
  <c r="Q51" i="33"/>
  <c r="Q163" i="4"/>
  <c r="AD129" i="4"/>
  <c r="E28" i="2"/>
  <c r="X10" i="4"/>
  <c r="X15" i="4" s="1"/>
  <c r="AF137" i="4"/>
  <c r="AF83" i="37"/>
  <c r="AF69" i="37"/>
  <c r="AT10" i="23"/>
  <c r="V32" i="23"/>
  <c r="AF56" i="33"/>
  <c r="AG56" i="33" s="1"/>
  <c r="AH56" i="33" s="1"/>
  <c r="AI56" i="33" s="1"/>
  <c r="AJ56" i="33" s="1"/>
  <c r="AK56" i="33" s="1"/>
  <c r="AL56" i="33" s="1"/>
  <c r="AM56" i="33" s="1"/>
  <c r="AN56" i="33" s="1"/>
  <c r="AE83" i="37"/>
  <c r="AE67" i="14"/>
  <c r="AF28" i="23"/>
  <c r="AF9" i="19"/>
  <c r="AF81" i="4" s="1"/>
  <c r="C28" i="33"/>
  <c r="M53" i="19"/>
  <c r="M55" i="10"/>
  <c r="M49" i="19"/>
  <c r="M50" i="19" s="1"/>
  <c r="M47" i="10"/>
  <c r="S55" i="33"/>
  <c r="S16" i="35"/>
  <c r="S10" i="35" s="1"/>
  <c r="S8" i="35" s="1"/>
  <c r="S6" i="35" s="1"/>
  <c r="AC79" i="37"/>
  <c r="AC65" i="37"/>
  <c r="AD60" i="33"/>
  <c r="T144" i="4"/>
  <c r="T148" i="4"/>
  <c r="AH22" i="33"/>
  <c r="AH24" i="33" s="1"/>
  <c r="AD37" i="37"/>
  <c r="AC36" i="37"/>
  <c r="AC40" i="37" s="1"/>
  <c r="AC42" i="37" s="1"/>
  <c r="G70" i="19"/>
  <c r="G12" i="19" s="1"/>
  <c r="U16" i="6"/>
  <c r="U21" i="6" s="1"/>
  <c r="U23" i="6" s="1"/>
  <c r="U18" i="19" s="1"/>
  <c r="U15" i="6"/>
  <c r="R4" i="14"/>
  <c r="R5" i="14" s="1"/>
  <c r="AA121" i="37"/>
  <c r="P24" i="33"/>
  <c r="Q28" i="33"/>
  <c r="B140" i="4"/>
  <c r="Z56" i="10"/>
  <c r="AD53" i="10"/>
  <c r="Z129" i="4"/>
  <c r="Z140" i="4" s="1"/>
  <c r="AF15" i="37"/>
  <c r="AF18" i="37" s="1"/>
  <c r="AF20" i="37" s="1"/>
  <c r="AG21" i="37" s="1"/>
  <c r="Z55" i="10"/>
  <c r="AA101" i="33"/>
  <c r="AD6" i="19"/>
  <c r="AD5" i="19" s="1"/>
  <c r="X53" i="19"/>
  <c r="X54" i="19" s="1"/>
  <c r="T101" i="33"/>
  <c r="Q108" i="4"/>
  <c r="Z70" i="19"/>
  <c r="Z12" i="19" s="1"/>
  <c r="C54" i="2"/>
  <c r="AA55" i="10"/>
  <c r="F101" i="33"/>
  <c r="U83" i="14"/>
  <c r="AB129" i="4"/>
  <c r="AA53" i="19"/>
  <c r="R46" i="34"/>
  <c r="AE15" i="37"/>
  <c r="AE18" i="37" s="1"/>
  <c r="AE20" i="37" s="1"/>
  <c r="AE53" i="33" s="1"/>
  <c r="K137" i="4"/>
  <c r="H129" i="33"/>
  <c r="K46" i="6"/>
  <c r="K51" i="33" s="1"/>
  <c r="X5" i="19"/>
  <c r="X13" i="19" s="1"/>
  <c r="E49" i="19"/>
  <c r="AD22" i="10"/>
  <c r="AD19" i="19" s="1"/>
  <c r="AD112" i="4" s="1"/>
  <c r="AA72" i="4"/>
  <c r="Z5" i="19"/>
  <c r="Z13" i="19" s="1"/>
  <c r="AC120" i="33"/>
  <c r="AC65" i="19"/>
  <c r="X70" i="19"/>
  <c r="X12" i="19" s="1"/>
  <c r="T129" i="33"/>
  <c r="D9" i="10"/>
  <c r="AA46" i="19"/>
  <c r="AA72" i="19" s="1"/>
  <c r="AA137" i="4"/>
  <c r="AC77" i="23"/>
  <c r="BA54" i="23" s="1"/>
  <c r="F127" i="4"/>
  <c r="F129" i="4" s="1"/>
  <c r="F140" i="4" s="1"/>
  <c r="AB10" i="35"/>
  <c r="AB16" i="35" s="1"/>
  <c r="AB18" i="35" s="1"/>
  <c r="AB55" i="33" s="1"/>
  <c r="AD100" i="33"/>
  <c r="AD105" i="33" s="1"/>
  <c r="S66" i="19"/>
  <c r="AC10" i="35"/>
  <c r="AC16" i="35" s="1"/>
  <c r="D56" i="10"/>
  <c r="AC55" i="14"/>
  <c r="AJ47" i="35"/>
  <c r="AE84" i="23"/>
  <c r="AH46" i="33"/>
  <c r="AD151" i="37"/>
  <c r="E73" i="33"/>
  <c r="U60" i="33"/>
  <c r="Z4" i="14"/>
  <c r="R121" i="37"/>
  <c r="I24" i="33"/>
  <c r="AA49" i="19"/>
  <c r="AA29" i="23"/>
  <c r="T38" i="14"/>
  <c r="C4" i="14"/>
  <c r="C7" i="14" s="1"/>
  <c r="C12" i="14" s="1"/>
  <c r="C9" i="14" s="1"/>
  <c r="AQ134" i="19"/>
  <c r="N6" i="19"/>
  <c r="N5" i="19" s="1"/>
  <c r="N4" i="10" s="1"/>
  <c r="N5" i="10" s="1"/>
  <c r="N29" i="10" s="1"/>
  <c r="X39" i="23"/>
  <c r="M101" i="33"/>
  <c r="AD86" i="37"/>
  <c r="AF66" i="23"/>
  <c r="AF111" i="33"/>
  <c r="T149" i="4"/>
  <c r="T129" i="4"/>
  <c r="T140" i="4" s="1"/>
  <c r="C127" i="4"/>
  <c r="C129" i="4" s="1"/>
  <c r="C140" i="4" s="1"/>
  <c r="U117" i="4"/>
  <c r="T4" i="14"/>
  <c r="T7" i="14" s="1"/>
  <c r="Y101" i="33"/>
  <c r="AE106" i="33"/>
  <c r="AK16" i="4"/>
  <c r="AE149" i="4"/>
  <c r="AB49" i="19"/>
  <c r="AB144" i="4"/>
  <c r="C77" i="2" s="1"/>
  <c r="C80" i="2" s="1"/>
  <c r="Z144" i="4"/>
  <c r="Y144" i="4"/>
  <c r="X144" i="4"/>
  <c r="L117" i="33"/>
  <c r="L120" i="33" s="1"/>
  <c r="F70" i="19"/>
  <c r="F12" i="19" s="1"/>
  <c r="X49" i="19"/>
  <c r="AA144" i="4"/>
  <c r="B77" i="2" s="1"/>
  <c r="AH87" i="33"/>
  <c r="AH89" i="33" s="1"/>
  <c r="AF105" i="33"/>
  <c r="AE101" i="33"/>
  <c r="AE105" i="33"/>
  <c r="AD47" i="35"/>
  <c r="P47" i="35"/>
  <c r="AE38" i="34"/>
  <c r="P46" i="34"/>
  <c r="U19" i="34"/>
  <c r="U16" i="34" s="1"/>
  <c r="U9" i="34" s="1"/>
  <c r="U7" i="34" s="1"/>
  <c r="U6" i="34" s="1"/>
  <c r="AE69" i="37"/>
  <c r="S153" i="37"/>
  <c r="AC121" i="37"/>
  <c r="Z121" i="37"/>
  <c r="V121" i="37"/>
  <c r="U121" i="37"/>
  <c r="Q121" i="37"/>
  <c r="Z60" i="37"/>
  <c r="Z62" i="37" s="1"/>
  <c r="Y15" i="37"/>
  <c r="Y18" i="37" s="1"/>
  <c r="Y20" i="37" s="1"/>
  <c r="Y53" i="33" s="1"/>
  <c r="V15" i="37"/>
  <c r="V18" i="37" s="1"/>
  <c r="V20" i="37" s="1"/>
  <c r="V42" i="37" s="1"/>
  <c r="T15" i="37"/>
  <c r="T18" i="37" s="1"/>
  <c r="T20" i="37" s="1"/>
  <c r="T42" i="37" s="1"/>
  <c r="S15" i="37"/>
  <c r="S18" i="37" s="1"/>
  <c r="S20" i="37" s="1"/>
  <c r="S42" i="37" s="1"/>
  <c r="AH121" i="37"/>
  <c r="AN121" i="37"/>
  <c r="AM121" i="37"/>
  <c r="AL121" i="37"/>
  <c r="AK121" i="37"/>
  <c r="AB69" i="37"/>
  <c r="AB15" i="37"/>
  <c r="AB18" i="37" s="1"/>
  <c r="AB20" i="37" s="1"/>
  <c r="AB53" i="33" s="1"/>
  <c r="D50" i="19"/>
  <c r="D5" i="19"/>
  <c r="D4" i="10" s="1"/>
  <c r="D5" i="10" s="1"/>
  <c r="J5" i="19"/>
  <c r="J4" i="10" s="1"/>
  <c r="K5" i="19"/>
  <c r="K13" i="19" s="1"/>
  <c r="K14" i="19" s="1"/>
  <c r="X38" i="14"/>
  <c r="W59" i="14"/>
  <c r="W84" i="33" s="1"/>
  <c r="W89" i="33" s="1"/>
  <c r="V39" i="14"/>
  <c r="E4" i="14"/>
  <c r="V5" i="10"/>
  <c r="V29" i="10" s="1"/>
  <c r="G20" i="10"/>
  <c r="O20" i="10"/>
  <c r="AA5" i="4"/>
  <c r="U120" i="33"/>
  <c r="S120" i="33"/>
  <c r="E120" i="33"/>
  <c r="K112" i="33"/>
  <c r="M99" i="33"/>
  <c r="V101" i="33"/>
  <c r="U101" i="33"/>
  <c r="O99" i="33"/>
  <c r="C47" i="33"/>
  <c r="V120" i="33"/>
  <c r="Q120" i="33"/>
  <c r="O120" i="33"/>
  <c r="J120" i="33"/>
  <c r="I120" i="33"/>
  <c r="G120" i="33"/>
  <c r="Z36" i="33"/>
  <c r="G10" i="33"/>
  <c r="Z5" i="4"/>
  <c r="Z6" i="4" s="1"/>
  <c r="Q5" i="4"/>
  <c r="Q6" i="4" s="1"/>
  <c r="M5" i="4"/>
  <c r="M6" i="4" s="1"/>
  <c r="N5" i="4"/>
  <c r="N6" i="4" s="1"/>
  <c r="I46" i="6"/>
  <c r="I51" i="33" s="1"/>
  <c r="O31" i="6"/>
  <c r="N31" i="6"/>
  <c r="C31" i="6"/>
  <c r="X24" i="33"/>
  <c r="S24" i="33"/>
  <c r="L24" i="33"/>
  <c r="AA112" i="33"/>
  <c r="AB120" i="33"/>
  <c r="AB46" i="6"/>
  <c r="AB51" i="33" s="1"/>
  <c r="T31" i="6"/>
  <c r="S31" i="6"/>
  <c r="AB12" i="6"/>
  <c r="AB13" i="6" s="1"/>
  <c r="AF51" i="33"/>
  <c r="H137" i="4"/>
  <c r="F117" i="4"/>
  <c r="Y149" i="4"/>
  <c r="G98" i="4"/>
  <c r="G99" i="4" s="1"/>
  <c r="N75" i="4"/>
  <c r="B98" i="4"/>
  <c r="B99" i="4" s="1"/>
  <c r="U49" i="4"/>
  <c r="U129" i="4"/>
  <c r="U140" i="4" s="1"/>
  <c r="H127" i="4"/>
  <c r="H129" i="4" s="1"/>
  <c r="Y137" i="4"/>
  <c r="T174" i="4"/>
  <c r="F56" i="2"/>
  <c r="F58" i="2" s="1"/>
  <c r="AI40" i="23"/>
  <c r="AJ40" i="23" s="1"/>
  <c r="AK40" i="23" s="1"/>
  <c r="AL40" i="23" s="1"/>
  <c r="AM40" i="23" s="1"/>
  <c r="AN40" i="23" s="1"/>
  <c r="R62" i="35"/>
  <c r="AH47" i="35"/>
  <c r="P62" i="35"/>
  <c r="R47" i="35"/>
  <c r="L10" i="33"/>
  <c r="Q47" i="35"/>
  <c r="AB36" i="33"/>
  <c r="K10" i="33"/>
  <c r="T16" i="34"/>
  <c r="T9" i="34" s="1"/>
  <c r="T7" i="34" s="1"/>
  <c r="T6" i="34" s="1"/>
  <c r="T54" i="33"/>
  <c r="T25" i="34"/>
  <c r="X54" i="33"/>
  <c r="X25" i="34"/>
  <c r="AE44" i="34"/>
  <c r="Y46" i="34"/>
  <c r="W5" i="4"/>
  <c r="W6" i="4" s="1"/>
  <c r="K99" i="33"/>
  <c r="AD44" i="34"/>
  <c r="AD46" i="34" s="1"/>
  <c r="AL102" i="23"/>
  <c r="G64" i="2"/>
  <c r="S75" i="2" s="1"/>
  <c r="AU7" i="23"/>
  <c r="W29" i="23"/>
  <c r="W28" i="23"/>
  <c r="AB80" i="23"/>
  <c r="AB81" i="23" s="1"/>
  <c r="AZ53" i="23" s="1"/>
  <c r="AB77" i="23"/>
  <c r="AZ54" i="23" s="1"/>
  <c r="E64" i="2"/>
  <c r="Y39" i="23"/>
  <c r="R99" i="33"/>
  <c r="J24" i="33"/>
  <c r="O112" i="33"/>
  <c r="AA6" i="23"/>
  <c r="AA7" i="23" s="1"/>
  <c r="AF29" i="23"/>
  <c r="BD7" i="23"/>
  <c r="AY7" i="23"/>
  <c r="AC6" i="23"/>
  <c r="H24" i="33"/>
  <c r="H20" i="33" s="1"/>
  <c r="H19" i="33" s="1"/>
  <c r="AH109" i="33"/>
  <c r="AC138" i="37"/>
  <c r="AC153" i="37" s="1"/>
  <c r="AD133" i="37"/>
  <c r="AH70" i="37"/>
  <c r="AI125" i="37"/>
  <c r="AI86" i="33"/>
  <c r="AJ135" i="37"/>
  <c r="AH68" i="37"/>
  <c r="AH81" i="37" s="1"/>
  <c r="AI81" i="37" s="1"/>
  <c r="Y74" i="14"/>
  <c r="L99" i="33"/>
  <c r="AA167" i="4"/>
  <c r="AF121" i="37"/>
  <c r="X121" i="37"/>
  <c r="Z15" i="37"/>
  <c r="Z18" i="37" s="1"/>
  <c r="Z20" i="37" s="1"/>
  <c r="Z53" i="33" s="1"/>
  <c r="W15" i="37"/>
  <c r="W18" i="37" s="1"/>
  <c r="W20" i="37" s="1"/>
  <c r="W62" i="37" s="1"/>
  <c r="M24" i="33"/>
  <c r="J99" i="33"/>
  <c r="L89" i="33"/>
  <c r="T121" i="37"/>
  <c r="D24" i="33"/>
  <c r="D20" i="33" s="1"/>
  <c r="D19" i="33" s="1"/>
  <c r="Z89" i="33"/>
  <c r="AB40" i="37"/>
  <c r="AB167" i="4" s="1"/>
  <c r="T74" i="14"/>
  <c r="AE24" i="33"/>
  <c r="Y47" i="33"/>
  <c r="E47" i="33"/>
  <c r="Z153" i="37"/>
  <c r="R153" i="37"/>
  <c r="AB121" i="37"/>
  <c r="X15" i="37"/>
  <c r="X18" i="37" s="1"/>
  <c r="X20" i="37" s="1"/>
  <c r="X53" i="33" s="1"/>
  <c r="U15" i="37"/>
  <c r="U18" i="37" s="1"/>
  <c r="U20" i="37" s="1"/>
  <c r="W24" i="33"/>
  <c r="N24" i="33"/>
  <c r="AA15" i="37"/>
  <c r="AA18" i="37" s="1"/>
  <c r="AA20" i="37" s="1"/>
  <c r="AA53" i="33" s="1"/>
  <c r="AA153" i="37"/>
  <c r="AA73" i="19"/>
  <c r="AA83" i="19"/>
  <c r="AA86" i="19" s="1"/>
  <c r="Q4" i="10"/>
  <c r="Q5" i="10" s="1"/>
  <c r="Q29" i="10" s="1"/>
  <c r="Q13" i="19"/>
  <c r="K33" i="19"/>
  <c r="AF46" i="19"/>
  <c r="Z54" i="19"/>
  <c r="AA108" i="19"/>
  <c r="O33" i="19"/>
  <c r="Y66" i="19"/>
  <c r="K30" i="14"/>
  <c r="K31" i="14" s="1"/>
  <c r="I33" i="19"/>
  <c r="E33" i="19"/>
  <c r="G89" i="2"/>
  <c r="AF20" i="14"/>
  <c r="B112" i="33"/>
  <c r="I112" i="33"/>
  <c r="T107" i="33"/>
  <c r="T112" i="33" s="1"/>
  <c r="Q59" i="14"/>
  <c r="Q84" i="33" s="1"/>
  <c r="Q89" i="33" s="1"/>
  <c r="V42" i="14"/>
  <c r="U81" i="33"/>
  <c r="B31" i="14"/>
  <c r="T83" i="14"/>
  <c r="S74" i="14"/>
  <c r="D4" i="14"/>
  <c r="M4" i="14"/>
  <c r="G83" i="14"/>
  <c r="D99" i="33"/>
  <c r="G81" i="33"/>
  <c r="AF76" i="33"/>
  <c r="Y81" i="33"/>
  <c r="AA4" i="14"/>
  <c r="V83" i="14"/>
  <c r="Z38" i="14"/>
  <c r="W39" i="14"/>
  <c r="I30" i="14"/>
  <c r="I31" i="14" s="1"/>
  <c r="H30" i="14"/>
  <c r="H31" i="14" s="1"/>
  <c r="G30" i="14"/>
  <c r="G31" i="14" s="1"/>
  <c r="U4" i="14"/>
  <c r="AB48" i="14"/>
  <c r="E81" i="33"/>
  <c r="R59" i="14"/>
  <c r="R84" i="33" s="1"/>
  <c r="R89" i="33" s="1"/>
  <c r="M30" i="14"/>
  <c r="M31" i="14" s="1"/>
  <c r="AE48" i="14"/>
  <c r="F31" i="6"/>
  <c r="B31" i="6"/>
  <c r="E31" i="14"/>
  <c r="R20" i="10"/>
  <c r="AI42" i="10"/>
  <c r="AI43" i="10"/>
  <c r="AJ43" i="10" s="1"/>
  <c r="AK43" i="10" s="1"/>
  <c r="AL43" i="10" s="1"/>
  <c r="AM43" i="10" s="1"/>
  <c r="AN43" i="10" s="1"/>
  <c r="AF52" i="10"/>
  <c r="AD7" i="10"/>
  <c r="O56" i="10"/>
  <c r="G56" i="10"/>
  <c r="S38" i="10"/>
  <c r="J38" i="10"/>
  <c r="AF50" i="10"/>
  <c r="L54" i="10"/>
  <c r="C51" i="10"/>
  <c r="C54" i="10" s="1"/>
  <c r="C20" i="10"/>
  <c r="L9" i="10"/>
  <c r="C9" i="10"/>
  <c r="Z51" i="33"/>
  <c r="Z163" i="4"/>
  <c r="F16" i="6"/>
  <c r="F21" i="6" s="1"/>
  <c r="F23" i="6" s="1"/>
  <c r="F18" i="19" s="1"/>
  <c r="F19" i="19" s="1"/>
  <c r="F15" i="6"/>
  <c r="V15" i="6"/>
  <c r="V16" i="6"/>
  <c r="V21" i="6" s="1"/>
  <c r="Q15" i="6"/>
  <c r="Q16" i="6"/>
  <c r="Q21" i="6" s="1"/>
  <c r="Q23" i="6" s="1"/>
  <c r="Q18" i="19" s="1"/>
  <c r="E60" i="33"/>
  <c r="D15" i="6"/>
  <c r="D16" i="6"/>
  <c r="D21" i="6" s="1"/>
  <c r="D23" i="6" s="1"/>
  <c r="D18" i="19" s="1"/>
  <c r="D19" i="19" s="1"/>
  <c r="AE15" i="6"/>
  <c r="F101" i="2" s="1"/>
  <c r="F102" i="2" s="1"/>
  <c r="F104" i="2" s="1"/>
  <c r="AE16" i="6"/>
  <c r="AE21" i="6" s="1"/>
  <c r="AE23" i="6" s="1"/>
  <c r="AE18" i="19" s="1"/>
  <c r="W15" i="6"/>
  <c r="W16" i="6"/>
  <c r="W21" i="6" s="1"/>
  <c r="W23" i="6" s="1"/>
  <c r="W18" i="19" s="1"/>
  <c r="N16" i="6"/>
  <c r="N21" i="6" s="1"/>
  <c r="N23" i="6" s="1"/>
  <c r="N18" i="19" s="1"/>
  <c r="N15" i="6"/>
  <c r="K16" i="6"/>
  <c r="K21" i="6" s="1"/>
  <c r="K23" i="6" s="1"/>
  <c r="K18" i="19" s="1"/>
  <c r="K19" i="19" s="1"/>
  <c r="K15" i="6"/>
  <c r="S16" i="6"/>
  <c r="S21" i="6" s="1"/>
  <c r="S23" i="6" s="1"/>
  <c r="S18" i="19" s="1"/>
  <c r="S15" i="6"/>
  <c r="AE51" i="33"/>
  <c r="R10" i="33"/>
  <c r="J36" i="6"/>
  <c r="C33" i="2"/>
  <c r="C83" i="2" s="1"/>
  <c r="C89" i="2" s="1"/>
  <c r="AB41" i="6"/>
  <c r="AB36" i="6" s="1"/>
  <c r="AB37" i="6" s="1"/>
  <c r="C100" i="2" s="1"/>
  <c r="AB42" i="33"/>
  <c r="AB47" i="33" s="1"/>
  <c r="N37" i="6"/>
  <c r="L31" i="6"/>
  <c r="R12" i="6"/>
  <c r="R13" i="6" s="1"/>
  <c r="R16" i="6" s="1"/>
  <c r="R21" i="6" s="1"/>
  <c r="AC16" i="6"/>
  <c r="AC21" i="6" s="1"/>
  <c r="AC23" i="6" s="1"/>
  <c r="AC18" i="19" s="1"/>
  <c r="D101" i="2"/>
  <c r="D102" i="2" s="1"/>
  <c r="D104" i="2" s="1"/>
  <c r="J31" i="6"/>
  <c r="K31" i="6"/>
  <c r="K43" i="6"/>
  <c r="M31" i="6"/>
  <c r="J46" i="6"/>
  <c r="J51" i="33" s="1"/>
  <c r="P31" i="6"/>
  <c r="V31" i="6"/>
  <c r="W129" i="33"/>
  <c r="T120" i="33"/>
  <c r="E20" i="33"/>
  <c r="E19" i="33" s="1"/>
  <c r="AA120" i="33"/>
  <c r="K116" i="33"/>
  <c r="K120" i="33" s="1"/>
  <c r="AE47" i="33"/>
  <c r="D112" i="33"/>
  <c r="O101" i="33"/>
  <c r="G73" i="33"/>
  <c r="Y73" i="33"/>
  <c r="T36" i="33"/>
  <c r="AF72" i="33"/>
  <c r="AF75" i="33" s="1"/>
  <c r="V99" i="33"/>
  <c r="S129" i="33"/>
  <c r="Y99" i="33"/>
  <c r="X99" i="33"/>
  <c r="Q63" i="33"/>
  <c r="H120" i="33"/>
  <c r="M10" i="33"/>
  <c r="L129" i="33"/>
  <c r="AF10" i="33"/>
  <c r="AE5" i="4"/>
  <c r="X120" i="33"/>
  <c r="H112" i="33"/>
  <c r="V129" i="33"/>
  <c r="K129" i="33"/>
  <c r="Z120" i="33"/>
  <c r="X36" i="33"/>
  <c r="V36" i="33"/>
  <c r="AD120" i="33"/>
  <c r="U47" i="33"/>
  <c r="B47" i="33"/>
  <c r="X47" i="33"/>
  <c r="O47" i="33"/>
  <c r="W47" i="33"/>
  <c r="O129" i="33"/>
  <c r="B120" i="33"/>
  <c r="U10" i="33"/>
  <c r="I5" i="4"/>
  <c r="I6" i="4" s="1"/>
  <c r="P60" i="33"/>
  <c r="AB72" i="33"/>
  <c r="AB75" i="33" s="1"/>
  <c r="AB81" i="33" s="1"/>
  <c r="AB73" i="33" s="1"/>
  <c r="M75" i="33"/>
  <c r="M81" i="33" s="1"/>
  <c r="V60" i="33"/>
  <c r="T47" i="33"/>
  <c r="Y120" i="33"/>
  <c r="R120" i="33"/>
  <c r="F120" i="33"/>
  <c r="Z24" i="4"/>
  <c r="Z27" i="4" s="1"/>
  <c r="Z102" i="4"/>
  <c r="X149" i="4"/>
  <c r="X148" i="4"/>
  <c r="V149" i="4"/>
  <c r="H45" i="4"/>
  <c r="M46" i="4"/>
  <c r="M49" i="4" s="1"/>
  <c r="V148" i="4"/>
  <c r="J98" i="4"/>
  <c r="J99" i="4" s="1"/>
  <c r="AA148" i="4"/>
  <c r="I98" i="4"/>
  <c r="I99" i="4" s="1"/>
  <c r="J127" i="4"/>
  <c r="AA149" i="4"/>
  <c r="V75" i="4"/>
  <c r="R155" i="4"/>
  <c r="E137" i="4"/>
  <c r="E140" i="4" s="1"/>
  <c r="L98" i="4"/>
  <c r="L99" i="4" s="1"/>
  <c r="V117" i="4"/>
  <c r="D98" i="4"/>
  <c r="D99" i="4" s="1"/>
  <c r="Z75" i="4"/>
  <c r="V140" i="4"/>
  <c r="V49" i="4"/>
  <c r="Y148" i="4"/>
  <c r="Z117" i="4"/>
  <c r="O98" i="4"/>
  <c r="O99" i="4" s="1"/>
  <c r="AB148" i="4"/>
  <c r="AC129" i="4"/>
  <c r="G41" i="2"/>
  <c r="E101" i="2"/>
  <c r="E102" i="2" s="1"/>
  <c r="E104" i="2" s="1"/>
  <c r="B29" i="2"/>
  <c r="B11" i="2"/>
  <c r="AK42" i="14"/>
  <c r="AL42" i="14" s="1"/>
  <c r="Z25" i="35"/>
  <c r="Z55" i="33"/>
  <c r="Q55" i="33"/>
  <c r="Q24" i="35"/>
  <c r="Q6" i="35" s="1"/>
  <c r="Q8" i="35" s="1"/>
  <c r="Q10" i="35" s="1"/>
  <c r="Q16" i="35" s="1"/>
  <c r="Y25" i="35"/>
  <c r="Y55" i="33"/>
  <c r="AH15" i="35"/>
  <c r="AH111" i="33" s="1"/>
  <c r="U173" i="4"/>
  <c r="X25" i="35"/>
  <c r="X55" i="33"/>
  <c r="W14" i="35"/>
  <c r="W16" i="35"/>
  <c r="W18" i="35" s="1"/>
  <c r="AI52" i="35"/>
  <c r="AD10" i="35"/>
  <c r="AD16" i="35" s="1"/>
  <c r="AD18" i="33"/>
  <c r="AE9" i="35"/>
  <c r="P55" i="33"/>
  <c r="P24" i="35"/>
  <c r="P6" i="35" s="1"/>
  <c r="P8" i="35" s="1"/>
  <c r="P10" i="35" s="1"/>
  <c r="P16" i="35" s="1"/>
  <c r="V55" i="33"/>
  <c r="V25" i="35"/>
  <c r="AI5" i="35"/>
  <c r="AI9" i="33" s="1"/>
  <c r="T25" i="35"/>
  <c r="T55" i="33"/>
  <c r="E10" i="33"/>
  <c r="Y47" i="35"/>
  <c r="AK47" i="35"/>
  <c r="AA47" i="35"/>
  <c r="L112" i="33"/>
  <c r="M47" i="33"/>
  <c r="U62" i="35"/>
  <c r="W54" i="33"/>
  <c r="W25" i="34"/>
  <c r="Q110" i="33"/>
  <c r="Q36" i="14" s="1"/>
  <c r="Q107" i="33" s="1"/>
  <c r="Q112" i="33" s="1"/>
  <c r="Q60" i="34"/>
  <c r="Z54" i="33"/>
  <c r="Z25" i="34"/>
  <c r="Y25" i="34"/>
  <c r="Y54" i="33"/>
  <c r="AA99" i="33"/>
  <c r="F112" i="33"/>
  <c r="H5" i="4"/>
  <c r="H6" i="4" s="1"/>
  <c r="C10" i="33"/>
  <c r="C5" i="4"/>
  <c r="C6" i="4" s="1"/>
  <c r="K5" i="4"/>
  <c r="K6" i="4" s="1"/>
  <c r="H99" i="33"/>
  <c r="S99" i="33"/>
  <c r="Q99" i="33"/>
  <c r="C99" i="33"/>
  <c r="AC99" i="33"/>
  <c r="U46" i="34"/>
  <c r="AG103" i="23"/>
  <c r="AB20" i="23"/>
  <c r="AX7" i="23"/>
  <c r="Z28" i="23"/>
  <c r="Z29" i="23"/>
  <c r="AD77" i="23"/>
  <c r="BB54" i="23" s="1"/>
  <c r="AD80" i="23"/>
  <c r="AD81" i="23" s="1"/>
  <c r="BB53" i="23" s="1"/>
  <c r="X32" i="23"/>
  <c r="X94" i="23"/>
  <c r="X52" i="33"/>
  <c r="AV10" i="23"/>
  <c r="AW10" i="23"/>
  <c r="Y32" i="23"/>
  <c r="Y52" i="33"/>
  <c r="Y169" i="4" s="1"/>
  <c r="Y94" i="23"/>
  <c r="AD89" i="33"/>
  <c r="C41" i="2"/>
  <c r="Z6" i="23"/>
  <c r="U99" i="33"/>
  <c r="X6" i="23"/>
  <c r="U24" i="33"/>
  <c r="AI126" i="37"/>
  <c r="O42" i="37"/>
  <c r="O40" i="37" s="1"/>
  <c r="O53" i="33"/>
  <c r="O21" i="37"/>
  <c r="K42" i="37"/>
  <c r="K40" i="37" s="1"/>
  <c r="K53" i="33"/>
  <c r="N42" i="37"/>
  <c r="N40" i="37" s="1"/>
  <c r="N21" i="37"/>
  <c r="N53" i="33"/>
  <c r="M21" i="37"/>
  <c r="M53" i="33"/>
  <c r="M42" i="37"/>
  <c r="M40" i="37" s="1"/>
  <c r="AF130" i="37"/>
  <c r="AG130" i="37" s="1"/>
  <c r="AC53" i="33"/>
  <c r="R21" i="37"/>
  <c r="R42" i="37"/>
  <c r="R53" i="33"/>
  <c r="I53" i="33"/>
  <c r="I42" i="37"/>
  <c r="I40" i="37" s="1"/>
  <c r="L42" i="37"/>
  <c r="L40" i="37" s="1"/>
  <c r="L53" i="33"/>
  <c r="Q53" i="33"/>
  <c r="Q21" i="37"/>
  <c r="Q42" i="37"/>
  <c r="Q40" i="37" s="1"/>
  <c r="AH129" i="37"/>
  <c r="AF149" i="37"/>
  <c r="AE151" i="37"/>
  <c r="P42" i="37"/>
  <c r="P40" i="37" s="1"/>
  <c r="P53" i="33"/>
  <c r="P21" i="37"/>
  <c r="J53" i="33"/>
  <c r="J42" i="37"/>
  <c r="J40" i="37" s="1"/>
  <c r="AD53" i="33"/>
  <c r="AF67" i="14"/>
  <c r="T99" i="33"/>
  <c r="Z99" i="33"/>
  <c r="Z47" i="33"/>
  <c r="S47" i="33"/>
  <c r="E99" i="33"/>
  <c r="M89" i="33"/>
  <c r="AC36" i="33"/>
  <c r="P112" i="33"/>
  <c r="AA36" i="33"/>
  <c r="G47" i="33"/>
  <c r="B99" i="33"/>
  <c r="Z112" i="33"/>
  <c r="G112" i="33"/>
  <c r="C112" i="33"/>
  <c r="K24" i="33"/>
  <c r="AB99" i="33"/>
  <c r="F10" i="33"/>
  <c r="N99" i="33"/>
  <c r="F99" i="33"/>
  <c r="T81" i="33"/>
  <c r="W36" i="33"/>
  <c r="U36" i="33"/>
  <c r="O70" i="19"/>
  <c r="O12" i="19" s="1"/>
  <c r="O46" i="19"/>
  <c r="V13" i="19"/>
  <c r="V55" i="19"/>
  <c r="V64" i="19" s="1"/>
  <c r="AE58" i="19"/>
  <c r="AD92" i="19"/>
  <c r="AD61" i="19"/>
  <c r="O4" i="10"/>
  <c r="O5" i="10" s="1"/>
  <c r="O29" i="10" s="1"/>
  <c r="O13" i="19"/>
  <c r="G4" i="19"/>
  <c r="F26" i="10"/>
  <c r="F5" i="19"/>
  <c r="AC102" i="19"/>
  <c r="AC101" i="19"/>
  <c r="AC77" i="19"/>
  <c r="AC100" i="19"/>
  <c r="AC73" i="19"/>
  <c r="AC83" i="19"/>
  <c r="AD88" i="19"/>
  <c r="AC90" i="19"/>
  <c r="W42" i="19"/>
  <c r="X37" i="19"/>
  <c r="X40" i="19" s="1"/>
  <c r="AA106" i="19"/>
  <c r="Y73" i="19"/>
  <c r="Y83" i="19"/>
  <c r="Y86" i="19" s="1"/>
  <c r="U66" i="19"/>
  <c r="U64" i="19"/>
  <c r="U65" i="19"/>
  <c r="V73" i="19"/>
  <c r="V76" i="19"/>
  <c r="AB46" i="19"/>
  <c r="AB72" i="19" s="1"/>
  <c r="AD59" i="19"/>
  <c r="AE9" i="19"/>
  <c r="AE81" i="4" s="1"/>
  <c r="S4" i="10"/>
  <c r="S5" i="10" s="1"/>
  <c r="S29" i="10" s="1"/>
  <c r="W41" i="19"/>
  <c r="AB55" i="19"/>
  <c r="AB82" i="19"/>
  <c r="AB70" i="19"/>
  <c r="AB12" i="19" s="1"/>
  <c r="AA70" i="19"/>
  <c r="AA12" i="19" s="1"/>
  <c r="AA55" i="19"/>
  <c r="AA64" i="19" s="1"/>
  <c r="N98" i="4"/>
  <c r="K98" i="4"/>
  <c r="K99" i="4" s="1"/>
  <c r="F98" i="4"/>
  <c r="F99" i="4" s="1"/>
  <c r="AO135" i="19"/>
  <c r="J26" i="19"/>
  <c r="E98" i="4"/>
  <c r="E99" i="4" s="1"/>
  <c r="AI50" i="14"/>
  <c r="AJ50" i="14" s="1"/>
  <c r="AK50" i="14" s="1"/>
  <c r="AL50" i="14" s="1"/>
  <c r="AM50" i="14" s="1"/>
  <c r="AN50" i="14" s="1"/>
  <c r="AC68" i="14"/>
  <c r="AD75" i="14"/>
  <c r="AE75" i="14" s="1"/>
  <c r="AF75" i="14" s="1"/>
  <c r="W74" i="14"/>
  <c r="X74" i="14"/>
  <c r="X83" i="14"/>
  <c r="W83" i="14"/>
  <c r="P83" i="14"/>
  <c r="O83" i="14"/>
  <c r="H83" i="14"/>
  <c r="I83" i="14"/>
  <c r="R65" i="14"/>
  <c r="S72" i="14" s="1"/>
  <c r="T72" i="14"/>
  <c r="AF66" i="14"/>
  <c r="AG66" i="14" s="1"/>
  <c r="AH73" i="14"/>
  <c r="B35" i="2"/>
  <c r="B37" i="2" s="1"/>
  <c r="AA89" i="33"/>
  <c r="W94" i="33"/>
  <c r="W99" i="33" s="1"/>
  <c r="W38" i="14"/>
  <c r="W4" i="14"/>
  <c r="V6" i="14"/>
  <c r="W6" i="14" s="1"/>
  <c r="V4" i="14"/>
  <c r="AK71" i="14"/>
  <c r="F6" i="14"/>
  <c r="R71" i="14"/>
  <c r="P64" i="14"/>
  <c r="Q71" i="14" s="1"/>
  <c r="R75" i="14"/>
  <c r="P68" i="14"/>
  <c r="Q75" i="14" s="1"/>
  <c r="Y107" i="33"/>
  <c r="Y112" i="33" s="1"/>
  <c r="Y39" i="14"/>
  <c r="Y38" i="14"/>
  <c r="R74" i="14"/>
  <c r="Q74" i="14"/>
  <c r="AC47" i="14"/>
  <c r="C129" i="2"/>
  <c r="T42" i="14"/>
  <c r="T39" i="14"/>
  <c r="AI83" i="14"/>
  <c r="AJ83" i="14" s="1"/>
  <c r="AK83" i="14" s="1"/>
  <c r="AL83" i="14" s="1"/>
  <c r="AM83" i="14" s="1"/>
  <c r="AN83" i="14" s="1"/>
  <c r="AC89" i="33"/>
  <c r="S15" i="14"/>
  <c r="R25" i="6"/>
  <c r="R31" i="6" s="1"/>
  <c r="R15" i="14"/>
  <c r="AB6" i="14"/>
  <c r="AB7" i="14" s="1"/>
  <c r="I4" i="14"/>
  <c r="J4" i="14"/>
  <c r="AC64" i="14"/>
  <c r="AD71" i="14"/>
  <c r="AE71" i="14" s="1"/>
  <c r="AF71" i="14" s="1"/>
  <c r="AG71" i="14" s="1"/>
  <c r="U59" i="14"/>
  <c r="U84" i="33" s="1"/>
  <c r="U89" i="33" s="1"/>
  <c r="O89" i="33"/>
  <c r="X89" i="33"/>
  <c r="J112" i="33"/>
  <c r="W112" i="33"/>
  <c r="N112" i="33"/>
  <c r="M112" i="33"/>
  <c r="T59" i="14"/>
  <c r="T84" i="33" s="1"/>
  <c r="T89" i="33" s="1"/>
  <c r="S4" i="14"/>
  <c r="C81" i="33"/>
  <c r="V59" i="14"/>
  <c r="V84" i="33" s="1"/>
  <c r="V89" i="33" s="1"/>
  <c r="N30" i="14"/>
  <c r="N31" i="14" s="1"/>
  <c r="AB89" i="33"/>
  <c r="N89" i="33"/>
  <c r="Y89" i="33"/>
  <c r="F30" i="14"/>
  <c r="F31" i="14" s="1"/>
  <c r="D41" i="2"/>
  <c r="AD20" i="10"/>
  <c r="AS20" i="10"/>
  <c r="AI46" i="10"/>
  <c r="AJ46" i="10" s="1"/>
  <c r="AK46" i="10" s="1"/>
  <c r="AL46" i="10" s="1"/>
  <c r="AM46" i="10" s="1"/>
  <c r="AN46" i="10" s="1"/>
  <c r="AI41" i="10"/>
  <c r="AJ41" i="10" s="1"/>
  <c r="AK41" i="10" s="1"/>
  <c r="AL41" i="10" s="1"/>
  <c r="AM41" i="10" s="1"/>
  <c r="AN41" i="10" s="1"/>
  <c r="Q54" i="10"/>
  <c r="AA20" i="10"/>
  <c r="AC9" i="10"/>
  <c r="AA54" i="10"/>
  <c r="C47" i="10"/>
  <c r="AD29" i="6"/>
  <c r="Y163" i="4"/>
  <c r="Y51" i="33"/>
  <c r="J15" i="6"/>
  <c r="J16" i="6"/>
  <c r="J21" i="6" s="1"/>
  <c r="J23" i="6" s="1"/>
  <c r="J18" i="19" s="1"/>
  <c r="J19" i="19" s="1"/>
  <c r="E16" i="6"/>
  <c r="E21" i="6" s="1"/>
  <c r="E23" i="6" s="1"/>
  <c r="E18" i="19" s="1"/>
  <c r="E19" i="19" s="1"/>
  <c r="E15" i="6"/>
  <c r="AF15" i="6"/>
  <c r="AF16" i="6"/>
  <c r="AF21" i="6" s="1"/>
  <c r="AF23" i="6" s="1"/>
  <c r="C15" i="6"/>
  <c r="C16" i="6"/>
  <c r="C21" i="6" s="1"/>
  <c r="C23" i="6" s="1"/>
  <c r="C18" i="19" s="1"/>
  <c r="C19" i="19" s="1"/>
  <c r="Z15" i="6"/>
  <c r="Z16" i="6"/>
  <c r="H15" i="6"/>
  <c r="H16" i="6"/>
  <c r="H21" i="6" s="1"/>
  <c r="H23" i="6" s="1"/>
  <c r="H18" i="19" s="1"/>
  <c r="H19" i="19" s="1"/>
  <c r="T15" i="6"/>
  <c r="T16" i="6"/>
  <c r="T21" i="6" s="1"/>
  <c r="T23" i="6" s="1"/>
  <c r="T18" i="19" s="1"/>
  <c r="G16" i="6"/>
  <c r="G21" i="6" s="1"/>
  <c r="G23" i="6" s="1"/>
  <c r="G18" i="19" s="1"/>
  <c r="G19" i="19" s="1"/>
  <c r="G15" i="6"/>
  <c r="B16" i="6"/>
  <c r="B21" i="6" s="1"/>
  <c r="B23" i="6" s="1"/>
  <c r="B15" i="6"/>
  <c r="X15" i="6"/>
  <c r="X16" i="6"/>
  <c r="P16" i="6"/>
  <c r="P21" i="6" s="1"/>
  <c r="P23" i="6" s="1"/>
  <c r="P18" i="19" s="1"/>
  <c r="P21" i="19" s="1"/>
  <c r="P15" i="6"/>
  <c r="C60" i="33"/>
  <c r="D60" i="33"/>
  <c r="AA15" i="6"/>
  <c r="B101" i="2" s="1"/>
  <c r="B102" i="2" s="1"/>
  <c r="B104" i="2" s="1"/>
  <c r="AA16" i="6"/>
  <c r="AA21" i="6" s="1"/>
  <c r="F60" i="33"/>
  <c r="L16" i="6"/>
  <c r="L21" i="6" s="1"/>
  <c r="L23" i="6" s="1"/>
  <c r="L18" i="19" s="1"/>
  <c r="L19" i="19" s="1"/>
  <c r="L15" i="6"/>
  <c r="I15" i="6"/>
  <c r="I16" i="6"/>
  <c r="I21" i="6" s="1"/>
  <c r="X19" i="6"/>
  <c r="W28" i="6"/>
  <c r="W31" i="6" s="1"/>
  <c r="L46" i="6"/>
  <c r="L51" i="33" s="1"/>
  <c r="H31" i="6"/>
  <c r="T10" i="33"/>
  <c r="O16" i="6"/>
  <c r="O21" i="6" s="1"/>
  <c r="O23" i="6" s="1"/>
  <c r="O18" i="19" s="1"/>
  <c r="M16" i="6"/>
  <c r="M21" i="6" s="1"/>
  <c r="M23" i="6" s="1"/>
  <c r="M18" i="19" s="1"/>
  <c r="M19" i="19" s="1"/>
  <c r="AF4" i="4"/>
  <c r="Y15" i="6"/>
  <c r="I41" i="6"/>
  <c r="H37" i="6"/>
  <c r="AA47" i="33"/>
  <c r="V47" i="33"/>
  <c r="N10" i="33"/>
  <c r="I10" i="33"/>
  <c r="W10" i="33"/>
  <c r="R41" i="6"/>
  <c r="R36" i="6" s="1"/>
  <c r="R37" i="6" s="1"/>
  <c r="D10" i="33"/>
  <c r="V10" i="33"/>
  <c r="H47" i="33"/>
  <c r="Q31" i="6"/>
  <c r="Z73" i="33"/>
  <c r="AA81" i="33"/>
  <c r="AA73" i="33" s="1"/>
  <c r="AA4" i="4"/>
  <c r="AA10" i="33"/>
  <c r="Z81" i="33"/>
  <c r="P129" i="33"/>
  <c r="E112" i="33"/>
  <c r="W120" i="33"/>
  <c r="AD5" i="4"/>
  <c r="AD10" i="33"/>
  <c r="AD6" i="4" s="1"/>
  <c r="I81" i="33"/>
  <c r="D81" i="33"/>
  <c r="I129" i="33"/>
  <c r="J124" i="33"/>
  <c r="J129" i="33" s="1"/>
  <c r="S4" i="4"/>
  <c r="S10" i="33"/>
  <c r="AD99" i="33"/>
  <c r="O60" i="33"/>
  <c r="N60" i="33"/>
  <c r="Y10" i="33"/>
  <c r="Y4" i="4"/>
  <c r="AC5" i="4"/>
  <c r="AC6" i="4" s="1"/>
  <c r="AC10" i="33"/>
  <c r="Q47" i="33"/>
  <c r="J47" i="33"/>
  <c r="AB5" i="4"/>
  <c r="AB6" i="4" s="1"/>
  <c r="AB10" i="33"/>
  <c r="X129" i="33"/>
  <c r="Y128" i="33"/>
  <c r="Z128" i="33" s="1"/>
  <c r="AA128" i="33" s="1"/>
  <c r="AB128" i="33" s="1"/>
  <c r="I47" i="33"/>
  <c r="P101" i="33"/>
  <c r="P99" i="33"/>
  <c r="I99" i="33"/>
  <c r="I101" i="33"/>
  <c r="S75" i="33"/>
  <c r="S81" i="33" s="1"/>
  <c r="S73" i="33"/>
  <c r="P5" i="4"/>
  <c r="P6" i="4" s="1"/>
  <c r="P10" i="33"/>
  <c r="J5" i="4"/>
  <c r="J6" i="4" s="1"/>
  <c r="J10" i="33"/>
  <c r="S5" i="4"/>
  <c r="AJ74" i="33"/>
  <c r="AK74" i="33" s="1"/>
  <c r="AL74" i="33" s="1"/>
  <c r="AM74" i="33" s="1"/>
  <c r="AN74" i="33" s="1"/>
  <c r="Q129" i="33"/>
  <c r="R124" i="33"/>
  <c r="R129" i="33" s="1"/>
  <c r="O61" i="33"/>
  <c r="P61" i="33"/>
  <c r="L47" i="33"/>
  <c r="M129" i="33"/>
  <c r="AF24" i="33"/>
  <c r="C73" i="33"/>
  <c r="F41" i="2"/>
  <c r="AE89" i="33"/>
  <c r="C120" i="33"/>
  <c r="D120" i="33"/>
  <c r="W60" i="33"/>
  <c r="U129" i="33"/>
  <c r="H102" i="4"/>
  <c r="H24" i="4"/>
  <c r="H27" i="4" s="1"/>
  <c r="N102" i="4"/>
  <c r="N24" i="4"/>
  <c r="N27" i="4" s="1"/>
  <c r="R24" i="4"/>
  <c r="R27" i="4" s="1"/>
  <c r="R157" i="4"/>
  <c r="R158" i="4" s="1"/>
  <c r="R102" i="4"/>
  <c r="R108" i="4" s="1"/>
  <c r="D102" i="4"/>
  <c r="D24" i="4"/>
  <c r="D27" i="4" s="1"/>
  <c r="P117" i="4"/>
  <c r="U102" i="4"/>
  <c r="U24" i="4"/>
  <c r="U27" i="4" s="1"/>
  <c r="AD58" i="4"/>
  <c r="V102" i="4"/>
  <c r="V24" i="4"/>
  <c r="V27" i="4" s="1"/>
  <c r="Y122" i="4"/>
  <c r="Y117" i="4"/>
  <c r="P102" i="4"/>
  <c r="P24" i="4"/>
  <c r="P27" i="4" s="1"/>
  <c r="AD148" i="4"/>
  <c r="AD149" i="4"/>
  <c r="I117" i="4"/>
  <c r="L129" i="4"/>
  <c r="D127" i="4"/>
  <c r="D129" i="4" s="1"/>
  <c r="D140" i="4" s="1"/>
  <c r="Q157" i="4"/>
  <c r="Q158" i="4" s="1"/>
  <c r="E102" i="4"/>
  <c r="E24" i="4"/>
  <c r="E27" i="4" s="1"/>
  <c r="AC86" i="4"/>
  <c r="AB92" i="4"/>
  <c r="AB98" i="4" s="1"/>
  <c r="G127" i="4"/>
  <c r="G129" i="4" s="1"/>
  <c r="G140" i="4" s="1"/>
  <c r="T49" i="4"/>
  <c r="L49" i="4"/>
  <c r="T20" i="4"/>
  <c r="T22" i="4" s="1"/>
  <c r="T155" i="4"/>
  <c r="I24" i="4"/>
  <c r="I27" i="4" s="1"/>
  <c r="I102" i="4"/>
  <c r="C98" i="4"/>
  <c r="C99" i="4" s="1"/>
  <c r="E45" i="4"/>
  <c r="E47" i="4"/>
  <c r="S155" i="4"/>
  <c r="S20" i="4"/>
  <c r="S22" i="4" s="1"/>
  <c r="W148" i="4"/>
  <c r="C24" i="4"/>
  <c r="C27" i="4" s="1"/>
  <c r="C102" i="4"/>
  <c r="Q24" i="4"/>
  <c r="Q27" i="4" s="1"/>
  <c r="M24" i="4"/>
  <c r="M27" i="4" s="1"/>
  <c r="M102" i="4"/>
  <c r="U149" i="4"/>
  <c r="K42" i="4"/>
  <c r="K55" i="4"/>
  <c r="H98" i="4"/>
  <c r="H99" i="4" s="1"/>
  <c r="R129" i="4"/>
  <c r="R140" i="4" s="1"/>
  <c r="W137" i="4"/>
  <c r="W140" i="4" s="1"/>
  <c r="AC137" i="4"/>
  <c r="AB149" i="4"/>
  <c r="W52" i="4"/>
  <c r="S75" i="4"/>
  <c r="W149" i="4"/>
  <c r="D117" i="4"/>
  <c r="F89" i="2"/>
  <c r="E89" i="2"/>
  <c r="D83" i="2"/>
  <c r="B83" i="2"/>
  <c r="AE6" i="19"/>
  <c r="AE5" i="19" s="1"/>
  <c r="AE39" i="19"/>
  <c r="AE38" i="19" s="1"/>
  <c r="AE19" i="34"/>
  <c r="AE54" i="33" s="1"/>
  <c r="AE60" i="34"/>
  <c r="AE14" i="34"/>
  <c r="AF19" i="34"/>
  <c r="AF54" i="33" s="1"/>
  <c r="AF43" i="34"/>
  <c r="AF44" i="34" s="1"/>
  <c r="AF46" i="34" s="1"/>
  <c r="AE29" i="23"/>
  <c r="AE28" i="23"/>
  <c r="F84" i="2" s="1"/>
  <c r="AE53" i="23"/>
  <c r="AE54" i="23" s="1"/>
  <c r="AE80" i="23"/>
  <c r="AE81" i="23" s="1"/>
  <c r="AF16" i="33"/>
  <c r="AF158" i="37"/>
  <c r="AF159" i="37" s="1"/>
  <c r="AF6" i="14"/>
  <c r="AG6" i="14" s="1"/>
  <c r="AG7" i="14" s="1"/>
  <c r="AE4" i="14"/>
  <c r="AE7" i="14" s="1"/>
  <c r="AF15" i="10"/>
  <c r="AF19" i="10" s="1"/>
  <c r="AG20" i="10" s="1"/>
  <c r="AF45" i="10"/>
  <c r="D54" i="10"/>
  <c r="AF37" i="6"/>
  <c r="G100" i="2" s="1"/>
  <c r="U31" i="6"/>
  <c r="AF89" i="33"/>
  <c r="M120" i="33"/>
  <c r="AF116" i="33"/>
  <c r="AE120" i="33"/>
  <c r="AE69" i="4"/>
  <c r="S117" i="4"/>
  <c r="W75" i="4"/>
  <c r="L4" i="10" l="1"/>
  <c r="L5" i="10" s="1"/>
  <c r="L29" i="10" s="1"/>
  <c r="L13" i="19"/>
  <c r="N28" i="33"/>
  <c r="AF6" i="23"/>
  <c r="AF7" i="23" s="1"/>
  <c r="S13" i="19"/>
  <c r="AB13" i="19"/>
  <c r="U29" i="23"/>
  <c r="U52" i="33" s="1"/>
  <c r="U169" i="4" s="1"/>
  <c r="N49" i="19"/>
  <c r="R13" i="19"/>
  <c r="U28" i="23"/>
  <c r="O47" i="10"/>
  <c r="N70" i="19"/>
  <c r="N12" i="19" s="1"/>
  <c r="W20" i="4"/>
  <c r="W22" i="4" s="1"/>
  <c r="W24" i="4" s="1"/>
  <c r="W27" i="4" s="1"/>
  <c r="R53" i="19"/>
  <c r="R54" i="19" s="1"/>
  <c r="AD13" i="19"/>
  <c r="W7" i="23"/>
  <c r="W20" i="23" s="1"/>
  <c r="AD4" i="10"/>
  <c r="AD5" i="10" s="1"/>
  <c r="H47" i="10"/>
  <c r="K56" i="10"/>
  <c r="AC81" i="33"/>
  <c r="AC73" i="33" s="1"/>
  <c r="R17" i="34"/>
  <c r="R45" i="33" s="1"/>
  <c r="R47" i="33" s="1"/>
  <c r="G47" i="10"/>
  <c r="G55" i="10"/>
  <c r="R70" i="19"/>
  <c r="R12" i="19" s="1"/>
  <c r="R14" i="19" s="1"/>
  <c r="R15" i="6"/>
  <c r="K49" i="19"/>
  <c r="L50" i="19" s="1"/>
  <c r="E70" i="19"/>
  <c r="E12" i="19" s="1"/>
  <c r="B24" i="4"/>
  <c r="B27" i="4" s="1"/>
  <c r="Q24" i="19"/>
  <c r="Q27" i="19" s="1"/>
  <c r="Q26" i="14" s="1"/>
  <c r="N47" i="10"/>
  <c r="AA50" i="19"/>
  <c r="AG63" i="33"/>
  <c r="AI31" i="35"/>
  <c r="AJ31" i="35" s="1"/>
  <c r="AK31" i="35" s="1"/>
  <c r="AL31" i="35" s="1"/>
  <c r="AJ81" i="37"/>
  <c r="AK81" i="37" s="1"/>
  <c r="AL81" i="37" s="1"/>
  <c r="AM81" i="37" s="1"/>
  <c r="AN81" i="37" s="1"/>
  <c r="AA28" i="33"/>
  <c r="AG66" i="23"/>
  <c r="AG77" i="23" s="1"/>
  <c r="R49" i="19"/>
  <c r="R50" i="19" s="1"/>
  <c r="H13" i="19"/>
  <c r="R19" i="33"/>
  <c r="AH60" i="34"/>
  <c r="AG60" i="34"/>
  <c r="W61" i="37"/>
  <c r="AG101" i="23"/>
  <c r="N53" i="19"/>
  <c r="J54" i="10"/>
  <c r="K54" i="10"/>
  <c r="AE95" i="33"/>
  <c r="AF85" i="23"/>
  <c r="M20" i="2"/>
  <c r="M105" i="2" s="1"/>
  <c r="E42" i="2"/>
  <c r="G36" i="2"/>
  <c r="G37" i="2" s="1"/>
  <c r="AF108" i="4"/>
  <c r="AH17" i="4"/>
  <c r="AA102" i="4"/>
  <c r="B93" i="2"/>
  <c r="AI22" i="34"/>
  <c r="AI21" i="34"/>
  <c r="AI20" i="34"/>
  <c r="AH20" i="23"/>
  <c r="AH97" i="23"/>
  <c r="AH67" i="14"/>
  <c r="AH83" i="37"/>
  <c r="AI83" i="37" s="1"/>
  <c r="AB112" i="33"/>
  <c r="AG79" i="33"/>
  <c r="Z20" i="33"/>
  <c r="AG75" i="14"/>
  <c r="AH75" i="14" s="1"/>
  <c r="AI75" i="14" s="1"/>
  <c r="AJ75" i="14" s="1"/>
  <c r="AK75" i="14" s="1"/>
  <c r="AL75" i="14" s="1"/>
  <c r="AM75" i="14" s="1"/>
  <c r="AN75" i="14" s="1"/>
  <c r="W73" i="19"/>
  <c r="W77" i="19"/>
  <c r="AG38" i="10"/>
  <c r="AG55" i="10" s="1"/>
  <c r="R54" i="10"/>
  <c r="AH37" i="10"/>
  <c r="AI37" i="10" s="1"/>
  <c r="AI25" i="14"/>
  <c r="AH26" i="6"/>
  <c r="AH107" i="33"/>
  <c r="AG94" i="33"/>
  <c r="AG51" i="33"/>
  <c r="Y28" i="23"/>
  <c r="AF77" i="23"/>
  <c r="AI90" i="23"/>
  <c r="AJ90" i="23" s="1"/>
  <c r="AK90" i="23" s="1"/>
  <c r="AL90" i="23" s="1"/>
  <c r="AM90" i="23" s="1"/>
  <c r="AN90" i="23" s="1"/>
  <c r="AH9" i="23"/>
  <c r="AI9" i="23" s="1"/>
  <c r="AJ9" i="23" s="1"/>
  <c r="AJ10" i="37"/>
  <c r="AI23" i="33"/>
  <c r="AJ74" i="4"/>
  <c r="AK74" i="4" s="1"/>
  <c r="AL74" i="4" s="1"/>
  <c r="AM74" i="4" s="1"/>
  <c r="AJ91" i="4"/>
  <c r="V16" i="34"/>
  <c r="V9" i="34" s="1"/>
  <c r="V7" i="34" s="1"/>
  <c r="V6" i="34" s="1"/>
  <c r="AI56" i="19"/>
  <c r="AJ56" i="19" s="1"/>
  <c r="AK56" i="19" s="1"/>
  <c r="AL56" i="19" s="1"/>
  <c r="AM56" i="19" s="1"/>
  <c r="AN56" i="19" s="1"/>
  <c r="AI85" i="19"/>
  <c r="AJ85" i="19" s="1"/>
  <c r="AK85" i="19" s="1"/>
  <c r="AL85" i="19" s="1"/>
  <c r="AM85" i="19" s="1"/>
  <c r="AN85" i="19" s="1"/>
  <c r="AJ22" i="14"/>
  <c r="AK22" i="14" s="1"/>
  <c r="AL22" i="14" s="1"/>
  <c r="AM22" i="14" s="1"/>
  <c r="AN22" i="14" s="1"/>
  <c r="AH94" i="33"/>
  <c r="AH74" i="14"/>
  <c r="R55" i="10"/>
  <c r="AH36" i="10"/>
  <c r="L47" i="10"/>
  <c r="P20" i="10"/>
  <c r="N54" i="10"/>
  <c r="AA24" i="4"/>
  <c r="AA27" i="4" s="1"/>
  <c r="Q30" i="19"/>
  <c r="Q34" i="19" s="1"/>
  <c r="R30" i="19" s="1"/>
  <c r="R34" i="19" s="1"/>
  <c r="F47" i="10"/>
  <c r="G54" i="10"/>
  <c r="R47" i="10"/>
  <c r="K55" i="10"/>
  <c r="E54" i="10"/>
  <c r="AC19" i="33"/>
  <c r="S49" i="4"/>
  <c r="R25" i="34"/>
  <c r="R54" i="33"/>
  <c r="S63" i="33" s="1"/>
  <c r="AB46" i="34"/>
  <c r="V25" i="34"/>
  <c r="AB18" i="23"/>
  <c r="I5" i="14"/>
  <c r="E47" i="10"/>
  <c r="E55" i="10"/>
  <c r="J5" i="10"/>
  <c r="J29" i="10" s="1"/>
  <c r="L102" i="4"/>
  <c r="L108" i="4" s="1"/>
  <c r="N108" i="4"/>
  <c r="AF72" i="37"/>
  <c r="AE32" i="33"/>
  <c r="AE36" i="33" s="1"/>
  <c r="AC5" i="14"/>
  <c r="N56" i="10"/>
  <c r="R51" i="33"/>
  <c r="R60" i="33" s="1"/>
  <c r="I46" i="4"/>
  <c r="L60" i="33"/>
  <c r="AF18" i="23"/>
  <c r="AF97" i="23"/>
  <c r="M14" i="19"/>
  <c r="U5" i="10"/>
  <c r="U29" i="10" s="1"/>
  <c r="Y47" i="10"/>
  <c r="J31" i="4"/>
  <c r="J34" i="4" s="1"/>
  <c r="U112" i="33"/>
  <c r="Z4" i="10"/>
  <c r="Z5" i="10" s="1"/>
  <c r="Z29" i="10" s="1"/>
  <c r="G5" i="14"/>
  <c r="Y54" i="10"/>
  <c r="AF49" i="19"/>
  <c r="B13" i="19"/>
  <c r="B14" i="19" s="1"/>
  <c r="V14" i="19"/>
  <c r="V171" i="4"/>
  <c r="V20" i="33"/>
  <c r="AD20" i="33"/>
  <c r="AA55" i="33"/>
  <c r="AB64" i="33" s="1"/>
  <c r="AB25" i="35"/>
  <c r="AC18" i="35"/>
  <c r="AC55" i="33" s="1"/>
  <c r="AC64" i="33" s="1"/>
  <c r="AA54" i="33"/>
  <c r="AA171" i="4" s="1"/>
  <c r="AS10" i="23"/>
  <c r="W97" i="23"/>
  <c r="BB7" i="23"/>
  <c r="V61" i="33"/>
  <c r="AH71" i="37"/>
  <c r="AH84" i="37" s="1"/>
  <c r="AI84" i="37" s="1"/>
  <c r="AI31" i="37" s="1"/>
  <c r="AJ136" i="37"/>
  <c r="AJ71" i="37" s="1"/>
  <c r="AA20" i="33"/>
  <c r="G5" i="19"/>
  <c r="G4" i="10" s="1"/>
  <c r="G5" i="10" s="1"/>
  <c r="T13" i="19"/>
  <c r="H5" i="14"/>
  <c r="P5" i="14"/>
  <c r="O5" i="14"/>
  <c r="Y49" i="19"/>
  <c r="Z50" i="19" s="1"/>
  <c r="Y56" i="10"/>
  <c r="Y53" i="19"/>
  <c r="Y54" i="19" s="1"/>
  <c r="O50" i="19"/>
  <c r="Y70" i="19"/>
  <c r="Y12" i="19" s="1"/>
  <c r="Y13" i="19"/>
  <c r="Z47" i="10"/>
  <c r="Z14" i="19"/>
  <c r="AB163" i="4"/>
  <c r="G60" i="33"/>
  <c r="H60" i="33"/>
  <c r="C108" i="4"/>
  <c r="AB140" i="4"/>
  <c r="P46" i="4"/>
  <c r="P49" i="4" s="1"/>
  <c r="AC64" i="4"/>
  <c r="AC75" i="4" s="1"/>
  <c r="D69" i="2" s="1"/>
  <c r="D75" i="2" s="1"/>
  <c r="O19" i="33"/>
  <c r="AA140" i="4"/>
  <c r="AC101" i="33"/>
  <c r="Y4" i="10"/>
  <c r="Y5" i="10" s="1"/>
  <c r="Y29" i="10" s="1"/>
  <c r="O55" i="33"/>
  <c r="U94" i="23"/>
  <c r="Z167" i="4"/>
  <c r="X60" i="33"/>
  <c r="U32" i="23"/>
  <c r="Y24" i="4"/>
  <c r="Y27" i="4" s="1"/>
  <c r="Y31" i="4" s="1"/>
  <c r="L31" i="4"/>
  <c r="L55" i="4" s="1"/>
  <c r="AC7" i="14"/>
  <c r="Z5" i="14"/>
  <c r="AF10" i="23"/>
  <c r="AG10" i="23" s="1"/>
  <c r="AG8" i="23" s="1"/>
  <c r="AD18" i="23"/>
  <c r="Y42" i="37"/>
  <c r="Z43" i="37" s="1"/>
  <c r="AB20" i="33"/>
  <c r="G31" i="4"/>
  <c r="V5" i="14"/>
  <c r="F5" i="14"/>
  <c r="O49" i="4"/>
  <c r="AF104" i="23"/>
  <c r="AD29" i="23"/>
  <c r="AD52" i="33" s="1"/>
  <c r="X42" i="37"/>
  <c r="X41" i="37" s="1"/>
  <c r="AE134" i="37"/>
  <c r="AF134" i="37" s="1"/>
  <c r="Q5" i="14"/>
  <c r="AD28" i="23"/>
  <c r="E84" i="2" s="1"/>
  <c r="AD65" i="37"/>
  <c r="X76" i="19"/>
  <c r="X77" i="19" s="1"/>
  <c r="Y5" i="14"/>
  <c r="I23" i="6"/>
  <c r="I18" i="19" s="1"/>
  <c r="I19" i="19" s="1"/>
  <c r="M108" i="4"/>
  <c r="Y140" i="4"/>
  <c r="R49" i="4"/>
  <c r="L35" i="4"/>
  <c r="AE112" i="33"/>
  <c r="C13" i="19"/>
  <c r="C14" i="19" s="1"/>
  <c r="AC54" i="33"/>
  <c r="AC171" i="4" s="1"/>
  <c r="W13" i="19"/>
  <c r="O20" i="4"/>
  <c r="O22" i="4" s="1"/>
  <c r="O28" i="33"/>
  <c r="AA18" i="23"/>
  <c r="Q14" i="19"/>
  <c r="L5" i="14"/>
  <c r="Q20" i="33"/>
  <c r="Q19" i="33" s="1"/>
  <c r="AD97" i="23"/>
  <c r="AD14" i="34"/>
  <c r="AD16" i="34" s="1"/>
  <c r="AD19" i="34" s="1"/>
  <c r="AD25" i="34" s="1"/>
  <c r="B54" i="10"/>
  <c r="U108" i="4"/>
  <c r="W47" i="10"/>
  <c r="Q27" i="10"/>
  <c r="Y20" i="33"/>
  <c r="Y19" i="33" s="1"/>
  <c r="I70" i="19"/>
  <c r="I12" i="19" s="1"/>
  <c r="AC112" i="33"/>
  <c r="W4" i="10"/>
  <c r="W5" i="10" s="1"/>
  <c r="W29" i="10" s="1"/>
  <c r="I5" i="10"/>
  <c r="AC167" i="4"/>
  <c r="B5" i="10"/>
  <c r="C63" i="2"/>
  <c r="AE20" i="23"/>
  <c r="T5" i="10"/>
  <c r="T29" i="10" s="1"/>
  <c r="AA4" i="10"/>
  <c r="AA5" i="10" s="1"/>
  <c r="AA29" i="10" s="1"/>
  <c r="AI68" i="37"/>
  <c r="AI28" i="37" s="1"/>
  <c r="AO28" i="37" s="1"/>
  <c r="U74" i="19"/>
  <c r="K108" i="4"/>
  <c r="D61" i="2"/>
  <c r="U21" i="37"/>
  <c r="Y18" i="23"/>
  <c r="W54" i="10"/>
  <c r="G49" i="4"/>
  <c r="H108" i="4"/>
  <c r="AE77" i="4"/>
  <c r="E7" i="14"/>
  <c r="E12" i="14" s="1"/>
  <c r="E9" i="14" s="1"/>
  <c r="E108" i="4"/>
  <c r="AD84" i="4"/>
  <c r="AD54" i="10"/>
  <c r="AB28" i="33"/>
  <c r="AB20" i="4"/>
  <c r="AB22" i="4" s="1"/>
  <c r="C93" i="2" s="1"/>
  <c r="AB155" i="4"/>
  <c r="Y97" i="23"/>
  <c r="Y20" i="23"/>
  <c r="U54" i="10"/>
  <c r="AD81" i="33"/>
  <c r="AD73" i="33" s="1"/>
  <c r="N99" i="4"/>
  <c r="W70" i="19"/>
  <c r="W12" i="19" s="1"/>
  <c r="I13" i="19"/>
  <c r="D5" i="14"/>
  <c r="AE70" i="19"/>
  <c r="AE12" i="19" s="1"/>
  <c r="AD17" i="35"/>
  <c r="AD46" i="33" s="1"/>
  <c r="AD47" i="33" s="1"/>
  <c r="AC46" i="33"/>
  <c r="AC47" i="33" s="1"/>
  <c r="AD64" i="19"/>
  <c r="AD65" i="19"/>
  <c r="D13" i="19"/>
  <c r="D14" i="19" s="1"/>
  <c r="F64" i="2"/>
  <c r="H5" i="10"/>
  <c r="P5" i="10"/>
  <c r="P29" i="10" s="1"/>
  <c r="U70" i="19"/>
  <c r="U12" i="19" s="1"/>
  <c r="W56" i="10"/>
  <c r="W55" i="10"/>
  <c r="W49" i="19"/>
  <c r="W50" i="19" s="1"/>
  <c r="AB14" i="19"/>
  <c r="L14" i="19"/>
  <c r="T54" i="10"/>
  <c r="AC23" i="23"/>
  <c r="BA5" i="23"/>
  <c r="I49" i="19"/>
  <c r="W53" i="19"/>
  <c r="W54" i="19" s="1"/>
  <c r="D49" i="4"/>
  <c r="E4" i="10"/>
  <c r="E5" i="10" s="1"/>
  <c r="E13" i="19"/>
  <c r="E14" i="19" s="1"/>
  <c r="AF55" i="10"/>
  <c r="AF53" i="19"/>
  <c r="AF54" i="19" s="1"/>
  <c r="AD49" i="19"/>
  <c r="AD56" i="10"/>
  <c r="AD70" i="19"/>
  <c r="AD12" i="19" s="1"/>
  <c r="AD14" i="19" s="1"/>
  <c r="U25" i="34"/>
  <c r="AD53" i="19"/>
  <c r="AD54" i="19" s="1"/>
  <c r="AE49" i="19"/>
  <c r="AB16" i="6"/>
  <c r="AB21" i="6" s="1"/>
  <c r="AB23" i="6" s="1"/>
  <c r="AB18" i="19" s="1"/>
  <c r="AD5" i="14"/>
  <c r="M4" i="10"/>
  <c r="M5" i="10" s="1"/>
  <c r="M29" i="10" s="1"/>
  <c r="AF81" i="33"/>
  <c r="AF73" i="33" s="1"/>
  <c r="AE47" i="10"/>
  <c r="T20" i="33"/>
  <c r="AB5" i="10"/>
  <c r="AB29" i="10" s="1"/>
  <c r="AB15" i="6"/>
  <c r="C101" i="2" s="1"/>
  <c r="C102" i="2" s="1"/>
  <c r="C104" i="2" s="1"/>
  <c r="H70" i="19"/>
  <c r="H12" i="19" s="1"/>
  <c r="H49" i="19"/>
  <c r="H50" i="19" s="1"/>
  <c r="AD55" i="10"/>
  <c r="AF47" i="10"/>
  <c r="AC49" i="19"/>
  <c r="AC50" i="19" s="1"/>
  <c r="AC53" i="19"/>
  <c r="AC54" i="19" s="1"/>
  <c r="AB61" i="4"/>
  <c r="AC13" i="19"/>
  <c r="U54" i="33"/>
  <c r="V63" i="33" s="1"/>
  <c r="L140" i="4"/>
  <c r="P70" i="19"/>
  <c r="P12" i="19" s="1"/>
  <c r="P53" i="19"/>
  <c r="I54" i="10"/>
  <c r="I129" i="4"/>
  <c r="I140" i="4" s="1"/>
  <c r="F102" i="4"/>
  <c r="F108" i="4" s="1"/>
  <c r="O14" i="19"/>
  <c r="U13" i="19"/>
  <c r="AC34" i="14"/>
  <c r="AD34" i="14" s="1"/>
  <c r="Q66" i="14"/>
  <c r="G101" i="2"/>
  <c r="G102" i="2" s="1"/>
  <c r="G104" i="2" s="1"/>
  <c r="AC9" i="4"/>
  <c r="P13" i="19"/>
  <c r="AE54" i="10"/>
  <c r="P49" i="19"/>
  <c r="F54" i="10"/>
  <c r="J48" i="4"/>
  <c r="AE21" i="37"/>
  <c r="P54" i="10"/>
  <c r="U47" i="10"/>
  <c r="T70" i="19"/>
  <c r="T12" i="19" s="1"/>
  <c r="T49" i="19"/>
  <c r="U50" i="19" s="1"/>
  <c r="AC20" i="10"/>
  <c r="AB54" i="33"/>
  <c r="K129" i="4"/>
  <c r="K140" i="4" s="1"/>
  <c r="AI33" i="19"/>
  <c r="AI20" i="19" s="1"/>
  <c r="AC70" i="19"/>
  <c r="AC12" i="19" s="1"/>
  <c r="AE55" i="10"/>
  <c r="U53" i="19"/>
  <c r="U54" i="19" s="1"/>
  <c r="AB21" i="37"/>
  <c r="C130" i="2"/>
  <c r="AC54" i="10"/>
  <c r="AF56" i="10"/>
  <c r="AF112" i="33"/>
  <c r="AI35" i="10"/>
  <c r="AJ35" i="10" s="1"/>
  <c r="AE46" i="34"/>
  <c r="AR5" i="23"/>
  <c r="T23" i="23"/>
  <c r="T53" i="33"/>
  <c r="Y21" i="37"/>
  <c r="T21" i="37"/>
  <c r="S53" i="33"/>
  <c r="S21" i="37"/>
  <c r="AH131" i="37"/>
  <c r="AI127" i="37"/>
  <c r="AJ127" i="37" s="1"/>
  <c r="V21" i="37"/>
  <c r="X14" i="19"/>
  <c r="G50" i="19"/>
  <c r="F36" i="2"/>
  <c r="F37" i="2" s="1"/>
  <c r="I47" i="10"/>
  <c r="Z54" i="10"/>
  <c r="H54" i="10"/>
  <c r="AR8" i="10"/>
  <c r="AR13" i="10" s="1"/>
  <c r="B55" i="10"/>
  <c r="B29" i="10"/>
  <c r="S54" i="10"/>
  <c r="K19" i="10"/>
  <c r="K20" i="10" s="1"/>
  <c r="K22" i="10"/>
  <c r="L15" i="10"/>
  <c r="AE56" i="10"/>
  <c r="H56" i="10"/>
  <c r="H55" i="10"/>
  <c r="I56" i="10"/>
  <c r="D36" i="2"/>
  <c r="D37" i="2" s="1"/>
  <c r="AC55" i="10"/>
  <c r="AC47" i="10"/>
  <c r="AD47" i="10"/>
  <c r="AI33" i="10"/>
  <c r="C37" i="2"/>
  <c r="J60" i="33"/>
  <c r="K57" i="33"/>
  <c r="G42" i="2"/>
  <c r="Q60" i="33"/>
  <c r="AD101" i="33"/>
  <c r="Z108" i="4"/>
  <c r="AB32" i="23"/>
  <c r="AZ10" i="23"/>
  <c r="AB94" i="23"/>
  <c r="C66" i="2" s="1"/>
  <c r="C90" i="2" s="1"/>
  <c r="AB52" i="33"/>
  <c r="G84" i="2"/>
  <c r="Z21" i="37"/>
  <c r="X21" i="37"/>
  <c r="W53" i="33"/>
  <c r="X62" i="33" s="1"/>
  <c r="U53" i="33"/>
  <c r="U42" i="37"/>
  <c r="V43" i="37" s="1"/>
  <c r="Q62" i="33"/>
  <c r="V53" i="33"/>
  <c r="P62" i="33"/>
  <c r="E36" i="2"/>
  <c r="E37" i="2" s="1"/>
  <c r="AA14" i="19"/>
  <c r="AB50" i="19"/>
  <c r="AC31" i="6"/>
  <c r="AC33" i="6" s="1"/>
  <c r="AH66" i="14"/>
  <c r="AA5" i="14"/>
  <c r="T53" i="19"/>
  <c r="T54" i="19" s="1"/>
  <c r="T56" i="10"/>
  <c r="T55" i="10"/>
  <c r="M54" i="10"/>
  <c r="U55" i="10"/>
  <c r="U56" i="10"/>
  <c r="AJ42" i="10"/>
  <c r="AK42" i="10" s="1"/>
  <c r="AL42" i="10" s="1"/>
  <c r="AM42" i="10" s="1"/>
  <c r="AN42" i="10" s="1"/>
  <c r="V47" i="10"/>
  <c r="P47" i="10"/>
  <c r="P56" i="10"/>
  <c r="P55" i="10"/>
  <c r="Q47" i="10"/>
  <c r="R62" i="33"/>
  <c r="AA60" i="33"/>
  <c r="V64" i="33"/>
  <c r="M20" i="33"/>
  <c r="M19" i="33" s="1"/>
  <c r="AC62" i="33"/>
  <c r="S64" i="33"/>
  <c r="I60" i="33"/>
  <c r="C49" i="4"/>
  <c r="H140" i="4"/>
  <c r="B88" i="2"/>
  <c r="B80" i="2"/>
  <c r="I20" i="33"/>
  <c r="V108" i="4"/>
  <c r="AF53" i="33"/>
  <c r="AF21" i="37"/>
  <c r="N13" i="19"/>
  <c r="N14" i="19" s="1"/>
  <c r="AB42" i="37"/>
  <c r="AB43" i="37" s="1"/>
  <c r="W42" i="37"/>
  <c r="W41" i="37" s="1"/>
  <c r="AA21" i="37"/>
  <c r="AC21" i="37"/>
  <c r="W21" i="37"/>
  <c r="AF71" i="4"/>
  <c r="R23" i="6"/>
  <c r="R18" i="19" s="1"/>
  <c r="V173" i="4"/>
  <c r="X4" i="10"/>
  <c r="X5" i="10" s="1"/>
  <c r="X29" i="10" s="1"/>
  <c r="B41" i="2"/>
  <c r="AB5" i="14"/>
  <c r="AA52" i="33"/>
  <c r="AA32" i="23"/>
  <c r="AY10" i="23"/>
  <c r="AA94" i="23"/>
  <c r="B66" i="2" s="1"/>
  <c r="B90" i="2" s="1"/>
  <c r="C56" i="2"/>
  <c r="C58" i="2" s="1"/>
  <c r="C84" i="2"/>
  <c r="AA61" i="4"/>
  <c r="AJ41" i="37"/>
  <c r="B128" i="2"/>
  <c r="AD36" i="37"/>
  <c r="AD40" i="37" s="1"/>
  <c r="AD42" i="37" s="1"/>
  <c r="AD43" i="37" s="1"/>
  <c r="AE37" i="37"/>
  <c r="AI51" i="35"/>
  <c r="AI54" i="35" s="1"/>
  <c r="AI62" i="35" s="1"/>
  <c r="AH10" i="35"/>
  <c r="AH16" i="35" s="1"/>
  <c r="AH18" i="35" s="1"/>
  <c r="AH55" i="33" s="1"/>
  <c r="W24" i="6"/>
  <c r="K4" i="10"/>
  <c r="K5" i="10" s="1"/>
  <c r="K29" i="10" s="1"/>
  <c r="AI17" i="35"/>
  <c r="AI46" i="33" s="1"/>
  <c r="F50" i="19"/>
  <c r="E50" i="19"/>
  <c r="P20" i="33"/>
  <c r="AI22" i="33"/>
  <c r="D108" i="4"/>
  <c r="N50" i="19"/>
  <c r="AI128" i="37"/>
  <c r="X20" i="4"/>
  <c r="X22" i="4" s="1"/>
  <c r="X28" i="33"/>
  <c r="AL16" i="4"/>
  <c r="AC144" i="4"/>
  <c r="D77" i="2" s="1"/>
  <c r="D80" i="2" s="1"/>
  <c r="AC62" i="19"/>
  <c r="J129" i="4"/>
  <c r="J140" i="4" s="1"/>
  <c r="J70" i="19"/>
  <c r="J12" i="19" s="1"/>
  <c r="J49" i="19"/>
  <c r="J13" i="19"/>
  <c r="S49" i="19"/>
  <c r="S53" i="19"/>
  <c r="S54" i="19" s="1"/>
  <c r="S70" i="19"/>
  <c r="S12" i="19" s="1"/>
  <c r="Z31" i="4"/>
  <c r="AI96" i="33"/>
  <c r="AF20" i="33"/>
  <c r="Y6" i="4"/>
  <c r="AA6" i="4"/>
  <c r="AB60" i="33"/>
  <c r="K20" i="33"/>
  <c r="AA62" i="33"/>
  <c r="U20" i="33"/>
  <c r="X169" i="4"/>
  <c r="K60" i="33"/>
  <c r="AF60" i="33"/>
  <c r="N20" i="33"/>
  <c r="W20" i="33"/>
  <c r="AE20" i="33"/>
  <c r="J20" i="33"/>
  <c r="X171" i="4"/>
  <c r="L20" i="33"/>
  <c r="S20" i="33"/>
  <c r="X20" i="33"/>
  <c r="Q17" i="19"/>
  <c r="Q21" i="19" s="1"/>
  <c r="P27" i="14"/>
  <c r="P30" i="14" s="1"/>
  <c r="P31" i="14" s="1"/>
  <c r="P90" i="4"/>
  <c r="P25" i="10"/>
  <c r="M5" i="14"/>
  <c r="N5" i="14"/>
  <c r="D7" i="14"/>
  <c r="D12" i="14" s="1"/>
  <c r="D9" i="14" s="1"/>
  <c r="E5" i="14"/>
  <c r="AJ16" i="10"/>
  <c r="I37" i="6"/>
  <c r="I36" i="6"/>
  <c r="AF6" i="4"/>
  <c r="T171" i="4"/>
  <c r="T63" i="33"/>
  <c r="AF52" i="33"/>
  <c r="AF94" i="23"/>
  <c r="G66" i="2" s="1"/>
  <c r="G90" i="2" s="1"/>
  <c r="BD10" i="23"/>
  <c r="AF32" i="23"/>
  <c r="AC18" i="23"/>
  <c r="AC7" i="23"/>
  <c r="AJ85" i="33"/>
  <c r="K57" i="2" s="1"/>
  <c r="AH95" i="33"/>
  <c r="H64" i="2"/>
  <c r="AH101" i="23"/>
  <c r="AG104" i="23"/>
  <c r="W32" i="23"/>
  <c r="AU10" i="23"/>
  <c r="W52" i="33"/>
  <c r="W94" i="23"/>
  <c r="AM102" i="23"/>
  <c r="AE133" i="37"/>
  <c r="AD138" i="37"/>
  <c r="AD153" i="37" s="1"/>
  <c r="AJ86" i="33"/>
  <c r="AI70" i="37"/>
  <c r="AI30" i="37" s="1"/>
  <c r="AO30" i="37" s="1"/>
  <c r="AJ125" i="37"/>
  <c r="AH69" i="37"/>
  <c r="AI109" i="33"/>
  <c r="AJ164" i="37"/>
  <c r="AF72" i="19"/>
  <c r="S30" i="19"/>
  <c r="S34" i="19" s="1"/>
  <c r="R27" i="10"/>
  <c r="U5" i="14"/>
  <c r="U7" i="14"/>
  <c r="AD68" i="14"/>
  <c r="K47" i="10"/>
  <c r="J55" i="10"/>
  <c r="J56" i="10"/>
  <c r="J47" i="10"/>
  <c r="AI34" i="10"/>
  <c r="AJ34" i="10" s="1"/>
  <c r="AK34" i="10" s="1"/>
  <c r="AL34" i="10" s="1"/>
  <c r="S55" i="10"/>
  <c r="S56" i="10"/>
  <c r="T47" i="10"/>
  <c r="S47" i="10"/>
  <c r="AF54" i="10"/>
  <c r="AE60" i="33"/>
  <c r="V23" i="6"/>
  <c r="AC60" i="33"/>
  <c r="AB62" i="33"/>
  <c r="O62" i="33"/>
  <c r="Z62" i="33"/>
  <c r="I108" i="4"/>
  <c r="H46" i="4"/>
  <c r="I49" i="4" s="1"/>
  <c r="N49" i="4"/>
  <c r="E46" i="4"/>
  <c r="E49" i="4" s="1"/>
  <c r="S4" i="2"/>
  <c r="D20" i="2"/>
  <c r="D105" i="2" s="1"/>
  <c r="L20" i="2"/>
  <c r="L105" i="2" s="1"/>
  <c r="N20" i="2"/>
  <c r="N105" i="2" s="1"/>
  <c r="C20" i="2"/>
  <c r="C105" i="2" s="1"/>
  <c r="H20" i="2"/>
  <c r="H105" i="2" s="1"/>
  <c r="O20" i="2"/>
  <c r="S25" i="2" s="1"/>
  <c r="S68" i="2" s="1"/>
  <c r="T68" i="2" s="1"/>
  <c r="U68" i="2" s="1"/>
  <c r="J20" i="2"/>
  <c r="J105" i="2" s="1"/>
  <c r="F20" i="2"/>
  <c r="F106" i="2" s="1"/>
  <c r="K20" i="2"/>
  <c r="K105" i="2" s="1"/>
  <c r="I20" i="2"/>
  <c r="I105" i="2" s="1"/>
  <c r="E20" i="2"/>
  <c r="E59" i="2" s="1"/>
  <c r="B20" i="2"/>
  <c r="G20" i="2"/>
  <c r="G105" i="2" s="1"/>
  <c r="T173" i="4"/>
  <c r="T64" i="33"/>
  <c r="AI12" i="35"/>
  <c r="AJ52" i="35"/>
  <c r="AI15" i="35"/>
  <c r="AI111" i="33" s="1"/>
  <c r="U64" i="33"/>
  <c r="Y173" i="4"/>
  <c r="Y64" i="33"/>
  <c r="AJ5" i="35"/>
  <c r="AJ9" i="33" s="1"/>
  <c r="AE10" i="35"/>
  <c r="AE16" i="35" s="1"/>
  <c r="AE18" i="35" s="1"/>
  <c r="AE18" i="33"/>
  <c r="AF9" i="35"/>
  <c r="AG9" i="35" s="1"/>
  <c r="AG10" i="35" s="1"/>
  <c r="AG16" i="35" s="1"/>
  <c r="AG18" i="35" s="1"/>
  <c r="AG55" i="33" s="1"/>
  <c r="W23" i="35"/>
  <c r="W55" i="33"/>
  <c r="W25" i="35"/>
  <c r="AB173" i="4"/>
  <c r="R64" i="33"/>
  <c r="Q64" i="33"/>
  <c r="X173" i="4"/>
  <c r="AM32" i="35"/>
  <c r="Z64" i="33"/>
  <c r="Z173" i="4"/>
  <c r="Z63" i="33"/>
  <c r="Z171" i="4"/>
  <c r="W63" i="33"/>
  <c r="X63" i="33"/>
  <c r="W171" i="4"/>
  <c r="Y63" i="33"/>
  <c r="Y171" i="4"/>
  <c r="AF20" i="23"/>
  <c r="AI58" i="23"/>
  <c r="X18" i="23"/>
  <c r="X7" i="23"/>
  <c r="Z7" i="23"/>
  <c r="Z18" i="23"/>
  <c r="Z32" i="23"/>
  <c r="Z94" i="23"/>
  <c r="AX10" i="23"/>
  <c r="Z52" i="33"/>
  <c r="AA20" i="23"/>
  <c r="AA97" i="23"/>
  <c r="AG105" i="23"/>
  <c r="AH103" i="23"/>
  <c r="Y61" i="33"/>
  <c r="AG149" i="37"/>
  <c r="AF151" i="37"/>
  <c r="AH74" i="37"/>
  <c r="AH87" i="37" s="1"/>
  <c r="AI87" i="37" s="1"/>
  <c r="AJ87" i="37" s="1"/>
  <c r="AK87" i="37" s="1"/>
  <c r="AL87" i="37" s="1"/>
  <c r="AM87" i="37" s="1"/>
  <c r="AN87" i="37" s="1"/>
  <c r="AI129" i="37"/>
  <c r="S40" i="37"/>
  <c r="S43" i="37"/>
  <c r="T40" i="37"/>
  <c r="T167" i="4" s="1"/>
  <c r="T43" i="37"/>
  <c r="AD62" i="33"/>
  <c r="V40" i="37"/>
  <c r="V167" i="4" s="1"/>
  <c r="M62" i="33"/>
  <c r="AJ126" i="37"/>
  <c r="Y62" i="33"/>
  <c r="R40" i="37"/>
  <c r="R43" i="37"/>
  <c r="AE62" i="33"/>
  <c r="AK135" i="37"/>
  <c r="AJ68" i="37"/>
  <c r="N62" i="33"/>
  <c r="AB66" i="19"/>
  <c r="AB65" i="19"/>
  <c r="AB54" i="19"/>
  <c r="AA66" i="19"/>
  <c r="AA54" i="19"/>
  <c r="AA65" i="19"/>
  <c r="AD74" i="19"/>
  <c r="AD66" i="19"/>
  <c r="AD80" i="19"/>
  <c r="V65" i="19"/>
  <c r="V54" i="19"/>
  <c r="V66" i="19"/>
  <c r="AF13" i="19"/>
  <c r="AF14" i="19" s="1"/>
  <c r="AF4" i="10"/>
  <c r="AF5" i="10" s="1"/>
  <c r="AI84" i="19"/>
  <c r="AE88" i="19"/>
  <c r="AD90" i="19"/>
  <c r="F13" i="19"/>
  <c r="F14" i="19" s="1"/>
  <c r="F4" i="10"/>
  <c r="F5" i="10" s="1"/>
  <c r="AF58" i="19"/>
  <c r="AG58" i="19" s="1"/>
  <c r="AH58" i="19" s="1"/>
  <c r="AE92" i="19"/>
  <c r="AE59" i="19"/>
  <c r="AE65" i="19"/>
  <c r="AE61" i="19"/>
  <c r="AE73" i="19"/>
  <c r="AB64" i="19"/>
  <c r="Y37" i="19"/>
  <c r="Y40" i="19" s="1"/>
  <c r="X42" i="19"/>
  <c r="X41" i="19"/>
  <c r="V77" i="19"/>
  <c r="V74" i="19"/>
  <c r="AB73" i="19"/>
  <c r="AB83" i="19"/>
  <c r="AB86" i="19" s="1"/>
  <c r="S5" i="14"/>
  <c r="S7" i="14"/>
  <c r="X5" i="14"/>
  <c r="W5" i="14"/>
  <c r="Q65" i="14"/>
  <c r="R72" i="14" s="1"/>
  <c r="AL71" i="14"/>
  <c r="T5" i="14"/>
  <c r="AC63" i="14"/>
  <c r="AD64" i="14"/>
  <c r="AD47" i="14"/>
  <c r="D129" i="2"/>
  <c r="D128" i="2" s="1"/>
  <c r="J5" i="14"/>
  <c r="K5" i="14"/>
  <c r="G6" i="14"/>
  <c r="F7" i="14"/>
  <c r="F12" i="14" s="1"/>
  <c r="F9" i="14" s="1"/>
  <c r="X6" i="14"/>
  <c r="W7" i="14"/>
  <c r="AM42" i="14"/>
  <c r="AI32" i="10"/>
  <c r="AL13" i="10"/>
  <c r="AI29" i="10"/>
  <c r="Y60" i="33"/>
  <c r="B40" i="2"/>
  <c r="Z60" i="33"/>
  <c r="X28" i="6"/>
  <c r="Y19" i="6"/>
  <c r="AA23" i="6"/>
  <c r="AA18" i="19" s="1"/>
  <c r="AE29" i="6"/>
  <c r="AD31" i="6"/>
  <c r="AD33" i="6" s="1"/>
  <c r="X21" i="6"/>
  <c r="M60" i="33"/>
  <c r="AC128" i="33"/>
  <c r="AB129" i="33"/>
  <c r="Z129" i="33"/>
  <c r="Y129" i="33"/>
  <c r="S6" i="4"/>
  <c r="AA129" i="33"/>
  <c r="F31" i="4"/>
  <c r="F35" i="4"/>
  <c r="H35" i="4"/>
  <c r="H31" i="4"/>
  <c r="X52" i="4"/>
  <c r="X51" i="4" s="1"/>
  <c r="W51" i="4"/>
  <c r="W53" i="4"/>
  <c r="C31" i="4"/>
  <c r="C35" i="4"/>
  <c r="AC92" i="4"/>
  <c r="AC98" i="4" s="1"/>
  <c r="AD86" i="4"/>
  <c r="V31" i="4"/>
  <c r="V35" i="4"/>
  <c r="U31" i="4"/>
  <c r="U35" i="4"/>
  <c r="B35" i="4"/>
  <c r="B31" i="4"/>
  <c r="B58" i="33" s="1"/>
  <c r="B57" i="33" s="1"/>
  <c r="T24" i="4"/>
  <c r="T27" i="4" s="1"/>
  <c r="T102" i="4"/>
  <c r="T108" i="4" s="1"/>
  <c r="D35" i="4"/>
  <c r="D31" i="4"/>
  <c r="S24" i="4"/>
  <c r="S27" i="4" s="1"/>
  <c r="S102" i="4"/>
  <c r="S108" i="4" s="1"/>
  <c r="P31" i="4"/>
  <c r="P35" i="4"/>
  <c r="AE58" i="4"/>
  <c r="AD64" i="4"/>
  <c r="AD75" i="4" s="1"/>
  <c r="E69" i="2" s="1"/>
  <c r="E75" i="2" s="1"/>
  <c r="M31" i="4"/>
  <c r="M35" i="4"/>
  <c r="E31" i="4"/>
  <c r="E35" i="4"/>
  <c r="Y108" i="4"/>
  <c r="P108" i="4"/>
  <c r="Q31" i="4"/>
  <c r="Q159" i="4" s="1"/>
  <c r="Q35" i="4"/>
  <c r="AA31" i="4"/>
  <c r="I31" i="4"/>
  <c r="I35" i="4"/>
  <c r="N31" i="4"/>
  <c r="N35" i="4"/>
  <c r="AE13" i="4"/>
  <c r="AD9" i="4"/>
  <c r="R31" i="4"/>
  <c r="R58" i="33" s="1"/>
  <c r="R35" i="4"/>
  <c r="B89" i="2"/>
  <c r="B85" i="2"/>
  <c r="D89" i="2"/>
  <c r="AE4" i="10"/>
  <c r="AE5" i="10" s="1"/>
  <c r="AE13" i="19"/>
  <c r="AE127" i="4"/>
  <c r="F28" i="2" s="1"/>
  <c r="AF63" i="33"/>
  <c r="AG43" i="34"/>
  <c r="AG44" i="34" s="1"/>
  <c r="AG38" i="34"/>
  <c r="AH110" i="33"/>
  <c r="H42" i="2"/>
  <c r="AD54" i="33"/>
  <c r="AE63" i="33" s="1"/>
  <c r="AE94" i="23"/>
  <c r="F66" i="2" s="1"/>
  <c r="F90" i="2" s="1"/>
  <c r="AE52" i="33"/>
  <c r="AE32" i="23"/>
  <c r="BC10" i="23"/>
  <c r="AI159" i="37"/>
  <c r="AJ159" i="37" s="1"/>
  <c r="AK159" i="37" s="1"/>
  <c r="AL159" i="37" s="1"/>
  <c r="AM159" i="37" s="1"/>
  <c r="AN159" i="37" s="1"/>
  <c r="AJ83" i="37"/>
  <c r="AF18" i="19"/>
  <c r="AE5" i="14"/>
  <c r="T117" i="14"/>
  <c r="AF5" i="14"/>
  <c r="AH6" i="14"/>
  <c r="AF7" i="14"/>
  <c r="AF20" i="10"/>
  <c r="H100" i="2"/>
  <c r="AF69" i="4"/>
  <c r="Z19" i="33" l="1"/>
  <c r="R24" i="19"/>
  <c r="R27" i="19" s="1"/>
  <c r="W31" i="4"/>
  <c r="W42" i="4" s="1"/>
  <c r="G32" i="4"/>
  <c r="S14" i="19"/>
  <c r="W102" i="4"/>
  <c r="W108" i="4" s="1"/>
  <c r="S60" i="33"/>
  <c r="H14" i="19"/>
  <c r="AG61" i="33"/>
  <c r="AI11" i="35"/>
  <c r="AI17" i="4"/>
  <c r="AI19" i="34"/>
  <c r="AJ28" i="37"/>
  <c r="W58" i="33"/>
  <c r="AH61" i="19"/>
  <c r="AH59" i="19"/>
  <c r="AH98" i="19"/>
  <c r="AH92" i="19"/>
  <c r="L58" i="33"/>
  <c r="L66" i="33" s="1"/>
  <c r="AN74" i="4"/>
  <c r="S66" i="2"/>
  <c r="U66" i="2"/>
  <c r="AH29" i="37"/>
  <c r="AI59" i="23"/>
  <c r="AH66" i="23"/>
  <c r="AH77" i="23" s="1"/>
  <c r="AI77" i="23" s="1"/>
  <c r="AH39" i="14"/>
  <c r="AG53" i="19"/>
  <c r="AG54" i="19" s="1"/>
  <c r="AG49" i="19"/>
  <c r="AG50" i="19" s="1"/>
  <c r="AG70" i="19"/>
  <c r="AG13" i="19"/>
  <c r="AC173" i="4"/>
  <c r="AG32" i="33"/>
  <c r="AF66" i="37"/>
  <c r="AF79" i="37" s="1"/>
  <c r="AG134" i="37"/>
  <c r="AG66" i="37" s="1"/>
  <c r="AH70" i="14"/>
  <c r="AG59" i="19"/>
  <c r="AG61" i="19"/>
  <c r="AG65" i="19"/>
  <c r="AG92" i="19"/>
  <c r="AG98" i="19"/>
  <c r="AG73" i="19"/>
  <c r="AG47" i="10"/>
  <c r="AG56" i="10"/>
  <c r="AG62" i="33"/>
  <c r="R63" i="33"/>
  <c r="AF127" i="4"/>
  <c r="AI75" i="37"/>
  <c r="AI35" i="37" s="1"/>
  <c r="AG60" i="33"/>
  <c r="H25" i="2"/>
  <c r="AH51" i="10"/>
  <c r="AH39" i="19"/>
  <c r="AH6" i="19"/>
  <c r="AH64" i="33"/>
  <c r="AI24" i="33"/>
  <c r="AK9" i="23"/>
  <c r="AK10" i="37"/>
  <c r="AJ23" i="33"/>
  <c r="AK91" i="4"/>
  <c r="AH72" i="19"/>
  <c r="AI41" i="14"/>
  <c r="AI17" i="6" s="1"/>
  <c r="AI26" i="6" s="1"/>
  <c r="AI74" i="14"/>
  <c r="AJ74" i="14" s="1"/>
  <c r="AK74" i="14" s="1"/>
  <c r="AL74" i="14" s="1"/>
  <c r="AM74" i="14" s="1"/>
  <c r="AN74" i="14" s="1"/>
  <c r="AJ25" i="14"/>
  <c r="AK25" i="14" s="1"/>
  <c r="AL25" i="14" s="1"/>
  <c r="AM25" i="14" s="1"/>
  <c r="AN25" i="14" s="1"/>
  <c r="AH53" i="10"/>
  <c r="AH52" i="10"/>
  <c r="AH38" i="10"/>
  <c r="AH23" i="10"/>
  <c r="AH32" i="19" s="1"/>
  <c r="AH113" i="4" s="1"/>
  <c r="AH108" i="4" s="1"/>
  <c r="AH45" i="10"/>
  <c r="AH3" i="10"/>
  <c r="AH50" i="10"/>
  <c r="AI132" i="4"/>
  <c r="AH14" i="33"/>
  <c r="AI35" i="14"/>
  <c r="AJ36" i="14" s="1"/>
  <c r="AJ107" i="33" s="1"/>
  <c r="BB10" i="23"/>
  <c r="AK136" i="37"/>
  <c r="AK71" i="37" s="1"/>
  <c r="Y43" i="37"/>
  <c r="G13" i="19"/>
  <c r="G14" i="19" s="1"/>
  <c r="AC25" i="35"/>
  <c r="AA63" i="33"/>
  <c r="AC63" i="33"/>
  <c r="U63" i="33"/>
  <c r="U40" i="37"/>
  <c r="U167" i="4" s="1"/>
  <c r="U43" i="37"/>
  <c r="T14" i="19"/>
  <c r="AD19" i="33"/>
  <c r="J55" i="4"/>
  <c r="X74" i="19"/>
  <c r="K32" i="4"/>
  <c r="AE84" i="4"/>
  <c r="J42" i="4"/>
  <c r="AF77" i="4"/>
  <c r="J58" i="33"/>
  <c r="L32" i="4"/>
  <c r="L42" i="4"/>
  <c r="L34" i="4"/>
  <c r="W62" i="33"/>
  <c r="AA19" i="33"/>
  <c r="AD32" i="23"/>
  <c r="AD94" i="23"/>
  <c r="E66" i="2" s="1"/>
  <c r="E90" i="2" s="1"/>
  <c r="V19" i="33"/>
  <c r="I14" i="19"/>
  <c r="AF50" i="19"/>
  <c r="AD34" i="6"/>
  <c r="AA173" i="4"/>
  <c r="AA64" i="33"/>
  <c r="AB63" i="33"/>
  <c r="Q49" i="4"/>
  <c r="AD18" i="35"/>
  <c r="AD25" i="35" s="1"/>
  <c r="U62" i="33"/>
  <c r="AJ33" i="19"/>
  <c r="AJ20" i="19" s="1"/>
  <c r="Y14" i="19"/>
  <c r="Y50" i="19"/>
  <c r="AE14" i="19"/>
  <c r="AR11" i="10"/>
  <c r="AS22" i="10"/>
  <c r="AR14" i="10"/>
  <c r="AM16" i="4"/>
  <c r="G55" i="4"/>
  <c r="P64" i="33"/>
  <c r="D63" i="2"/>
  <c r="D71" i="2"/>
  <c r="D72" i="2" s="1"/>
  <c r="E61" i="2"/>
  <c r="AB19" i="33"/>
  <c r="U171" i="4"/>
  <c r="AC99" i="4"/>
  <c r="U14" i="19"/>
  <c r="V62" i="33"/>
  <c r="C40" i="2"/>
  <c r="C43" i="2" s="1"/>
  <c r="G34" i="4"/>
  <c r="G42" i="4"/>
  <c r="G58" i="33"/>
  <c r="G57" i="33" s="1"/>
  <c r="AC10" i="4"/>
  <c r="AC15" i="4" s="1"/>
  <c r="AC28" i="33" s="1"/>
  <c r="H49" i="4"/>
  <c r="AB171" i="4"/>
  <c r="AF32" i="33"/>
  <c r="AF36" i="33" s="1"/>
  <c r="AF8" i="23"/>
  <c r="AE66" i="37"/>
  <c r="AE65" i="37" s="1"/>
  <c r="W14" i="19"/>
  <c r="D130" i="2"/>
  <c r="E130" i="2" s="1"/>
  <c r="AC14" i="19"/>
  <c r="AB24" i="6"/>
  <c r="AB31" i="6" s="1"/>
  <c r="AB33" i="6" s="1"/>
  <c r="AC34" i="6" s="1"/>
  <c r="AB102" i="4"/>
  <c r="F10" i="14"/>
  <c r="AB24" i="4"/>
  <c r="AB27" i="4" s="1"/>
  <c r="AB31" i="4" s="1"/>
  <c r="P14" i="19"/>
  <c r="AE50" i="19"/>
  <c r="AR12" i="10"/>
  <c r="AC33" i="14"/>
  <c r="I50" i="19"/>
  <c r="AC43" i="37"/>
  <c r="T62" i="33"/>
  <c r="X50" i="19"/>
  <c r="S62" i="33"/>
  <c r="O24" i="4"/>
  <c r="O27" i="4" s="1"/>
  <c r="O102" i="4"/>
  <c r="O108" i="4" s="1"/>
  <c r="AE129" i="4"/>
  <c r="AC29" i="23"/>
  <c r="AC28" i="23"/>
  <c r="BA7" i="23"/>
  <c r="D54" i="2"/>
  <c r="AJ33" i="10"/>
  <c r="AK33" i="10" s="1"/>
  <c r="J46" i="4"/>
  <c r="P50" i="19"/>
  <c r="Q50" i="19"/>
  <c r="AD50" i="19"/>
  <c r="AG25" i="35"/>
  <c r="C82" i="2"/>
  <c r="C88" i="2" s="1"/>
  <c r="T19" i="33"/>
  <c r="P66" i="14"/>
  <c r="Q73" i="14" s="1"/>
  <c r="R73" i="14"/>
  <c r="AK41" i="37"/>
  <c r="AD33" i="14"/>
  <c r="AE34" i="14"/>
  <c r="AB169" i="4"/>
  <c r="AB64" i="4"/>
  <c r="AB75" i="4" s="1"/>
  <c r="T29" i="23"/>
  <c r="T28" i="23"/>
  <c r="AR7" i="23"/>
  <c r="AI131" i="37"/>
  <c r="AH67" i="37"/>
  <c r="AH80" i="37" s="1"/>
  <c r="AI80" i="37" s="1"/>
  <c r="L19" i="10"/>
  <c r="L20" i="10" s="1"/>
  <c r="M15" i="10"/>
  <c r="M19" i="10" s="1"/>
  <c r="C128" i="2"/>
  <c r="AE19" i="33"/>
  <c r="B91" i="2"/>
  <c r="X43" i="37"/>
  <c r="W43" i="37"/>
  <c r="L57" i="33"/>
  <c r="L65" i="33" s="1"/>
  <c r="F49" i="4"/>
  <c r="AJ128" i="37"/>
  <c r="AJ17" i="35"/>
  <c r="AJ46" i="33" s="1"/>
  <c r="X64" i="33"/>
  <c r="AJ51" i="35"/>
  <c r="AJ54" i="35" s="1"/>
  <c r="AJ62" i="35" s="1"/>
  <c r="AI10" i="35"/>
  <c r="AI16" i="35" s="1"/>
  <c r="AI18" i="35" s="1"/>
  <c r="AI55" i="33" s="1"/>
  <c r="AB61" i="33"/>
  <c r="AA169" i="4"/>
  <c r="AE36" i="37"/>
  <c r="AE40" i="37" s="1"/>
  <c r="AF37" i="37"/>
  <c r="AG37" i="37" s="1"/>
  <c r="AG36" i="37" s="1"/>
  <c r="AG40" i="37" s="1"/>
  <c r="AG42" i="37" s="1"/>
  <c r="J14" i="19"/>
  <c r="I19" i="33"/>
  <c r="B43" i="2"/>
  <c r="AJ14" i="23"/>
  <c r="AJ22" i="33" s="1"/>
  <c r="AA64" i="4"/>
  <c r="AA75" i="4" s="1"/>
  <c r="AJ96" i="33"/>
  <c r="X24" i="4"/>
  <c r="X27" i="4" s="1"/>
  <c r="X35" i="4" s="1"/>
  <c r="X102" i="4"/>
  <c r="X108" i="4" s="1"/>
  <c r="P19" i="33"/>
  <c r="AF62" i="33"/>
  <c r="AG71" i="4"/>
  <c r="AH71" i="4" s="1"/>
  <c r="AI71" i="4" s="1"/>
  <c r="AJ71" i="4" s="1"/>
  <c r="AK71" i="4" s="1"/>
  <c r="AL71" i="4" s="1"/>
  <c r="AM71" i="4" s="1"/>
  <c r="Y58" i="33"/>
  <c r="R57" i="33"/>
  <c r="AD10" i="4"/>
  <c r="AD15" i="4" s="1"/>
  <c r="N58" i="33"/>
  <c r="I58" i="33"/>
  <c r="AA58" i="33"/>
  <c r="Q58" i="33"/>
  <c r="E58" i="33"/>
  <c r="M58" i="33"/>
  <c r="P58" i="33"/>
  <c r="D58" i="33"/>
  <c r="U58" i="33"/>
  <c r="V58" i="33"/>
  <c r="AD144" i="4"/>
  <c r="E77" i="2" s="1"/>
  <c r="E80" i="2" s="1"/>
  <c r="C58" i="33"/>
  <c r="H58" i="33"/>
  <c r="F58" i="33"/>
  <c r="AD62" i="19"/>
  <c r="W56" i="33"/>
  <c r="X56" i="33"/>
  <c r="X165" i="4" s="1"/>
  <c r="AE68" i="14"/>
  <c r="AF68" i="14" s="1"/>
  <c r="AG68" i="14" s="1"/>
  <c r="AK16" i="10"/>
  <c r="P92" i="4"/>
  <c r="P98" i="4" s="1"/>
  <c r="P99" i="4" s="1"/>
  <c r="Z58" i="33"/>
  <c r="Z57" i="33" s="1"/>
  <c r="T50" i="19"/>
  <c r="S50" i="19"/>
  <c r="K50" i="19"/>
  <c r="J50" i="19"/>
  <c r="R159" i="4"/>
  <c r="W32" i="4"/>
  <c r="Z42" i="4"/>
  <c r="Z55" i="4"/>
  <c r="AI87" i="33"/>
  <c r="AI36" i="14"/>
  <c r="AI107" i="33" s="1"/>
  <c r="AK38" i="14"/>
  <c r="X19" i="33"/>
  <c r="S19" i="33"/>
  <c r="L19" i="33"/>
  <c r="J19" i="33"/>
  <c r="W19" i="33"/>
  <c r="N19" i="33"/>
  <c r="U19" i="33"/>
  <c r="K19" i="33"/>
  <c r="V24" i="6"/>
  <c r="V18" i="19"/>
  <c r="D10" i="14"/>
  <c r="E10" i="14"/>
  <c r="Q27" i="14"/>
  <c r="Q30" i="14" s="1"/>
  <c r="Q31" i="14" s="1"/>
  <c r="Q90" i="4"/>
  <c r="Q25" i="10"/>
  <c r="R17" i="19"/>
  <c r="R21" i="19" s="1"/>
  <c r="T66" i="2"/>
  <c r="F105" i="2"/>
  <c r="F59" i="2"/>
  <c r="W61" i="33"/>
  <c r="W169" i="4"/>
  <c r="X61" i="33"/>
  <c r="AI101" i="23"/>
  <c r="AH104" i="23"/>
  <c r="AK85" i="33"/>
  <c r="L57" i="2" s="1"/>
  <c r="I64" i="2"/>
  <c r="AH24" i="23"/>
  <c r="AH108" i="33" s="1"/>
  <c r="AH112" i="33" s="1"/>
  <c r="AI112" i="33" s="1"/>
  <c r="AN102" i="23"/>
  <c r="AC97" i="23"/>
  <c r="AC20" i="23"/>
  <c r="AI67" i="14"/>
  <c r="AI69" i="37"/>
  <c r="AK127" i="37"/>
  <c r="AJ75" i="37"/>
  <c r="AJ35" i="37" s="1"/>
  <c r="AK96" i="33"/>
  <c r="AK86" i="33"/>
  <c r="AF133" i="37"/>
  <c r="AG133" i="37" s="1"/>
  <c r="AE138" i="37"/>
  <c r="AE153" i="37" s="1"/>
  <c r="AK164" i="37"/>
  <c r="AJ14" i="37"/>
  <c r="AJ109" i="33" s="1"/>
  <c r="AK125" i="37"/>
  <c r="AJ70" i="37"/>
  <c r="AJ30" i="37" s="1"/>
  <c r="S27" i="10"/>
  <c r="T30" i="19"/>
  <c r="T34" i="19" s="1"/>
  <c r="AI110" i="4"/>
  <c r="C30" i="2"/>
  <c r="C106" i="2"/>
  <c r="C38" i="2"/>
  <c r="D38" i="2"/>
  <c r="D106" i="2"/>
  <c r="O105" i="2"/>
  <c r="C59" i="2"/>
  <c r="F38" i="2"/>
  <c r="G106" i="2"/>
  <c r="G59" i="2"/>
  <c r="B105" i="2"/>
  <c r="B30" i="2"/>
  <c r="B59" i="2"/>
  <c r="E105" i="2"/>
  <c r="E106" i="2"/>
  <c r="B106" i="2"/>
  <c r="E38" i="2"/>
  <c r="G38" i="2"/>
  <c r="B38" i="2"/>
  <c r="AK5" i="35"/>
  <c r="AK9" i="33" s="1"/>
  <c r="AM31" i="35"/>
  <c r="AJ15" i="35"/>
  <c r="AJ111" i="33" s="1"/>
  <c r="AE25" i="35"/>
  <c r="AE55" i="33"/>
  <c r="AN32" i="35"/>
  <c r="AK52" i="35"/>
  <c r="AJ12" i="35"/>
  <c r="W173" i="4"/>
  <c r="W64" i="33"/>
  <c r="AH25" i="35"/>
  <c r="AF18" i="33"/>
  <c r="AF19" i="33" s="1"/>
  <c r="AF10" i="35"/>
  <c r="AF16" i="35" s="1"/>
  <c r="AF18" i="35" s="1"/>
  <c r="AG46" i="34"/>
  <c r="AJ85" i="23"/>
  <c r="H62" i="2"/>
  <c r="H79" i="2"/>
  <c r="AH15" i="33"/>
  <c r="Z20" i="23"/>
  <c r="Z97" i="23"/>
  <c r="Z169" i="4"/>
  <c r="AA61" i="33"/>
  <c r="X97" i="23"/>
  <c r="X20" i="23"/>
  <c r="AJ58" i="23"/>
  <c r="Z61" i="33"/>
  <c r="AI103" i="23"/>
  <c r="AH105" i="23"/>
  <c r="AH72" i="37"/>
  <c r="AH130" i="37"/>
  <c r="AG151" i="37"/>
  <c r="AH149" i="37"/>
  <c r="AK68" i="37"/>
  <c r="AK28" i="37" s="1"/>
  <c r="AL135" i="37"/>
  <c r="AK126" i="37"/>
  <c r="AJ129" i="37"/>
  <c r="AI74" i="37"/>
  <c r="AI34" i="37" s="1"/>
  <c r="AF73" i="19"/>
  <c r="AF61" i="19"/>
  <c r="AF65" i="19"/>
  <c r="AF59" i="19"/>
  <c r="AF92" i="19"/>
  <c r="Y41" i="19"/>
  <c r="Z37" i="19"/>
  <c r="Z40" i="19" s="1"/>
  <c r="Y42" i="19"/>
  <c r="AF88" i="19"/>
  <c r="AG88" i="19" s="1"/>
  <c r="AG90" i="19" s="1"/>
  <c r="AE90" i="19"/>
  <c r="AJ84" i="19"/>
  <c r="S24" i="19"/>
  <c r="S27" i="19" s="1"/>
  <c r="R26" i="14"/>
  <c r="AE80" i="19"/>
  <c r="AE74" i="19"/>
  <c r="AE66" i="19"/>
  <c r="H6" i="14"/>
  <c r="G7" i="14"/>
  <c r="G12" i="14" s="1"/>
  <c r="G9" i="14" s="1"/>
  <c r="G10" i="14" s="1"/>
  <c r="AN42" i="14"/>
  <c r="AI79" i="14"/>
  <c r="E129" i="2"/>
  <c r="E128" i="2" s="1"/>
  <c r="AE47" i="14"/>
  <c r="AI73" i="14"/>
  <c r="AD63" i="14"/>
  <c r="AE64" i="14"/>
  <c r="AE62" i="19" s="1"/>
  <c r="AC85" i="14"/>
  <c r="AC86" i="14"/>
  <c r="AC70" i="14"/>
  <c r="P65" i="14"/>
  <c r="Q72" i="14" s="1"/>
  <c r="AG76" i="33"/>
  <c r="AG81" i="33" s="1"/>
  <c r="H70" i="2"/>
  <c r="H78" i="2" s="1"/>
  <c r="AM71" i="14"/>
  <c r="Y6" i="14"/>
  <c r="X7" i="14"/>
  <c r="AM34" i="10"/>
  <c r="AJ32" i="10"/>
  <c r="AI36" i="10"/>
  <c r="AJ29" i="10"/>
  <c r="AI5" i="10"/>
  <c r="AJ37" i="10"/>
  <c r="AK35" i="10"/>
  <c r="AM13" i="10"/>
  <c r="X23" i="6"/>
  <c r="Z19" i="6"/>
  <c r="Y28" i="6"/>
  <c r="Y21" i="6"/>
  <c r="X31" i="6"/>
  <c r="AF29" i="6"/>
  <c r="AG29" i="6" s="1"/>
  <c r="AE31" i="6"/>
  <c r="AE33" i="6" s="1"/>
  <c r="AE34" i="6" s="1"/>
  <c r="B86" i="2"/>
  <c r="AA24" i="6"/>
  <c r="AA31" i="6" s="1"/>
  <c r="AA33" i="6" s="1"/>
  <c r="AD128" i="33"/>
  <c r="AC129" i="33"/>
  <c r="W46" i="4"/>
  <c r="W45" i="4"/>
  <c r="W35" i="4"/>
  <c r="P42" i="4"/>
  <c r="P55" i="4"/>
  <c r="P34" i="4"/>
  <c r="P159" i="4"/>
  <c r="Q42" i="4"/>
  <c r="Q34" i="4"/>
  <c r="Q32" i="4"/>
  <c r="Q55" i="4"/>
  <c r="E32" i="4"/>
  <c r="E55" i="4"/>
  <c r="E34" i="4"/>
  <c r="E42" i="4"/>
  <c r="AF58" i="4"/>
  <c r="AE64" i="4"/>
  <c r="T31" i="4"/>
  <c r="U32" i="4" s="1"/>
  <c r="T35" i="4"/>
  <c r="X46" i="4"/>
  <c r="X45" i="4"/>
  <c r="AA55" i="4"/>
  <c r="AA32" i="4"/>
  <c r="AA42" i="4"/>
  <c r="AA33" i="4"/>
  <c r="AA159" i="4"/>
  <c r="X53" i="4"/>
  <c r="Y52" i="4"/>
  <c r="Y51" i="4" s="1"/>
  <c r="Y34" i="4" s="1"/>
  <c r="S31" i="4"/>
  <c r="S35" i="4"/>
  <c r="U159" i="4"/>
  <c r="U55" i="4"/>
  <c r="U34" i="4"/>
  <c r="U42" i="4"/>
  <c r="H32" i="4"/>
  <c r="H55" i="4"/>
  <c r="H34" i="4"/>
  <c r="H42" i="4"/>
  <c r="R34" i="4"/>
  <c r="R32" i="4"/>
  <c r="R55" i="4"/>
  <c r="R42" i="4"/>
  <c r="M34" i="4"/>
  <c r="M42" i="4"/>
  <c r="M32" i="4"/>
  <c r="M55" i="4"/>
  <c r="Y55" i="4"/>
  <c r="Y42" i="4"/>
  <c r="Z32" i="4"/>
  <c r="AF13" i="4"/>
  <c r="AG13" i="4" s="1"/>
  <c r="AG9" i="4" s="1"/>
  <c r="AG10" i="4" s="1"/>
  <c r="AG15" i="4" s="1"/>
  <c r="AG28" i="33" s="1"/>
  <c r="AE9" i="4"/>
  <c r="D42" i="4"/>
  <c r="D55" i="4"/>
  <c r="D32" i="4"/>
  <c r="D34" i="4"/>
  <c r="C34" i="4"/>
  <c r="C32" i="4"/>
  <c r="C42" i="4"/>
  <c r="I55" i="4"/>
  <c r="I42" i="4"/>
  <c r="I34" i="4"/>
  <c r="I32" i="4"/>
  <c r="J32" i="4"/>
  <c r="B34" i="4"/>
  <c r="B42" i="4"/>
  <c r="W34" i="4"/>
  <c r="V55" i="4"/>
  <c r="V32" i="4"/>
  <c r="V34" i="4"/>
  <c r="V42" i="4"/>
  <c r="N34" i="4"/>
  <c r="N42" i="4"/>
  <c r="N55" i="4"/>
  <c r="N32" i="4"/>
  <c r="AD92" i="4"/>
  <c r="AD98" i="4" s="1"/>
  <c r="AD99" i="4" s="1"/>
  <c r="AE86" i="4"/>
  <c r="F32" i="4"/>
  <c r="F42" i="4"/>
  <c r="F55" i="4"/>
  <c r="F34" i="4"/>
  <c r="AD63" i="33"/>
  <c r="AI60" i="34"/>
  <c r="AI15" i="34" s="1"/>
  <c r="I42" i="2"/>
  <c r="AH43" i="34"/>
  <c r="AH44" i="34" s="1"/>
  <c r="AH38" i="34"/>
  <c r="AE61" i="33"/>
  <c r="AF61" i="33"/>
  <c r="AK83" i="37"/>
  <c r="AG69" i="4"/>
  <c r="AI94" i="33" l="1"/>
  <c r="W55" i="4"/>
  <c r="AJ17" i="4"/>
  <c r="G28" i="2"/>
  <c r="W66" i="33"/>
  <c r="AI64" i="33"/>
  <c r="AI29" i="37"/>
  <c r="AO29" i="37" s="1"/>
  <c r="AO31" i="37"/>
  <c r="AH134" i="37"/>
  <c r="AF65" i="37"/>
  <c r="AH53" i="19"/>
  <c r="AH49" i="19"/>
  <c r="AH50" i="19" s="1"/>
  <c r="AJ84" i="37"/>
  <c r="AH80" i="19"/>
  <c r="AN16" i="4"/>
  <c r="AN71" i="4"/>
  <c r="AI66" i="4"/>
  <c r="AK17" i="4"/>
  <c r="AI110" i="33"/>
  <c r="AI16" i="34"/>
  <c r="AJ59" i="23"/>
  <c r="AI66" i="23"/>
  <c r="AI76" i="23" s="1"/>
  <c r="AH33" i="33"/>
  <c r="AH69" i="4"/>
  <c r="AI69" i="4" s="1"/>
  <c r="AJ69" i="4" s="1"/>
  <c r="AK69" i="4" s="1"/>
  <c r="AL69" i="4" s="1"/>
  <c r="AM69" i="4" s="1"/>
  <c r="AG127" i="4"/>
  <c r="AG129" i="4" s="1"/>
  <c r="AG65" i="37"/>
  <c r="AG79" i="37"/>
  <c r="AG74" i="19"/>
  <c r="AG66" i="19"/>
  <c r="AG80" i="19"/>
  <c r="AG79" i="19" s="1"/>
  <c r="AH29" i="6"/>
  <c r="AI29" i="6" s="1"/>
  <c r="AJ29" i="6" s="1"/>
  <c r="AK29" i="6" s="1"/>
  <c r="AL29" i="6" s="1"/>
  <c r="AM29" i="6" s="1"/>
  <c r="AN29" i="6" s="1"/>
  <c r="AG31" i="6"/>
  <c r="AG33" i="6" s="1"/>
  <c r="AF84" i="4"/>
  <c r="AG20" i="4"/>
  <c r="AG22" i="4" s="1"/>
  <c r="AG77" i="4"/>
  <c r="AI9" i="6"/>
  <c r="AJ24" i="33"/>
  <c r="AL9" i="23"/>
  <c r="AK23" i="33"/>
  <c r="AL10" i="37"/>
  <c r="AL91" i="4"/>
  <c r="E63" i="2"/>
  <c r="AL136" i="37"/>
  <c r="AM136" i="37" s="1"/>
  <c r="AI92" i="19"/>
  <c r="AJ92" i="19" s="1"/>
  <c r="AH68" i="14"/>
  <c r="AI68" i="14" s="1"/>
  <c r="AJ68" i="14" s="1"/>
  <c r="AK68" i="14" s="1"/>
  <c r="AL68" i="14" s="1"/>
  <c r="AM68" i="14" s="1"/>
  <c r="AN68" i="14" s="1"/>
  <c r="AJ41" i="14"/>
  <c r="AJ17" i="6" s="1"/>
  <c r="AJ26" i="6" s="1"/>
  <c r="AJ35" i="14"/>
  <c r="AJ94" i="33" s="1"/>
  <c r="AH54" i="10"/>
  <c r="AH47" i="10"/>
  <c r="AH56" i="10"/>
  <c r="AH55" i="10"/>
  <c r="AJ112" i="33"/>
  <c r="AK112" i="33" s="1"/>
  <c r="AL112" i="33" s="1"/>
  <c r="AM112" i="33" s="1"/>
  <c r="AN112" i="33" s="1"/>
  <c r="AJ132" i="4"/>
  <c r="AK33" i="19"/>
  <c r="AK20" i="19" s="1"/>
  <c r="AH3" i="14"/>
  <c r="AH4" i="14" s="1"/>
  <c r="AH146" i="4"/>
  <c r="AI14" i="34"/>
  <c r="AJ14" i="34" s="1"/>
  <c r="AK14" i="34" s="1"/>
  <c r="AL14" i="34" s="1"/>
  <c r="AM14" i="34" s="1"/>
  <c r="AN14" i="34" s="1"/>
  <c r="AR15" i="10"/>
  <c r="K66" i="33"/>
  <c r="J57" i="33"/>
  <c r="K65" i="33" s="1"/>
  <c r="AD55" i="33"/>
  <c r="AE64" i="33" s="1"/>
  <c r="E71" i="2"/>
  <c r="E72" i="2" s="1"/>
  <c r="AC20" i="4"/>
  <c r="AC22" i="4" s="1"/>
  <c r="AC102" i="4" s="1"/>
  <c r="AC117" i="4" s="1"/>
  <c r="AC121" i="4" s="1"/>
  <c r="AC140" i="4" s="1"/>
  <c r="AC155" i="4"/>
  <c r="AE79" i="37"/>
  <c r="C85" i="2"/>
  <c r="C86" i="2" s="1"/>
  <c r="AH10" i="23"/>
  <c r="AH32" i="33" s="1"/>
  <c r="AC52" i="33"/>
  <c r="BA10" i="23"/>
  <c r="AC94" i="23"/>
  <c r="D66" i="2" s="1"/>
  <c r="D90" i="2" s="1"/>
  <c r="AC32" i="23"/>
  <c r="O31" i="4"/>
  <c r="O35" i="4"/>
  <c r="D56" i="2"/>
  <c r="D58" i="2" s="1"/>
  <c r="D59" i="2" s="1"/>
  <c r="D84" i="2"/>
  <c r="AF34" i="14"/>
  <c r="AG34" i="14" s="1"/>
  <c r="AG33" i="14" s="1"/>
  <c r="AE33" i="14"/>
  <c r="AL41" i="37"/>
  <c r="K49" i="4"/>
  <c r="J49" i="4"/>
  <c r="F130" i="2"/>
  <c r="C69" i="2"/>
  <c r="AB99" i="4"/>
  <c r="T52" i="33"/>
  <c r="T32" i="23"/>
  <c r="AR10" i="23"/>
  <c r="AI134" i="37"/>
  <c r="AI66" i="37" s="1"/>
  <c r="AH66" i="37"/>
  <c r="AH79" i="37" s="1"/>
  <c r="AI79" i="37" s="1"/>
  <c r="AJ131" i="37"/>
  <c r="AI67" i="37"/>
  <c r="AI66" i="14"/>
  <c r="M20" i="10"/>
  <c r="N20" i="10"/>
  <c r="W57" i="33"/>
  <c r="W165" i="4"/>
  <c r="Z66" i="33"/>
  <c r="X31" i="4"/>
  <c r="B69" i="2"/>
  <c r="AA99" i="4"/>
  <c r="AK14" i="23"/>
  <c r="AK22" i="33" s="1"/>
  <c r="AH37" i="37"/>
  <c r="AF36" i="37"/>
  <c r="AE42" i="37"/>
  <c r="AE43" i="37" s="1"/>
  <c r="AK51" i="35"/>
  <c r="AK54" i="35" s="1"/>
  <c r="AK62" i="35" s="1"/>
  <c r="AJ11" i="35"/>
  <c r="AJ10" i="35" s="1"/>
  <c r="AJ16" i="35" s="1"/>
  <c r="AJ18" i="35" s="1"/>
  <c r="AJ55" i="33" s="1"/>
  <c r="AK17" i="35"/>
  <c r="AK46" i="33" s="1"/>
  <c r="AK128" i="37"/>
  <c r="AE144" i="4"/>
  <c r="F77" i="2" s="1"/>
  <c r="F80" i="2" s="1"/>
  <c r="AB58" i="33"/>
  <c r="AE10" i="4"/>
  <c r="AE15" i="4" s="1"/>
  <c r="S58" i="33"/>
  <c r="T58" i="33"/>
  <c r="U66" i="33" s="1"/>
  <c r="AI39" i="19"/>
  <c r="AI114" i="4" s="1"/>
  <c r="AI6" i="19"/>
  <c r="Q92" i="4"/>
  <c r="Q98" i="4" s="1"/>
  <c r="Q99" i="4" s="1"/>
  <c r="AL16" i="10"/>
  <c r="AH37" i="19"/>
  <c r="G66" i="33"/>
  <c r="F57" i="33"/>
  <c r="F66" i="33"/>
  <c r="H57" i="33"/>
  <c r="H65" i="33" s="1"/>
  <c r="H66" i="33"/>
  <c r="C57" i="33"/>
  <c r="C65" i="33" s="1"/>
  <c r="C66" i="33"/>
  <c r="V66" i="33"/>
  <c r="V57" i="33"/>
  <c r="U57" i="33"/>
  <c r="U175" i="4" s="1"/>
  <c r="D57" i="33"/>
  <c r="D66" i="33"/>
  <c r="P57" i="33"/>
  <c r="M66" i="33"/>
  <c r="M57" i="33"/>
  <c r="M65" i="33" s="1"/>
  <c r="E57" i="33"/>
  <c r="E66" i="33"/>
  <c r="Q57" i="33"/>
  <c r="R65" i="33" s="1"/>
  <c r="Q66" i="33"/>
  <c r="R66" i="33"/>
  <c r="AA66" i="33"/>
  <c r="AA57" i="33"/>
  <c r="AA175" i="4" s="1"/>
  <c r="I66" i="33"/>
  <c r="I57" i="33"/>
  <c r="J66" i="33"/>
  <c r="N57" i="33"/>
  <c r="N66" i="33"/>
  <c r="AD20" i="4"/>
  <c r="AD28" i="33"/>
  <c r="Y57" i="33"/>
  <c r="Z65" i="33" s="1"/>
  <c r="AJ25" i="23"/>
  <c r="AJ24" i="23" s="1"/>
  <c r="AJ87" i="33"/>
  <c r="AL38" i="14"/>
  <c r="X24" i="6"/>
  <c r="X18" i="19"/>
  <c r="R90" i="4"/>
  <c r="S17" i="19"/>
  <c r="S21" i="19" s="1"/>
  <c r="R25" i="10"/>
  <c r="R27" i="14"/>
  <c r="R30" i="14" s="1"/>
  <c r="R31" i="14" s="1"/>
  <c r="AI95" i="33"/>
  <c r="AI93" i="33" s="1"/>
  <c r="AI85" i="4" s="1"/>
  <c r="AI136" i="4" s="1"/>
  <c r="J64" i="2"/>
  <c r="AJ101" i="23"/>
  <c r="AI104" i="23"/>
  <c r="AI108" i="33"/>
  <c r="AL85" i="33"/>
  <c r="M57" i="2" s="1"/>
  <c r="AK14" i="37"/>
  <c r="AK109" i="33" s="1"/>
  <c r="AL164" i="37"/>
  <c r="AF138" i="37"/>
  <c r="AF153" i="37" s="1"/>
  <c r="AL86" i="33"/>
  <c r="AK75" i="37"/>
  <c r="AK35" i="37" s="1"/>
  <c r="AL127" i="37"/>
  <c r="AL96" i="33"/>
  <c r="AJ67" i="14"/>
  <c r="AJ69" i="37"/>
  <c r="AL125" i="37"/>
  <c r="AK70" i="37"/>
  <c r="AK30" i="37" s="1"/>
  <c r="AI46" i="19"/>
  <c r="T27" i="10"/>
  <c r="U30" i="19"/>
  <c r="U34" i="19" s="1"/>
  <c r="AI39" i="14"/>
  <c r="AJ110" i="4"/>
  <c r="AH46" i="34"/>
  <c r="AL52" i="35"/>
  <c r="AK12" i="35"/>
  <c r="AN31" i="35"/>
  <c r="AF55" i="33"/>
  <c r="AF25" i="35"/>
  <c r="AH9" i="35"/>
  <c r="AH18" i="33" s="1"/>
  <c r="AG18" i="33"/>
  <c r="AG19" i="33" s="1"/>
  <c r="AL5" i="35"/>
  <c r="AL9" i="33" s="1"/>
  <c r="AK15" i="35"/>
  <c r="AK111" i="33" s="1"/>
  <c r="AI25" i="35"/>
  <c r="AH77" i="33"/>
  <c r="AJ103" i="23"/>
  <c r="AI105" i="23"/>
  <c r="AK58" i="23"/>
  <c r="H55" i="2"/>
  <c r="AK85" i="23"/>
  <c r="AL126" i="37"/>
  <c r="AI149" i="37"/>
  <c r="AH151" i="37"/>
  <c r="AM135" i="37"/>
  <c r="AL68" i="37"/>
  <c r="AL28" i="37" s="1"/>
  <c r="AI72" i="37"/>
  <c r="AI130" i="37"/>
  <c r="AJ74" i="37"/>
  <c r="AK129" i="37"/>
  <c r="Z41" i="19"/>
  <c r="Z42" i="19"/>
  <c r="AA37" i="19"/>
  <c r="AA38" i="19" s="1"/>
  <c r="T24" i="19"/>
  <c r="T27" i="19" s="1"/>
  <c r="S26" i="14"/>
  <c r="AF80" i="19"/>
  <c r="AF74" i="19"/>
  <c r="AF66" i="19"/>
  <c r="AK84" i="19"/>
  <c r="AL84" i="19" s="1"/>
  <c r="AF90" i="19"/>
  <c r="AH88" i="19"/>
  <c r="AJ79" i="14"/>
  <c r="Z6" i="14"/>
  <c r="Y7" i="14"/>
  <c r="AN71" i="14"/>
  <c r="AE63" i="14"/>
  <c r="AF64" i="14"/>
  <c r="AD85" i="14"/>
  <c r="AD86" i="14"/>
  <c r="AD70" i="14"/>
  <c r="AI70" i="14"/>
  <c r="AJ73" i="14"/>
  <c r="AF47" i="14"/>
  <c r="AG47" i="14" s="1"/>
  <c r="F129" i="2"/>
  <c r="F128" i="2" s="1"/>
  <c r="H7" i="14"/>
  <c r="H12" i="14" s="1"/>
  <c r="H9" i="14" s="1"/>
  <c r="H10" i="14" s="1"/>
  <c r="I6" i="14"/>
  <c r="AL35" i="10"/>
  <c r="AK29" i="10"/>
  <c r="AJ5" i="10"/>
  <c r="AI38" i="10"/>
  <c r="AI53" i="19" s="1"/>
  <c r="AI45" i="10"/>
  <c r="AI23" i="10"/>
  <c r="AI32" i="19" s="1"/>
  <c r="AI30" i="6" s="1"/>
  <c r="AI3" i="10"/>
  <c r="AI52" i="10"/>
  <c r="AI53" i="10"/>
  <c r="AI51" i="10"/>
  <c r="AJ36" i="10"/>
  <c r="AJ50" i="10" s="1"/>
  <c r="AK32" i="10"/>
  <c r="AN13" i="10"/>
  <c r="AL33" i="10"/>
  <c r="AI50" i="10"/>
  <c r="AK37" i="10"/>
  <c r="AN34" i="10"/>
  <c r="Z28" i="6"/>
  <c r="Z21" i="6"/>
  <c r="AF31" i="6"/>
  <c r="AF33" i="6" s="1"/>
  <c r="AF34" i="6" s="1"/>
  <c r="Y23" i="6"/>
  <c r="Y18" i="19" s="1"/>
  <c r="AE128" i="33"/>
  <c r="AD129" i="33"/>
  <c r="AD100" i="4"/>
  <c r="AF9" i="4"/>
  <c r="AH13" i="4"/>
  <c r="S34" i="4"/>
  <c r="S42" i="4"/>
  <c r="S159" i="4"/>
  <c r="S32" i="4"/>
  <c r="S55" i="4"/>
  <c r="T42" i="4"/>
  <c r="T32" i="4"/>
  <c r="T34" i="4"/>
  <c r="T159" i="4"/>
  <c r="T55" i="4"/>
  <c r="AB55" i="4"/>
  <c r="AB32" i="4"/>
  <c r="AB159" i="4"/>
  <c r="AB33" i="4"/>
  <c r="AB42" i="4"/>
  <c r="Y45" i="4"/>
  <c r="Y46" i="4"/>
  <c r="Y35" i="4"/>
  <c r="Z52" i="4"/>
  <c r="Z51" i="4" s="1"/>
  <c r="Y53" i="4"/>
  <c r="X48" i="4"/>
  <c r="X49" i="4"/>
  <c r="AE56" i="4"/>
  <c r="AE75" i="4"/>
  <c r="F69" i="2" s="1"/>
  <c r="F75" i="2" s="1"/>
  <c r="W48" i="4"/>
  <c r="W49" i="4"/>
  <c r="AF86" i="4"/>
  <c r="AE92" i="4"/>
  <c r="AE98" i="4" s="1"/>
  <c r="AG58" i="4"/>
  <c r="AF64" i="4"/>
  <c r="AF75" i="4" s="1"/>
  <c r="G69" i="2" s="1"/>
  <c r="F71" i="2"/>
  <c r="H23" i="2"/>
  <c r="H24" i="2" s="1"/>
  <c r="AI38" i="34"/>
  <c r="AI43" i="34"/>
  <c r="AI44" i="34" s="1"/>
  <c r="AJ37" i="34"/>
  <c r="AJ60" i="34"/>
  <c r="AJ15" i="34" s="1"/>
  <c r="J42" i="2"/>
  <c r="AJ29" i="34"/>
  <c r="AJ20" i="34" s="1"/>
  <c r="AJ30" i="34"/>
  <c r="AJ21" i="34" s="1"/>
  <c r="AJ31" i="34"/>
  <c r="AJ77" i="23"/>
  <c r="H54" i="2"/>
  <c r="AH16" i="33"/>
  <c r="AL83" i="37"/>
  <c r="AI6" i="14"/>
  <c r="AJ89" i="33"/>
  <c r="H28" i="2"/>
  <c r="AI7" i="37" l="1"/>
  <c r="D82" i="2"/>
  <c r="D88" i="2" s="1"/>
  <c r="AJ64" i="33"/>
  <c r="AI26" i="37"/>
  <c r="AO26" i="37" s="1"/>
  <c r="AG64" i="33"/>
  <c r="AJ66" i="4"/>
  <c r="AI27" i="37"/>
  <c r="AO27" i="37" s="1"/>
  <c r="AJ80" i="37"/>
  <c r="AK80" i="37" s="1"/>
  <c r="AL80" i="37" s="1"/>
  <c r="AM80" i="37" s="1"/>
  <c r="AN80" i="37" s="1"/>
  <c r="D93" i="2"/>
  <c r="AI37" i="37"/>
  <c r="AJ37" i="37" s="1"/>
  <c r="AK37" i="37" s="1"/>
  <c r="AL37" i="37" s="1"/>
  <c r="AM37" i="37" s="1"/>
  <c r="AN37" i="37" s="1"/>
  <c r="AH36" i="37"/>
  <c r="AH79" i="19"/>
  <c r="AI80" i="19"/>
  <c r="AK84" i="37"/>
  <c r="AJ31" i="37"/>
  <c r="AJ29" i="37" s="1"/>
  <c r="AJ7" i="37" s="1"/>
  <c r="AJ79" i="37"/>
  <c r="AK79" i="37" s="1"/>
  <c r="AL79" i="37" s="1"/>
  <c r="AM79" i="37" s="1"/>
  <c r="AN79" i="37" s="1"/>
  <c r="S33" i="2"/>
  <c r="AN69" i="4"/>
  <c r="AH127" i="4"/>
  <c r="AI13" i="4"/>
  <c r="AJ13" i="4" s="1"/>
  <c r="AK13" i="4" s="1"/>
  <c r="AL13" i="4" s="1"/>
  <c r="AM13" i="4" s="1"/>
  <c r="AN13" i="4" s="1"/>
  <c r="AH9" i="4"/>
  <c r="AL17" i="4"/>
  <c r="AJ110" i="33"/>
  <c r="AJ16" i="34"/>
  <c r="AJ22" i="34"/>
  <c r="AJ19" i="34" s="1"/>
  <c r="AK59" i="23"/>
  <c r="AJ66" i="23"/>
  <c r="AJ76" i="23" s="1"/>
  <c r="AK36" i="14"/>
  <c r="AK107" i="33" s="1"/>
  <c r="AF62" i="19"/>
  <c r="AG64" i="14"/>
  <c r="AG77" i="19"/>
  <c r="AG100" i="19"/>
  <c r="AG102" i="19"/>
  <c r="AG101" i="19"/>
  <c r="AG34" i="6"/>
  <c r="AG24" i="4"/>
  <c r="AG27" i="4" s="1"/>
  <c r="AG31" i="4" s="1"/>
  <c r="AG102" i="4"/>
  <c r="AG117" i="4" s="1"/>
  <c r="AG121" i="4" s="1"/>
  <c r="AG140" i="4" s="1"/>
  <c r="AH77" i="4"/>
  <c r="AI77" i="4" s="1"/>
  <c r="AJ77" i="4" s="1"/>
  <c r="AK77" i="4" s="1"/>
  <c r="AL77" i="4" s="1"/>
  <c r="AM77" i="4" s="1"/>
  <c r="AH58" i="4"/>
  <c r="AI58" i="4" s="1"/>
  <c r="AJ58" i="4" s="1"/>
  <c r="AK58" i="4" s="1"/>
  <c r="AL58" i="4" s="1"/>
  <c r="AM58" i="4" s="1"/>
  <c r="AJ39" i="14"/>
  <c r="AJ9" i="6"/>
  <c r="AL71" i="37"/>
  <c r="AL33" i="19"/>
  <c r="AM33" i="19" s="1"/>
  <c r="AK24" i="33"/>
  <c r="AM9" i="23"/>
  <c r="AH126" i="33"/>
  <c r="AL23" i="33"/>
  <c r="AM10" i="37"/>
  <c r="AM91" i="4"/>
  <c r="AH90" i="19"/>
  <c r="AI50" i="19"/>
  <c r="AK35" i="14"/>
  <c r="AK94" i="33" s="1"/>
  <c r="AK41" i="14"/>
  <c r="AK17" i="6" s="1"/>
  <c r="AK26" i="6" s="1"/>
  <c r="AK132" i="4"/>
  <c r="AH46" i="14"/>
  <c r="AH20" i="14"/>
  <c r="AH5" i="14"/>
  <c r="AH7" i="14"/>
  <c r="AC24" i="4"/>
  <c r="AC27" i="4" s="1"/>
  <c r="AC31" i="4" s="1"/>
  <c r="AC32" i="4" s="1"/>
  <c r="AJ66" i="14"/>
  <c r="AD64" i="33"/>
  <c r="C91" i="2"/>
  <c r="AI10" i="23"/>
  <c r="O34" i="4"/>
  <c r="O58" i="33"/>
  <c r="P32" i="4"/>
  <c r="O32" i="4"/>
  <c r="O159" i="4"/>
  <c r="O55" i="4"/>
  <c r="O42" i="4"/>
  <c r="AD61" i="33"/>
  <c r="AC61" i="33"/>
  <c r="AC169" i="4"/>
  <c r="Y24" i="6"/>
  <c r="Y31" i="6" s="1"/>
  <c r="AJ108" i="33"/>
  <c r="AM41" i="37"/>
  <c r="AN41" i="37" s="1"/>
  <c r="AH34" i="14"/>
  <c r="AH33" i="14" s="1"/>
  <c r="AF33" i="14"/>
  <c r="AC100" i="4"/>
  <c r="C75" i="2"/>
  <c r="C72" i="2"/>
  <c r="T169" i="4"/>
  <c r="T61" i="33"/>
  <c r="U61" i="33"/>
  <c r="AJ67" i="37"/>
  <c r="AK131" i="37"/>
  <c r="AH65" i="37"/>
  <c r="AH25" i="37"/>
  <c r="AJ134" i="37"/>
  <c r="AJ25" i="35"/>
  <c r="E65" i="33"/>
  <c r="F72" i="2"/>
  <c r="I23" i="2"/>
  <c r="I24" i="2" s="1"/>
  <c r="D22" i="2"/>
  <c r="D29" i="2" s="1"/>
  <c r="D40" i="2" s="1"/>
  <c r="D43" i="2" s="1"/>
  <c r="N65" i="33"/>
  <c r="D85" i="2"/>
  <c r="D91" i="2" s="1"/>
  <c r="X34" i="4"/>
  <c r="X58" i="33"/>
  <c r="X42" i="4"/>
  <c r="X55" i="4"/>
  <c r="X32" i="4"/>
  <c r="Y32" i="4"/>
  <c r="AF40" i="37"/>
  <c r="D65" i="33"/>
  <c r="AA65" i="33"/>
  <c r="Q65" i="33"/>
  <c r="AK25" i="23"/>
  <c r="AK24" i="23" s="1"/>
  <c r="AL128" i="37"/>
  <c r="AL17" i="35"/>
  <c r="AL46" i="33" s="1"/>
  <c r="AL51" i="35"/>
  <c r="AL54" i="35" s="1"/>
  <c r="AL62" i="35" s="1"/>
  <c r="AK11" i="35"/>
  <c r="AK10" i="35" s="1"/>
  <c r="AK16" i="35" s="1"/>
  <c r="AK18" i="35" s="1"/>
  <c r="AK55" i="33" s="1"/>
  <c r="AL14" i="23"/>
  <c r="AL22" i="33" s="1"/>
  <c r="AB100" i="4"/>
  <c r="B75" i="2"/>
  <c r="B72" i="2"/>
  <c r="AF144" i="4"/>
  <c r="G77" i="2" s="1"/>
  <c r="G80" i="2" s="1"/>
  <c r="AF10" i="4"/>
  <c r="AF15" i="4" s="1"/>
  <c r="AJ39" i="19"/>
  <c r="AJ114" i="4" s="1"/>
  <c r="AJ6" i="19"/>
  <c r="AI113" i="4"/>
  <c r="R92" i="4"/>
  <c r="R98" i="4" s="1"/>
  <c r="R99" i="4" s="1"/>
  <c r="AD22" i="4"/>
  <c r="E82" i="2" s="1"/>
  <c r="I65" i="33"/>
  <c r="J65" i="33"/>
  <c r="V65" i="33"/>
  <c r="W65" i="33"/>
  <c r="F65" i="33"/>
  <c r="G65" i="33"/>
  <c r="AG41" i="19"/>
  <c r="AG42" i="19"/>
  <c r="AM16" i="10"/>
  <c r="T66" i="33"/>
  <c r="T57" i="33"/>
  <c r="S66" i="33"/>
  <c r="S57" i="33"/>
  <c r="S65" i="33" s="1"/>
  <c r="AE20" i="4"/>
  <c r="AE28" i="33"/>
  <c r="AB66" i="33"/>
  <c r="AB57" i="33"/>
  <c r="AK87" i="33"/>
  <c r="AM38" i="14"/>
  <c r="AI146" i="4"/>
  <c r="S27" i="14"/>
  <c r="S30" i="14" s="1"/>
  <c r="S31" i="14" s="1"/>
  <c r="S90" i="4"/>
  <c r="S92" i="4" s="1"/>
  <c r="S98" i="4" s="1"/>
  <c r="S99" i="4" s="1"/>
  <c r="T17" i="19"/>
  <c r="T21" i="19" s="1"/>
  <c r="S25" i="10"/>
  <c r="AK101" i="23"/>
  <c r="AJ104" i="23"/>
  <c r="AJ95" i="33"/>
  <c r="AJ93" i="33" s="1"/>
  <c r="AJ85" i="4" s="1"/>
  <c r="K64" i="2"/>
  <c r="AM85" i="33"/>
  <c r="N57" i="2" s="1"/>
  <c r="AN85" i="33"/>
  <c r="O57" i="2" s="1"/>
  <c r="AN86" i="33"/>
  <c r="AM86" i="33"/>
  <c r="AN136" i="37"/>
  <c r="AN71" i="37" s="1"/>
  <c r="AM71" i="37"/>
  <c r="AK67" i="14"/>
  <c r="AK69" i="37"/>
  <c r="AL70" i="37"/>
  <c r="AL30" i="37" s="1"/>
  <c r="AM125" i="37"/>
  <c r="AM96" i="33"/>
  <c r="AN96" i="33"/>
  <c r="AH133" i="37"/>
  <c r="AG138" i="37"/>
  <c r="AG153" i="37" s="1"/>
  <c r="AM127" i="37"/>
  <c r="AL75" i="37"/>
  <c r="AL35" i="37" s="1"/>
  <c r="AM164" i="37"/>
  <c r="AL14" i="37"/>
  <c r="AL109" i="33" s="1"/>
  <c r="AH78" i="33"/>
  <c r="V30" i="19"/>
  <c r="V34" i="19" s="1"/>
  <c r="U27" i="10"/>
  <c r="AI72" i="19"/>
  <c r="AI45" i="19"/>
  <c r="AI8" i="6" s="1"/>
  <c r="AJ46" i="19"/>
  <c r="AK110" i="4"/>
  <c r="AL15" i="35"/>
  <c r="AL111" i="33" s="1"/>
  <c r="AM5" i="35"/>
  <c r="AM9" i="33" s="1"/>
  <c r="AF64" i="33"/>
  <c r="AM52" i="35"/>
  <c r="AL12" i="35"/>
  <c r="AI9" i="35"/>
  <c r="AI18" i="33" s="1"/>
  <c r="AI106" i="33"/>
  <c r="AI119" i="4" s="1"/>
  <c r="AL58" i="23"/>
  <c r="AK103" i="23"/>
  <c r="AJ105" i="23"/>
  <c r="AL85" i="23"/>
  <c r="I62" i="2"/>
  <c r="AI89" i="23"/>
  <c r="AI15" i="23" s="1"/>
  <c r="AI15" i="33" s="1"/>
  <c r="I79" i="2"/>
  <c r="I55" i="2"/>
  <c r="AJ130" i="37"/>
  <c r="AI151" i="37"/>
  <c r="AJ149" i="37"/>
  <c r="AL129" i="37"/>
  <c r="AK74" i="37"/>
  <c r="AJ34" i="37"/>
  <c r="AJ72" i="37"/>
  <c r="AN135" i="37"/>
  <c r="AN68" i="37" s="1"/>
  <c r="AN28" i="37" s="1"/>
  <c r="AM68" i="37"/>
  <c r="AM28" i="37" s="1"/>
  <c r="AM126" i="37"/>
  <c r="U24" i="19"/>
  <c r="U27" i="19" s="1"/>
  <c r="T26" i="14"/>
  <c r="AM84" i="19"/>
  <c r="AF79" i="19"/>
  <c r="AE99" i="4"/>
  <c r="G129" i="2"/>
  <c r="AH47" i="14"/>
  <c r="AK79" i="14"/>
  <c r="AK73" i="14"/>
  <c r="AJ70" i="14"/>
  <c r="J6" i="14"/>
  <c r="I7" i="14"/>
  <c r="I12" i="14" s="1"/>
  <c r="I9" i="14" s="1"/>
  <c r="I10" i="14" s="1"/>
  <c r="AF63" i="14"/>
  <c r="AE85" i="14"/>
  <c r="AE70" i="14"/>
  <c r="AE86" i="14"/>
  <c r="Z7" i="14"/>
  <c r="AA6" i="14"/>
  <c r="AA7" i="14" s="1"/>
  <c r="AL29" i="10"/>
  <c r="AK5" i="10"/>
  <c r="AI54" i="10"/>
  <c r="AK36" i="10"/>
  <c r="AK50" i="10" s="1"/>
  <c r="AL32" i="10"/>
  <c r="AM33" i="10"/>
  <c r="AJ45" i="10"/>
  <c r="AJ3" i="10"/>
  <c r="AJ38" i="10"/>
  <c r="AJ53" i="19" s="1"/>
  <c r="AJ23" i="10"/>
  <c r="AJ32" i="19" s="1"/>
  <c r="AJ30" i="6" s="1"/>
  <c r="AJ52" i="10"/>
  <c r="AJ51" i="10"/>
  <c r="AJ53" i="10"/>
  <c r="AI56" i="10"/>
  <c r="AI47" i="10"/>
  <c r="AI55" i="10"/>
  <c r="AL37" i="10"/>
  <c r="AM35" i="10"/>
  <c r="Z23" i="6"/>
  <c r="AF128" i="33"/>
  <c r="AE129" i="33"/>
  <c r="Z48" i="4"/>
  <c r="Z45" i="4"/>
  <c r="Z34" i="4"/>
  <c r="Z35" i="4"/>
  <c r="AG86" i="4"/>
  <c r="AH86" i="4" s="1"/>
  <c r="AF92" i="4"/>
  <c r="AF98" i="4" s="1"/>
  <c r="AF99" i="4" s="1"/>
  <c r="Y48" i="4"/>
  <c r="Y49" i="4"/>
  <c r="Z53" i="4"/>
  <c r="AA52" i="4"/>
  <c r="AA51" i="4" s="1"/>
  <c r="H61" i="2"/>
  <c r="G71" i="2"/>
  <c r="G72" i="2" s="1"/>
  <c r="AI46" i="34"/>
  <c r="G75" i="2"/>
  <c r="AK31" i="34"/>
  <c r="AK30" i="34"/>
  <c r="AK29" i="34"/>
  <c r="AK60" i="34"/>
  <c r="AK15" i="34" s="1"/>
  <c r="K42" i="2"/>
  <c r="AK37" i="34"/>
  <c r="AJ43" i="34"/>
  <c r="AJ44" i="34" s="1"/>
  <c r="AJ38" i="34"/>
  <c r="H66" i="2"/>
  <c r="H90" i="2" s="1"/>
  <c r="H84" i="2"/>
  <c r="H56" i="2"/>
  <c r="H58" i="2" s="1"/>
  <c r="H59" i="2" s="1"/>
  <c r="AK77" i="23"/>
  <c r="AM83" i="37"/>
  <c r="AK92" i="19"/>
  <c r="AJ6" i="14"/>
  <c r="AK89" i="33"/>
  <c r="I28" i="2"/>
  <c r="AI127" i="4"/>
  <c r="AK66" i="4" l="1"/>
  <c r="AC58" i="33"/>
  <c r="AC66" i="33" s="1"/>
  <c r="AK64" i="33"/>
  <c r="AH10" i="4"/>
  <c r="AG58" i="33"/>
  <c r="AJ27" i="37"/>
  <c r="AL84" i="37"/>
  <c r="AM84" i="37" s="1"/>
  <c r="AN84" i="37" s="1"/>
  <c r="AN31" i="37" s="1"/>
  <c r="AK31" i="37"/>
  <c r="AK29" i="37" s="1"/>
  <c r="AK7" i="37" s="1"/>
  <c r="AH77" i="19"/>
  <c r="AI77" i="19" s="1"/>
  <c r="AH102" i="19"/>
  <c r="AH101" i="19"/>
  <c r="AH100" i="19"/>
  <c r="AJ106" i="33"/>
  <c r="AJ119" i="4" s="1"/>
  <c r="AN77" i="4"/>
  <c r="AN58" i="4"/>
  <c r="AI86" i="4"/>
  <c r="AM17" i="4"/>
  <c r="AG42" i="4"/>
  <c r="AG63" i="14"/>
  <c r="AH63" i="14" s="1"/>
  <c r="AH64" i="14"/>
  <c r="AH62" i="19" s="1"/>
  <c r="AI62" i="19" s="1"/>
  <c r="AJ62" i="19" s="1"/>
  <c r="AK62" i="19" s="1"/>
  <c r="AL62" i="19" s="1"/>
  <c r="AM62" i="19" s="1"/>
  <c r="AK110" i="33"/>
  <c r="L42" i="2" s="1"/>
  <c r="AK16" i="34"/>
  <c r="AL59" i="23"/>
  <c r="AK66" i="23"/>
  <c r="AK76" i="23" s="1"/>
  <c r="AL36" i="14"/>
  <c r="AL107" i="33" s="1"/>
  <c r="AK39" i="14"/>
  <c r="AG62" i="19"/>
  <c r="AL20" i="19"/>
  <c r="AF129" i="33"/>
  <c r="AG128" i="33"/>
  <c r="AC33" i="4"/>
  <c r="AC159" i="4"/>
  <c r="AH48" i="14"/>
  <c r="AH76" i="33"/>
  <c r="AK9" i="6"/>
  <c r="AI32" i="33"/>
  <c r="AI39" i="33"/>
  <c r="AL24" i="33"/>
  <c r="AN9" i="23"/>
  <c r="AM23" i="33"/>
  <c r="AN10" i="37"/>
  <c r="AN23" i="33" s="1"/>
  <c r="AN91" i="4"/>
  <c r="AI158" i="37"/>
  <c r="AI11" i="37" s="1"/>
  <c r="AI16" i="33" s="1"/>
  <c r="AJ50" i="19"/>
  <c r="AK50" i="19" s="1"/>
  <c r="AL50" i="19" s="1"/>
  <c r="AM50" i="19" s="1"/>
  <c r="AN50" i="19" s="1"/>
  <c r="AI49" i="19"/>
  <c r="AL41" i="14"/>
  <c r="AL17" i="6" s="1"/>
  <c r="AL26" i="6" s="1"/>
  <c r="AL35" i="14"/>
  <c r="AL94" i="33" s="1"/>
  <c r="AC55" i="4"/>
  <c r="AC42" i="4"/>
  <c r="AL132" i="4"/>
  <c r="AH15" i="14"/>
  <c r="D30" i="2"/>
  <c r="AF1" i="4"/>
  <c r="AJ10" i="23"/>
  <c r="P66" i="33"/>
  <c r="O66" i="33"/>
  <c r="O57" i="33"/>
  <c r="AK108" i="33"/>
  <c r="AK134" i="37"/>
  <c r="AJ66" i="37"/>
  <c r="AI65" i="37"/>
  <c r="AI25" i="37"/>
  <c r="AL131" i="37"/>
  <c r="AK67" i="37"/>
  <c r="AK27" i="37" s="1"/>
  <c r="AL25" i="23"/>
  <c r="AL24" i="23" s="1"/>
  <c r="AI21" i="4"/>
  <c r="AM51" i="35"/>
  <c r="AM54" i="35" s="1"/>
  <c r="AM62" i="35" s="1"/>
  <c r="AL11" i="35"/>
  <c r="AL10" i="35" s="1"/>
  <c r="AL16" i="35" s="1"/>
  <c r="AL18" i="35" s="1"/>
  <c r="AL55" i="33" s="1"/>
  <c r="X57" i="33"/>
  <c r="X66" i="33"/>
  <c r="Y66" i="33"/>
  <c r="AM14" i="23"/>
  <c r="AM22" i="33" s="1"/>
  <c r="AM128" i="37"/>
  <c r="D86" i="2"/>
  <c r="AJ54" i="10"/>
  <c r="AF42" i="37"/>
  <c r="AM17" i="35"/>
  <c r="AM46" i="33" s="1"/>
  <c r="AJ113" i="4"/>
  <c r="AK39" i="19"/>
  <c r="AK114" i="4" s="1"/>
  <c r="AK6" i="19"/>
  <c r="AB175" i="4"/>
  <c r="AB65" i="33"/>
  <c r="AE22" i="4"/>
  <c r="F82" i="2" s="1"/>
  <c r="U65" i="33"/>
  <c r="T175" i="4"/>
  <c r="T65" i="33"/>
  <c r="AN16" i="10"/>
  <c r="E88" i="2"/>
  <c r="E85" i="2"/>
  <c r="E91" i="2" s="1"/>
  <c r="E93" i="2"/>
  <c r="AD102" i="4"/>
  <c r="AD117" i="4" s="1"/>
  <c r="AD121" i="4" s="1"/>
  <c r="AD24" i="4"/>
  <c r="AD27" i="4" s="1"/>
  <c r="AF20" i="4"/>
  <c r="AF28" i="33"/>
  <c r="AL87" i="33"/>
  <c r="AN38" i="14"/>
  <c r="Z24" i="6"/>
  <c r="Z31" i="6" s="1"/>
  <c r="Z18" i="19"/>
  <c r="T25" i="10"/>
  <c r="T90" i="4"/>
  <c r="U17" i="19"/>
  <c r="U21" i="19" s="1"/>
  <c r="T27" i="14"/>
  <c r="T30" i="14" s="1"/>
  <c r="T31" i="14" s="1"/>
  <c r="AJ146" i="4"/>
  <c r="AJ136" i="4"/>
  <c r="AK95" i="33"/>
  <c r="AK93" i="33" s="1"/>
  <c r="AK85" i="4" s="1"/>
  <c r="L64" i="2"/>
  <c r="AI103" i="4"/>
  <c r="AI88" i="23"/>
  <c r="AJ89" i="23" s="1"/>
  <c r="AJ15" i="23" s="1"/>
  <c r="AJ15" i="33" s="1"/>
  <c r="AL101" i="23"/>
  <c r="AK104" i="23"/>
  <c r="AI133" i="37"/>
  <c r="AH138" i="37"/>
  <c r="AH153" i="37" s="1"/>
  <c r="AN125" i="37"/>
  <c r="AN70" i="37" s="1"/>
  <c r="AM70" i="37"/>
  <c r="AM30" i="37" s="1"/>
  <c r="AN164" i="37"/>
  <c r="AN14" i="37" s="1"/>
  <c r="AN109" i="33" s="1"/>
  <c r="AM14" i="37"/>
  <c r="AM109" i="33" s="1"/>
  <c r="AL69" i="37"/>
  <c r="AL67" i="14"/>
  <c r="AM75" i="37"/>
  <c r="AM35" i="37" s="1"/>
  <c r="AN127" i="37"/>
  <c r="AN75" i="37" s="1"/>
  <c r="AN35" i="37" s="1"/>
  <c r="AJ45" i="19"/>
  <c r="AJ8" i="6" s="1"/>
  <c r="AK46" i="19"/>
  <c r="AJ72" i="19"/>
  <c r="AM20" i="19"/>
  <c r="AN33" i="19"/>
  <c r="V27" i="10"/>
  <c r="W30" i="19"/>
  <c r="W34" i="19" s="1"/>
  <c r="AM53" i="14"/>
  <c r="AM84" i="33"/>
  <c r="N35" i="2" s="1"/>
  <c r="AL110" i="4"/>
  <c r="AJ46" i="34"/>
  <c r="AN5" i="35"/>
  <c r="AN9" i="33" s="1"/>
  <c r="AJ9" i="35"/>
  <c r="AJ18" i="33" s="1"/>
  <c r="AI8" i="35"/>
  <c r="AI7" i="35" s="1"/>
  <c r="AI35" i="33" s="1"/>
  <c r="AK25" i="35"/>
  <c r="AN52" i="35"/>
  <c r="AM12" i="35"/>
  <c r="AM15" i="35"/>
  <c r="AM111" i="33" s="1"/>
  <c r="AM58" i="23"/>
  <c r="AM85" i="23"/>
  <c r="AI13" i="23"/>
  <c r="AL103" i="23"/>
  <c r="AK105" i="23"/>
  <c r="AN126" i="37"/>
  <c r="AM129" i="37"/>
  <c r="AL74" i="37"/>
  <c r="AK130" i="37"/>
  <c r="AK34" i="37"/>
  <c r="AK72" i="37"/>
  <c r="AJ151" i="37"/>
  <c r="AK149" i="37"/>
  <c r="U26" i="14"/>
  <c r="V24" i="19"/>
  <c r="V27" i="19" s="1"/>
  <c r="AN84" i="19"/>
  <c r="AI88" i="19"/>
  <c r="AF100" i="4"/>
  <c r="AE1" i="4"/>
  <c r="AE100" i="4"/>
  <c r="AF77" i="19"/>
  <c r="AF85" i="14"/>
  <c r="AF86" i="14"/>
  <c r="AF70" i="14"/>
  <c r="AL73" i="14"/>
  <c r="AK70" i="14"/>
  <c r="H129" i="2"/>
  <c r="H130" i="2" s="1"/>
  <c r="AL79" i="14"/>
  <c r="G130" i="2"/>
  <c r="G128" i="2"/>
  <c r="J7" i="14"/>
  <c r="J12" i="14" s="1"/>
  <c r="J9" i="14" s="1"/>
  <c r="J10" i="14" s="1"/>
  <c r="K6" i="14"/>
  <c r="AK66" i="14"/>
  <c r="AN33" i="10"/>
  <c r="AM37" i="10"/>
  <c r="AM32" i="10"/>
  <c r="AL36" i="10"/>
  <c r="AM29" i="10"/>
  <c r="AL5" i="10"/>
  <c r="AJ47" i="10"/>
  <c r="AJ56" i="10"/>
  <c r="AJ55" i="10"/>
  <c r="AN35" i="10"/>
  <c r="AK38" i="10"/>
  <c r="AK53" i="19" s="1"/>
  <c r="AK23" i="10"/>
  <c r="AK32" i="19" s="1"/>
  <c r="AK30" i="6" s="1"/>
  <c r="AK45" i="10"/>
  <c r="AK3" i="10"/>
  <c r="AK52" i="10"/>
  <c r="AK53" i="10"/>
  <c r="AK51" i="10"/>
  <c r="AA45" i="4"/>
  <c r="AA48" i="4"/>
  <c r="AA35" i="4"/>
  <c r="AA34" i="4"/>
  <c r="AA53" i="4"/>
  <c r="AB52" i="4"/>
  <c r="Z46" i="4"/>
  <c r="H71" i="2"/>
  <c r="I61" i="2"/>
  <c r="H63" i="2"/>
  <c r="J23" i="2"/>
  <c r="J24" i="2" s="1"/>
  <c r="AL37" i="34"/>
  <c r="AK43" i="34"/>
  <c r="AK44" i="34" s="1"/>
  <c r="AK38" i="34"/>
  <c r="AL60" i="34"/>
  <c r="AL15" i="34" s="1"/>
  <c r="AL29" i="34"/>
  <c r="AH45" i="33"/>
  <c r="AL30" i="34"/>
  <c r="AL31" i="34"/>
  <c r="AL77" i="23"/>
  <c r="AI127" i="33"/>
  <c r="AN83" i="37"/>
  <c r="AL92" i="19"/>
  <c r="AK6" i="14"/>
  <c r="AL89" i="33"/>
  <c r="J28" i="2"/>
  <c r="AJ21" i="4" l="1"/>
  <c r="AJ103" i="4"/>
  <c r="AC57" i="33"/>
  <c r="AC65" i="33" s="1"/>
  <c r="AI64" i="14"/>
  <c r="AJ64" i="14" s="1"/>
  <c r="AK64" i="14" s="1"/>
  <c r="AL64" i="14" s="1"/>
  <c r="AM64" i="14" s="1"/>
  <c r="AN64" i="14" s="1"/>
  <c r="AN59" i="19" s="1"/>
  <c r="AG85" i="14"/>
  <c r="AL64" i="33"/>
  <c r="AG57" i="33"/>
  <c r="AG86" i="14"/>
  <c r="AG70" i="14"/>
  <c r="AL31" i="37"/>
  <c r="AL29" i="37" s="1"/>
  <c r="AL7" i="37" s="1"/>
  <c r="AJ86" i="4"/>
  <c r="AK86" i="4" s="1"/>
  <c r="AL86" i="4" s="1"/>
  <c r="AM86" i="4" s="1"/>
  <c r="AN86" i="4" s="1"/>
  <c r="S32" i="2"/>
  <c r="AM31" i="37"/>
  <c r="AM29" i="37" s="1"/>
  <c r="AM7" i="37" s="1"/>
  <c r="AN17" i="4"/>
  <c r="AG129" i="33"/>
  <c r="AH128" i="33"/>
  <c r="AL110" i="33"/>
  <c r="M42" i="2" s="1"/>
  <c r="AL16" i="34"/>
  <c r="AM59" i="23"/>
  <c r="AL66" i="23"/>
  <c r="AL76" i="23" s="1"/>
  <c r="AF43" i="37"/>
  <c r="AG43" i="37"/>
  <c r="AI157" i="37"/>
  <c r="AI78" i="33" s="1"/>
  <c r="AI9" i="37"/>
  <c r="AH74" i="19"/>
  <c r="AM36" i="14"/>
  <c r="AM107" i="33" s="1"/>
  <c r="AL39" i="14"/>
  <c r="AL9" i="6"/>
  <c r="AL66" i="4"/>
  <c r="AM24" i="33"/>
  <c r="AJ32" i="33"/>
  <c r="AJ39" i="33"/>
  <c r="AH124" i="33"/>
  <c r="AJ49" i="19"/>
  <c r="AI48" i="19"/>
  <c r="AI7" i="6" s="1"/>
  <c r="AM35" i="14"/>
  <c r="AM94" i="33" s="1"/>
  <c r="AM41" i="14"/>
  <c r="AM17" i="6" s="1"/>
  <c r="AM26" i="6" s="1"/>
  <c r="AM132" i="4"/>
  <c r="AN132" i="4"/>
  <c r="AK10" i="23"/>
  <c r="AI19" i="4"/>
  <c r="AI126" i="33"/>
  <c r="AJ127" i="33" s="1"/>
  <c r="O65" i="33"/>
  <c r="P65" i="33"/>
  <c r="AL108" i="33"/>
  <c r="AI34" i="14"/>
  <c r="J79" i="2"/>
  <c r="AI77" i="33"/>
  <c r="AM131" i="37"/>
  <c r="AL67" i="37"/>
  <c r="AL27" i="37" s="1"/>
  <c r="AJ26" i="37"/>
  <c r="AJ25" i="37" s="1"/>
  <c r="AJ65" i="37"/>
  <c r="AK66" i="37"/>
  <c r="AL134" i="37"/>
  <c r="AL25" i="35"/>
  <c r="E86" i="2"/>
  <c r="AN51" i="35"/>
  <c r="AN11" i="35" s="1"/>
  <c r="AM11" i="35"/>
  <c r="AM10" i="35" s="1"/>
  <c r="AM16" i="35" s="1"/>
  <c r="AM18" i="35" s="1"/>
  <c r="AM55" i="33" s="1"/>
  <c r="AM64" i="33" s="1"/>
  <c r="AN30" i="37"/>
  <c r="AN29" i="37" s="1"/>
  <c r="AN7" i="37" s="1"/>
  <c r="AN128" i="37"/>
  <c r="AL66" i="14"/>
  <c r="AN14" i="23"/>
  <c r="AN22" i="33" s="1"/>
  <c r="AN24" i="33" s="1"/>
  <c r="AI36" i="37"/>
  <c r="AH40" i="37"/>
  <c r="X65" i="33"/>
  <c r="Y65" i="33"/>
  <c r="AN17" i="35"/>
  <c r="AN46" i="33" s="1"/>
  <c r="AJ127" i="4"/>
  <c r="K28" i="2" s="1"/>
  <c r="K23" i="2"/>
  <c r="K24" i="2" s="1"/>
  <c r="Z49" i="4"/>
  <c r="AK113" i="4"/>
  <c r="AL50" i="10"/>
  <c r="AL39" i="19"/>
  <c r="AL114" i="4" s="1"/>
  <c r="AL6" i="19"/>
  <c r="T92" i="4"/>
  <c r="T98" i="4" s="1"/>
  <c r="T99" i="4" s="1"/>
  <c r="T100" i="4" s="1"/>
  <c r="AF22" i="4"/>
  <c r="G82" i="2" s="1"/>
  <c r="AC175" i="4"/>
  <c r="AD31" i="4"/>
  <c r="AD140" i="4"/>
  <c r="E22" i="2"/>
  <c r="E29" i="2" s="1"/>
  <c r="F88" i="2"/>
  <c r="F85" i="2"/>
  <c r="F91" i="2" s="1"/>
  <c r="F93" i="2"/>
  <c r="AE24" i="4"/>
  <c r="AE27" i="4" s="1"/>
  <c r="AE102" i="4"/>
  <c r="AE117" i="4" s="1"/>
  <c r="AE121" i="4" s="1"/>
  <c r="AM25" i="23"/>
  <c r="AN87" i="33"/>
  <c r="AM87" i="33"/>
  <c r="U27" i="14"/>
  <c r="U30" i="14" s="1"/>
  <c r="U31" i="14" s="1"/>
  <c r="U90" i="4"/>
  <c r="U25" i="10"/>
  <c r="V17" i="19"/>
  <c r="V21" i="19" s="1"/>
  <c r="AK136" i="4"/>
  <c r="AK146" i="4"/>
  <c r="M64" i="2"/>
  <c r="AL95" i="33"/>
  <c r="AL93" i="33" s="1"/>
  <c r="AL85" i="4" s="1"/>
  <c r="J62" i="2"/>
  <c r="AJ88" i="23"/>
  <c r="AK89" i="23" s="1"/>
  <c r="AM101" i="23"/>
  <c r="AL104" i="23"/>
  <c r="AM69" i="37"/>
  <c r="AM67" i="14"/>
  <c r="AN67" i="14"/>
  <c r="AN69" i="37"/>
  <c r="AJ133" i="37"/>
  <c r="AI138" i="37"/>
  <c r="AI153" i="37" s="1"/>
  <c r="X30" i="19"/>
  <c r="X34" i="19" s="1"/>
  <c r="W27" i="10"/>
  <c r="AN20" i="19"/>
  <c r="AL46" i="19"/>
  <c r="AK45" i="19"/>
  <c r="AK8" i="6" s="1"/>
  <c r="AK72" i="19"/>
  <c r="AN53" i="14"/>
  <c r="AN84" i="33"/>
  <c r="O35" i="2" s="1"/>
  <c r="AK54" i="10"/>
  <c r="AK106" i="33"/>
  <c r="AK119" i="4" s="1"/>
  <c r="AN110" i="4"/>
  <c r="AM110" i="4"/>
  <c r="AN15" i="35"/>
  <c r="AN111" i="33" s="1"/>
  <c r="AJ8" i="35"/>
  <c r="AJ7" i="35" s="1"/>
  <c r="AJ35" i="33" s="1"/>
  <c r="AK9" i="35"/>
  <c r="AK18" i="33" s="1"/>
  <c r="AN12" i="35"/>
  <c r="AK46" i="34"/>
  <c r="AN58" i="23"/>
  <c r="AM103" i="23"/>
  <c r="AL105" i="23"/>
  <c r="AN85" i="23"/>
  <c r="J55" i="2"/>
  <c r="J61" i="2" s="1"/>
  <c r="AJ13" i="23"/>
  <c r="AK151" i="37"/>
  <c r="AL149" i="37"/>
  <c r="AL130" i="37"/>
  <c r="AL34" i="37"/>
  <c r="AL72" i="37"/>
  <c r="AN129" i="37"/>
  <c r="AN74" i="37" s="1"/>
  <c r="AM74" i="37"/>
  <c r="AI90" i="19"/>
  <c r="AI83" i="19" s="1"/>
  <c r="AJ88" i="19"/>
  <c r="V26" i="14"/>
  <c r="W24" i="19"/>
  <c r="W27" i="19" s="1"/>
  <c r="AM79" i="14"/>
  <c r="AM73" i="14"/>
  <c r="AL70" i="14"/>
  <c r="K7" i="14"/>
  <c r="K12" i="14" s="1"/>
  <c r="K9" i="14" s="1"/>
  <c r="K10" i="14" s="1"/>
  <c r="L6" i="14"/>
  <c r="AM36" i="10"/>
  <c r="AM50" i="10" s="1"/>
  <c r="AN32" i="10"/>
  <c r="AN37" i="10"/>
  <c r="AK47" i="10"/>
  <c r="AK56" i="10"/>
  <c r="AK55" i="10"/>
  <c r="AL3" i="10"/>
  <c r="AL45" i="10"/>
  <c r="AL23" i="10"/>
  <c r="AL32" i="19" s="1"/>
  <c r="AL30" i="6" s="1"/>
  <c r="AL38" i="10"/>
  <c r="AL53" i="19" s="1"/>
  <c r="AL52" i="10"/>
  <c r="AL51" i="10"/>
  <c r="AL53" i="10"/>
  <c r="AN29" i="10"/>
  <c r="AM5" i="10"/>
  <c r="I63" i="2"/>
  <c r="AI128" i="4"/>
  <c r="AA46" i="4"/>
  <c r="AC52" i="4"/>
  <c r="AB53" i="4"/>
  <c r="AB51" i="4"/>
  <c r="I71" i="2"/>
  <c r="AH54" i="33"/>
  <c r="AM31" i="34"/>
  <c r="AM30" i="34"/>
  <c r="AM29" i="34"/>
  <c r="AM60" i="34"/>
  <c r="AM15" i="34" s="1"/>
  <c r="AM37" i="34"/>
  <c r="AL43" i="34"/>
  <c r="AL44" i="34" s="1"/>
  <c r="AL38" i="34"/>
  <c r="AM77" i="23"/>
  <c r="AM92" i="19"/>
  <c r="AL6" i="14"/>
  <c r="AM89" i="33"/>
  <c r="AI59" i="19" l="1"/>
  <c r="AI78" i="19" s="1"/>
  <c r="AJ158" i="37"/>
  <c r="AJ11" i="37" s="1"/>
  <c r="AJ16" i="33" s="1"/>
  <c r="AM110" i="33"/>
  <c r="N42" i="2" s="1"/>
  <c r="AM16" i="34"/>
  <c r="AN59" i="23"/>
  <c r="AN66" i="23" s="1"/>
  <c r="AM66" i="23"/>
  <c r="AM76" i="23" s="1"/>
  <c r="AN36" i="14"/>
  <c r="AN107" i="33" s="1"/>
  <c r="AM39" i="14"/>
  <c r="AM9" i="6"/>
  <c r="AM66" i="4"/>
  <c r="AN66" i="4" s="1"/>
  <c r="AH63" i="33"/>
  <c r="AK32" i="33"/>
  <c r="AK39" i="33"/>
  <c r="AK49" i="19"/>
  <c r="AJ48" i="19"/>
  <c r="AJ7" i="6" s="1"/>
  <c r="AN41" i="14"/>
  <c r="AN17" i="6" s="1"/>
  <c r="AN26" i="6" s="1"/>
  <c r="AN35" i="14"/>
  <c r="AN94" i="33" s="1"/>
  <c r="AN54" i="35"/>
  <c r="AN62" i="35" s="1"/>
  <c r="AL10" i="23"/>
  <c r="AJ126" i="33"/>
  <c r="AK127" i="33" s="1"/>
  <c r="AJ19" i="4"/>
  <c r="K79" i="2"/>
  <c r="AM66" i="14"/>
  <c r="AJ34" i="14"/>
  <c r="AI33" i="14"/>
  <c r="AJ77" i="33"/>
  <c r="AM134" i="37"/>
  <c r="AL66" i="37"/>
  <c r="AK65" i="37"/>
  <c r="AK26" i="37"/>
  <c r="AK25" i="37" s="1"/>
  <c r="AN131" i="37"/>
  <c r="AN67" i="37" s="1"/>
  <c r="AN27" i="37" s="1"/>
  <c r="AM67" i="37"/>
  <c r="AM27" i="37" s="1"/>
  <c r="AK21" i="4"/>
  <c r="AN10" i="35"/>
  <c r="AN16" i="35" s="1"/>
  <c r="AN18" i="35" s="1"/>
  <c r="AN55" i="33" s="1"/>
  <c r="AN64" i="33" s="1"/>
  <c r="F86" i="2"/>
  <c r="AK103" i="4"/>
  <c r="AK15" i="23"/>
  <c r="AK15" i="33" s="1"/>
  <c r="AK88" i="23"/>
  <c r="L62" i="2" s="1"/>
  <c r="K62" i="2"/>
  <c r="AH42" i="37"/>
  <c r="AJ36" i="37"/>
  <c r="AK127" i="4"/>
  <c r="L28" i="2" s="1"/>
  <c r="L23" i="2"/>
  <c r="L24" i="2" s="1"/>
  <c r="AA49" i="4"/>
  <c r="AL113" i="4"/>
  <c r="AM39" i="19"/>
  <c r="AM114" i="4" s="1"/>
  <c r="AM6" i="19"/>
  <c r="U92" i="4"/>
  <c r="U98" i="4" s="1"/>
  <c r="U99" i="4" s="1"/>
  <c r="AE140" i="4"/>
  <c r="F22" i="2"/>
  <c r="F29" i="2" s="1"/>
  <c r="AE31" i="4"/>
  <c r="E30" i="2"/>
  <c r="E40" i="2"/>
  <c r="E43" i="2" s="1"/>
  <c r="AD58" i="33"/>
  <c r="AD42" i="4"/>
  <c r="AD32" i="4"/>
  <c r="AD55" i="4"/>
  <c r="G85" i="2"/>
  <c r="G91" i="2" s="1"/>
  <c r="G88" i="2"/>
  <c r="G93" i="2"/>
  <c r="AF102" i="4"/>
  <c r="AF117" i="4" s="1"/>
  <c r="AF121" i="4" s="1"/>
  <c r="G22" i="2" s="1"/>
  <c r="AF24" i="4"/>
  <c r="AF27" i="4" s="1"/>
  <c r="AN25" i="23"/>
  <c r="AN24" i="23" s="1"/>
  <c r="AN108" i="33" s="1"/>
  <c r="V90" i="4"/>
  <c r="V25" i="10"/>
  <c r="W17" i="19"/>
  <c r="W21" i="19" s="1"/>
  <c r="V27" i="14"/>
  <c r="V30" i="14" s="1"/>
  <c r="V31" i="14" s="1"/>
  <c r="AM95" i="33"/>
  <c r="AM93" i="33" s="1"/>
  <c r="AM85" i="4" s="1"/>
  <c r="N64" i="2"/>
  <c r="AL146" i="4"/>
  <c r="AL136" i="4"/>
  <c r="AM24" i="23"/>
  <c r="AM108" i="33" s="1"/>
  <c r="AN101" i="23"/>
  <c r="AN104" i="23" s="1"/>
  <c r="AM104" i="23"/>
  <c r="AK133" i="37"/>
  <c r="AJ138" i="37"/>
  <c r="AJ153" i="37" s="1"/>
  <c r="AM46" i="19"/>
  <c r="AL72" i="19"/>
  <c r="AL45" i="19"/>
  <c r="AL8" i="6" s="1"/>
  <c r="X27" i="10"/>
  <c r="Y30" i="19"/>
  <c r="Y34" i="19" s="1"/>
  <c r="AL54" i="10"/>
  <c r="AL9" i="35"/>
  <c r="AL18" i="33" s="1"/>
  <c r="AK8" i="35"/>
  <c r="AK7" i="35" s="1"/>
  <c r="AK35" i="33" s="1"/>
  <c r="AM25" i="35"/>
  <c r="AL106" i="33"/>
  <c r="AL103" i="4" s="1"/>
  <c r="AL46" i="34"/>
  <c r="AN103" i="23"/>
  <c r="AM105" i="23"/>
  <c r="K55" i="2"/>
  <c r="K61" i="2" s="1"/>
  <c r="AM34" i="37"/>
  <c r="AM72" i="37"/>
  <c r="AM130" i="37"/>
  <c r="AL151" i="37"/>
  <c r="AM149" i="37"/>
  <c r="AN34" i="37"/>
  <c r="AN72" i="37"/>
  <c r="X24" i="19"/>
  <c r="X27" i="19" s="1"/>
  <c r="W26" i="14"/>
  <c r="AK88" i="19"/>
  <c r="AJ90" i="19"/>
  <c r="AJ83" i="19" s="1"/>
  <c r="AJ80" i="19"/>
  <c r="AI79" i="19"/>
  <c r="AN73" i="14"/>
  <c r="AN70" i="14" s="1"/>
  <c r="AM70" i="14"/>
  <c r="AI63" i="14"/>
  <c r="M6" i="14"/>
  <c r="L7" i="14"/>
  <c r="L12" i="14" s="1"/>
  <c r="L9" i="14" s="1"/>
  <c r="L10" i="14" s="1"/>
  <c r="AN79" i="14"/>
  <c r="AL56" i="10"/>
  <c r="AL47" i="10"/>
  <c r="AL55" i="10"/>
  <c r="AN5" i="10"/>
  <c r="AN36" i="10"/>
  <c r="AN6" i="19" s="1"/>
  <c r="AM38" i="10"/>
  <c r="AM53" i="19" s="1"/>
  <c r="AM23" i="10"/>
  <c r="AM32" i="19" s="1"/>
  <c r="AM30" i="6" s="1"/>
  <c r="AM3" i="10"/>
  <c r="AM45" i="10"/>
  <c r="AM52" i="10"/>
  <c r="AM53" i="10"/>
  <c r="AM51" i="10"/>
  <c r="AC51" i="4"/>
  <c r="AC53" i="4"/>
  <c r="AD52" i="4"/>
  <c r="AD51" i="4" s="1"/>
  <c r="AB45" i="4"/>
  <c r="AB48" i="4"/>
  <c r="AB35" i="4"/>
  <c r="AB34" i="4"/>
  <c r="AJ128" i="4"/>
  <c r="J71" i="2"/>
  <c r="J63" i="2"/>
  <c r="AH25" i="34"/>
  <c r="AN37" i="34"/>
  <c r="AM43" i="34"/>
  <c r="AM44" i="34" s="1"/>
  <c r="AM38" i="34"/>
  <c r="AN60" i="34"/>
  <c r="AN29" i="34"/>
  <c r="AN30" i="34"/>
  <c r="AN31" i="34"/>
  <c r="AN77" i="23"/>
  <c r="AN92" i="19"/>
  <c r="AM6" i="14"/>
  <c r="AM90" i="33"/>
  <c r="AM124" i="4" s="1"/>
  <c r="AN89" i="33"/>
  <c r="AJ157" i="37" l="1"/>
  <c r="AJ78" i="33" s="1"/>
  <c r="AJ9" i="37"/>
  <c r="AM106" i="33"/>
  <c r="AM103" i="4" s="1"/>
  <c r="N27" i="2"/>
  <c r="N41" i="2" s="1"/>
  <c r="AJ59" i="19"/>
  <c r="AJ79" i="19" s="1"/>
  <c r="AN76" i="23"/>
  <c r="AN9" i="6"/>
  <c r="AL32" i="33"/>
  <c r="AL39" i="33"/>
  <c r="AL49" i="19"/>
  <c r="AK48" i="19"/>
  <c r="AK7" i="6" s="1"/>
  <c r="AN39" i="14"/>
  <c r="AL127" i="4"/>
  <c r="M28" i="2" s="1"/>
  <c r="AM10" i="23"/>
  <c r="AK19" i="4"/>
  <c r="AK126" i="33"/>
  <c r="AL127" i="33" s="1"/>
  <c r="AK34" i="14"/>
  <c r="AJ33" i="14"/>
  <c r="AK13" i="23"/>
  <c r="AL65" i="37"/>
  <c r="AL26" i="37"/>
  <c r="AL25" i="37" s="1"/>
  <c r="AN134" i="37"/>
  <c r="AN66" i="37" s="1"/>
  <c r="AM66" i="37"/>
  <c r="AN105" i="23"/>
  <c r="AK77" i="33"/>
  <c r="L79" i="2"/>
  <c r="AL89" i="23"/>
  <c r="AL15" i="23" s="1"/>
  <c r="AL15" i="33" s="1"/>
  <c r="G86" i="2"/>
  <c r="U100" i="4"/>
  <c r="AK36" i="37"/>
  <c r="AH20" i="37"/>
  <c r="AH53" i="33" s="1"/>
  <c r="AH43" i="37"/>
  <c r="AM54" i="10"/>
  <c r="AM113" i="4"/>
  <c r="AN50" i="10"/>
  <c r="AN39" i="19"/>
  <c r="AN114" i="4" s="1"/>
  <c r="V92" i="4"/>
  <c r="V98" i="4" s="1"/>
  <c r="V99" i="4" s="1"/>
  <c r="V100" i="4" s="1"/>
  <c r="AF31" i="4"/>
  <c r="AD66" i="33"/>
  <c r="AD57" i="33"/>
  <c r="AD65" i="33" s="1"/>
  <c r="T120" i="14"/>
  <c r="AE58" i="33"/>
  <c r="AE32" i="4"/>
  <c r="AE55" i="4"/>
  <c r="AE42" i="4"/>
  <c r="F40" i="2"/>
  <c r="F43" i="2" s="1"/>
  <c r="F30" i="2"/>
  <c r="AN15" i="34"/>
  <c r="W25" i="10"/>
  <c r="W27" i="14"/>
  <c r="W30" i="14" s="1"/>
  <c r="W31" i="14" s="1"/>
  <c r="W90" i="4"/>
  <c r="X17" i="19"/>
  <c r="X21" i="19" s="1"/>
  <c r="AL21" i="4"/>
  <c r="AL119" i="4"/>
  <c r="O64" i="2"/>
  <c r="AN95" i="33"/>
  <c r="AN93" i="33" s="1"/>
  <c r="AN85" i="4" s="1"/>
  <c r="AM136" i="4"/>
  <c r="AM146" i="4"/>
  <c r="AL133" i="37"/>
  <c r="AK138" i="37"/>
  <c r="AK153" i="37" s="1"/>
  <c r="Y27" i="10"/>
  <c r="Z30" i="19"/>
  <c r="Z34" i="19" s="1"/>
  <c r="AM45" i="19"/>
  <c r="AM8" i="6" s="1"/>
  <c r="AM72" i="19"/>
  <c r="AN46" i="19"/>
  <c r="AN66" i="14"/>
  <c r="AB46" i="4"/>
  <c r="AM46" i="34"/>
  <c r="AN25" i="35"/>
  <c r="AL8" i="35"/>
  <c r="AL7" i="35" s="1"/>
  <c r="AL35" i="33" s="1"/>
  <c r="AM9" i="35"/>
  <c r="AM18" i="33" s="1"/>
  <c r="AN130" i="37"/>
  <c r="AM151" i="37"/>
  <c r="AN149" i="37"/>
  <c r="AN151" i="37" s="1"/>
  <c r="X26" i="14"/>
  <c r="Y24" i="19"/>
  <c r="Y27" i="19" s="1"/>
  <c r="AK80" i="19"/>
  <c r="AK59" i="19"/>
  <c r="AI76" i="19"/>
  <c r="AJ77" i="19"/>
  <c r="AK90" i="19"/>
  <c r="AK83" i="19" s="1"/>
  <c r="AL88" i="19"/>
  <c r="AJ63" i="14"/>
  <c r="M7" i="14"/>
  <c r="M12" i="14" s="1"/>
  <c r="M9" i="14" s="1"/>
  <c r="M10" i="14" s="1"/>
  <c r="N6" i="14"/>
  <c r="AN3" i="10"/>
  <c r="AN38" i="10"/>
  <c r="AN53" i="19" s="1"/>
  <c r="AN45" i="10"/>
  <c r="AN23" i="10"/>
  <c r="AN32" i="19" s="1"/>
  <c r="AN30" i="6" s="1"/>
  <c r="AN52" i="10"/>
  <c r="AN51" i="10"/>
  <c r="AN53" i="10"/>
  <c r="AM56" i="10"/>
  <c r="AM47" i="10"/>
  <c r="AM55" i="10"/>
  <c r="AE52" i="4"/>
  <c r="AE51" i="4" s="1"/>
  <c r="AD53" i="4"/>
  <c r="AD48" i="4"/>
  <c r="AD45" i="4"/>
  <c r="AD35" i="4"/>
  <c r="AD34" i="4"/>
  <c r="AK128" i="4"/>
  <c r="AC45" i="4"/>
  <c r="AC48" i="4"/>
  <c r="AC35" i="4"/>
  <c r="AC34" i="4"/>
  <c r="K63" i="2"/>
  <c r="K71" i="2"/>
  <c r="AN90" i="33"/>
  <c r="AN124" i="4" s="1"/>
  <c r="O27" i="2" s="1"/>
  <c r="O41" i="2" s="1"/>
  <c r="AN43" i="34"/>
  <c r="AN44" i="34" s="1"/>
  <c r="AN38" i="34"/>
  <c r="AN6" i="14"/>
  <c r="AM127" i="4"/>
  <c r="AM21" i="4" l="1"/>
  <c r="AM119" i="4"/>
  <c r="AG32" i="4"/>
  <c r="AK158" i="37"/>
  <c r="AK11" i="37" s="1"/>
  <c r="AK16" i="33" s="1"/>
  <c r="AJ78" i="19"/>
  <c r="N23" i="2"/>
  <c r="N24" i="2" s="1"/>
  <c r="AN110" i="33"/>
  <c r="O42" i="2" s="1"/>
  <c r="AN16" i="34"/>
  <c r="AM32" i="33"/>
  <c r="AM39" i="33"/>
  <c r="AH62" i="33"/>
  <c r="AM49" i="19"/>
  <c r="AL48" i="19"/>
  <c r="AL7" i="6" s="1"/>
  <c r="AL13" i="23"/>
  <c r="M23" i="2"/>
  <c r="M24" i="2" s="1"/>
  <c r="AN10" i="23"/>
  <c r="AL126" i="33"/>
  <c r="AM127" i="33" s="1"/>
  <c r="AL19" i="4"/>
  <c r="L55" i="2"/>
  <c r="AK33" i="14"/>
  <c r="AL34" i="14"/>
  <c r="AL88" i="23"/>
  <c r="AL77" i="33" s="1"/>
  <c r="AM26" i="37"/>
  <c r="AM25" i="37" s="1"/>
  <c r="AM65" i="37"/>
  <c r="AN65" i="37"/>
  <c r="AN26" i="37"/>
  <c r="AN25" i="37" s="1"/>
  <c r="AG5" i="4"/>
  <c r="AH18" i="37"/>
  <c r="AH44" i="33" s="1"/>
  <c r="AH21" i="37"/>
  <c r="AL36" i="37"/>
  <c r="AN113" i="4"/>
  <c r="AB49" i="4"/>
  <c r="W92" i="4"/>
  <c r="W98" i="4" s="1"/>
  <c r="W99" i="4" s="1"/>
  <c r="AE66" i="33"/>
  <c r="AE57" i="33"/>
  <c r="AF58" i="33"/>
  <c r="AF42" i="4"/>
  <c r="AF32" i="4"/>
  <c r="AF55" i="4"/>
  <c r="Y17" i="19"/>
  <c r="Y21" i="19" s="1"/>
  <c r="X27" i="14"/>
  <c r="X30" i="14" s="1"/>
  <c r="X31" i="14" s="1"/>
  <c r="X25" i="10"/>
  <c r="X90" i="4"/>
  <c r="AN136" i="4"/>
  <c r="AN146" i="4"/>
  <c r="AM133" i="37"/>
  <c r="AL138" i="37"/>
  <c r="AL153" i="37" s="1"/>
  <c r="AN72" i="19"/>
  <c r="AN45" i="19"/>
  <c r="AN8" i="6" s="1"/>
  <c r="Z27" i="10"/>
  <c r="AA30" i="19"/>
  <c r="AA34" i="19" s="1"/>
  <c r="AN54" i="10"/>
  <c r="AN46" i="34"/>
  <c r="AN9" i="35"/>
  <c r="AN18" i="33" s="1"/>
  <c r="AM8" i="35"/>
  <c r="AM7" i="35" s="1"/>
  <c r="AM35" i="33" s="1"/>
  <c r="AL59" i="19"/>
  <c r="AM59" i="19"/>
  <c r="AK77" i="19"/>
  <c r="AJ76" i="19"/>
  <c r="AI74" i="19"/>
  <c r="AL80" i="19"/>
  <c r="AK79" i="19"/>
  <c r="AK78" i="19"/>
  <c r="AL90" i="19"/>
  <c r="AL83" i="19" s="1"/>
  <c r="AM88" i="19"/>
  <c r="AG26" i="10"/>
  <c r="Y26" i="14"/>
  <c r="Z24" i="19"/>
  <c r="Z27" i="19" s="1"/>
  <c r="O6" i="14"/>
  <c r="N7" i="14"/>
  <c r="N12" i="14" s="1"/>
  <c r="N9" i="14" s="1"/>
  <c r="N10" i="14" s="1"/>
  <c r="AK63" i="14"/>
  <c r="AN56" i="10"/>
  <c r="AN47" i="10"/>
  <c r="AN55" i="10"/>
  <c r="AD46" i="4"/>
  <c r="AC46" i="4"/>
  <c r="AC49" i="4" s="1"/>
  <c r="AE45" i="4"/>
  <c r="AE48" i="4"/>
  <c r="AE35" i="4"/>
  <c r="AE34" i="4"/>
  <c r="AE53" i="4"/>
  <c r="AF52" i="4"/>
  <c r="AL128" i="4"/>
  <c r="N28" i="2"/>
  <c r="AN127" i="4"/>
  <c r="AK9" i="37" l="1"/>
  <c r="AN106" i="33"/>
  <c r="AN21" i="4" s="1"/>
  <c r="AG66" i="33"/>
  <c r="AK157" i="37"/>
  <c r="AH4" i="19"/>
  <c r="AH5" i="19" s="1"/>
  <c r="AH13" i="19" s="1"/>
  <c r="M55" i="2"/>
  <c r="AN32" i="33"/>
  <c r="AN39" i="33"/>
  <c r="AN49" i="19"/>
  <c r="AN48" i="19" s="1"/>
  <c r="AN7" i="6" s="1"/>
  <c r="AM48" i="19"/>
  <c r="AM7" i="6" s="1"/>
  <c r="M79" i="2"/>
  <c r="AF51" i="4"/>
  <c r="AF48" i="4" s="1"/>
  <c r="AG52" i="4"/>
  <c r="M62" i="2"/>
  <c r="AM89" i="23"/>
  <c r="AM15" i="23" s="1"/>
  <c r="AM15" i="33" s="1"/>
  <c r="L61" i="2"/>
  <c r="W100" i="4"/>
  <c r="AM19" i="4"/>
  <c r="AM126" i="33"/>
  <c r="AN127" i="33" s="1"/>
  <c r="AM34" i="14"/>
  <c r="AL33" i="14"/>
  <c r="AH15" i="37"/>
  <c r="AH12" i="37" s="1"/>
  <c r="AH7" i="33" s="1"/>
  <c r="AM36" i="37"/>
  <c r="X92" i="4"/>
  <c r="X98" i="4" s="1"/>
  <c r="X99" i="4" s="1"/>
  <c r="X100" i="4" s="1"/>
  <c r="AF57" i="33"/>
  <c r="AF66" i="33"/>
  <c r="AE65" i="33"/>
  <c r="Z17" i="19"/>
  <c r="Z21" i="19" s="1"/>
  <c r="Y25" i="10"/>
  <c r="Y90" i="4"/>
  <c r="Y27" i="14"/>
  <c r="Y30" i="14" s="1"/>
  <c r="Y31" i="14" s="1"/>
  <c r="AN133" i="37"/>
  <c r="AN138" i="37" s="1"/>
  <c r="AN153" i="37" s="1"/>
  <c r="AM138" i="37"/>
  <c r="AM153" i="37" s="1"/>
  <c r="AB30" i="19"/>
  <c r="AB34" i="19" s="1"/>
  <c r="AA27" i="10"/>
  <c r="AE46" i="4"/>
  <c r="AE49" i="4" s="1"/>
  <c r="AD49" i="4"/>
  <c r="AN8" i="35"/>
  <c r="AN7" i="35" s="1"/>
  <c r="AN35" i="33" s="1"/>
  <c r="Z26" i="14"/>
  <c r="AA24" i="19"/>
  <c r="AA27" i="19" s="1"/>
  <c r="AL78" i="19"/>
  <c r="AL79" i="19"/>
  <c r="AM80" i="19"/>
  <c r="AN88" i="19"/>
  <c r="AM90" i="19"/>
  <c r="AM83" i="19" s="1"/>
  <c r="AJ74" i="19"/>
  <c r="AK76" i="19"/>
  <c r="AL77" i="19"/>
  <c r="P6" i="14"/>
  <c r="O7" i="14"/>
  <c r="O12" i="14" s="1"/>
  <c r="O9" i="14" s="1"/>
  <c r="O10" i="14" s="1"/>
  <c r="AL63" i="14"/>
  <c r="AN128" i="4"/>
  <c r="AM128" i="4"/>
  <c r="AF53" i="4"/>
  <c r="O28" i="2"/>
  <c r="AR48" i="4" l="1"/>
  <c r="AN103" i="4"/>
  <c r="AN119" i="4"/>
  <c r="O23" i="2" s="1"/>
  <c r="O24" i="2" s="1"/>
  <c r="AL158" i="37"/>
  <c r="AK78" i="33"/>
  <c r="AG65" i="33"/>
  <c r="AF45" i="4"/>
  <c r="AH52" i="4"/>
  <c r="AH53" i="4" s="1"/>
  <c r="M61" i="2"/>
  <c r="M71" i="2" s="1"/>
  <c r="AF34" i="4"/>
  <c r="AF35" i="4"/>
  <c r="AG51" i="4"/>
  <c r="AG53" i="4"/>
  <c r="AM13" i="23"/>
  <c r="N55" i="2" s="1"/>
  <c r="AM88" i="23"/>
  <c r="AN89" i="23" s="1"/>
  <c r="AN15" i="23" s="1"/>
  <c r="L71" i="2"/>
  <c r="L63" i="2"/>
  <c r="AN126" i="33"/>
  <c r="AN19" i="4"/>
  <c r="AN34" i="14"/>
  <c r="AN33" i="14" s="1"/>
  <c r="AM33" i="14"/>
  <c r="AN36" i="37"/>
  <c r="Y92" i="4"/>
  <c r="Y98" i="4" s="1"/>
  <c r="Y99" i="4" s="1"/>
  <c r="AF65" i="33"/>
  <c r="AA17" i="19"/>
  <c r="AA21" i="19" s="1"/>
  <c r="Z90" i="4"/>
  <c r="Z25" i="10"/>
  <c r="Z27" i="14"/>
  <c r="Z30" i="14" s="1"/>
  <c r="Z31" i="14" s="1"/>
  <c r="AC30" i="19"/>
  <c r="AC34" i="19" s="1"/>
  <c r="AB27" i="10"/>
  <c r="AL76" i="19"/>
  <c r="AM77" i="19"/>
  <c r="AB24" i="19"/>
  <c r="AB27" i="19" s="1"/>
  <c r="AA26" i="14"/>
  <c r="AN80" i="19"/>
  <c r="AM79" i="19"/>
  <c r="AM78" i="19"/>
  <c r="AK74" i="19"/>
  <c r="AN90" i="19"/>
  <c r="AN83" i="19" s="1"/>
  <c r="AG61" i="4"/>
  <c r="AG81" i="4"/>
  <c r="AG84" i="4" s="1"/>
  <c r="P7" i="14"/>
  <c r="P12" i="14" s="1"/>
  <c r="P9" i="14" s="1"/>
  <c r="P10" i="14" s="1"/>
  <c r="Q6" i="14"/>
  <c r="AM63" i="14"/>
  <c r="AF46" i="4" l="1"/>
  <c r="AF49" i="4" s="1"/>
  <c r="AH51" i="4"/>
  <c r="AH48" i="4" s="1"/>
  <c r="AT48" i="4" s="1"/>
  <c r="AU49" i="4" s="1"/>
  <c r="AV49" i="4" s="1"/>
  <c r="AW49" i="4" s="1"/>
  <c r="AX49" i="4" s="1"/>
  <c r="AL11" i="37"/>
  <c r="AL157" i="37"/>
  <c r="M63" i="2"/>
  <c r="AN13" i="23"/>
  <c r="O55" i="2" s="1"/>
  <c r="AN15" i="33"/>
  <c r="N62" i="2"/>
  <c r="AM77" i="33"/>
  <c r="N79" i="2"/>
  <c r="S57" i="2" s="1"/>
  <c r="AG45" i="4"/>
  <c r="AG48" i="4"/>
  <c r="AS48" i="4" s="1"/>
  <c r="AG35" i="4"/>
  <c r="AG34" i="4"/>
  <c r="AN88" i="23"/>
  <c r="Y100" i="4"/>
  <c r="AG72" i="4"/>
  <c r="Z92" i="4"/>
  <c r="Z98" i="4" s="1"/>
  <c r="Z99" i="4" s="1"/>
  <c r="Z100" i="4" s="1"/>
  <c r="AA25" i="10"/>
  <c r="AB17" i="19"/>
  <c r="AB21" i="19" s="1"/>
  <c r="AA27" i="14"/>
  <c r="AA30" i="14" s="1"/>
  <c r="AA31" i="14" s="1"/>
  <c r="AD30" i="19"/>
  <c r="AD34" i="19" s="1"/>
  <c r="AC27" i="10"/>
  <c r="N61" i="2"/>
  <c r="AN77" i="19"/>
  <c r="AN76" i="19" s="1"/>
  <c r="AM76" i="19"/>
  <c r="AN79" i="19"/>
  <c r="AN78" i="19"/>
  <c r="AL74" i="19"/>
  <c r="AB26" i="14"/>
  <c r="AC24" i="19"/>
  <c r="AC27" i="19" s="1"/>
  <c r="AN63" i="14"/>
  <c r="Q7" i="14"/>
  <c r="Q12" i="14" s="1"/>
  <c r="Q9" i="14" s="1"/>
  <c r="R6" i="14"/>
  <c r="R7" i="14" s="1"/>
  <c r="R12" i="14" s="1"/>
  <c r="R9" i="14" s="1"/>
  <c r="AI52" i="4"/>
  <c r="AJ52" i="4" s="1"/>
  <c r="AH45" i="4" l="1"/>
  <c r="O61" i="2"/>
  <c r="O71" i="2" s="1"/>
  <c r="AL16" i="33"/>
  <c r="AL9" i="37"/>
  <c r="AM158" i="37"/>
  <c r="AL78" i="33"/>
  <c r="AG46" i="4"/>
  <c r="AG49" i="4" s="1"/>
  <c r="AN77" i="33"/>
  <c r="O79" i="2"/>
  <c r="S58" i="2" s="1"/>
  <c r="S59" i="2" s="1"/>
  <c r="O62" i="2"/>
  <c r="AA100" i="4"/>
  <c r="AB27" i="14"/>
  <c r="AB30" i="14" s="1"/>
  <c r="AB31" i="14" s="1"/>
  <c r="AB25" i="10"/>
  <c r="AC17" i="19"/>
  <c r="AC21" i="19" s="1"/>
  <c r="AD27" i="10"/>
  <c r="AE30" i="19"/>
  <c r="AE34" i="19" s="1"/>
  <c r="N71" i="2"/>
  <c r="N63" i="2"/>
  <c r="AM74" i="19"/>
  <c r="AN74" i="19"/>
  <c r="H34" i="2"/>
  <c r="AC26" i="14"/>
  <c r="AD24" i="19"/>
  <c r="AD27" i="19" s="1"/>
  <c r="R10" i="14"/>
  <c r="Q10" i="14"/>
  <c r="AJ51" i="4"/>
  <c r="AI53" i="4"/>
  <c r="AI51" i="4"/>
  <c r="AM11" i="37" l="1"/>
  <c r="AM157" i="37"/>
  <c r="S63" i="2"/>
  <c r="S65" i="2" s="1"/>
  <c r="S67" i="2" s="1"/>
  <c r="O63" i="2"/>
  <c r="AC25" i="10"/>
  <c r="AC27" i="14"/>
  <c r="AC30" i="14" s="1"/>
  <c r="AC31" i="14" s="1"/>
  <c r="AD17" i="19"/>
  <c r="AD21" i="19" s="1"/>
  <c r="AE27" i="10"/>
  <c r="AF30" i="19"/>
  <c r="AF34" i="19" s="1"/>
  <c r="AG30" i="19" s="1"/>
  <c r="AG34" i="19" s="1"/>
  <c r="AD26" i="14"/>
  <c r="AE24" i="19"/>
  <c r="AE27" i="19" s="1"/>
  <c r="AJ53" i="4"/>
  <c r="AK52" i="4"/>
  <c r="AM78" i="33" l="1"/>
  <c r="AN158" i="37"/>
  <c r="AM16" i="33"/>
  <c r="AM9" i="37"/>
  <c r="S69" i="2"/>
  <c r="AD25" i="10"/>
  <c r="AE17" i="19"/>
  <c r="AE21" i="19" s="1"/>
  <c r="AD27" i="14"/>
  <c r="AD30" i="14" s="1"/>
  <c r="AD31" i="14" s="1"/>
  <c r="AF27" i="10"/>
  <c r="AG27" i="10"/>
  <c r="AE26" i="14"/>
  <c r="AF24" i="19"/>
  <c r="AF27" i="19" s="1"/>
  <c r="AG24" i="19" s="1"/>
  <c r="AG27" i="19" s="1"/>
  <c r="AG26" i="14" s="1"/>
  <c r="AL52" i="4"/>
  <c r="AL51" i="4" s="1"/>
  <c r="AK53" i="4"/>
  <c r="AK51" i="4"/>
  <c r="AN11" i="37" l="1"/>
  <c r="AN157" i="37"/>
  <c r="AN78" i="33" s="1"/>
  <c r="AH30" i="19"/>
  <c r="AH34" i="19" s="1"/>
  <c r="AH27" i="10" s="1"/>
  <c r="AE25" i="10"/>
  <c r="AE27" i="14"/>
  <c r="AE30" i="14" s="1"/>
  <c r="AE31" i="14" s="1"/>
  <c r="AF17" i="19"/>
  <c r="AF21" i="19" s="1"/>
  <c r="AG17" i="19" s="1"/>
  <c r="AF26" i="14"/>
  <c r="AH24" i="19"/>
  <c r="AH27" i="19" s="1"/>
  <c r="AH26" i="14" s="1"/>
  <c r="AM52" i="4"/>
  <c r="AM51" i="4" s="1"/>
  <c r="AL53" i="4"/>
  <c r="AN16" i="33" l="1"/>
  <c r="AN9" i="37"/>
  <c r="AF25" i="10"/>
  <c r="AF27" i="14"/>
  <c r="AF30" i="14" s="1"/>
  <c r="AF31" i="14" s="1"/>
  <c r="AI30" i="19"/>
  <c r="AI34" i="19" s="1"/>
  <c r="AM53" i="4"/>
  <c r="AN52" i="4"/>
  <c r="AN53" i="4" s="1"/>
  <c r="AN51" i="4" l="1"/>
  <c r="AJ30" i="19"/>
  <c r="AJ34" i="19" s="1"/>
  <c r="AI27" i="10"/>
  <c r="AI24" i="19"/>
  <c r="AI27" i="19" s="1"/>
  <c r="AJ27" i="10" l="1"/>
  <c r="AK30" i="19"/>
  <c r="AK34" i="19" s="1"/>
  <c r="AI26" i="14"/>
  <c r="AJ24" i="19"/>
  <c r="AJ27" i="19" s="1"/>
  <c r="H99" i="2" l="1"/>
  <c r="AL30" i="19"/>
  <c r="AL34" i="19" s="1"/>
  <c r="AK27" i="10"/>
  <c r="AJ26" i="14"/>
  <c r="AK24" i="19"/>
  <c r="AK27" i="19" s="1"/>
  <c r="AA155" i="4" l="1"/>
  <c r="V155" i="4"/>
  <c r="Z155" i="4"/>
  <c r="Y155" i="4"/>
  <c r="X155" i="4"/>
  <c r="U155" i="4"/>
  <c r="W155" i="4"/>
  <c r="AG92" i="4"/>
  <c r="AM30" i="19"/>
  <c r="AM34" i="19" s="1"/>
  <c r="AL27" i="10"/>
  <c r="AK26" i="14"/>
  <c r="AL24" i="19"/>
  <c r="AL27" i="19" s="1"/>
  <c r="AN30" i="19" l="1"/>
  <c r="AN34" i="19" s="1"/>
  <c r="AN27" i="10" s="1"/>
  <c r="AM27" i="10"/>
  <c r="AM24" i="19"/>
  <c r="AM27" i="19" s="1"/>
  <c r="AL26" i="14"/>
  <c r="AN24" i="19" l="1"/>
  <c r="AN27" i="19" s="1"/>
  <c r="AN26" i="14" s="1"/>
  <c r="AM26" i="14"/>
  <c r="AG96" i="4" l="1"/>
  <c r="AG144" i="4" l="1"/>
  <c r="AG148" i="4"/>
  <c r="AG149" i="4"/>
  <c r="Y156" i="4" l="1"/>
  <c r="H93" i="2"/>
  <c r="X159" i="4" l="1"/>
  <c r="X174" i="4"/>
  <c r="X175" i="4" s="1"/>
  <c r="X156" i="4"/>
  <c r="Z159" i="4"/>
  <c r="Z174" i="4"/>
  <c r="Z175" i="4" s="1"/>
  <c r="Z156" i="4"/>
  <c r="W174" i="4"/>
  <c r="W175" i="4" s="1"/>
  <c r="W159" i="4"/>
  <c r="W157" i="4"/>
  <c r="V174" i="4"/>
  <c r="V175" i="4" s="1"/>
  <c r="V159" i="4"/>
  <c r="V157" i="4"/>
  <c r="Y159" i="4"/>
  <c r="Y174" i="4"/>
  <c r="Y175" i="4" s="1"/>
  <c r="H82" i="2"/>
  <c r="G26" i="2" l="1"/>
  <c r="G29" i="2" s="1"/>
  <c r="G30" i="2" s="1"/>
  <c r="AF117" i="33"/>
  <c r="AF120" i="33" s="1"/>
  <c r="AF129" i="4"/>
  <c r="AF140" i="4" s="1"/>
  <c r="G40" i="2" l="1"/>
  <c r="G43" i="2" s="1"/>
  <c r="AG55" i="4" l="1"/>
  <c r="AH79" i="33"/>
  <c r="AG98" i="4"/>
  <c r="H27" i="2"/>
  <c r="AI8" i="34" l="1"/>
  <c r="AI17" i="33" s="1"/>
  <c r="AH8" i="33"/>
  <c r="H41" i="2"/>
  <c r="AJ8" i="34" l="1"/>
  <c r="AJ17" i="33" s="1"/>
  <c r="AI7" i="34"/>
  <c r="AI79" i="33"/>
  <c r="AJ79" i="33"/>
  <c r="AG64" i="4"/>
  <c r="AG75" i="4" s="1"/>
  <c r="AJ7" i="34" l="1"/>
  <c r="AI45" i="33"/>
  <c r="AI8" i="33"/>
  <c r="AK8" i="34"/>
  <c r="AK17" i="33" s="1"/>
  <c r="H69" i="2"/>
  <c r="AG99" i="4"/>
  <c r="AJ8" i="33"/>
  <c r="AJ45" i="33" l="1"/>
  <c r="AK7" i="34"/>
  <c r="AG100" i="4"/>
  <c r="AG1" i="4"/>
  <c r="H72" i="2"/>
  <c r="H75" i="2"/>
  <c r="AK45" i="33" l="1"/>
  <c r="AJ54" i="33"/>
  <c r="AJ25" i="34"/>
  <c r="AK8" i="33"/>
  <c r="AK79" i="33"/>
  <c r="AL45" i="33" l="1"/>
  <c r="AL8" i="34"/>
  <c r="AM45" i="33" l="1"/>
  <c r="AM8" i="34"/>
  <c r="AL79" i="33"/>
  <c r="AL17" i="33"/>
  <c r="AL7" i="34"/>
  <c r="AN45" i="33" l="1"/>
  <c r="AM79" i="33"/>
  <c r="AM8" i="33"/>
  <c r="AM17" i="33"/>
  <c r="AM7" i="34"/>
  <c r="AL8" i="33" l="1"/>
  <c r="AN8" i="34"/>
  <c r="AN79" i="33"/>
  <c r="I35" i="2"/>
  <c r="AN17" i="33" l="1"/>
  <c r="AN7" i="34"/>
  <c r="AI49" i="14"/>
  <c r="AI10" i="6" s="1"/>
  <c r="AI14" i="33" s="1"/>
  <c r="I70" i="2"/>
  <c r="I78" i="2" s="1"/>
  <c r="I129" i="2"/>
  <c r="I130" i="2" s="1"/>
  <c r="I103" i="2"/>
  <c r="I27" i="2"/>
  <c r="I41" i="2" s="1"/>
  <c r="AN8" i="33" l="1"/>
  <c r="AH133" i="4" l="1"/>
  <c r="AJ57" i="14" l="1"/>
  <c r="AJ84" i="33"/>
  <c r="K35" i="2" s="1"/>
  <c r="AL57" i="14"/>
  <c r="AK57" i="14"/>
  <c r="AK84" i="33"/>
  <c r="L35" i="2" s="1"/>
  <c r="AK90" i="33" l="1"/>
  <c r="AK124" i="4" s="1"/>
  <c r="L27" i="2" s="1"/>
  <c r="L41" i="2" s="1"/>
  <c r="AL84" i="33"/>
  <c r="AK54" i="14"/>
  <c r="AK56" i="14" s="1"/>
  <c r="AL53" i="14"/>
  <c r="AL54" i="14"/>
  <c r="AL56" i="14" s="1"/>
  <c r="AJ54" i="14"/>
  <c r="AJ56" i="14" s="1"/>
  <c r="AK53" i="14"/>
  <c r="AJ53" i="14"/>
  <c r="AJ90" i="33"/>
  <c r="AJ124" i="4" s="1"/>
  <c r="M35" i="2" l="1"/>
  <c r="AL90" i="33"/>
  <c r="AL124" i="4" s="1"/>
  <c r="K27" i="2"/>
  <c r="K41" i="2" s="1"/>
  <c r="AI84" i="33"/>
  <c r="AI90" i="33" s="1"/>
  <c r="AI57" i="14"/>
  <c r="AI54" i="14" s="1"/>
  <c r="M27" i="2" l="1"/>
  <c r="M41" i="2" s="1"/>
  <c r="AI56" i="14"/>
  <c r="AI53" i="14"/>
  <c r="AI18" i="14" s="1"/>
  <c r="AI47" i="14" s="1"/>
  <c r="J35" i="2"/>
  <c r="AI124" i="4"/>
  <c r="AI70" i="33"/>
  <c r="AI3" i="14" l="1"/>
  <c r="AI4" i="14" s="1"/>
  <c r="J70" i="2"/>
  <c r="J78" i="2" s="1"/>
  <c r="AJ49" i="14"/>
  <c r="AJ10" i="6" s="1"/>
  <c r="AJ14" i="33" s="1"/>
  <c r="AI20" i="14"/>
  <c r="AI46" i="14"/>
  <c r="AI76" i="33" s="1"/>
  <c r="K103" i="2"/>
  <c r="J103" i="2"/>
  <c r="J129" i="2"/>
  <c r="J130" i="2" s="1"/>
  <c r="AI5" i="14"/>
  <c r="AI7" i="14"/>
  <c r="AI14" i="14" s="1"/>
  <c r="AI25" i="6" s="1"/>
  <c r="AJ70" i="33"/>
  <c r="J27" i="2"/>
  <c r="J41" i="2" s="1"/>
  <c r="AJ18" i="14" l="1"/>
  <c r="AI48" i="14"/>
  <c r="L103" i="2"/>
  <c r="AM54" i="14"/>
  <c r="AN54" i="14" s="1"/>
  <c r="AJ46" i="14"/>
  <c r="K70" i="2"/>
  <c r="K78" i="2" s="1"/>
  <c r="AJ20" i="14"/>
  <c r="AJ3" i="14"/>
  <c r="AJ4" i="14" s="1"/>
  <c r="AK49" i="14"/>
  <c r="AK10" i="6" s="1"/>
  <c r="AK14" i="33" s="1"/>
  <c r="AJ47" i="14"/>
  <c r="AK70" i="33"/>
  <c r="AI15" i="14"/>
  <c r="AM56" i="14" l="1"/>
  <c r="M103" i="2"/>
  <c r="AK18" i="14"/>
  <c r="L70" i="2" s="1"/>
  <c r="L78" i="2" s="1"/>
  <c r="AL70" i="33"/>
  <c r="AJ48" i="14"/>
  <c r="AJ76" i="33"/>
  <c r="AJ5" i="14"/>
  <c r="AJ7" i="14"/>
  <c r="AJ14" i="14" s="1"/>
  <c r="AJ25" i="6" s="1"/>
  <c r="K129" i="2"/>
  <c r="K130" i="2" s="1"/>
  <c r="AK3" i="14" l="1"/>
  <c r="AK4" i="14" s="1"/>
  <c r="AL49" i="14"/>
  <c r="AL10" i="6" s="1"/>
  <c r="AL14" i="33" s="1"/>
  <c r="AK20" i="14"/>
  <c r="AK46" i="14"/>
  <c r="AK48" i="14" s="1"/>
  <c r="AK47" i="14"/>
  <c r="L129" i="2" s="1"/>
  <c r="L130" i="2" s="1"/>
  <c r="AN56" i="14"/>
  <c r="O103" i="2" s="1"/>
  <c r="N103" i="2"/>
  <c r="AM70" i="33"/>
  <c r="AJ15" i="14"/>
  <c r="AK5" i="14"/>
  <c r="AK7" i="14"/>
  <c r="AK14" i="14" s="1"/>
  <c r="AK25" i="6" s="1"/>
  <c r="AL18" i="14" l="1"/>
  <c r="AL47" i="14"/>
  <c r="AL20" i="14"/>
  <c r="AK76" i="33"/>
  <c r="M70" i="2"/>
  <c r="M78" i="2" s="1"/>
  <c r="AL3" i="14"/>
  <c r="AL4" i="14" s="1"/>
  <c r="AL5" i="14" s="1"/>
  <c r="AL46" i="14"/>
  <c r="AL76" i="33" s="1"/>
  <c r="AM49" i="14"/>
  <c r="AM10" i="6" s="1"/>
  <c r="AM14" i="33" s="1"/>
  <c r="AK15" i="14"/>
  <c r="M129" i="2"/>
  <c r="M130" i="2" s="1"/>
  <c r="AN70" i="33"/>
  <c r="AL48" i="14" l="1"/>
  <c r="AL7" i="14"/>
  <c r="AL14" i="14" s="1"/>
  <c r="AM18" i="14"/>
  <c r="AM47" i="14" s="1"/>
  <c r="N129" i="2" s="1"/>
  <c r="N130" i="2" s="1"/>
  <c r="AL15" i="14" l="1"/>
  <c r="AL25" i="6"/>
  <c r="AM20" i="14"/>
  <c r="N70" i="2"/>
  <c r="N78" i="2" s="1"/>
  <c r="T57" i="2" s="1"/>
  <c r="AM46" i="14"/>
  <c r="AM48" i="14" s="1"/>
  <c r="AN49" i="14"/>
  <c r="AN10" i="6" s="1"/>
  <c r="AN14" i="33" s="1"/>
  <c r="AM3" i="14"/>
  <c r="AM4" i="14" s="1"/>
  <c r="AM5" i="14" s="1"/>
  <c r="AN18" i="14"/>
  <c r="O70" i="2" s="1"/>
  <c r="O78" i="2" s="1"/>
  <c r="T58" i="2" l="1"/>
  <c r="T59" i="2" s="1"/>
  <c r="AM76" i="33"/>
  <c r="AM7" i="14"/>
  <c r="AM14" i="14" s="1"/>
  <c r="AM25" i="6" s="1"/>
  <c r="AN47" i="14"/>
  <c r="O129" i="2" s="1"/>
  <c r="O130" i="2" s="1"/>
  <c r="AN20" i="14"/>
  <c r="AN3" i="14"/>
  <c r="AN4" i="14" s="1"/>
  <c r="AN7" i="14" s="1"/>
  <c r="AN14" i="14" s="1"/>
  <c r="AN25" i="6" s="1"/>
  <c r="AN46" i="14"/>
  <c r="AN48" i="14" s="1"/>
  <c r="T63" i="2"/>
  <c r="T65" i="2" s="1"/>
  <c r="AM15" i="14"/>
  <c r="AN5" i="14" l="1"/>
  <c r="AN76" i="33"/>
  <c r="AN15" i="14"/>
  <c r="T67" i="2"/>
  <c r="T69" i="2" l="1"/>
  <c r="AE102" i="19" l="1"/>
  <c r="AE101" i="19"/>
  <c r="AE96" i="19"/>
  <c r="AD101" i="19"/>
  <c r="AD102" i="19"/>
  <c r="AF100" i="19"/>
  <c r="AE97" i="19"/>
  <c r="AE98" i="19"/>
  <c r="AD100" i="19"/>
  <c r="AD96" i="19"/>
  <c r="AF97" i="19"/>
  <c r="AF102" i="19"/>
  <c r="AF101" i="19"/>
  <c r="AE100" i="19"/>
  <c r="AD97" i="19"/>
  <c r="AD98" i="19"/>
  <c r="AF98" i="19"/>
  <c r="AF96" i="19"/>
  <c r="AI96" i="19" l="1"/>
  <c r="AJ96" i="19" s="1"/>
  <c r="AK96" i="19" s="1"/>
  <c r="AL96" i="19" s="1"/>
  <c r="AM96" i="19" s="1"/>
  <c r="AN96" i="19" s="1"/>
  <c r="AI101" i="19"/>
  <c r="AJ101" i="19" s="1"/>
  <c r="AK101" i="19" s="1"/>
  <c r="AL101" i="19" s="1"/>
  <c r="AM101" i="19" s="1"/>
  <c r="AN101" i="19" s="1"/>
  <c r="AI98" i="19"/>
  <c r="AJ98" i="19" s="1"/>
  <c r="AK98" i="19" s="1"/>
  <c r="AL98" i="19" s="1"/>
  <c r="AM98" i="19" s="1"/>
  <c r="AN98" i="19" s="1"/>
  <c r="AI97" i="19"/>
  <c r="AJ97" i="19" s="1"/>
  <c r="AK97" i="19" s="1"/>
  <c r="AL97" i="19" s="1"/>
  <c r="AM97" i="19" s="1"/>
  <c r="AN97" i="19" s="1"/>
  <c r="AI100" i="19"/>
  <c r="AJ100" i="19" s="1"/>
  <c r="AK100" i="19" s="1"/>
  <c r="AL100" i="19" s="1"/>
  <c r="AM100" i="19" s="1"/>
  <c r="AN100" i="19" s="1"/>
  <c r="AI102" i="19"/>
  <c r="AJ102" i="19" s="1"/>
  <c r="AK102" i="19" s="1"/>
  <c r="AL102" i="19" s="1"/>
  <c r="AM102" i="19" s="1"/>
  <c r="AN102" i="19" s="1"/>
  <c r="AG12" i="19" l="1"/>
  <c r="AG14" i="19" s="1"/>
  <c r="AH12" i="6" l="1"/>
  <c r="AH4" i="10" l="1"/>
  <c r="AH5" i="10" s="1"/>
  <c r="AH8" i="19" l="1"/>
  <c r="AH61" i="4" s="1"/>
  <c r="AH72" i="4" s="1"/>
  <c r="AI4" i="19"/>
  <c r="AH26" i="10"/>
  <c r="AH9" i="19" l="1"/>
  <c r="AH81" i="4" s="1"/>
  <c r="AG73" i="33" l="1"/>
  <c r="AG36" i="33" l="1"/>
  <c r="AH116" i="33"/>
  <c r="I25" i="2" l="1"/>
  <c r="H77" i="2" l="1"/>
  <c r="H80" i="2" l="1"/>
  <c r="H88" i="2"/>
  <c r="H101" i="2"/>
  <c r="H102" i="2" s="1"/>
  <c r="H104" i="2" s="1"/>
  <c r="H106" i="2" s="1"/>
  <c r="H128" i="2" l="1"/>
  <c r="H33" i="2"/>
  <c r="AG4" i="33"/>
  <c r="AG4" i="4" s="1"/>
  <c r="AG18" i="19"/>
  <c r="AG21" i="19" s="1"/>
  <c r="AG8" i="10"/>
  <c r="AG7" i="10" s="1"/>
  <c r="AH7" i="10" s="1"/>
  <c r="AG25" i="10" l="1"/>
  <c r="AH17" i="19"/>
  <c r="AG10" i="33"/>
  <c r="AH8" i="10"/>
  <c r="AI7" i="10"/>
  <c r="AG27" i="14"/>
  <c r="AG30" i="14" s="1"/>
  <c r="AG31" i="14" s="1"/>
  <c r="H36" i="2"/>
  <c r="H37" i="2" s="1"/>
  <c r="H38" i="2" s="1"/>
  <c r="AG9" i="10"/>
  <c r="H83" i="2"/>
  <c r="AG6" i="4" l="1"/>
  <c r="H85" i="2"/>
  <c r="H91" i="2" s="1"/>
  <c r="H89" i="2"/>
  <c r="AJ7" i="10"/>
  <c r="H22" i="2"/>
  <c r="AH9" i="10"/>
  <c r="AH4" i="33"/>
  <c r="AK7" i="10" l="1"/>
  <c r="H86" i="2"/>
  <c r="AH13" i="6"/>
  <c r="AH15" i="6" s="1"/>
  <c r="I33" i="2"/>
  <c r="AI15" i="6" l="1"/>
  <c r="I83" i="2"/>
  <c r="I89" i="2" s="1"/>
  <c r="AL7" i="10"/>
  <c r="AJ15" i="6" l="1"/>
  <c r="AM7" i="10"/>
  <c r="AH42" i="33"/>
  <c r="I34" i="2"/>
  <c r="AH16" i="6"/>
  <c r="AH21" i="6" s="1"/>
  <c r="AH23" i="6" s="1"/>
  <c r="AH18" i="19" s="1"/>
  <c r="AH21" i="19" s="1"/>
  <c r="AK15" i="6" l="1"/>
  <c r="AN7" i="10"/>
  <c r="AL15" i="6" l="1"/>
  <c r="H26" i="2"/>
  <c r="H29" i="2" s="1"/>
  <c r="H40" i="2" s="1"/>
  <c r="H43" i="2" s="1"/>
  <c r="AM15" i="6" l="1"/>
  <c r="H30" i="2"/>
  <c r="AN15" i="6" l="1"/>
  <c r="AG117" i="33"/>
  <c r="AG120" i="33" s="1"/>
  <c r="AI117" i="33" l="1"/>
  <c r="I26" i="2" l="1"/>
  <c r="AH129" i="4"/>
  <c r="AJ117" i="33"/>
  <c r="AI125" i="4"/>
  <c r="J26" i="2" l="1"/>
  <c r="AK117" i="33"/>
  <c r="AJ125" i="4"/>
  <c r="K26" i="2" l="1"/>
  <c r="AL117" i="33"/>
  <c r="AK125" i="4"/>
  <c r="AM117" i="33" l="1"/>
  <c r="AL125" i="4"/>
  <c r="L26" i="2"/>
  <c r="M26" i="2" l="1"/>
  <c r="AN117" i="33"/>
  <c r="AN125" i="4" s="1"/>
  <c r="AM125" i="4"/>
  <c r="O26" i="2" l="1"/>
  <c r="N26" i="2"/>
  <c r="AH43" i="33" l="1"/>
  <c r="AH47" i="33" s="1"/>
  <c r="AI47" i="33" s="1"/>
  <c r="AJ47" i="33" s="1"/>
  <c r="AK47" i="33" s="1"/>
  <c r="AL47" i="33" s="1"/>
  <c r="AM47" i="33" s="1"/>
  <c r="AN47" i="33" s="1"/>
  <c r="AH6" i="33"/>
  <c r="AH5" i="4" l="1"/>
  <c r="AH23" i="23" l="1"/>
  <c r="AH8" i="23"/>
  <c r="AI8" i="23" s="1"/>
  <c r="AH12" i="23"/>
  <c r="AH29" i="23" l="1"/>
  <c r="AH28" i="23"/>
  <c r="AI28" i="23" s="1"/>
  <c r="I54" i="2"/>
  <c r="I56" i="2" s="1"/>
  <c r="I58" i="2" s="1"/>
  <c r="I59" i="2" s="1"/>
  <c r="AJ8" i="23"/>
  <c r="AH32" i="23"/>
  <c r="AH52" i="33" l="1"/>
  <c r="AH94" i="23"/>
  <c r="I66" i="2" s="1"/>
  <c r="I90" i="2" s="1"/>
  <c r="I84" i="2"/>
  <c r="AH61" i="33"/>
  <c r="AK8" i="23"/>
  <c r="AL8" i="23" l="1"/>
  <c r="AM8" i="23" l="1"/>
  <c r="AN8" i="23" l="1"/>
  <c r="AH37" i="23" l="1"/>
  <c r="AH53" i="23" s="1"/>
  <c r="AH54" i="23" s="1"/>
  <c r="AI54" i="23" s="1"/>
  <c r="AI38" i="23"/>
  <c r="AJ54" i="23" l="1"/>
  <c r="AI53" i="23"/>
  <c r="AI37" i="23"/>
  <c r="AK39" i="23"/>
  <c r="AL39" i="23" s="1"/>
  <c r="AM39" i="23" s="1"/>
  <c r="AN39" i="23" s="1"/>
  <c r="AJ53" i="23" l="1"/>
  <c r="AK54" i="23"/>
  <c r="AI52" i="23"/>
  <c r="AI17" i="23" s="1"/>
  <c r="AJ38" i="23"/>
  <c r="AK38" i="23"/>
  <c r="AJ37" i="23"/>
  <c r="AL54" i="23" l="1"/>
  <c r="AK53" i="23"/>
  <c r="AJ52" i="23"/>
  <c r="AJ17" i="23" s="1"/>
  <c r="AK37" i="23"/>
  <c r="AL38" i="23"/>
  <c r="AM54" i="23" l="1"/>
  <c r="AL53" i="23"/>
  <c r="AK52" i="23"/>
  <c r="AK17" i="23" s="1"/>
  <c r="AM38" i="23"/>
  <c r="AL37" i="23"/>
  <c r="AN54" i="23" l="1"/>
  <c r="AN53" i="23" s="1"/>
  <c r="AM53" i="23"/>
  <c r="AL52" i="23"/>
  <c r="AL17" i="23" s="1"/>
  <c r="AN38" i="23"/>
  <c r="AN37" i="23" s="1"/>
  <c r="AM37" i="23"/>
  <c r="AM52" i="23" l="1"/>
  <c r="AM17" i="23" s="1"/>
  <c r="AN52" i="23"/>
  <c r="AN17" i="23" s="1"/>
  <c r="AI25" i="34" l="1"/>
  <c r="AI54" i="33" l="1"/>
  <c r="AJ63" i="33" l="1"/>
  <c r="AI63" i="33"/>
  <c r="AH8" i="35" l="1"/>
  <c r="AH35" i="33"/>
  <c r="AH36" i="33" s="1"/>
  <c r="AI36" i="33" s="1"/>
  <c r="AJ36" i="33" s="1"/>
  <c r="AK36" i="33" s="1"/>
  <c r="AL36" i="33" s="1"/>
  <c r="AM36" i="33" s="1"/>
  <c r="AN36" i="33" s="1"/>
  <c r="AH118" i="33" l="1"/>
  <c r="AH120" i="33" s="1"/>
  <c r="AI119" i="33" l="1"/>
  <c r="AI126" i="4" l="1"/>
  <c r="AI116" i="33"/>
  <c r="J25" i="2" l="1"/>
  <c r="AI129" i="4"/>
  <c r="AI33" i="37" l="1"/>
  <c r="AI32" i="37" s="1"/>
  <c r="AJ33" i="37" l="1"/>
  <c r="AJ32" i="37" s="1"/>
  <c r="AI6" i="37"/>
  <c r="AI33" i="33" s="1"/>
  <c r="AI37" i="33" s="1"/>
  <c r="AI40" i="37"/>
  <c r="AI42" i="37" s="1"/>
  <c r="AI38" i="33" l="1"/>
  <c r="AI104" i="4"/>
  <c r="AJ6" i="37"/>
  <c r="AJ33" i="33" s="1"/>
  <c r="AJ37" i="33" s="1"/>
  <c r="AJ40" i="37"/>
  <c r="AK33" i="37"/>
  <c r="AK32" i="37" s="1"/>
  <c r="AK6" i="37" l="1"/>
  <c r="AK33" i="33" s="1"/>
  <c r="AK37" i="33" s="1"/>
  <c r="AK40" i="37"/>
  <c r="AJ104" i="4"/>
  <c r="AJ38" i="33"/>
  <c r="AJ118" i="33" s="1"/>
  <c r="AL33" i="37"/>
  <c r="AL32" i="37" s="1"/>
  <c r="AI18" i="4"/>
  <c r="AI118" i="33"/>
  <c r="AJ42" i="37"/>
  <c r="AI43" i="37"/>
  <c r="AI20" i="37"/>
  <c r="AN33" i="37" l="1"/>
  <c r="AN32" i="37" s="1"/>
  <c r="AM33" i="37"/>
  <c r="AM32" i="37" s="1"/>
  <c r="AL6" i="37"/>
  <c r="AL33" i="33" s="1"/>
  <c r="AL37" i="33" s="1"/>
  <c r="AL40" i="37"/>
  <c r="AK42" i="37"/>
  <c r="AJ20" i="37"/>
  <c r="AJ43" i="37"/>
  <c r="AK104" i="4"/>
  <c r="AK38" i="33"/>
  <c r="AI18" i="37"/>
  <c r="AI53" i="33"/>
  <c r="AI21" i="37"/>
  <c r="AJ119" i="33"/>
  <c r="AI121" i="33"/>
  <c r="AJ18" i="4"/>
  <c r="AI62" i="33" l="1"/>
  <c r="AK20" i="37"/>
  <c r="AK43" i="37"/>
  <c r="AI16" i="37"/>
  <c r="AM6" i="37"/>
  <c r="AM33" i="33" s="1"/>
  <c r="AM37" i="33" s="1"/>
  <c r="AM40" i="37"/>
  <c r="AM42" i="37" s="1"/>
  <c r="AK119" i="33"/>
  <c r="AJ126" i="4"/>
  <c r="AK18" i="4"/>
  <c r="AK118" i="33"/>
  <c r="AL42" i="37"/>
  <c r="AN40" i="37"/>
  <c r="AN42" i="37" s="1"/>
  <c r="AJ116" i="33"/>
  <c r="AJ121" i="33" s="1"/>
  <c r="AI67" i="4"/>
  <c r="AJ18" i="37"/>
  <c r="AJ53" i="33"/>
  <c r="AJ21" i="37"/>
  <c r="AL104" i="4"/>
  <c r="AL38" i="33"/>
  <c r="AN6" i="37" l="1"/>
  <c r="AN33" i="33" s="1"/>
  <c r="AN37" i="33" s="1"/>
  <c r="AN38" i="33" s="1"/>
  <c r="AL18" i="4"/>
  <c r="AL118" i="33"/>
  <c r="AN104" i="4"/>
  <c r="AM20" i="37"/>
  <c r="AM43" i="37"/>
  <c r="AJ16" i="37"/>
  <c r="AJ15" i="37" s="1"/>
  <c r="AJ12" i="37" s="1"/>
  <c r="AJ8" i="37" s="1"/>
  <c r="AJ4" i="37" s="1"/>
  <c r="AJ7" i="33" s="1"/>
  <c r="AI44" i="33"/>
  <c r="AK18" i="37"/>
  <c r="AK53" i="33"/>
  <c r="AK21" i="37"/>
  <c r="AM38" i="33"/>
  <c r="AM104" i="4"/>
  <c r="AN20" i="37"/>
  <c r="AN43" i="37"/>
  <c r="AL20" i="37"/>
  <c r="AL43" i="37"/>
  <c r="AJ129" i="4"/>
  <c r="K25" i="2"/>
  <c r="AJ62" i="33"/>
  <c r="AK116" i="33"/>
  <c r="AK121" i="33" s="1"/>
  <c r="AJ67" i="4"/>
  <c r="AL119" i="33"/>
  <c r="AK126" i="4"/>
  <c r="AI15" i="37"/>
  <c r="AI12" i="37" s="1"/>
  <c r="AI8" i="37" s="1"/>
  <c r="AI4" i="37" s="1"/>
  <c r="AI7" i="33" s="1"/>
  <c r="AL116" i="33" l="1"/>
  <c r="AL121" i="33" s="1"/>
  <c r="AK67" i="4"/>
  <c r="AK16" i="37"/>
  <c r="AK15" i="37" s="1"/>
  <c r="AK12" i="37" s="1"/>
  <c r="AK8" i="37" s="1"/>
  <c r="AK4" i="37" s="1"/>
  <c r="AK7" i="33" s="1"/>
  <c r="AJ44" i="33"/>
  <c r="AN18" i="4"/>
  <c r="AN118" i="33"/>
  <c r="AK129" i="4"/>
  <c r="L25" i="2"/>
  <c r="AN18" i="37"/>
  <c r="AN53" i="33"/>
  <c r="AN21" i="37"/>
  <c r="AK62" i="33"/>
  <c r="AM119" i="33"/>
  <c r="AL126" i="4"/>
  <c r="AM18" i="4"/>
  <c r="AM118" i="33"/>
  <c r="AM18" i="37"/>
  <c r="AM53" i="33"/>
  <c r="AM21" i="37"/>
  <c r="AL18" i="37"/>
  <c r="AL53" i="33"/>
  <c r="AL21" i="37"/>
  <c r="AL62" i="33" l="1"/>
  <c r="AL129" i="4"/>
  <c r="M25" i="2"/>
  <c r="AM62" i="33"/>
  <c r="AN119" i="33"/>
  <c r="AN126" i="4" s="1"/>
  <c r="AM126" i="4"/>
  <c r="AN62" i="33"/>
  <c r="AL16" i="37"/>
  <c r="AK44" i="33"/>
  <c r="AM116" i="33"/>
  <c r="AM121" i="33" s="1"/>
  <c r="AL67" i="4"/>
  <c r="AM16" i="37" l="1"/>
  <c r="AL44" i="33"/>
  <c r="AM129" i="4"/>
  <c r="N25" i="2"/>
  <c r="AM67" i="4"/>
  <c r="AN116" i="33"/>
  <c r="AN121" i="33" s="1"/>
  <c r="AN67" i="4" s="1"/>
  <c r="O25" i="2"/>
  <c r="S39" i="2" s="1"/>
  <c r="S41" i="2" s="1"/>
  <c r="S42" i="2" s="1"/>
  <c r="AN129" i="4"/>
  <c r="AL15" i="37"/>
  <c r="AL12" i="37" s="1"/>
  <c r="AL8" i="37" s="1"/>
  <c r="AL4" i="37" s="1"/>
  <c r="AL7" i="33" s="1"/>
  <c r="AN16" i="37" l="1"/>
  <c r="AM44" i="33"/>
  <c r="AM15" i="37"/>
  <c r="AM12" i="37" s="1"/>
  <c r="AM8" i="37" s="1"/>
  <c r="AM4" i="37" s="1"/>
  <c r="AM7" i="33" s="1"/>
  <c r="AN44" i="33" l="1"/>
  <c r="AN15" i="37"/>
  <c r="AN12" i="37" s="1"/>
  <c r="AN8" i="37" s="1"/>
  <c r="AN4" i="37" s="1"/>
  <c r="AN7" i="33" s="1"/>
  <c r="AH15" i="10" l="1"/>
  <c r="AI15" i="10" s="1"/>
  <c r="AH19" i="10"/>
  <c r="AH20" i="10" s="1"/>
  <c r="AI22" i="10" l="1"/>
  <c r="AI19" i="19" s="1"/>
  <c r="AI112" i="4" s="1"/>
  <c r="AJ15" i="10"/>
  <c r="AI19" i="10"/>
  <c r="AI20" i="10" s="1"/>
  <c r="AH4" i="4"/>
  <c r="AH31" i="6"/>
  <c r="AH33" i="6" s="1"/>
  <c r="AH34" i="6" l="1"/>
  <c r="AJ22" i="10"/>
  <c r="AJ19" i="19" s="1"/>
  <c r="AJ112" i="4" s="1"/>
  <c r="AJ19" i="10"/>
  <c r="AJ20" i="10" s="1"/>
  <c r="AK15" i="10"/>
  <c r="AI17" i="19" l="1"/>
  <c r="AH27" i="14"/>
  <c r="AH25" i="10"/>
  <c r="I99" i="2"/>
  <c r="AK22" i="10"/>
  <c r="AK19" i="19" s="1"/>
  <c r="AK112" i="4" s="1"/>
  <c r="AK19" i="10"/>
  <c r="AK20" i="10" s="1"/>
  <c r="AL15" i="10"/>
  <c r="AH41" i="6"/>
  <c r="AH36" i="6" s="1"/>
  <c r="AI36" i="6" l="1"/>
  <c r="AH37" i="6"/>
  <c r="I100" i="2" s="1"/>
  <c r="I101" i="2" s="1"/>
  <c r="AL22" i="10"/>
  <c r="AL19" i="19" s="1"/>
  <c r="AL112" i="4" s="1"/>
  <c r="AL19" i="10"/>
  <c r="AL20" i="10" s="1"/>
  <c r="AM15" i="10"/>
  <c r="AH30" i="14"/>
  <c r="AH31" i="14" s="1"/>
  <c r="I102" i="2"/>
  <c r="I104" i="2" s="1"/>
  <c r="I106" i="2" s="1"/>
  <c r="I128" i="2"/>
  <c r="AI37" i="6" l="1"/>
  <c r="J100" i="2" s="1"/>
  <c r="J101" i="2" s="1"/>
  <c r="AJ36" i="6"/>
  <c r="AH137" i="4"/>
  <c r="AM22" i="10"/>
  <c r="AM19" i="19" s="1"/>
  <c r="AM112" i="4" s="1"/>
  <c r="AN15" i="10"/>
  <c r="AM19" i="10"/>
  <c r="AM20" i="10" s="1"/>
  <c r="AJ37" i="6" l="1"/>
  <c r="K100" i="2" s="1"/>
  <c r="K101" i="2" s="1"/>
  <c r="AK36" i="6"/>
  <c r="AN22" i="10"/>
  <c r="AN19" i="19" s="1"/>
  <c r="AN112" i="4" s="1"/>
  <c r="AN19" i="10"/>
  <c r="AN20" i="10" s="1"/>
  <c r="AL36" i="6" l="1"/>
  <c r="AK37" i="6"/>
  <c r="L100" i="2" s="1"/>
  <c r="L101" i="2" s="1"/>
  <c r="AH85" i="14"/>
  <c r="AH86" i="14"/>
  <c r="AH81" i="14"/>
  <c r="AI81" i="14" s="1"/>
  <c r="AH82" i="14"/>
  <c r="AL37" i="6" l="1"/>
  <c r="M100" i="2" s="1"/>
  <c r="M101" i="2" s="1"/>
  <c r="AM36" i="6"/>
  <c r="AJ81" i="14"/>
  <c r="AK81" i="14" s="1"/>
  <c r="AL81" i="14" s="1"/>
  <c r="AM81" i="14" s="1"/>
  <c r="AN81" i="14" s="1"/>
  <c r="AI77" i="14"/>
  <c r="AN36" i="6" l="1"/>
  <c r="AN37" i="6" s="1"/>
  <c r="O100" i="2" s="1"/>
  <c r="O101" i="2" s="1"/>
  <c r="AM37" i="6"/>
  <c r="N100" i="2" s="1"/>
  <c r="N101" i="2" s="1"/>
  <c r="AJ77" i="14"/>
  <c r="AI78" i="14"/>
  <c r="AI85" i="14"/>
  <c r="AI82" i="14" l="1"/>
  <c r="AI86" i="14"/>
  <c r="AJ78" i="14"/>
  <c r="AJ85" i="14"/>
  <c r="AK77" i="14"/>
  <c r="AJ82" i="14" l="1"/>
  <c r="AJ86" i="14"/>
  <c r="AL77" i="14"/>
  <c r="AK78" i="14"/>
  <c r="AK85" i="14"/>
  <c r="AK86" i="14" l="1"/>
  <c r="AK82" i="14"/>
  <c r="AL85" i="14"/>
  <c r="AL78" i="14"/>
  <c r="AM77" i="14"/>
  <c r="AL86" i="14" l="1"/>
  <c r="AL82" i="14"/>
  <c r="AN77" i="14"/>
  <c r="AM85" i="14"/>
  <c r="AM78" i="14"/>
  <c r="AN85" i="14" l="1"/>
  <c r="AN78" i="14"/>
  <c r="AM82" i="14"/>
  <c r="AM86" i="14"/>
  <c r="AN86" i="14" l="1"/>
  <c r="AN82" i="14"/>
  <c r="AH43" i="6"/>
  <c r="AI43" i="6" s="1"/>
  <c r="AH46" i="6"/>
  <c r="AH51" i="33" l="1"/>
  <c r="AJ43" i="6"/>
  <c r="AH60" i="33" l="1"/>
  <c r="AK43" i="6"/>
  <c r="AL43" i="6" l="1"/>
  <c r="AM43" i="6" l="1"/>
  <c r="AN43" i="6" l="1"/>
  <c r="AH42" i="19" l="1"/>
  <c r="AI37" i="19"/>
  <c r="AI40" i="19" s="1"/>
  <c r="AH38" i="19"/>
  <c r="AH41" i="19"/>
  <c r="AI42" i="19" l="1"/>
  <c r="AJ37" i="19"/>
  <c r="AJ40" i="19" s="1"/>
  <c r="AI41" i="19"/>
  <c r="I36" i="2"/>
  <c r="I37" i="2" s="1"/>
  <c r="I38" i="2" s="1"/>
  <c r="AH92" i="4"/>
  <c r="AJ42" i="19" l="1"/>
  <c r="AK37" i="19"/>
  <c r="AK40" i="19" s="1"/>
  <c r="AJ41" i="19"/>
  <c r="AK42" i="19" l="1"/>
  <c r="AK41" i="19"/>
  <c r="AL37" i="19"/>
  <c r="AL40" i="19" s="1"/>
  <c r="AL42" i="19" l="1"/>
  <c r="AM37" i="19"/>
  <c r="AM40" i="19" s="1"/>
  <c r="AL41" i="19"/>
  <c r="AM42" i="19" l="1"/>
  <c r="AN37" i="19"/>
  <c r="AN40" i="19" s="1"/>
  <c r="AM41" i="19"/>
  <c r="AN42" i="19" l="1"/>
  <c r="AN41" i="19"/>
  <c r="AH55" i="19"/>
  <c r="AH65" i="19" l="1"/>
  <c r="AH54" i="19"/>
  <c r="AI54" i="19" s="1"/>
  <c r="AH66" i="19"/>
  <c r="AH64" i="19"/>
  <c r="AJ54" i="19" l="1"/>
  <c r="AI55" i="19"/>
  <c r="AH73" i="19"/>
  <c r="AH70" i="19"/>
  <c r="AH12" i="19" s="1"/>
  <c r="AH14" i="19" s="1"/>
  <c r="AI14" i="19" s="1"/>
  <c r="AJ14" i="19" l="1"/>
  <c r="AI57" i="19"/>
  <c r="AI58" i="19" s="1"/>
  <c r="AI66" i="19"/>
  <c r="AI64" i="19"/>
  <c r="AJ55" i="19"/>
  <c r="AK54" i="19"/>
  <c r="AL54" i="19" l="1"/>
  <c r="AK55" i="19"/>
  <c r="AI61" i="19"/>
  <c r="AI65" i="19"/>
  <c r="AI91" i="19"/>
  <c r="AI82" i="19" s="1"/>
  <c r="AJ57" i="19"/>
  <c r="AJ58" i="19" s="1"/>
  <c r="AJ66" i="19"/>
  <c r="AJ64" i="19"/>
  <c r="AK14" i="19"/>
  <c r="AL14" i="19" l="1"/>
  <c r="AJ61" i="19"/>
  <c r="AJ65" i="19"/>
  <c r="AJ91" i="19"/>
  <c r="AJ82" i="19" s="1"/>
  <c r="AK64" i="19"/>
  <c r="AK66" i="19"/>
  <c r="AK57" i="19"/>
  <c r="AK58" i="19" s="1"/>
  <c r="AI69" i="19"/>
  <c r="AI73" i="19"/>
  <c r="AL55" i="19"/>
  <c r="AM54" i="19"/>
  <c r="AK91" i="19" l="1"/>
  <c r="AK82" i="19" s="1"/>
  <c r="AK61" i="19"/>
  <c r="AK65" i="19"/>
  <c r="AL64" i="19"/>
  <c r="AL66" i="19"/>
  <c r="AL57" i="19"/>
  <c r="AL58" i="19" s="1"/>
  <c r="AN54" i="19"/>
  <c r="AN55" i="19" s="1"/>
  <c r="AM55" i="19"/>
  <c r="AM14" i="19"/>
  <c r="AI70" i="19"/>
  <c r="AI12" i="19" s="1"/>
  <c r="AI13" i="19" s="1"/>
  <c r="AI5" i="19" s="1"/>
  <c r="AI6" i="6"/>
  <c r="AI12" i="6" s="1"/>
  <c r="AI13" i="6" s="1"/>
  <c r="AI14" i="6" s="1"/>
  <c r="AJ69" i="19"/>
  <c r="AJ73" i="19"/>
  <c r="AM64" i="19" l="1"/>
  <c r="AM57" i="19"/>
  <c r="AM58" i="19" s="1"/>
  <c r="AM66" i="19"/>
  <c r="AI7" i="19"/>
  <c r="AI4" i="10"/>
  <c r="AI6" i="10" s="1"/>
  <c r="AI8" i="10" s="1"/>
  <c r="AN64" i="19"/>
  <c r="AN66" i="19"/>
  <c r="AN57" i="19"/>
  <c r="AN58" i="19" s="1"/>
  <c r="AL91" i="19"/>
  <c r="AL82" i="19" s="1"/>
  <c r="AL61" i="19"/>
  <c r="AL65" i="19"/>
  <c r="AN14" i="19"/>
  <c r="AJ6" i="6"/>
  <c r="AJ12" i="6" s="1"/>
  <c r="AJ70" i="19"/>
  <c r="AJ12" i="19" s="1"/>
  <c r="AJ13" i="19" s="1"/>
  <c r="AJ5" i="19" s="1"/>
  <c r="AJ4" i="10" s="1"/>
  <c r="AJ6" i="10" s="1"/>
  <c r="AJ8" i="10" s="1"/>
  <c r="AK69" i="19"/>
  <c r="AK73" i="19"/>
  <c r="AN91" i="19" l="1"/>
  <c r="AN82" i="19" s="1"/>
  <c r="AN69" i="19" s="1"/>
  <c r="AN65" i="19"/>
  <c r="AN61" i="19"/>
  <c r="AJ9" i="10"/>
  <c r="AJ4" i="6"/>
  <c r="AJ4" i="33"/>
  <c r="AM61" i="19"/>
  <c r="AM65" i="19"/>
  <c r="AM91" i="19"/>
  <c r="AM82" i="19" s="1"/>
  <c r="AK70" i="19"/>
  <c r="AK12" i="19" s="1"/>
  <c r="AK13" i="19" s="1"/>
  <c r="AK5" i="19" s="1"/>
  <c r="AK4" i="10" s="1"/>
  <c r="AK6" i="10" s="1"/>
  <c r="AK8" i="10" s="1"/>
  <c r="AK6" i="6"/>
  <c r="AK12" i="6" s="1"/>
  <c r="AI26" i="10"/>
  <c r="AI8" i="19"/>
  <c r="AJ4" i="19"/>
  <c r="AJ7" i="19" s="1"/>
  <c r="AL73" i="19"/>
  <c r="AL69" i="19"/>
  <c r="AI9" i="10"/>
  <c r="AI4" i="33"/>
  <c r="AI4" i="6"/>
  <c r="AK9" i="10" l="1"/>
  <c r="AK4" i="6"/>
  <c r="AK4" i="33"/>
  <c r="J33" i="2"/>
  <c r="AJ26" i="10"/>
  <c r="AJ8" i="19"/>
  <c r="AK4" i="19"/>
  <c r="AK7" i="19" s="1"/>
  <c r="AI9" i="19"/>
  <c r="AI81" i="4" s="1"/>
  <c r="AI61" i="4"/>
  <c r="AM69" i="19"/>
  <c r="AM73" i="19"/>
  <c r="AL70" i="19"/>
  <c r="AL12" i="19" s="1"/>
  <c r="AL13" i="19" s="1"/>
  <c r="AL5" i="19" s="1"/>
  <c r="AL4" i="10" s="1"/>
  <c r="AL6" i="10" s="1"/>
  <c r="AL8" i="10" s="1"/>
  <c r="AL6" i="6"/>
  <c r="AL12" i="6" s="1"/>
  <c r="K33" i="2"/>
  <c r="AJ13" i="6"/>
  <c r="AN73" i="19"/>
  <c r="J83" i="2" l="1"/>
  <c r="J89" i="2" s="1"/>
  <c r="AI72" i="4"/>
  <c r="L33" i="2"/>
  <c r="AK13" i="6"/>
  <c r="AI16" i="6"/>
  <c r="AI21" i="6" s="1"/>
  <c r="AJ14" i="6"/>
  <c r="K83" i="2"/>
  <c r="K89" i="2" s="1"/>
  <c r="AN6" i="6"/>
  <c r="AN12" i="6" s="1"/>
  <c r="AN70" i="19"/>
  <c r="AN12" i="19" s="1"/>
  <c r="AN13" i="19" s="1"/>
  <c r="AN5" i="19" s="1"/>
  <c r="AN4" i="10" s="1"/>
  <c r="AN6" i="10" s="1"/>
  <c r="AN8" i="10" s="1"/>
  <c r="AK26" i="10"/>
  <c r="AK8" i="19"/>
  <c r="AL4" i="19"/>
  <c r="AL7" i="19" s="1"/>
  <c r="AL9" i="10"/>
  <c r="AL4" i="6"/>
  <c r="AL4" i="33"/>
  <c r="AM70" i="19"/>
  <c r="AM12" i="19" s="1"/>
  <c r="AM13" i="19" s="1"/>
  <c r="AM5" i="19" s="1"/>
  <c r="AM4" i="10" s="1"/>
  <c r="AM6" i="10" s="1"/>
  <c r="AM8" i="10" s="1"/>
  <c r="AM6" i="6"/>
  <c r="AM12" i="6" s="1"/>
  <c r="AJ9" i="19"/>
  <c r="AJ81" i="4" s="1"/>
  <c r="AJ61" i="4"/>
  <c r="AL26" i="10" l="1"/>
  <c r="AM4" i="19"/>
  <c r="AM7" i="19" s="1"/>
  <c r="AL8" i="19"/>
  <c r="AJ72" i="4"/>
  <c r="AK9" i="19"/>
  <c r="AK81" i="4" s="1"/>
  <c r="AK61" i="4"/>
  <c r="AK14" i="6"/>
  <c r="AK16" i="6" s="1"/>
  <c r="AK21" i="6" s="1"/>
  <c r="AI23" i="6"/>
  <c r="AI31" i="6" s="1"/>
  <c r="AI33" i="6" s="1"/>
  <c r="L83" i="2"/>
  <c r="L89" i="2" s="1"/>
  <c r="AM4" i="33"/>
  <c r="AM9" i="10"/>
  <c r="AM4" i="6"/>
  <c r="K34" i="2"/>
  <c r="AJ42" i="33"/>
  <c r="M33" i="2"/>
  <c r="AL13" i="6"/>
  <c r="AN9" i="10"/>
  <c r="AN4" i="33"/>
  <c r="AN4" i="6"/>
  <c r="AJ16" i="6"/>
  <c r="AJ21" i="6" s="1"/>
  <c r="J34" i="2"/>
  <c r="AI42" i="33"/>
  <c r="AJ111" i="4" l="1"/>
  <c r="M83" i="2"/>
  <c r="M89" i="2" s="1"/>
  <c r="AI34" i="6"/>
  <c r="AI40" i="6"/>
  <c r="AI39" i="6"/>
  <c r="AL9" i="19"/>
  <c r="AL81" i="4" s="1"/>
  <c r="AL61" i="4"/>
  <c r="AI5" i="33"/>
  <c r="AI18" i="19"/>
  <c r="L34" i="2"/>
  <c r="AK42" i="33"/>
  <c r="AM26" i="10"/>
  <c r="AM8" i="19"/>
  <c r="AN4" i="19"/>
  <c r="AN7" i="19" s="1"/>
  <c r="O33" i="2"/>
  <c r="AN13" i="6"/>
  <c r="AK72" i="4"/>
  <c r="AL14" i="6"/>
  <c r="N33" i="2"/>
  <c r="AM13" i="6"/>
  <c r="AN14" i="6" l="1"/>
  <c r="AN16" i="6" s="1"/>
  <c r="AN21" i="6" s="1"/>
  <c r="N83" i="2"/>
  <c r="N89" i="2" s="1"/>
  <c r="O83" i="2"/>
  <c r="O89" i="2" s="1"/>
  <c r="T54" i="2"/>
  <c r="T56" i="2" s="1"/>
  <c r="T60" i="2" s="1"/>
  <c r="M34" i="2"/>
  <c r="AL42" i="33"/>
  <c r="AK111" i="4"/>
  <c r="AL16" i="6"/>
  <c r="AL21" i="6" s="1"/>
  <c r="AN26" i="10"/>
  <c r="AN8" i="19"/>
  <c r="AI41" i="6"/>
  <c r="AI44" i="6"/>
  <c r="AM14" i="6"/>
  <c r="AM16" i="6" s="1"/>
  <c r="AM21" i="6" s="1"/>
  <c r="AI4" i="4"/>
  <c r="AL72" i="4"/>
  <c r="AM61" i="4"/>
  <c r="AM9" i="19"/>
  <c r="AM81" i="4" s="1"/>
  <c r="AI116" i="4"/>
  <c r="AI21" i="19"/>
  <c r="AI45" i="6"/>
  <c r="J99" i="2"/>
  <c r="AI25" i="4"/>
  <c r="AM72" i="4" l="1"/>
  <c r="AI27" i="14"/>
  <c r="AI25" i="10"/>
  <c r="AI90" i="4"/>
  <c r="S34" i="2" s="1"/>
  <c r="AJ17" i="19"/>
  <c r="AJ23" i="6"/>
  <c r="J36" i="2"/>
  <c r="J37" i="2" s="1"/>
  <c r="J38" i="2" s="1"/>
  <c r="AN61" i="4"/>
  <c r="AN72" i="4" s="1"/>
  <c r="AN9" i="19"/>
  <c r="AN81" i="4" s="1"/>
  <c r="AM111" i="4"/>
  <c r="N34" i="2"/>
  <c r="AM42" i="33"/>
  <c r="AN42" i="33"/>
  <c r="O34" i="2"/>
  <c r="J102" i="2"/>
  <c r="J104" i="2" s="1"/>
  <c r="J106" i="2" s="1"/>
  <c r="J128" i="2"/>
  <c r="AI135" i="4"/>
  <c r="AI46" i="6"/>
  <c r="AL111" i="4"/>
  <c r="AN111" i="4" l="1"/>
  <c r="AI51" i="33"/>
  <c r="AJ18" i="19"/>
  <c r="AJ116" i="4" s="1"/>
  <c r="AJ5" i="33"/>
  <c r="AJ31" i="6"/>
  <c r="AJ33" i="6" s="1"/>
  <c r="AI29" i="14"/>
  <c r="AI30" i="14" s="1"/>
  <c r="AI31" i="14" s="1"/>
  <c r="AI92" i="4"/>
  <c r="AI97" i="4"/>
  <c r="S35" i="2" s="1"/>
  <c r="T76" i="2" s="1"/>
  <c r="AJ21" i="19" l="1"/>
  <c r="AK17" i="19" s="1"/>
  <c r="AI60" i="33"/>
  <c r="K36" i="2"/>
  <c r="K37" i="2" s="1"/>
  <c r="K38" i="2" s="1"/>
  <c r="AJ34" i="6"/>
  <c r="AJ40" i="6"/>
  <c r="AJ39" i="6"/>
  <c r="AJ4" i="4"/>
  <c r="AJ90" i="4" l="1"/>
  <c r="AJ25" i="10"/>
  <c r="AJ27" i="14"/>
  <c r="AJ29" i="14" s="1"/>
  <c r="AJ30" i="14" s="1"/>
  <c r="AJ31" i="14" s="1"/>
  <c r="AK23" i="6"/>
  <c r="AK5" i="33" s="1"/>
  <c r="AJ41" i="6"/>
  <c r="AJ44" i="6"/>
  <c r="K99" i="2"/>
  <c r="AJ45" i="6"/>
  <c r="AJ25" i="4"/>
  <c r="AJ92" i="4"/>
  <c r="AK31" i="6" l="1"/>
  <c r="AK33" i="6" s="1"/>
  <c r="AK34" i="6" s="1"/>
  <c r="AK18" i="19"/>
  <c r="AK116" i="4" s="1"/>
  <c r="L36" i="2" s="1"/>
  <c r="L37" i="2" s="1"/>
  <c r="L38" i="2" s="1"/>
  <c r="K102" i="2"/>
  <c r="K104" i="2" s="1"/>
  <c r="K106" i="2" s="1"/>
  <c r="K128" i="2"/>
  <c r="AJ46" i="6"/>
  <c r="AK4" i="4"/>
  <c r="AJ135" i="4"/>
  <c r="AJ97" i="4" s="1"/>
  <c r="AK40" i="6"/>
  <c r="AK39" i="6"/>
  <c r="AK21" i="19" l="1"/>
  <c r="AJ51" i="33"/>
  <c r="AK45" i="6"/>
  <c r="L99" i="2"/>
  <c r="AK25" i="4"/>
  <c r="AK27" i="14"/>
  <c r="AK25" i="10"/>
  <c r="AK90" i="4"/>
  <c r="AL17" i="19"/>
  <c r="AL23" i="6"/>
  <c r="AK41" i="6"/>
  <c r="AK44" i="6"/>
  <c r="AK92" i="4" l="1"/>
  <c r="L102" i="2"/>
  <c r="L104" i="2" s="1"/>
  <c r="L106" i="2" s="1"/>
  <c r="L128" i="2"/>
  <c r="AJ60" i="33"/>
  <c r="AK46" i="6"/>
  <c r="AL18" i="19"/>
  <c r="AL116" i="4" s="1"/>
  <c r="AL5" i="33"/>
  <c r="AL31" i="6"/>
  <c r="AL33" i="6" s="1"/>
  <c r="AK29" i="14"/>
  <c r="AK30" i="14" s="1"/>
  <c r="AK31" i="14" s="1"/>
  <c r="AK135" i="4"/>
  <c r="AL21" i="19" l="1"/>
  <c r="AM17" i="19" s="1"/>
  <c r="AK97" i="4"/>
  <c r="AL34" i="6"/>
  <c r="AL40" i="6"/>
  <c r="AL39" i="6"/>
  <c r="AL4" i="4"/>
  <c r="M36" i="2"/>
  <c r="M37" i="2" s="1"/>
  <c r="M38" i="2" s="1"/>
  <c r="AK51" i="33"/>
  <c r="AL27" i="14" l="1"/>
  <c r="AL29" i="14" s="1"/>
  <c r="AL30" i="14" s="1"/>
  <c r="AL31" i="14" s="1"/>
  <c r="AM23" i="6"/>
  <c r="AM18" i="19" s="1"/>
  <c r="AM116" i="4" s="1"/>
  <c r="N36" i="2" s="1"/>
  <c r="N37" i="2" s="1"/>
  <c r="N38" i="2" s="1"/>
  <c r="AL90" i="4"/>
  <c r="AL92" i="4" s="1"/>
  <c r="AL25" i="10"/>
  <c r="AK60" i="33"/>
  <c r="AL41" i="6"/>
  <c r="AL44" i="6"/>
  <c r="M99" i="2"/>
  <c r="AL45" i="6"/>
  <c r="AL25" i="4"/>
  <c r="AM31" i="6" l="1"/>
  <c r="AM33" i="6" s="1"/>
  <c r="AM40" i="6" s="1"/>
  <c r="AM5" i="33"/>
  <c r="AM4" i="4" s="1"/>
  <c r="AL135" i="4"/>
  <c r="AL97" i="4" s="1"/>
  <c r="AM21" i="19"/>
  <c r="M128" i="2"/>
  <c r="M102" i="2"/>
  <c r="M104" i="2" s="1"/>
  <c r="M106" i="2" s="1"/>
  <c r="AL46" i="6"/>
  <c r="AM34" i="6" l="1"/>
  <c r="AM39" i="6"/>
  <c r="AM90" i="4"/>
  <c r="AM27" i="14"/>
  <c r="AM25" i="10"/>
  <c r="AN17" i="19"/>
  <c r="AN23" i="6"/>
  <c r="AM41" i="6"/>
  <c r="AM44" i="6"/>
  <c r="AL51" i="33"/>
  <c r="N99" i="2"/>
  <c r="AM25" i="4"/>
  <c r="AM45" i="6"/>
  <c r="AM135" i="4" l="1"/>
  <c r="AM92" i="4"/>
  <c r="AM97" i="4"/>
  <c r="N102" i="2"/>
  <c r="N104" i="2" s="1"/>
  <c r="N106" i="2" s="1"/>
  <c r="N128" i="2"/>
  <c r="AM29" i="14"/>
  <c r="AM30" i="14" s="1"/>
  <c r="AM31" i="14" s="1"/>
  <c r="AL60" i="33"/>
  <c r="AM46" i="6"/>
  <c r="AM51" i="33" s="1"/>
  <c r="AN5" i="33"/>
  <c r="AN18" i="19"/>
  <c r="AN116" i="4" s="1"/>
  <c r="O36" i="2" s="1"/>
  <c r="O37" i="2" s="1"/>
  <c r="O38" i="2" s="1"/>
  <c r="T71" i="2" s="1"/>
  <c r="T74" i="2" s="1"/>
  <c r="T87" i="2" s="1"/>
  <c r="AN31" i="6"/>
  <c r="AN33" i="6" s="1"/>
  <c r="T83" i="2" l="1"/>
  <c r="T82" i="2"/>
  <c r="AN4" i="4"/>
  <c r="AN21" i="19"/>
  <c r="AM60" i="33"/>
  <c r="AN34" i="6"/>
  <c r="AN40" i="6"/>
  <c r="AN39" i="6"/>
  <c r="AN90" i="4" l="1"/>
  <c r="AN92" i="4" s="1"/>
  <c r="AN25" i="10"/>
  <c r="AN27" i="14"/>
  <c r="AN41" i="6"/>
  <c r="AN44" i="6"/>
  <c r="O99" i="2"/>
  <c r="AN45" i="6"/>
  <c r="AN25" i="4"/>
  <c r="AN46" i="6" l="1"/>
  <c r="AN51" i="33" s="1"/>
  <c r="AN60" i="33" s="1"/>
  <c r="AN135" i="4"/>
  <c r="AN29" i="14"/>
  <c r="AN30" i="14" s="1"/>
  <c r="AN31" i="14" s="1"/>
  <c r="O102" i="2"/>
  <c r="O104" i="2" s="1"/>
  <c r="O106" i="2" s="1"/>
  <c r="O128" i="2"/>
  <c r="AN97" i="4" l="1"/>
  <c r="AH11" i="33" l="1"/>
  <c r="AH10" i="33" s="1"/>
  <c r="AH6" i="4" s="1"/>
  <c r="AI10" i="33" l="1"/>
  <c r="AI6" i="4" s="1"/>
  <c r="AJ10" i="33" l="1"/>
  <c r="AJ6" i="4"/>
  <c r="AK10" i="33"/>
  <c r="AK6" i="4" l="1"/>
  <c r="AL10" i="33"/>
  <c r="AL6" i="4" l="1"/>
  <c r="AM10" i="33"/>
  <c r="AM6" i="4" l="1"/>
  <c r="AN10" i="33"/>
  <c r="AN6" i="4" l="1"/>
  <c r="AH26" i="33" l="1"/>
  <c r="AH20" i="33" s="1"/>
  <c r="AH19" i="33" l="1"/>
  <c r="AI19" i="33" l="1"/>
  <c r="AH72" i="33"/>
  <c r="AH75" i="33" l="1"/>
  <c r="AJ19" i="33"/>
  <c r="AI20" i="33"/>
  <c r="AH81" i="33" l="1"/>
  <c r="AI81" i="33" s="1"/>
  <c r="AJ81" i="33" s="1"/>
  <c r="AK19" i="33"/>
  <c r="AJ20" i="33"/>
  <c r="AI26" i="33"/>
  <c r="AI12" i="4" s="1"/>
  <c r="AI71" i="33"/>
  <c r="AK81" i="33" l="1"/>
  <c r="AH73" i="33"/>
  <c r="AI105" i="4"/>
  <c r="AJ26" i="33"/>
  <c r="AJ12" i="4" s="1"/>
  <c r="AL19" i="33"/>
  <c r="AK20" i="33"/>
  <c r="AI72" i="33"/>
  <c r="AJ71" i="33"/>
  <c r="AK26" i="33" l="1"/>
  <c r="AK12" i="4" s="1"/>
  <c r="AM19" i="33"/>
  <c r="AL20" i="33"/>
  <c r="AJ72" i="33"/>
  <c r="AK71" i="33"/>
  <c r="AJ105" i="4"/>
  <c r="AL81" i="33"/>
  <c r="AI65" i="4"/>
  <c r="AI75" i="33"/>
  <c r="AI73" i="33" s="1"/>
  <c r="AM81" i="33" l="1"/>
  <c r="AK105" i="4"/>
  <c r="AL26" i="33"/>
  <c r="AL12" i="4" s="1"/>
  <c r="AK72" i="33"/>
  <c r="AL71" i="33"/>
  <c r="AN19" i="33"/>
  <c r="AN20" i="33" s="1"/>
  <c r="AN26" i="33" s="1"/>
  <c r="AN12" i="4" s="1"/>
  <c r="AM20" i="33"/>
  <c r="AJ75" i="33"/>
  <c r="AJ73" i="33" s="1"/>
  <c r="AJ65" i="4"/>
  <c r="AM26" i="33" l="1"/>
  <c r="AM12" i="4" s="1"/>
  <c r="AN105" i="4"/>
  <c r="AL105" i="4"/>
  <c r="AM71" i="33"/>
  <c r="AL72" i="33"/>
  <c r="AK65" i="4"/>
  <c r="AK75" i="33"/>
  <c r="AK73" i="33" s="1"/>
  <c r="AN81" i="33"/>
  <c r="AM105" i="4" l="1"/>
  <c r="AM72" i="33"/>
  <c r="AN71" i="33"/>
  <c r="AN72" i="33" s="1"/>
  <c r="AL65" i="4"/>
  <c r="AL75" i="33"/>
  <c r="AL73" i="33" s="1"/>
  <c r="AM65" i="4" l="1"/>
  <c r="AM75" i="33"/>
  <c r="AM73" i="33" s="1"/>
  <c r="AN65" i="4"/>
  <c r="AN75" i="33"/>
  <c r="AN73" i="33" s="1"/>
  <c r="AH84" i="4" l="1"/>
  <c r="AH15" i="4"/>
  <c r="AH20" i="4" s="1"/>
  <c r="AH28" i="33" l="1"/>
  <c r="AH22" i="4"/>
  <c r="I82" i="2" s="1"/>
  <c r="I85" i="2" l="1"/>
  <c r="I86" i="2" s="1"/>
  <c r="AH24" i="4"/>
  <c r="AH27" i="4" s="1"/>
  <c r="I93" i="2"/>
  <c r="AH102" i="4"/>
  <c r="AH117" i="4" s="1"/>
  <c r="AH121" i="4" s="1"/>
  <c r="AH140" i="4" s="1"/>
  <c r="I22" i="2" l="1"/>
  <c r="I29" i="2" s="1"/>
  <c r="AH31" i="4"/>
  <c r="AH35" i="4"/>
  <c r="AH64" i="4"/>
  <c r="AH75" i="4" s="1"/>
  <c r="AH100" i="33"/>
  <c r="AH147" i="4"/>
  <c r="I30" i="2"/>
  <c r="I40" i="2"/>
  <c r="I43" i="2" s="1"/>
  <c r="AH96" i="4" l="1"/>
  <c r="AH105" i="33"/>
  <c r="AI104" i="33" s="1"/>
  <c r="AH101" i="33"/>
  <c r="I69" i="2"/>
  <c r="AH149" i="4" l="1"/>
  <c r="AH98" i="4"/>
  <c r="AH99" i="4" s="1"/>
  <c r="AH144" i="4"/>
  <c r="I77" i="2" s="1"/>
  <c r="AH148" i="4"/>
  <c r="AI103" i="33"/>
  <c r="I72" i="2"/>
  <c r="I75" i="2"/>
  <c r="AH100" i="4" l="1"/>
  <c r="AH1" i="4"/>
  <c r="I80" i="2"/>
  <c r="I91" i="2" s="1"/>
  <c r="I88" i="2"/>
  <c r="AH34" i="4" l="1"/>
  <c r="AH42" i="4"/>
  <c r="AH55" i="4"/>
  <c r="AH32" i="4"/>
  <c r="AH58" i="33" l="1"/>
  <c r="AH66" i="33" l="1"/>
  <c r="AH57" i="33"/>
  <c r="AH65" i="33" l="1"/>
  <c r="AI57" i="33"/>
  <c r="AI65" i="33" l="1"/>
  <c r="AJ57" i="33"/>
  <c r="AJ65" i="33" l="1"/>
  <c r="AK57" i="33"/>
  <c r="AK65" i="33" l="1"/>
  <c r="AL57" i="33"/>
  <c r="AL65" i="33" l="1"/>
  <c r="AM57" i="33"/>
  <c r="AM65" i="33" l="1"/>
  <c r="AN57" i="33"/>
  <c r="AN65" i="33" l="1"/>
  <c r="AI48" i="4" l="1"/>
  <c r="AH46" i="4"/>
  <c r="AH49" i="4" s="1"/>
  <c r="AI41" i="4" l="1"/>
  <c r="AU48" i="4"/>
  <c r="AI38" i="4"/>
  <c r="AJ48" i="4"/>
  <c r="AV48" i="4" s="1"/>
  <c r="AI39" i="4" l="1"/>
  <c r="AI133" i="4"/>
  <c r="AJ41" i="4"/>
  <c r="AK48" i="4"/>
  <c r="AW48" i="4" s="1"/>
  <c r="AI45" i="4"/>
  <c r="AJ38" i="4" l="1"/>
  <c r="AI46" i="4"/>
  <c r="AI137" i="4"/>
  <c r="AL48" i="4"/>
  <c r="AX48" i="4" s="1"/>
  <c r="AK41" i="4"/>
  <c r="AJ45" i="4" l="1"/>
  <c r="AK38" i="4"/>
  <c r="AJ133" i="4"/>
  <c r="AL41" i="4"/>
  <c r="AM48" i="4"/>
  <c r="AJ39" i="4"/>
  <c r="AK133" i="4" l="1"/>
  <c r="AK45" i="4"/>
  <c r="AK46" i="4" s="1"/>
  <c r="AL38" i="4"/>
  <c r="AN48" i="4"/>
  <c r="AM41" i="4"/>
  <c r="AJ137" i="4"/>
  <c r="AJ46" i="4"/>
  <c r="AK39" i="4"/>
  <c r="AK137" i="4" l="1"/>
  <c r="AL133" i="4"/>
  <c r="AN41" i="4"/>
  <c r="AL45" i="4"/>
  <c r="AL46" i="4" s="1"/>
  <c r="AM38" i="4"/>
  <c r="AM39" i="4" s="1"/>
  <c r="AL39" i="4"/>
  <c r="AN38" i="4" l="1"/>
  <c r="AN45" i="4" s="1"/>
  <c r="AN46" i="4" s="1"/>
  <c r="AM45" i="4"/>
  <c r="AL137" i="4"/>
  <c r="AM133" i="4"/>
  <c r="AM137" i="4" l="1"/>
  <c r="AN133" i="4"/>
  <c r="AN137" i="4" s="1"/>
  <c r="AN39" i="4"/>
  <c r="AM46" i="4"/>
  <c r="AH129" i="33" l="1"/>
  <c r="AI124" i="33"/>
  <c r="AI130" i="33" s="1"/>
  <c r="AJ124" i="33" l="1"/>
  <c r="AJ130" i="33" s="1"/>
  <c r="AI68" i="4"/>
  <c r="AK124" i="33"/>
  <c r="AK130" i="33" s="1"/>
  <c r="AJ68" i="4"/>
  <c r="AL124" i="33" l="1"/>
  <c r="AL130" i="33" s="1"/>
  <c r="AK68" i="4"/>
  <c r="AM124" i="33" l="1"/>
  <c r="AM130" i="33" s="1"/>
  <c r="AL68" i="4"/>
  <c r="AM68" i="4" l="1"/>
  <c r="AN124" i="33"/>
  <c r="AN130" i="33" s="1"/>
  <c r="AN68" i="4" s="1"/>
  <c r="AI79" i="23" l="1"/>
  <c r="AI19" i="23" s="1"/>
  <c r="AI16" i="23" s="1"/>
  <c r="AM79" i="23"/>
  <c r="AM19" i="23" s="1"/>
  <c r="AM16" i="23" s="1"/>
  <c r="AN79" i="23"/>
  <c r="AN19" i="23" s="1"/>
  <c r="AN16" i="23" s="1"/>
  <c r="AK79" i="23"/>
  <c r="AK19" i="23" s="1"/>
  <c r="AK16" i="23" s="1"/>
  <c r="AL79" i="23"/>
  <c r="AL19" i="23" s="1"/>
  <c r="AL16" i="23" s="1"/>
  <c r="AJ79" i="23"/>
  <c r="AJ19" i="23" s="1"/>
  <c r="AJ16" i="23" s="1"/>
  <c r="AK11" i="23" l="1"/>
  <c r="AK23" i="23"/>
  <c r="AI23" i="23"/>
  <c r="AI11" i="23"/>
  <c r="AJ11" i="23"/>
  <c r="AJ23" i="23"/>
  <c r="AM23" i="23"/>
  <c r="AM11" i="23"/>
  <c r="AN23" i="23"/>
  <c r="AN11" i="23"/>
  <c r="AL23" i="23"/>
  <c r="AL11" i="23"/>
  <c r="AK5" i="23"/>
  <c r="L54" i="2" l="1"/>
  <c r="L56" i="2" s="1"/>
  <c r="L58" i="2" s="1"/>
  <c r="L59" i="2" s="1"/>
  <c r="AK12" i="23"/>
  <c r="AK6" i="33"/>
  <c r="M54" i="2"/>
  <c r="N54" i="2"/>
  <c r="AJ5" i="23"/>
  <c r="AN5" i="23"/>
  <c r="AN6" i="33" s="1"/>
  <c r="AM5" i="23"/>
  <c r="AI5" i="23"/>
  <c r="AI12" i="23" s="1"/>
  <c r="AL5" i="23"/>
  <c r="O54" i="2"/>
  <c r="K54" i="2"/>
  <c r="J54" i="2"/>
  <c r="AM6" i="33" l="1"/>
  <c r="AM12" i="23"/>
  <c r="AN12" i="23"/>
  <c r="AL6" i="33"/>
  <c r="AM5" i="4"/>
  <c r="AM7" i="4" s="1"/>
  <c r="AM11" i="33"/>
  <c r="AL12" i="23"/>
  <c r="AI6" i="33"/>
  <c r="AJ6" i="33"/>
  <c r="AJ12" i="23"/>
  <c r="K56" i="2"/>
  <c r="K58" i="2" s="1"/>
  <c r="K59" i="2" s="1"/>
  <c r="M56" i="2"/>
  <c r="M58" i="2" s="1"/>
  <c r="M59" i="2" s="1"/>
  <c r="AK5" i="4"/>
  <c r="AK7" i="4" s="1"/>
  <c r="AK11" i="33"/>
  <c r="AN5" i="4"/>
  <c r="AN7" i="4" s="1"/>
  <c r="AN11" i="33"/>
  <c r="N56" i="2"/>
  <c r="N58" i="2" s="1"/>
  <c r="N59" i="2" s="1"/>
  <c r="J56" i="2"/>
  <c r="J58" i="2" s="1"/>
  <c r="J59" i="2" s="1"/>
  <c r="O56" i="2"/>
  <c r="O58" i="2" s="1"/>
  <c r="O59" i="2" s="1"/>
  <c r="S54" i="2"/>
  <c r="AI5" i="4" l="1"/>
  <c r="AI7" i="4" s="1"/>
  <c r="AI11" i="33"/>
  <c r="AJ5" i="4"/>
  <c r="AJ7" i="4" s="1"/>
  <c r="AJ11" i="33"/>
  <c r="AL5" i="4"/>
  <c r="AL7" i="4" s="1"/>
  <c r="AL11" i="33"/>
  <c r="S71" i="2"/>
  <c r="S74" i="2" s="1"/>
  <c r="S77" i="2" l="1"/>
  <c r="Z77" i="2" s="1"/>
  <c r="S82" i="2"/>
  <c r="S83" i="2"/>
  <c r="AI62" i="4"/>
  <c r="AI60" i="4"/>
  <c r="AJ62" i="4" l="1"/>
  <c r="AJ60" i="4"/>
  <c r="S78" i="2"/>
  <c r="S80" i="2"/>
  <c r="S84" i="2"/>
  <c r="AK60" i="4" l="1"/>
  <c r="AK62" i="4"/>
  <c r="AL62" i="4" l="1"/>
  <c r="AL60" i="4"/>
  <c r="AM62" i="4" l="1"/>
  <c r="AM60" i="4"/>
  <c r="AN62" i="4" l="1"/>
  <c r="AN60" i="4"/>
  <c r="AJ28" i="23"/>
  <c r="AK28" i="23" s="1"/>
  <c r="AI27" i="23"/>
  <c r="AI29" i="23" s="1"/>
  <c r="J84" i="2"/>
  <c r="K84" i="2" l="1"/>
  <c r="AJ27" i="23"/>
  <c r="AI32" i="23"/>
  <c r="AI52" i="33"/>
  <c r="AI94" i="23"/>
  <c r="J66" i="2" s="1"/>
  <c r="J90" i="2" s="1"/>
  <c r="S85" i="2"/>
  <c r="AL28" i="23"/>
  <c r="L84" i="2"/>
  <c r="AK27" i="23"/>
  <c r="AI43" i="33"/>
  <c r="AI48" i="33" s="1"/>
  <c r="AI23" i="4" s="1"/>
  <c r="AJ43" i="33" l="1"/>
  <c r="AJ48" i="33" s="1"/>
  <c r="AJ23" i="4" s="1"/>
  <c r="AJ29" i="23"/>
  <c r="AI120" i="4"/>
  <c r="AK29" i="23"/>
  <c r="AK43" i="33"/>
  <c r="AK48" i="33" s="1"/>
  <c r="AK23" i="4" s="1"/>
  <c r="AM28" i="23"/>
  <c r="M84" i="2"/>
  <c r="AL27" i="23"/>
  <c r="AI58" i="33"/>
  <c r="AI61" i="33"/>
  <c r="AJ120" i="4"/>
  <c r="AJ32" i="23" l="1"/>
  <c r="AJ52" i="33"/>
  <c r="AJ94" i="23"/>
  <c r="K66" i="2" s="1"/>
  <c r="K90" i="2" s="1"/>
  <c r="S86" i="2"/>
  <c r="AI66" i="33"/>
  <c r="AI31" i="4"/>
  <c r="AL29" i="23"/>
  <c r="AL43" i="33"/>
  <c r="AL48" i="33" s="1"/>
  <c r="AL23" i="4" s="1"/>
  <c r="AK32" i="23"/>
  <c r="AK94" i="23"/>
  <c r="L66" i="2" s="1"/>
  <c r="L90" i="2" s="1"/>
  <c r="AK52" i="33"/>
  <c r="AK120" i="4"/>
  <c r="AI78" i="4"/>
  <c r="N84" i="2"/>
  <c r="AN28" i="23"/>
  <c r="AM27" i="23"/>
  <c r="AJ58" i="33" l="1"/>
  <c r="AJ61" i="33"/>
  <c r="AJ78" i="4"/>
  <c r="AI32" i="4"/>
  <c r="AI42" i="4"/>
  <c r="AI27" i="4"/>
  <c r="AR7" i="14"/>
  <c r="AR14" i="14" s="1"/>
  <c r="AI34" i="4"/>
  <c r="AM43" i="33"/>
  <c r="AM48" i="33" s="1"/>
  <c r="AM23" i="4" s="1"/>
  <c r="AM29" i="23"/>
  <c r="AL120" i="4"/>
  <c r="O84" i="2"/>
  <c r="AN27" i="23"/>
  <c r="S55" i="2"/>
  <c r="S56" i="2" s="1"/>
  <c r="S60" i="2" s="1"/>
  <c r="AK61" i="33"/>
  <c r="AL52" i="33"/>
  <c r="AL94" i="23"/>
  <c r="M66" i="2" s="1"/>
  <c r="M90" i="2" s="1"/>
  <c r="AL32" i="23"/>
  <c r="AJ31" i="4" l="1"/>
  <c r="AJ66" i="33"/>
  <c r="AM52" i="33"/>
  <c r="AM94" i="23"/>
  <c r="N66" i="2" s="1"/>
  <c r="N90" i="2" s="1"/>
  <c r="AM32" i="23"/>
  <c r="AI24" i="4"/>
  <c r="AI22" i="4" s="1"/>
  <c r="AI35" i="4"/>
  <c r="AI95" i="4"/>
  <c r="AK78" i="4"/>
  <c r="AM120" i="4"/>
  <c r="AL61" i="33"/>
  <c r="AN29" i="23"/>
  <c r="AN43" i="33"/>
  <c r="AN48" i="33" s="1"/>
  <c r="AN23" i="4" s="1"/>
  <c r="AJ27" i="4" l="1"/>
  <c r="AJ95" i="4" s="1"/>
  <c r="AJ42" i="4"/>
  <c r="AJ32" i="4"/>
  <c r="AJ34" i="4"/>
  <c r="AS7" i="14"/>
  <c r="AS14" i="14" s="1"/>
  <c r="AN52" i="33"/>
  <c r="AN32" i="23"/>
  <c r="AN94" i="23"/>
  <c r="O66" i="2" s="1"/>
  <c r="O90" i="2" s="1"/>
  <c r="AL78" i="4"/>
  <c r="AN120" i="4"/>
  <c r="AI96" i="4"/>
  <c r="AI102" i="4"/>
  <c r="AI117" i="4" s="1"/>
  <c r="AI20" i="4"/>
  <c r="J93" i="2"/>
  <c r="AM61" i="33"/>
  <c r="AJ24" i="4" l="1"/>
  <c r="AJ22" i="4" s="1"/>
  <c r="AJ35" i="4"/>
  <c r="AN61" i="33"/>
  <c r="AJ96" i="4"/>
  <c r="AJ55" i="4" s="1"/>
  <c r="AI15" i="4"/>
  <c r="J82" i="2"/>
  <c r="AI149" i="4"/>
  <c r="AI55" i="4"/>
  <c r="AM78" i="4"/>
  <c r="K93" i="2" l="1"/>
  <c r="AJ102" i="4"/>
  <c r="AJ117" i="4" s="1"/>
  <c r="AJ20" i="4"/>
  <c r="AN78" i="4"/>
  <c r="AI10" i="4"/>
  <c r="AI28" i="33"/>
  <c r="J85" i="2"/>
  <c r="J86" i="2" s="1"/>
  <c r="AJ149" i="4"/>
  <c r="K82" i="2" l="1"/>
  <c r="AJ15" i="4"/>
  <c r="AI83" i="4"/>
  <c r="AI9" i="4"/>
  <c r="AJ10" i="4" l="1"/>
  <c r="AJ9" i="4" s="1"/>
  <c r="AJ28" i="33"/>
  <c r="K85" i="2"/>
  <c r="K86" i="2" s="1"/>
  <c r="AI14" i="4"/>
  <c r="AJ83" i="4"/>
  <c r="AI118" i="4"/>
  <c r="AI84" i="4"/>
  <c r="AI98" i="4" s="1"/>
  <c r="AJ14" i="4" l="1"/>
  <c r="AI121" i="4"/>
  <c r="AJ118" i="4"/>
  <c r="AJ84" i="4"/>
  <c r="AJ98" i="4" s="1"/>
  <c r="AI140" i="4" l="1"/>
  <c r="AI145" i="4"/>
  <c r="J22" i="2"/>
  <c r="J29" i="2" s="1"/>
  <c r="AI57" i="4"/>
  <c r="S31" i="2" s="1"/>
  <c r="T75" i="2" s="1"/>
  <c r="T77" i="2" s="1"/>
  <c r="AJ121" i="4"/>
  <c r="AJ145" i="4" s="1"/>
  <c r="T78" i="2" l="1"/>
  <c r="T86" i="2"/>
  <c r="T84" i="2"/>
  <c r="T85" i="2"/>
  <c r="Z78" i="2"/>
  <c r="K22" i="2"/>
  <c r="K29" i="2" s="1"/>
  <c r="AJ140" i="4"/>
  <c r="AJ57" i="4" s="1"/>
  <c r="AI100" i="33"/>
  <c r="AI64" i="4"/>
  <c r="AI75" i="4" s="1"/>
  <c r="AI147" i="4"/>
  <c r="AI148" i="4" s="1"/>
  <c r="AI144" i="4"/>
  <c r="J77" i="2" s="1"/>
  <c r="J30" i="2"/>
  <c r="J40" i="2"/>
  <c r="J43" i="2" s="1"/>
  <c r="AJ100" i="33" l="1"/>
  <c r="AJ64" i="4"/>
  <c r="AJ75" i="4" s="1"/>
  <c r="AJ147" i="4"/>
  <c r="AJ148" i="4" s="1"/>
  <c r="AJ144" i="4"/>
  <c r="K77" i="2" s="1"/>
  <c r="K88" i="2" s="1"/>
  <c r="J80" i="2"/>
  <c r="J88" i="2"/>
  <c r="AI101" i="33"/>
  <c r="AI105" i="33"/>
  <c r="AJ104" i="33" s="1"/>
  <c r="K30" i="2"/>
  <c r="K40" i="2"/>
  <c r="K43" i="2" s="1"/>
  <c r="J69" i="2"/>
  <c r="AI99" i="4"/>
  <c r="AI100" i="4" l="1"/>
  <c r="AI1" i="4"/>
  <c r="AJ105" i="33"/>
  <c r="AK104" i="33" s="1"/>
  <c r="AJ103" i="33"/>
  <c r="AJ101" i="33"/>
  <c r="K80" i="2"/>
  <c r="K91" i="2" s="1"/>
  <c r="J72" i="2"/>
  <c r="J75" i="2"/>
  <c r="K69" i="2"/>
  <c r="AJ99" i="4"/>
  <c r="J91" i="2"/>
  <c r="AJ100" i="4" l="1"/>
  <c r="AJ1" i="4"/>
  <c r="AK103" i="33"/>
  <c r="K72" i="2"/>
  <c r="K75" i="2"/>
  <c r="AK22" i="34" l="1"/>
  <c r="AK20" i="34"/>
  <c r="AK21" i="34"/>
  <c r="AK2" i="34"/>
  <c r="AK19" i="34" l="1"/>
  <c r="AK25" i="34" s="1"/>
  <c r="AK54" i="33"/>
  <c r="AK58" i="33" l="1"/>
  <c r="AK63" i="33"/>
  <c r="AK66" i="33" l="1"/>
  <c r="AK31" i="4"/>
  <c r="AT7" i="14" l="1"/>
  <c r="AT14" i="14" s="1"/>
  <c r="AK32" i="4"/>
  <c r="AK42" i="4"/>
  <c r="AK27" i="4"/>
  <c r="AK34" i="4"/>
  <c r="AK95" i="4" l="1"/>
  <c r="AK24" i="4"/>
  <c r="AK22" i="4" s="1"/>
  <c r="AK35" i="4"/>
  <c r="AK96" i="4" l="1"/>
  <c r="AK102" i="4"/>
  <c r="AK117" i="4" s="1"/>
  <c r="L93" i="2"/>
  <c r="AK20" i="4"/>
  <c r="AK149" i="4" l="1"/>
  <c r="AK55" i="4"/>
  <c r="AK15" i="4"/>
  <c r="L82" i="2"/>
  <c r="L85" i="2" l="1"/>
  <c r="L86" i="2" s="1"/>
  <c r="AK28" i="33"/>
  <c r="AK10" i="4"/>
  <c r="AK9" i="4" l="1"/>
  <c r="AK83" i="4"/>
  <c r="AK118" i="4" l="1"/>
  <c r="AK84" i="4"/>
  <c r="AK98" i="4" s="1"/>
  <c r="AK14" i="4"/>
  <c r="AK121" i="4" l="1"/>
  <c r="AK145" i="4" s="1"/>
  <c r="AK140" i="4" l="1"/>
  <c r="AK57" i="4" s="1"/>
  <c r="L22" i="2"/>
  <c r="L29" i="2" s="1"/>
  <c r="AK64" i="4" l="1"/>
  <c r="AK75" i="4" s="1"/>
  <c r="AK100" i="33"/>
  <c r="AK147" i="4"/>
  <c r="AK148" i="4" s="1"/>
  <c r="AK144" i="4"/>
  <c r="L77" i="2" s="1"/>
  <c r="L30" i="2"/>
  <c r="L40" i="2"/>
  <c r="L43" i="2" s="1"/>
  <c r="L69" i="2" l="1"/>
  <c r="AK99" i="4"/>
  <c r="L80" i="2"/>
  <c r="L91" i="2" s="1"/>
  <c r="L88" i="2"/>
  <c r="AK101" i="33"/>
  <c r="AK105" i="33"/>
  <c r="AL104" i="33" s="1"/>
  <c r="AL103" i="33" l="1"/>
  <c r="L75" i="2"/>
  <c r="L72" i="2"/>
  <c r="AK100" i="4"/>
  <c r="AK1" i="4"/>
  <c r="AL21" i="34"/>
  <c r="AL22" i="34"/>
  <c r="AM21" i="34"/>
  <c r="AM22" i="34"/>
  <c r="AN22" i="34"/>
  <c r="AN21" i="34"/>
  <c r="AN2" i="34"/>
  <c r="AM20" i="34"/>
  <c r="AM19" i="34" l="1"/>
  <c r="AM25" i="34" s="1"/>
  <c r="AM54" i="33"/>
  <c r="AM58" i="33" l="1"/>
  <c r="AM31" i="4" l="1"/>
  <c r="AM34" i="4" l="1"/>
  <c r="AM42" i="4"/>
  <c r="AV7" i="14"/>
  <c r="AV14" i="14" s="1"/>
  <c r="AM27" i="4"/>
  <c r="AM35" i="4" l="1"/>
  <c r="AM24" i="4"/>
  <c r="AM22" i="4" s="1"/>
  <c r="N93" i="2" l="1"/>
  <c r="AM102" i="4"/>
  <c r="AM117" i="4" s="1"/>
  <c r="AM20" i="4"/>
  <c r="AM2" i="34"/>
  <c r="AN20" i="34"/>
  <c r="AN19" i="34" s="1"/>
  <c r="AN25" i="34" l="1"/>
  <c r="AN54" i="33"/>
  <c r="AM15" i="4"/>
  <c r="N82" i="2"/>
  <c r="N85" i="2" l="1"/>
  <c r="N86" i="2" s="1"/>
  <c r="AM28" i="33"/>
  <c r="AM10" i="4"/>
  <c r="AM9" i="4" s="1"/>
  <c r="AN63" i="33"/>
  <c r="AN58" i="33"/>
  <c r="AM14" i="4" l="1"/>
  <c r="AN66" i="33"/>
  <c r="AN31" i="4"/>
  <c r="AN34" i="4" l="1"/>
  <c r="AW7" i="14"/>
  <c r="AW14" i="14" s="1"/>
  <c r="AN42" i="4"/>
  <c r="AN32" i="4"/>
  <c r="AN27" i="4"/>
  <c r="AN35" i="4" l="1"/>
  <c r="AN24" i="4"/>
  <c r="AN22" i="4" s="1"/>
  <c r="S12" i="2" l="1"/>
  <c r="O93" i="2"/>
  <c r="AN102" i="4"/>
  <c r="AN117" i="4" s="1"/>
  <c r="AN20" i="4"/>
  <c r="AN15" i="4" l="1"/>
  <c r="O82" i="2"/>
  <c r="O85" i="2" l="1"/>
  <c r="AN10" i="4"/>
  <c r="AN9" i="4" s="1"/>
  <c r="AN14" i="4" s="1"/>
  <c r="AN28" i="33"/>
  <c r="S11" i="2"/>
  <c r="U54" i="2" l="1"/>
  <c r="S13" i="2"/>
  <c r="O86" i="2"/>
  <c r="U56" i="2" l="1"/>
  <c r="U55" i="2" l="1"/>
  <c r="AL2" i="34"/>
  <c r="AL20" i="34"/>
  <c r="AL19" i="34" l="1"/>
  <c r="AL25" i="34" l="1"/>
  <c r="AL54" i="33"/>
  <c r="AL63" i="33" l="1"/>
  <c r="AM63" i="33"/>
  <c r="AL58" i="33"/>
  <c r="AL66" i="33" l="1"/>
  <c r="AM66" i="33"/>
  <c r="AL31" i="4"/>
  <c r="AL34" i="4" l="1"/>
  <c r="AL32" i="4"/>
  <c r="AL42" i="4"/>
  <c r="AU7" i="14"/>
  <c r="AU14" i="14" s="1"/>
  <c r="AM32" i="4"/>
  <c r="AL27" i="4"/>
  <c r="AL35" i="4" l="1"/>
  <c r="AL95" i="4"/>
  <c r="AL24" i="4"/>
  <c r="AL22" i="4" s="1"/>
  <c r="AL96" i="4" l="1"/>
  <c r="AM95" i="4"/>
  <c r="M93" i="2"/>
  <c r="AL20" i="4"/>
  <c r="AL102" i="4"/>
  <c r="AL117" i="4" s="1"/>
  <c r="M82" i="2" l="1"/>
  <c r="AL15" i="4"/>
  <c r="AN95" i="4"/>
  <c r="AN96" i="4" s="1"/>
  <c r="AM96" i="4"/>
  <c r="AL149" i="4"/>
  <c r="AL55" i="4"/>
  <c r="AM149" i="4" l="1"/>
  <c r="AN55" i="4"/>
  <c r="AN149" i="4"/>
  <c r="AL28" i="33"/>
  <c r="AL10" i="4"/>
  <c r="AM55" i="4"/>
  <c r="M85" i="2"/>
  <c r="M86" i="2" l="1"/>
  <c r="AL83" i="4"/>
  <c r="AL9" i="4"/>
  <c r="AL14" i="4" l="1"/>
  <c r="AM83" i="4"/>
  <c r="AL84" i="4"/>
  <c r="AL98" i="4" s="1"/>
  <c r="AL118" i="4"/>
  <c r="AM84" i="4" l="1"/>
  <c r="AM98" i="4" s="1"/>
  <c r="AN83" i="4"/>
  <c r="AM118" i="4"/>
  <c r="AL121" i="4"/>
  <c r="AL145" i="4" s="1"/>
  <c r="AM121" i="4" l="1"/>
  <c r="AM140" i="4"/>
  <c r="AL140" i="4"/>
  <c r="AL57" i="4" s="1"/>
  <c r="M22" i="2"/>
  <c r="M29" i="2" s="1"/>
  <c r="AN84" i="4"/>
  <c r="AN98" i="4" s="1"/>
  <c r="AN118" i="4"/>
  <c r="AN121" i="4" s="1"/>
  <c r="AN145" i="4" s="1"/>
  <c r="N22" i="2" l="1"/>
  <c r="N29" i="2" s="1"/>
  <c r="N40" i="2" s="1"/>
  <c r="N43" i="2" s="1"/>
  <c r="AM145" i="4"/>
  <c r="M40" i="2"/>
  <c r="M43" i="2" s="1"/>
  <c r="M30" i="2"/>
  <c r="AN140" i="4"/>
  <c r="O22" i="2"/>
  <c r="O29" i="2" s="1"/>
  <c r="AL147" i="4"/>
  <c r="AL148" i="4" s="1"/>
  <c r="AL64" i="4"/>
  <c r="AL75" i="4" s="1"/>
  <c r="AL100" i="33"/>
  <c r="AM57" i="4"/>
  <c r="AL144" i="4"/>
  <c r="M77" i="2" s="1"/>
  <c r="N30" i="2" l="1"/>
  <c r="AL101" i="33"/>
  <c r="AL105" i="33"/>
  <c r="AM104" i="33" s="1"/>
  <c r="O40" i="2"/>
  <c r="O43" i="2" s="1"/>
  <c r="O30" i="2"/>
  <c r="M69" i="2"/>
  <c r="AL99" i="4"/>
  <c r="M80" i="2"/>
  <c r="M88" i="2"/>
  <c r="AM147" i="4"/>
  <c r="AM148" i="4" s="1"/>
  <c r="AM100" i="33"/>
  <c r="AM64" i="4"/>
  <c r="AM75" i="4" s="1"/>
  <c r="AN57" i="4"/>
  <c r="AM144" i="4"/>
  <c r="N77" i="2" s="1"/>
  <c r="N88" i="2" s="1"/>
  <c r="S28" i="2" l="1"/>
  <c r="U71" i="2" s="1"/>
  <c r="AN147" i="4"/>
  <c r="AN148" i="4" s="1"/>
  <c r="AN100" i="33"/>
  <c r="AN101" i="33" s="1"/>
  <c r="AN64" i="4"/>
  <c r="AN75" i="4" s="1"/>
  <c r="AN144" i="4"/>
  <c r="O77" i="2" s="1"/>
  <c r="AM105" i="33"/>
  <c r="AN104" i="33" s="1"/>
  <c r="AM103" i="33"/>
  <c r="AM101" i="33"/>
  <c r="M91" i="2"/>
  <c r="AL100" i="4"/>
  <c r="AL1" i="4"/>
  <c r="N69" i="2"/>
  <c r="AM99" i="4"/>
  <c r="M72" i="2"/>
  <c r="M75" i="2"/>
  <c r="N80" i="2"/>
  <c r="N91" i="2" s="1"/>
  <c r="S14" i="2"/>
  <c r="O88" i="2" l="1"/>
  <c r="S20" i="2"/>
  <c r="U57" i="2"/>
  <c r="W57" i="2" s="1"/>
  <c r="AM1" i="4"/>
  <c r="AM100" i="4"/>
  <c r="O80" i="2"/>
  <c r="S15" i="2"/>
  <c r="S16" i="2" s="1"/>
  <c r="S17" i="2" s="1"/>
  <c r="N75" i="2"/>
  <c r="N72" i="2"/>
  <c r="O69" i="2"/>
  <c r="AN99" i="4"/>
  <c r="S43" i="2"/>
  <c r="S27" i="2" s="1"/>
  <c r="U72" i="2" s="1"/>
  <c r="AN103" i="33"/>
  <c r="AN105" i="33"/>
  <c r="U58" i="2" l="1"/>
  <c r="W58" i="2" s="1"/>
  <c r="O91" i="2"/>
  <c r="O72" i="2"/>
  <c r="O75" i="2"/>
  <c r="AN100" i="4"/>
  <c r="AN1" i="4"/>
  <c r="U59" i="2" l="1"/>
  <c r="U60" i="2" s="1"/>
  <c r="U63" i="2"/>
  <c r="U65" i="2" s="1"/>
  <c r="V64" i="2"/>
  <c r="S22" i="2" l="1"/>
  <c r="S21" i="2" s="1"/>
  <c r="B13" i="2" s="1"/>
  <c r="U67" i="2"/>
  <c r="S24" i="2" s="1"/>
  <c r="S5" i="2" l="1"/>
  <c r="S8" i="2" s="1"/>
  <c r="S26" i="2"/>
  <c r="S23" i="2"/>
  <c r="V8" i="2" l="1"/>
  <c r="U69" i="2"/>
  <c r="U74" i="2" s="1"/>
  <c r="S30" i="2"/>
  <c r="S93" i="2" l="1"/>
  <c r="T93" i="2"/>
  <c r="S36" i="2"/>
  <c r="S37" i="2" s="1"/>
  <c r="W75" i="2"/>
  <c r="U77" i="2"/>
  <c r="Z79" i="2" s="1"/>
  <c r="U93" i="2"/>
  <c r="T51" i="2" l="1"/>
  <c r="T47" i="2"/>
  <c r="T48" i="2"/>
  <c r="T49" i="2"/>
  <c r="W83" i="2"/>
  <c r="T50" i="2"/>
  <c r="T46" i="2"/>
  <c r="U84" i="2"/>
  <c r="U85" i="2"/>
  <c r="U78" i="2"/>
  <c r="U86" i="2"/>
  <c r="T79" i="2" l="1"/>
  <c r="U79" i="2"/>
  <c r="S79" i="2"/>
  <c r="S47" i="2"/>
  <c r="S51" i="2"/>
  <c r="E3" i="2"/>
  <c r="S50" i="2"/>
  <c r="S49" i="2"/>
  <c r="AR18" i="14"/>
  <c r="S46" i="2"/>
  <c r="U37" i="2"/>
  <c r="S48" i="2"/>
  <c r="T37" i="2"/>
  <c r="AA77" i="2"/>
  <c r="AA79" i="2"/>
  <c r="AA78" i="2"/>
  <c r="E5" i="2" l="1"/>
  <c r="AD1"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Eason Tang</author>
    <author>Sun, Abigail</author>
    <author>Liu, Ken</author>
  </authors>
  <commentList>
    <comment ref="B3" authorId="0" shapeId="0" xr:uid="{FFD795A9-2EE3-4D05-9DB1-0B212FFC05DC}">
      <text>
        <r>
          <rPr>
            <b/>
            <sz val="9"/>
            <color indexed="81"/>
            <rFont val="Tahoma"/>
            <family val="2"/>
          </rPr>
          <t>Eason Tang:</t>
        </r>
        <r>
          <rPr>
            <sz val="9"/>
            <color indexed="81"/>
            <rFont val="Tahoma"/>
            <family val="2"/>
          </rPr>
          <t xml:space="preserve">
UBS 2025E</t>
        </r>
      </text>
    </comment>
    <comment ref="B7" authorId="0" shapeId="0" xr:uid="{4EC8845D-4915-415A-8A9C-E0C1ED8ACB24}">
      <text>
        <r>
          <rPr>
            <b/>
            <sz val="9"/>
            <color indexed="81"/>
            <rFont val="Tahoma"/>
            <family val="2"/>
          </rPr>
          <t>Eason Tang:</t>
        </r>
        <r>
          <rPr>
            <sz val="9"/>
            <color indexed="81"/>
            <rFont val="Tahoma"/>
            <family val="2"/>
          </rPr>
          <t xml:space="preserve">
based on 1.91% HK 10 year bond yield in 2025E</t>
        </r>
      </text>
    </comment>
    <comment ref="S35" authorId="1" shapeId="0" xr:uid="{00000000-0006-0000-0300-000001000000}">
      <text>
        <r>
          <rPr>
            <b/>
            <sz val="9"/>
            <color indexed="81"/>
            <rFont val="Tahoma"/>
            <family val="2"/>
          </rPr>
          <t>Sun, Abigail:</t>
        </r>
        <r>
          <rPr>
            <sz val="9"/>
            <color indexed="81"/>
            <rFont val="Tahoma"/>
            <family val="2"/>
          </rPr>
          <t xml:space="preserve">
including India 40%</t>
        </r>
      </text>
    </comment>
    <comment ref="A43" authorId="2" shapeId="0" xr:uid="{00000000-0006-0000-0300-000002000000}">
      <text>
        <r>
          <rPr>
            <b/>
            <sz val="9"/>
            <color indexed="81"/>
            <rFont val="Tahoma"/>
            <family val="2"/>
          </rPr>
          <t>Liu, Ken:</t>
        </r>
        <r>
          <rPr>
            <sz val="9"/>
            <color indexed="81"/>
            <rFont val="Tahoma"/>
            <family val="2"/>
          </rPr>
          <t xml:space="preserve">
China and India mostly</t>
        </r>
      </text>
    </comment>
    <comment ref="A47" authorId="1" shapeId="0" xr:uid="{00000000-0006-0000-0300-000003000000}">
      <text>
        <r>
          <rPr>
            <b/>
            <sz val="9"/>
            <color indexed="81"/>
            <rFont val="Tahoma"/>
            <family val="2"/>
          </rPr>
          <t>Sun, Abigail:</t>
        </r>
        <r>
          <rPr>
            <sz val="9"/>
            <color indexed="81"/>
            <rFont val="Tahoma"/>
            <family val="2"/>
          </rPr>
          <t xml:space="preserve">
Historical average - 1yr forward PE
</t>
        </r>
      </text>
    </comment>
    <comment ref="U55" authorId="2" shapeId="0" xr:uid="{00000000-0006-0000-0300-000004000000}">
      <text>
        <r>
          <rPr>
            <b/>
            <sz val="9"/>
            <color indexed="81"/>
            <rFont val="Tahoma"/>
            <family val="2"/>
          </rPr>
          <t>Liu, Ken:</t>
        </r>
        <r>
          <rPr>
            <sz val="9"/>
            <color indexed="81"/>
            <rFont val="Tahoma"/>
            <family val="2"/>
          </rPr>
          <t xml:space="preserve">
effective interest rate of India has been high in the past</t>
        </r>
      </text>
    </comment>
    <comment ref="U75" authorId="1" shapeId="0" xr:uid="{00000000-0006-0000-0300-000005000000}">
      <text>
        <r>
          <rPr>
            <b/>
            <sz val="9"/>
            <color indexed="81"/>
            <rFont val="Tahoma"/>
            <family val="2"/>
          </rPr>
          <t>Sun, Abigail:</t>
        </r>
        <r>
          <rPr>
            <sz val="9"/>
            <color indexed="81"/>
            <rFont val="Tahoma"/>
            <family val="2"/>
          </rPr>
          <t xml:space="preserve">
net debt of other segments at end-2016, assuming no cash</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Sun, Abigail</author>
    <author>powda</author>
    <author>Wu, Sophie</author>
    <author>Lam, Jarvis</author>
    <author>Stephen Oldfield</author>
    <author>William Li</author>
    <author>huangdaa</author>
    <author>Peng Yuxiao</author>
    <author>Ken Liu</author>
    <author>Li, William-W</author>
    <author>Liu, Ken</author>
    <author>Eason Tang</author>
    <author>A satisfied Microsoft Office user</author>
  </authors>
  <commentList>
    <comment ref="Y2" authorId="0" shapeId="0" xr:uid="{00000000-0006-0000-0400-000001000000}">
      <text>
        <r>
          <rPr>
            <b/>
            <sz val="9"/>
            <color indexed="81"/>
            <rFont val="Tahoma"/>
            <family val="2"/>
          </rPr>
          <t>Sun, Abigail:</t>
        </r>
        <r>
          <rPr>
            <sz val="9"/>
            <color indexed="81"/>
            <rFont val="Tahoma"/>
            <family val="2"/>
          </rPr>
          <t xml:space="preserve">
restated in 2016
</t>
        </r>
      </text>
    </comment>
    <comment ref="W9" authorId="0" shapeId="0" xr:uid="{00000000-0006-0000-0400-000002000000}">
      <text>
        <r>
          <rPr>
            <b/>
            <sz val="9"/>
            <color indexed="81"/>
            <rFont val="Tahoma"/>
            <family val="2"/>
          </rPr>
          <t>Sun, Abigail:</t>
        </r>
        <r>
          <rPr>
            <sz val="9"/>
            <color indexed="81"/>
            <rFont val="Tahoma"/>
            <family val="2"/>
          </rPr>
          <t xml:space="preserve">
HK$6bn in "fuel and other operating expense"
</t>
        </r>
      </text>
    </comment>
    <comment ref="R16" authorId="1" shapeId="0" xr:uid="{00000000-0006-0000-0400-000003000000}">
      <text>
        <r>
          <rPr>
            <b/>
            <sz val="8"/>
            <color indexed="81"/>
            <rFont val="Tahoma"/>
            <family val="2"/>
          </rPr>
          <t>powda:</t>
        </r>
        <r>
          <rPr>
            <sz val="8"/>
            <color indexed="81"/>
            <rFont val="Tahoma"/>
            <family val="2"/>
          </rPr>
          <t xml:space="preserve">
P.139/162 AR08</t>
        </r>
      </text>
    </comment>
    <comment ref="AC16" authorId="2" shapeId="0" xr:uid="{00000000-0006-0000-0400-000004000000}">
      <text>
        <r>
          <rPr>
            <b/>
            <sz val="9"/>
            <color indexed="81"/>
            <rFont val="Tahoma"/>
            <family val="2"/>
          </rPr>
          <t>Wu, Sophie:</t>
        </r>
        <r>
          <rPr>
            <sz val="9"/>
            <color indexed="81"/>
            <rFont val="Tahoma"/>
            <family val="2"/>
          </rPr>
          <t xml:space="preserve">
impaiment on EnergyAustralia</t>
        </r>
      </text>
    </comment>
    <comment ref="AE16" authorId="3" shapeId="0" xr:uid="{00000000-0006-0000-0400-000005000000}">
      <text>
        <r>
          <rPr>
            <b/>
            <sz val="9"/>
            <color indexed="81"/>
            <rFont val="Tahoma"/>
            <family val="2"/>
          </rPr>
          <t>Lam, Jarvis:</t>
        </r>
        <r>
          <rPr>
            <sz val="9"/>
            <color indexed="81"/>
            <rFont val="Tahoma"/>
            <family val="2"/>
          </rPr>
          <t xml:space="preserve">
Litigation settlement related to disposal of
Iona Gas Plant</t>
        </r>
      </text>
    </comment>
    <comment ref="AF16" authorId="3" shapeId="0" xr:uid="{00000000-0006-0000-0400-000006000000}">
      <text>
        <r>
          <rPr>
            <b/>
            <sz val="9"/>
            <color indexed="81"/>
            <rFont val="Tahoma"/>
            <family val="2"/>
          </rPr>
          <t>Lam, Jarvis:</t>
        </r>
        <r>
          <rPr>
            <sz val="9"/>
            <color indexed="81"/>
            <rFont val="Tahoma"/>
            <family val="2"/>
          </rPr>
          <t xml:space="preserve">
Loss on sale of Apraava Energy from 60% to 50%. </t>
        </r>
      </text>
    </comment>
    <comment ref="H23" authorId="4" shapeId="0" xr:uid="{00000000-0006-0000-0400-000007000000}">
      <text>
        <r>
          <rPr>
            <b/>
            <sz val="8"/>
            <color indexed="81"/>
            <rFont val="Tahoma"/>
            <family val="2"/>
          </rPr>
          <t>Stephen Oldfield:</t>
        </r>
        <r>
          <rPr>
            <sz val="8"/>
            <color indexed="81"/>
            <rFont val="Tahoma"/>
            <family val="2"/>
          </rPr>
          <t xml:space="preserve">
addback of tax on Laguna Verde as we take profits below the line</t>
        </r>
      </text>
    </comment>
    <comment ref="X25" authorId="5" shapeId="0" xr:uid="{00000000-0006-0000-0400-000008000000}">
      <text>
        <r>
          <rPr>
            <b/>
            <sz val="9"/>
            <color indexed="81"/>
            <rFont val="Tahoma"/>
            <family val="2"/>
          </rPr>
          <t>William Li:</t>
        </r>
        <r>
          <rPr>
            <sz val="9"/>
            <color indexed="81"/>
            <rFont val="Tahoma"/>
            <family val="2"/>
          </rPr>
          <t xml:space="preserve">
-152 for perpetual capital securities holders</t>
        </r>
      </text>
    </comment>
    <comment ref="AC25" authorId="0" shapeId="0" xr:uid="{00000000-0006-0000-0400-000009000000}">
      <text>
        <r>
          <rPr>
            <b/>
            <sz val="9"/>
            <color indexed="81"/>
            <rFont val="Tahoma"/>
            <family val="2"/>
          </rPr>
          <t>Sun, Abigail:</t>
        </r>
        <r>
          <rPr>
            <sz val="9"/>
            <color indexed="81"/>
            <rFont val="Tahoma"/>
            <family val="2"/>
          </rPr>
          <t xml:space="preserve">
selling 40% of CLP India to CDPQ in end-18</t>
        </r>
      </text>
    </comment>
    <comment ref="H27" authorId="6" shapeId="0" xr:uid="{00000000-0006-0000-0400-00000A000000}">
      <text>
        <r>
          <rPr>
            <b/>
            <sz val="8"/>
            <color indexed="81"/>
            <rFont val="Tahoma"/>
            <family val="2"/>
          </rPr>
          <t>Danny:</t>
        </r>
        <r>
          <rPr>
            <sz val="8"/>
            <color indexed="81"/>
            <rFont val="Tahoma"/>
            <family val="2"/>
          </rPr>
          <t xml:space="preserve">
Adjusted SOC and JCEs</t>
        </r>
      </text>
    </comment>
    <comment ref="I27" authorId="6" shapeId="0" xr:uid="{00000000-0006-0000-0400-00000B000000}">
      <text>
        <r>
          <rPr>
            <b/>
            <sz val="8"/>
            <color indexed="81"/>
            <rFont val="Tahoma"/>
            <family val="2"/>
          </rPr>
          <t>Danny:</t>
        </r>
        <r>
          <rPr>
            <sz val="8"/>
            <color indexed="81"/>
            <rFont val="Tahoma"/>
            <family val="2"/>
          </rPr>
          <t xml:space="preserve">
Adjusted SOC and JCE</t>
        </r>
      </text>
    </comment>
    <comment ref="L27" authorId="6" shapeId="0" xr:uid="{00000000-0006-0000-0400-00000C000000}">
      <text>
        <r>
          <rPr>
            <b/>
            <sz val="8"/>
            <color indexed="81"/>
            <rFont val="Tahoma"/>
            <family val="2"/>
          </rPr>
          <t>Danny:</t>
        </r>
        <r>
          <rPr>
            <sz val="8"/>
            <color indexed="81"/>
            <rFont val="Tahoma"/>
            <family val="2"/>
          </rPr>
          <t xml:space="preserve">
Adjusted International</t>
        </r>
      </text>
    </comment>
    <comment ref="M27" authorId="6" shapeId="0" xr:uid="{00000000-0006-0000-0400-00000D000000}">
      <text>
        <r>
          <rPr>
            <b/>
            <sz val="8"/>
            <color indexed="81"/>
            <rFont val="Tahoma"/>
            <family val="2"/>
          </rPr>
          <t>Danny:</t>
        </r>
        <r>
          <rPr>
            <sz val="8"/>
            <color indexed="81"/>
            <rFont val="Tahoma"/>
            <family val="2"/>
          </rPr>
          <t xml:space="preserve">
Adjused SOC and Non-SOC</t>
        </r>
      </text>
    </comment>
    <comment ref="R28" authorId="1" shapeId="0" xr:uid="{00000000-0006-0000-0400-00000E000000}">
      <text>
        <r>
          <rPr>
            <b/>
            <sz val="8"/>
            <color indexed="81"/>
            <rFont val="Tahoma"/>
            <family val="2"/>
          </rPr>
          <t>powda:</t>
        </r>
        <r>
          <rPr>
            <sz val="8"/>
            <color indexed="81"/>
            <rFont val="Tahoma"/>
            <family val="2"/>
          </rPr>
          <t xml:space="preserve">
Gain on sale of SEAGas +432
Coal mine subsidence 127
Amortisation of TIPS contracts -108
Gain on CLP Guohua restructuring +225</t>
        </r>
      </text>
    </comment>
    <comment ref="S28" authorId="7" shapeId="0" xr:uid="{00000000-0006-0000-0400-00000F000000}">
      <text>
        <r>
          <rPr>
            <b/>
            <sz val="8"/>
            <color indexed="81"/>
            <rFont val="Tahoma"/>
            <family val="2"/>
          </rPr>
          <t>Peng Yuxiao:</t>
        </r>
        <r>
          <rPr>
            <sz val="8"/>
            <color indexed="81"/>
            <rFont val="Tahoma"/>
            <family val="2"/>
          </rPr>
          <t xml:space="preserve">
Coal mine subsidence -1
Amortisation of TIPS contracts -16
1H09 write down of solar systems  -346
Impairment of Boxing biomass project  -15
Net gain on Jhajjar foreign exchange hedging 171
Gain on sales of PGS in Thailand 153
Fair value gain on financial derivatives of EGCO 39
Provision for investment in OneEnergy -131</t>
        </r>
      </text>
    </comment>
    <comment ref="V28" authorId="8" shapeId="0" xr:uid="{00000000-0006-0000-0400-000010000000}">
      <text>
        <r>
          <rPr>
            <b/>
            <sz val="8"/>
            <color indexed="81"/>
            <rFont val="Tahoma"/>
            <family val="2"/>
          </rPr>
          <t>Ken Liu:</t>
        </r>
        <r>
          <rPr>
            <sz val="8"/>
            <color indexed="81"/>
            <rFont val="Tahoma"/>
            <family val="2"/>
          </rPr>
          <t xml:space="preserve">
Tax consolidation benefit in AU</t>
        </r>
      </text>
    </comment>
    <comment ref="W28" authorId="0" shapeId="0" xr:uid="{00000000-0006-0000-0400-000011000000}">
      <text>
        <r>
          <rPr>
            <b/>
            <sz val="9"/>
            <color indexed="81"/>
            <rFont val="Tahoma"/>
            <family val="2"/>
          </rPr>
          <t>Sun, Abigail:</t>
        </r>
        <r>
          <rPr>
            <sz val="9"/>
            <color indexed="81"/>
            <rFont val="Tahoma"/>
            <family val="2"/>
          </rPr>
          <t xml:space="preserve">
AU
</t>
        </r>
      </text>
    </comment>
    <comment ref="X28" authorId="5" shapeId="0" xr:uid="{00000000-0006-0000-0400-000012000000}">
      <text>
        <r>
          <rPr>
            <b/>
            <sz val="9"/>
            <color indexed="81"/>
            <rFont val="Tahoma"/>
            <family val="2"/>
          </rPr>
          <t>William Li:</t>
        </r>
        <r>
          <rPr>
            <sz val="9"/>
            <color indexed="81"/>
            <rFont val="Tahoma"/>
            <family val="2"/>
          </rPr>
          <t xml:space="preserve">
+1953 net gain on CAPCO and PSDC</t>
        </r>
      </text>
    </comment>
    <comment ref="Y28" authorId="9" shapeId="0" xr:uid="{00000000-0006-0000-0400-000013000000}">
      <text>
        <r>
          <rPr>
            <b/>
            <sz val="9"/>
            <color indexed="81"/>
            <rFont val="Tahoma"/>
            <family val="2"/>
          </rPr>
          <t>Li, William-W:</t>
        </r>
        <r>
          <rPr>
            <sz val="9"/>
            <color indexed="81"/>
            <rFont val="Tahoma"/>
            <family val="2"/>
          </rPr>
          <t xml:space="preserve">
Gain on the dispoal of Iona post tax</t>
        </r>
      </text>
    </comment>
    <comment ref="J29" authorId="4" shapeId="0" xr:uid="{00000000-0006-0000-0400-000014000000}">
      <text>
        <r>
          <rPr>
            <b/>
            <sz val="8"/>
            <color indexed="81"/>
            <rFont val="Tahoma"/>
            <family val="2"/>
          </rPr>
          <t>Stephen Oldfield:</t>
        </r>
        <r>
          <rPr>
            <sz val="8"/>
            <color indexed="81"/>
            <rFont val="Tahoma"/>
            <family val="2"/>
          </rPr>
          <t xml:space="preserve">
HK$130 million wirte-down of YTL Power, HK$900 million write-down of EGCO</t>
        </r>
      </text>
    </comment>
    <comment ref="M30" authorId="0" shapeId="0" xr:uid="{00000000-0006-0000-0400-000015000000}">
      <text>
        <r>
          <rPr>
            <b/>
            <sz val="9"/>
            <color indexed="81"/>
            <rFont val="Tahoma"/>
            <family val="2"/>
          </rPr>
          <t>Sun, Abigail:</t>
        </r>
        <r>
          <rPr>
            <sz val="9"/>
            <color indexed="81"/>
            <rFont val="Tahoma"/>
            <family val="2"/>
          </rPr>
          <t xml:space="preserve">
property disposal gain/Hok Un redevelopment profit</t>
        </r>
      </text>
    </comment>
    <comment ref="V30" authorId="8" shapeId="0" xr:uid="{00000000-0006-0000-0400-000016000000}">
      <text>
        <r>
          <rPr>
            <b/>
            <sz val="8"/>
            <color indexed="81"/>
            <rFont val="Tahoma"/>
            <family val="2"/>
          </rPr>
          <t>Ken Liu:</t>
        </r>
        <r>
          <rPr>
            <sz val="8"/>
            <color indexed="81"/>
            <rFont val="Tahoma"/>
            <family val="2"/>
          </rPr>
          <t xml:space="preserve">
Yallourn outage</t>
        </r>
      </text>
    </comment>
    <comment ref="X30" authorId="10" shapeId="0" xr:uid="{00000000-0006-0000-0400-000017000000}">
      <text>
        <r>
          <rPr>
            <b/>
            <sz val="9"/>
            <color indexed="81"/>
            <rFont val="Tahoma"/>
            <family val="2"/>
          </rPr>
          <t>Liu, Ken:</t>
        </r>
        <r>
          <rPr>
            <sz val="9"/>
            <color indexed="81"/>
            <rFont val="Tahoma"/>
            <family val="2"/>
          </rPr>
          <t xml:space="preserve">
deemed disposal gain (goodwill + revaluation gain) of 40% CAPCO =+(12000-6801.5)/0.3*0.4-741*0.4
termination of lease accounting loss -4508
deemed disposal gain of 49% interest in PSDC =(3790-44)*0.49
245 REVAL on argyle st site</t>
        </r>
      </text>
    </comment>
    <comment ref="Y30" authorId="9" shapeId="0" xr:uid="{00000000-0006-0000-0400-000018000000}">
      <text>
        <r>
          <rPr>
            <b/>
            <sz val="9"/>
            <color indexed="81"/>
            <rFont val="Tahoma"/>
            <family val="2"/>
          </rPr>
          <t>Li, William-W:</t>
        </r>
        <r>
          <rPr>
            <sz val="9"/>
            <color indexed="81"/>
            <rFont val="Tahoma"/>
            <family val="2"/>
          </rPr>
          <t xml:space="preserve">
Breakfee on EnergyAus debt: -858
Provision for EnergyAus: -1480</t>
        </r>
      </text>
    </comment>
    <comment ref="S45" authorId="7" shapeId="0" xr:uid="{00000000-0006-0000-0400-000019000000}">
      <text>
        <r>
          <rPr>
            <b/>
            <sz val="8"/>
            <color indexed="81"/>
            <rFont val="Tahoma"/>
            <family val="2"/>
          </rPr>
          <t>Peng Yuxiao:</t>
        </r>
        <r>
          <rPr>
            <sz val="8"/>
            <color indexed="81"/>
            <rFont val="Tahoma"/>
            <family val="2"/>
          </rPr>
          <t xml:space="preserve">
Q1 DPS: HK$0.52</t>
        </r>
      </text>
    </comment>
    <comment ref="AI49" authorId="11" shapeId="0" xr:uid="{DB32C55C-8975-4FD4-85AA-BC443C1D4C6C}">
      <text>
        <r>
          <rPr>
            <b/>
            <sz val="9"/>
            <color indexed="81"/>
            <rFont val="Tahoma"/>
            <family val="2"/>
          </rPr>
          <t>Eason Tang:</t>
        </r>
        <r>
          <rPr>
            <sz val="9"/>
            <color indexed="81"/>
            <rFont val="Tahoma"/>
            <family val="2"/>
          </rPr>
          <t xml:space="preserve">
assume flat given near term fundamental challenge from oversea business</t>
        </r>
      </text>
    </comment>
    <comment ref="R52" authorId="1" shapeId="0" xr:uid="{00000000-0006-0000-0400-00001A000000}">
      <text>
        <r>
          <rPr>
            <b/>
            <sz val="8"/>
            <color indexed="81"/>
            <rFont val="Tahoma"/>
            <family val="2"/>
          </rPr>
          <t>powda:</t>
        </r>
        <r>
          <rPr>
            <sz val="8"/>
            <color indexed="81"/>
            <rFont val="Tahoma"/>
            <family val="2"/>
          </rPr>
          <t xml:space="preserve">
Repurchase of shares: 2102.500</t>
        </r>
      </text>
    </comment>
    <comment ref="V52" authorId="8" shapeId="0" xr:uid="{00000000-0006-0000-0400-00001B000000}">
      <text>
        <r>
          <rPr>
            <b/>
            <sz val="8"/>
            <color indexed="81"/>
            <rFont val="Tahoma"/>
            <family val="2"/>
          </rPr>
          <t>Ken Liu:</t>
        </r>
        <r>
          <rPr>
            <sz val="8"/>
            <color indexed="81"/>
            <rFont val="Tahoma"/>
            <family val="2"/>
          </rPr>
          <t xml:space="preserve">
placement on 13 Dec 2012</t>
        </r>
      </text>
    </comment>
    <comment ref="I53" authorId="7" shapeId="0" xr:uid="{00000000-0006-0000-0400-00001C000000}">
      <text>
        <r>
          <rPr>
            <b/>
            <sz val="8"/>
            <color indexed="81"/>
            <rFont val="Tahoma"/>
            <family val="2"/>
          </rPr>
          <t>Peng Yuxiao:</t>
        </r>
        <r>
          <rPr>
            <sz val="8"/>
            <color indexed="81"/>
            <rFont val="Tahoma"/>
            <family val="2"/>
          </rPr>
          <t xml:space="preserve">
No. of shares decline due to share repurchase</t>
        </r>
      </text>
    </comment>
    <comment ref="Q61" authorId="1" shapeId="0" xr:uid="{00000000-0006-0000-0400-00001D000000}">
      <text>
        <r>
          <rPr>
            <b/>
            <sz val="8"/>
            <color indexed="81"/>
            <rFont val="Tahoma"/>
            <family val="2"/>
          </rPr>
          <t>powda:</t>
        </r>
        <r>
          <rPr>
            <sz val="8"/>
            <color indexed="81"/>
            <rFont val="Tahoma"/>
            <family val="2"/>
          </rPr>
          <t xml:space="preserve">
Accounting 'interpretation' due to uncertainties about new SOC still. Will be in LT assets again in future</t>
        </r>
      </text>
    </comment>
    <comment ref="AC65" authorId="2" shapeId="0" xr:uid="{00000000-0006-0000-0400-00001E000000}">
      <text>
        <r>
          <rPr>
            <b/>
            <sz val="9"/>
            <color indexed="81"/>
            <rFont val="Tahoma"/>
            <family val="2"/>
          </rPr>
          <t>Wu, Sophie:</t>
        </r>
        <r>
          <rPr>
            <sz val="9"/>
            <color indexed="81"/>
            <rFont val="Tahoma"/>
            <family val="2"/>
          </rPr>
          <t xml:space="preserve">
Including right-of-use assets due to adopting IFRS 16</t>
        </r>
      </text>
    </comment>
    <comment ref="R72" authorId="1" shapeId="0" xr:uid="{00000000-0006-0000-0400-00001F000000}">
      <text>
        <r>
          <rPr>
            <b/>
            <sz val="8"/>
            <color indexed="81"/>
            <rFont val="Tahoma"/>
            <family val="2"/>
          </rPr>
          <t>powda:</t>
        </r>
        <r>
          <rPr>
            <sz val="8"/>
            <color indexed="81"/>
            <rFont val="Tahoma"/>
            <family val="2"/>
          </rPr>
          <t xml:space="preserve">
in 2008 - as non-current assets</t>
        </r>
      </text>
    </comment>
    <comment ref="S74" authorId="7" shapeId="0" xr:uid="{00000000-0006-0000-0400-000020000000}">
      <text>
        <r>
          <rPr>
            <b/>
            <sz val="8"/>
            <color indexed="81"/>
            <rFont val="Tahoma"/>
            <family val="2"/>
          </rPr>
          <t>Peng Yuxiao:</t>
        </r>
        <r>
          <rPr>
            <sz val="8"/>
            <color indexed="81"/>
            <rFont val="Tahoma"/>
            <family val="2"/>
          </rPr>
          <t xml:space="preserve">
incl. 1692m available for sale investment vs, 224 in 2008. 
According to the accounting policy No. 16, the Group’s unquoted investment in CGN Wind of HK$1,189 million (2008: nil) is treated for accounting purpose as an available-for-sale investment. There is no intention to sell the investment.</t>
        </r>
      </text>
    </comment>
    <comment ref="F76" authorId="12" shapeId="0" xr:uid="{00000000-0006-0000-0400-000021000000}">
      <text>
        <r>
          <rPr>
            <sz val="8"/>
            <color indexed="81"/>
            <rFont val="Tahoma"/>
            <family val="2"/>
          </rPr>
          <t>% of sales based on average 1992-95 Creditors/Total revenue</t>
        </r>
      </text>
    </comment>
    <comment ref="F80" authorId="12" shapeId="0" xr:uid="{00000000-0006-0000-0400-000022000000}">
      <text>
        <r>
          <rPr>
            <sz val="8"/>
            <color indexed="81"/>
            <rFont val="Tahoma"/>
            <family val="2"/>
          </rPr>
          <t>Represents estimated final dividend, normally 63% (historically) of total dividend for the current year to be paid following year</t>
        </r>
      </text>
    </comment>
    <comment ref="X83" authorId="10" shapeId="0" xr:uid="{00000000-0006-0000-0400-000023000000}">
      <text>
        <r>
          <rPr>
            <b/>
            <sz val="9"/>
            <color indexed="81"/>
            <rFont val="Tahoma"/>
            <family val="2"/>
          </rPr>
          <t>Liu, Ken:</t>
        </r>
        <r>
          <rPr>
            <sz val="9"/>
            <color indexed="81"/>
            <rFont val="Tahoma"/>
            <family val="2"/>
          </rPr>
          <t xml:space="preserve">
from consolidation of CAPCO and PSDC</t>
        </r>
      </text>
    </comment>
    <comment ref="X91" authorId="10" shapeId="0" xr:uid="{00000000-0006-0000-0400-000024000000}">
      <text>
        <r>
          <rPr>
            <b/>
            <sz val="9"/>
            <color indexed="81"/>
            <rFont val="Tahoma"/>
            <family val="2"/>
          </rPr>
          <t>Liu, Ken:</t>
        </r>
        <r>
          <rPr>
            <sz val="9"/>
            <color indexed="81"/>
            <rFont val="Tahoma"/>
            <family val="2"/>
          </rPr>
          <t xml:space="preserve">
from the conoslidation of CAPCO and PSDC</t>
        </r>
      </text>
    </comment>
    <comment ref="V94" authorId="8" shapeId="0" xr:uid="{00000000-0006-0000-0400-000025000000}">
      <text>
        <r>
          <rPr>
            <b/>
            <sz val="8"/>
            <color indexed="81"/>
            <rFont val="Tahoma"/>
            <family val="2"/>
          </rPr>
          <t>Ken Liu:</t>
        </r>
        <r>
          <rPr>
            <sz val="8"/>
            <color indexed="81"/>
            <rFont val="Tahoma"/>
            <family val="2"/>
          </rPr>
          <t xml:space="preserve">
120m shares @5 share capital</t>
        </r>
      </text>
    </comment>
    <comment ref="X97" authorId="10" shapeId="0" xr:uid="{00000000-0006-0000-0400-000026000000}">
      <text>
        <r>
          <rPr>
            <b/>
            <sz val="9"/>
            <color indexed="81"/>
            <rFont val="Tahoma"/>
            <family val="2"/>
          </rPr>
          <t>Liu, Ken:</t>
        </r>
        <r>
          <rPr>
            <sz val="9"/>
            <color indexed="81"/>
            <rFont val="Tahoma"/>
            <family val="2"/>
          </rPr>
          <t xml:space="preserve">
MI of 30% interest in CAPCO
5791 of perpetual capital securities</t>
        </r>
      </text>
    </comment>
    <comment ref="R107" authorId="1" shapeId="0" xr:uid="{00000000-0006-0000-0400-000027000000}">
      <text>
        <r>
          <rPr>
            <b/>
            <sz val="8"/>
            <color indexed="81"/>
            <rFont val="Tahoma"/>
            <family val="2"/>
          </rPr>
          <t>powda:</t>
        </r>
        <r>
          <rPr>
            <sz val="8"/>
            <color indexed="81"/>
            <rFont val="Tahoma"/>
            <family val="2"/>
          </rPr>
          <t xml:space="preserve">
AR p193</t>
        </r>
      </text>
    </comment>
    <comment ref="AE108" authorId="3" shapeId="0" xr:uid="{00000000-0006-0000-0400-000028000000}">
      <text>
        <r>
          <rPr>
            <b/>
            <sz val="9"/>
            <color indexed="81"/>
            <rFont val="Tahoma"/>
            <family val="2"/>
          </rPr>
          <t>Lam, Jarvis:</t>
        </r>
        <r>
          <rPr>
            <sz val="9"/>
            <color indexed="81"/>
            <rFont val="Tahoma"/>
            <family val="2"/>
          </rPr>
          <t xml:space="preserve">
Litigation</t>
        </r>
      </text>
    </comment>
    <comment ref="J112" authorId="6" shapeId="0" xr:uid="{00000000-0006-0000-0400-000029000000}">
      <text>
        <r>
          <rPr>
            <b/>
            <sz val="8"/>
            <color indexed="81"/>
            <rFont val="Tahoma"/>
            <family val="2"/>
          </rPr>
          <t>Danny:</t>
        </r>
        <r>
          <rPr>
            <sz val="8"/>
            <color indexed="81"/>
            <rFont val="Tahoma"/>
            <family val="2"/>
          </rPr>
          <t xml:space="preserve">
Adjusted for $231</t>
        </r>
      </text>
    </comment>
    <comment ref="K112" authorId="6" shapeId="0" xr:uid="{00000000-0006-0000-0400-00002A000000}">
      <text>
        <r>
          <rPr>
            <b/>
            <sz val="8"/>
            <color indexed="81"/>
            <rFont val="Tahoma"/>
            <family val="2"/>
          </rPr>
          <t>Danny:</t>
        </r>
        <r>
          <rPr>
            <sz val="8"/>
            <color indexed="81"/>
            <rFont val="Tahoma"/>
            <family val="2"/>
          </rPr>
          <t xml:space="preserve">
Excluded $340 One-off rebate</t>
        </r>
      </text>
    </comment>
    <comment ref="L112" authorId="6" shapeId="0" xr:uid="{00000000-0006-0000-0400-00002B000000}">
      <text>
        <r>
          <rPr>
            <b/>
            <sz val="8"/>
            <color indexed="81"/>
            <rFont val="Tahoma"/>
            <family val="2"/>
          </rPr>
          <t>Danny:</t>
        </r>
        <r>
          <rPr>
            <sz val="8"/>
            <color indexed="81"/>
            <rFont val="Tahoma"/>
            <family val="2"/>
          </rPr>
          <t xml:space="preserve">
Excluded $119 one-off rebate</t>
        </r>
      </text>
    </comment>
    <comment ref="K113" authorId="6" shapeId="0" xr:uid="{00000000-0006-0000-0400-00002C000000}">
      <text>
        <r>
          <rPr>
            <b/>
            <sz val="8"/>
            <color indexed="81"/>
            <rFont val="Tahoma"/>
            <family val="2"/>
          </rPr>
          <t>Danny:</t>
        </r>
        <r>
          <rPr>
            <sz val="8"/>
            <color indexed="81"/>
            <rFont val="Tahoma"/>
            <family val="2"/>
          </rPr>
          <t xml:space="preserve">
Excluded $99 One-off rebate</t>
        </r>
      </text>
    </comment>
    <comment ref="L113" authorId="6" shapeId="0" xr:uid="{00000000-0006-0000-0400-00002D000000}">
      <text>
        <r>
          <rPr>
            <b/>
            <sz val="8"/>
            <color indexed="81"/>
            <rFont val="Tahoma"/>
            <family val="2"/>
          </rPr>
          <t>Danny:</t>
        </r>
        <r>
          <rPr>
            <sz val="8"/>
            <color indexed="81"/>
            <rFont val="Tahoma"/>
            <family val="2"/>
          </rPr>
          <t xml:space="preserve">
Excluded $101 One-off rebate</t>
        </r>
      </text>
    </comment>
    <comment ref="AF114" authorId="3" shapeId="0" xr:uid="{00000000-0006-0000-0400-00002E000000}">
      <text>
        <r>
          <rPr>
            <b/>
            <sz val="9"/>
            <color indexed="81"/>
            <rFont val="Tahoma"/>
            <family val="2"/>
          </rPr>
          <t>Lam, Jarvis:</t>
        </r>
        <r>
          <rPr>
            <sz val="9"/>
            <color indexed="81"/>
            <rFont val="Tahoma"/>
            <family val="2"/>
          </rPr>
          <t xml:space="preserve">
715m speical rebates to customers
242m decrease in rent and rates refunds</t>
        </r>
      </text>
    </comment>
    <comment ref="J116" authorId="6" shapeId="0" xr:uid="{00000000-0006-0000-0400-00002F000000}">
      <text>
        <r>
          <rPr>
            <b/>
            <sz val="8"/>
            <color indexed="81"/>
            <rFont val="Tahoma"/>
            <family val="2"/>
          </rPr>
          <t>Danny:</t>
        </r>
        <r>
          <rPr>
            <sz val="8"/>
            <color indexed="81"/>
            <rFont val="Tahoma"/>
            <family val="2"/>
          </rPr>
          <t xml:space="preserve">
Adjusted for $156</t>
        </r>
      </text>
    </comment>
    <comment ref="Q116" authorId="6" shapeId="0" xr:uid="{00000000-0006-0000-0400-000030000000}">
      <text>
        <r>
          <rPr>
            <b/>
            <sz val="8"/>
            <color indexed="81"/>
            <rFont val="Tahoma"/>
            <family val="2"/>
          </rPr>
          <t>huangdaa:</t>
        </r>
        <r>
          <rPr>
            <sz val="8"/>
            <color indexed="81"/>
            <rFont val="Tahoma"/>
            <family val="2"/>
          </rPr>
          <t xml:space="preserve">
Include $100 for change in restricted cash excluded for cash flow purpose</t>
        </r>
      </text>
    </comment>
    <comment ref="Z118" authorId="0" shapeId="0" xr:uid="{00000000-0006-0000-0400-000031000000}">
      <text>
        <r>
          <rPr>
            <b/>
            <sz val="9"/>
            <color indexed="81"/>
            <rFont val="Tahoma"/>
            <family val="2"/>
          </rPr>
          <t>Sun, Abigail:</t>
        </r>
        <r>
          <rPr>
            <sz val="9"/>
            <color indexed="81"/>
            <rFont val="Tahoma"/>
            <family val="2"/>
          </rPr>
          <t xml:space="preserve">
excluding changes in "cash restricted for specific purpose"</t>
        </r>
      </text>
    </comment>
    <comment ref="D119" authorId="6" shapeId="0" xr:uid="{00000000-0006-0000-0400-000032000000}">
      <text>
        <r>
          <rPr>
            <b/>
            <sz val="8"/>
            <color indexed="81"/>
            <rFont val="Tahoma"/>
            <family val="2"/>
          </rPr>
          <t>Danny:</t>
        </r>
        <r>
          <rPr>
            <sz val="8"/>
            <color indexed="81"/>
            <rFont val="Tahoma"/>
            <family val="2"/>
          </rPr>
          <t xml:space="preserve">
Net</t>
        </r>
      </text>
    </comment>
    <comment ref="E119" authorId="6" shapeId="0" xr:uid="{00000000-0006-0000-0400-000033000000}">
      <text>
        <r>
          <rPr>
            <b/>
            <sz val="8"/>
            <color indexed="81"/>
            <rFont val="Tahoma"/>
            <family val="2"/>
          </rPr>
          <t>Danny:</t>
        </r>
        <r>
          <rPr>
            <sz val="8"/>
            <color indexed="81"/>
            <rFont val="Tahoma"/>
            <family val="2"/>
          </rPr>
          <t xml:space="preserve">
Net</t>
        </r>
      </text>
    </comment>
    <comment ref="F119" authorId="6" shapeId="0" xr:uid="{00000000-0006-0000-0400-000034000000}">
      <text>
        <r>
          <rPr>
            <b/>
            <sz val="8"/>
            <color indexed="81"/>
            <rFont val="Tahoma"/>
            <family val="2"/>
          </rPr>
          <t>Danny:</t>
        </r>
        <r>
          <rPr>
            <sz val="8"/>
            <color indexed="81"/>
            <rFont val="Tahoma"/>
            <family val="2"/>
          </rPr>
          <t xml:space="preserve">
Net</t>
        </r>
      </text>
    </comment>
    <comment ref="G119" authorId="6" shapeId="0" xr:uid="{00000000-0006-0000-0400-000035000000}">
      <text>
        <r>
          <rPr>
            <b/>
            <sz val="8"/>
            <color indexed="81"/>
            <rFont val="Tahoma"/>
            <family val="2"/>
          </rPr>
          <t>Danny:</t>
        </r>
        <r>
          <rPr>
            <sz val="8"/>
            <color indexed="81"/>
            <rFont val="Tahoma"/>
            <family val="2"/>
          </rPr>
          <t xml:space="preserve">
Net income</t>
        </r>
      </text>
    </comment>
    <comment ref="H119" authorId="6" shapeId="0" xr:uid="{00000000-0006-0000-0400-000036000000}">
      <text>
        <r>
          <rPr>
            <b/>
            <sz val="8"/>
            <color indexed="81"/>
            <rFont val="Tahoma"/>
            <family val="2"/>
          </rPr>
          <t>Danny:</t>
        </r>
        <r>
          <rPr>
            <sz val="8"/>
            <color indexed="81"/>
            <rFont val="Tahoma"/>
            <family val="2"/>
          </rPr>
          <t xml:space="preserve">
Net income</t>
        </r>
      </text>
    </comment>
    <comment ref="I119" authorId="6" shapeId="0" xr:uid="{00000000-0006-0000-0400-000037000000}">
      <text>
        <r>
          <rPr>
            <b/>
            <sz val="8"/>
            <color indexed="81"/>
            <rFont val="Tahoma"/>
            <family val="2"/>
          </rPr>
          <t>Danny:</t>
        </r>
        <r>
          <rPr>
            <sz val="8"/>
            <color indexed="81"/>
            <rFont val="Tahoma"/>
            <family val="2"/>
          </rPr>
          <t xml:space="preserve">
Net income</t>
        </r>
      </text>
    </comment>
    <comment ref="J119" authorId="6" shapeId="0" xr:uid="{00000000-0006-0000-0400-000038000000}">
      <text>
        <r>
          <rPr>
            <b/>
            <sz val="8"/>
            <color indexed="81"/>
            <rFont val="Tahoma"/>
            <family val="2"/>
          </rPr>
          <t>Danny:</t>
        </r>
        <r>
          <rPr>
            <sz val="8"/>
            <color indexed="81"/>
            <rFont val="Tahoma"/>
            <family val="2"/>
          </rPr>
          <t xml:space="preserve">
Net</t>
        </r>
      </text>
    </comment>
    <comment ref="R119" authorId="1" shapeId="0" xr:uid="{00000000-0006-0000-0400-000039000000}">
      <text>
        <r>
          <rPr>
            <b/>
            <sz val="8"/>
            <color indexed="81"/>
            <rFont val="Tahoma"/>
            <family val="2"/>
          </rPr>
          <t>powda:</t>
        </r>
        <r>
          <rPr>
            <sz val="8"/>
            <color indexed="81"/>
            <rFont val="Tahoma"/>
            <family val="2"/>
          </rPr>
          <t xml:space="preserve">
-4074 (ar p.145)</t>
        </r>
      </text>
    </comment>
    <comment ref="U120" authorId="7" shapeId="0" xr:uid="{00000000-0006-0000-0400-00003A000000}">
      <text>
        <r>
          <rPr>
            <b/>
            <sz val="8"/>
            <color indexed="81"/>
            <rFont val="Tahoma"/>
            <family val="2"/>
          </rPr>
          <t>Peng Yuxiao:</t>
        </r>
        <r>
          <rPr>
            <sz val="8"/>
            <color indexed="81"/>
            <rFont val="Tahoma"/>
            <family val="2"/>
          </rPr>
          <t xml:space="preserve">
Yallourn impairment impact</t>
        </r>
      </text>
    </comment>
    <comment ref="U124" authorId="7" shapeId="0" xr:uid="{00000000-0006-0000-0400-00003B000000}">
      <text>
        <r>
          <rPr>
            <b/>
            <sz val="8"/>
            <color indexed="81"/>
            <rFont val="Tahoma"/>
            <family val="2"/>
          </rPr>
          <t>Peng Yuxiao:</t>
        </r>
        <r>
          <rPr>
            <sz val="8"/>
            <color indexed="81"/>
            <rFont val="Tahoma"/>
            <family val="2"/>
          </rPr>
          <t xml:space="preserve">
adjusted for impariment of Yallourne</t>
        </r>
      </text>
    </comment>
    <comment ref="J125" authorId="4" shapeId="0" xr:uid="{00000000-0006-0000-0400-00003C000000}">
      <text>
        <r>
          <rPr>
            <b/>
            <sz val="8"/>
            <color indexed="81"/>
            <rFont val="Tahoma"/>
            <family val="2"/>
          </rPr>
          <t>Stephen Oldfield:</t>
        </r>
        <r>
          <rPr>
            <sz val="8"/>
            <color indexed="81"/>
            <rFont val="Tahoma"/>
            <family val="2"/>
          </rPr>
          <t xml:space="preserve">
HK$1470 is div from Laguna Verde, other adjustment is to make balance to cash flow in annual report, page 57</t>
        </r>
      </text>
    </comment>
    <comment ref="D127" authorId="6" shapeId="0" xr:uid="{00000000-0006-0000-0400-00003D000000}">
      <text>
        <r>
          <rPr>
            <b/>
            <sz val="8"/>
            <color indexed="81"/>
            <rFont val="Tahoma"/>
            <family val="2"/>
          </rPr>
          <t>Danny:</t>
        </r>
        <r>
          <rPr>
            <sz val="8"/>
            <color indexed="81"/>
            <rFont val="Tahoma"/>
            <family val="2"/>
          </rPr>
          <t xml:space="preserve">
Investment in power projects outside HK. Per 1995 Annual Report p.49</t>
        </r>
      </text>
    </comment>
    <comment ref="E127" authorId="6" shapeId="0" xr:uid="{00000000-0006-0000-0400-00003E000000}">
      <text>
        <r>
          <rPr>
            <b/>
            <sz val="8"/>
            <color indexed="81"/>
            <rFont val="Tahoma"/>
            <family val="2"/>
          </rPr>
          <t>Danny:</t>
        </r>
        <r>
          <rPr>
            <sz val="8"/>
            <color indexed="81"/>
            <rFont val="Tahoma"/>
            <family val="2"/>
          </rPr>
          <t xml:space="preserve">
Investment in power projects outside HK. Per 1996 Annual Report p.43</t>
        </r>
      </text>
    </comment>
    <comment ref="F127" authorId="6" shapeId="0" xr:uid="{00000000-0006-0000-0400-00003F000000}">
      <text>
        <r>
          <rPr>
            <b/>
            <sz val="8"/>
            <color indexed="81"/>
            <rFont val="Tahoma"/>
            <family val="2"/>
          </rPr>
          <t>Danny:</t>
        </r>
        <r>
          <rPr>
            <sz val="8"/>
            <color indexed="81"/>
            <rFont val="Tahoma"/>
            <family val="2"/>
          </rPr>
          <t xml:space="preserve">
Investment in power projects outside HK. Per 1996 Annual Report p.43</t>
        </r>
      </text>
    </comment>
    <comment ref="G127" authorId="6" shapeId="0" xr:uid="{00000000-0006-0000-0400-000040000000}">
      <text>
        <r>
          <rPr>
            <b/>
            <sz val="8"/>
            <color indexed="81"/>
            <rFont val="Tahoma"/>
            <family val="2"/>
          </rPr>
          <t>Danny:</t>
        </r>
        <r>
          <rPr>
            <sz val="8"/>
            <color indexed="81"/>
            <rFont val="Tahoma"/>
            <family val="2"/>
          </rPr>
          <t xml:space="preserve">
Investment in power projects outside HK. Per 1998 Annual Report p.50</t>
        </r>
      </text>
    </comment>
    <comment ref="H127" authorId="6" shapeId="0" xr:uid="{00000000-0006-0000-0400-000041000000}">
      <text>
        <r>
          <rPr>
            <b/>
            <sz val="8"/>
            <color indexed="81"/>
            <rFont val="Tahoma"/>
            <family val="2"/>
          </rPr>
          <t>Danny:</t>
        </r>
        <r>
          <rPr>
            <sz val="8"/>
            <color indexed="81"/>
            <rFont val="Tahoma"/>
            <family val="2"/>
          </rPr>
          <t xml:space="preserve">
Investment in power projects outside HK. Per 1999 Annual Report p.51</t>
        </r>
      </text>
    </comment>
    <comment ref="I127" authorId="6" shapeId="0" xr:uid="{00000000-0006-0000-0400-000042000000}">
      <text>
        <r>
          <rPr>
            <b/>
            <sz val="8"/>
            <color indexed="81"/>
            <rFont val="Tahoma"/>
            <family val="2"/>
          </rPr>
          <t>Danny:</t>
        </r>
        <r>
          <rPr>
            <sz val="8"/>
            <color indexed="81"/>
            <rFont val="Tahoma"/>
            <family val="2"/>
          </rPr>
          <t xml:space="preserve">
Investment in power projects outside HK. Per 2000 Annual Report p.57</t>
        </r>
      </text>
    </comment>
    <comment ref="J127" authorId="6" shapeId="0" xr:uid="{00000000-0006-0000-0400-000043000000}">
      <text>
        <r>
          <rPr>
            <b/>
            <sz val="8"/>
            <color indexed="81"/>
            <rFont val="Tahoma"/>
            <family val="2"/>
          </rPr>
          <t>Danny:</t>
        </r>
        <r>
          <rPr>
            <sz val="8"/>
            <color indexed="81"/>
            <rFont val="Tahoma"/>
            <family val="2"/>
          </rPr>
          <t xml:space="preserve">
Investment in power projects outside HK. Per 2000 Annual Report p.57</t>
        </r>
      </text>
    </comment>
    <comment ref="M127" authorId="6" shapeId="0" xr:uid="{00000000-0006-0000-0400-000044000000}">
      <text>
        <r>
          <rPr>
            <b/>
            <sz val="8"/>
            <color indexed="81"/>
            <rFont val="Tahoma"/>
            <family val="2"/>
          </rPr>
          <t>Danny:</t>
        </r>
        <r>
          <rPr>
            <sz val="8"/>
            <color indexed="81"/>
            <rFont val="Tahoma"/>
            <family val="2"/>
          </rPr>
          <t xml:space="preserve">
+$659 Dispose other inv
-$326 forward contracts
+$1,155 retirement plan
-$354 Acquire subsi</t>
        </r>
      </text>
    </comment>
    <comment ref="N127" authorId="6" shapeId="0" xr:uid="{00000000-0006-0000-0400-000045000000}">
      <text>
        <r>
          <rPr>
            <b/>
            <sz val="8"/>
            <color indexed="81"/>
            <rFont val="Tahoma"/>
            <family val="2"/>
          </rPr>
          <t>Danny:</t>
        </r>
        <r>
          <rPr>
            <sz val="8"/>
            <color indexed="81"/>
            <rFont val="Tahoma"/>
            <family val="2"/>
          </rPr>
          <t xml:space="preserve">
+$55 Dispose other inv
-$183 forward contracts
-$376 Acquire subsi</t>
        </r>
      </text>
    </comment>
    <comment ref="O127" authorId="6" shapeId="0" xr:uid="{00000000-0006-0000-0400-000046000000}">
      <text>
        <r>
          <rPr>
            <b/>
            <sz val="8"/>
            <color indexed="81"/>
            <rFont val="Tahoma"/>
            <family val="2"/>
          </rPr>
          <t>Danny:</t>
        </r>
        <r>
          <rPr>
            <sz val="8"/>
            <color indexed="81"/>
            <rFont val="Tahoma"/>
            <family val="2"/>
          </rPr>
          <t xml:space="preserve">
-$12,439 Acquire subsi
+$46 Dispose other inv
</t>
        </r>
      </text>
    </comment>
    <comment ref="Y127" authorId="5" shapeId="0" xr:uid="{00000000-0006-0000-0400-000047000000}">
      <text>
        <r>
          <rPr>
            <b/>
            <sz val="9"/>
            <color indexed="81"/>
            <rFont val="Tahoma"/>
            <family val="2"/>
          </rPr>
          <t>William Li:</t>
        </r>
        <r>
          <rPr>
            <sz val="9"/>
            <color indexed="81"/>
            <rFont val="Tahoma"/>
            <family val="2"/>
          </rPr>
          <t xml:space="preserve">
diposal of Iona Gas plant in Australia for HK$9.882bn</t>
        </r>
      </text>
    </comment>
    <comment ref="D132" authorId="6" shapeId="0" xr:uid="{00000000-0006-0000-0400-000048000000}">
      <text>
        <r>
          <rPr>
            <b/>
            <sz val="8"/>
            <color indexed="81"/>
            <rFont val="Tahoma"/>
            <family val="2"/>
          </rPr>
          <t>Danny:</t>
        </r>
        <r>
          <rPr>
            <sz val="8"/>
            <color indexed="81"/>
            <rFont val="Tahoma"/>
            <family val="2"/>
          </rPr>
          <t xml:space="preserve">
c/y increase in share capital through capitalisation of R.E. No cash effect.</t>
        </r>
      </text>
    </comment>
    <comment ref="H132" authorId="4" shapeId="0" xr:uid="{00000000-0006-0000-0400-000049000000}">
      <text>
        <r>
          <rPr>
            <b/>
            <sz val="8"/>
            <color indexed="81"/>
            <rFont val="Tahoma"/>
            <family val="2"/>
          </rPr>
          <t>Stephen Oldfield:</t>
        </r>
        <r>
          <rPr>
            <sz val="8"/>
            <color indexed="81"/>
            <rFont val="Tahoma"/>
            <family val="2"/>
          </rPr>
          <t xml:space="preserve">
per 1998 annualr report, page 50</t>
        </r>
      </text>
    </comment>
    <comment ref="I132" authorId="4" shapeId="0" xr:uid="{00000000-0006-0000-0400-00004A000000}">
      <text>
        <r>
          <rPr>
            <b/>
            <sz val="8"/>
            <color indexed="81"/>
            <rFont val="Tahoma"/>
            <family val="2"/>
          </rPr>
          <t>Stephen Oldfield:</t>
        </r>
        <r>
          <rPr>
            <sz val="8"/>
            <color indexed="81"/>
            <rFont val="Tahoma"/>
            <family val="2"/>
          </rPr>
          <t xml:space="preserve">
per 1999 annual report, page 51</t>
        </r>
      </text>
    </comment>
    <comment ref="K132" authorId="6" shapeId="0" xr:uid="{00000000-0006-0000-0400-00004B000000}">
      <text>
        <r>
          <rPr>
            <b/>
            <sz val="8"/>
            <color indexed="81"/>
            <rFont val="Tahoma"/>
            <family val="2"/>
          </rPr>
          <t>Danny:</t>
        </r>
        <r>
          <rPr>
            <sz val="8"/>
            <color indexed="81"/>
            <rFont val="Tahoma"/>
            <family val="2"/>
          </rPr>
          <t xml:space="preserve">
Per 2001 Annual Report p.67 &amp; p.96</t>
        </r>
      </text>
    </comment>
    <comment ref="X132" authorId="9" shapeId="0" xr:uid="{00000000-0006-0000-0400-00004C000000}">
      <text>
        <r>
          <rPr>
            <b/>
            <sz val="9"/>
            <color indexed="81"/>
            <rFont val="Tahoma"/>
            <family val="2"/>
          </rPr>
          <t>Li, William-W:</t>
        </r>
        <r>
          <rPr>
            <sz val="9"/>
            <color indexed="81"/>
            <rFont val="Tahoma"/>
            <family val="2"/>
          </rPr>
          <t xml:space="preserve">
increased due to Perp issuance</t>
        </r>
      </text>
    </comment>
    <comment ref="I133" authorId="4" shapeId="0" xr:uid="{00000000-0006-0000-0400-00004D000000}">
      <text>
        <r>
          <rPr>
            <b/>
            <sz val="8"/>
            <color indexed="81"/>
            <rFont val="Tahoma"/>
            <family val="2"/>
          </rPr>
          <t>Stephen Oldfield:</t>
        </r>
        <r>
          <rPr>
            <sz val="8"/>
            <color indexed="81"/>
            <rFont val="Tahoma"/>
            <family val="2"/>
          </rPr>
          <t xml:space="preserve">
per 1999 annual report page 51</t>
        </r>
      </text>
    </comment>
    <comment ref="AD135" authorId="10" shapeId="0" xr:uid="{00000000-0006-0000-0400-00004E000000}">
      <text>
        <r>
          <rPr>
            <b/>
            <sz val="9"/>
            <color indexed="81"/>
            <rFont val="Tahoma"/>
            <family val="2"/>
          </rPr>
          <t>Liu, Ken:</t>
        </r>
        <r>
          <rPr>
            <sz val="9"/>
            <color indexed="81"/>
            <rFont val="Tahoma"/>
            <family val="2"/>
          </rPr>
          <t xml:space="preserve">
40% of india's capex from MI</t>
        </r>
      </text>
    </comment>
    <comment ref="A137" authorId="0" shapeId="0" xr:uid="{00000000-0006-0000-0400-00004F000000}">
      <text>
        <r>
          <rPr>
            <b/>
            <sz val="9"/>
            <color indexed="81"/>
            <rFont val="Tahoma"/>
            <family val="2"/>
          </rPr>
          <t>Sun, Abigail:</t>
        </r>
        <r>
          <rPr>
            <sz val="9"/>
            <color indexed="81"/>
            <rFont val="Tahoma"/>
            <family val="2"/>
          </rPr>
          <t xml:space="preserve">
excluding Interest payment</t>
        </r>
      </text>
    </comment>
    <comment ref="B141" authorId="6" shapeId="0" xr:uid="{00000000-0006-0000-0400-000050000000}">
      <text>
        <r>
          <rPr>
            <b/>
            <sz val="8"/>
            <color indexed="81"/>
            <rFont val="Tahoma"/>
            <family val="2"/>
          </rPr>
          <t>Danny:</t>
        </r>
        <r>
          <rPr>
            <sz val="8"/>
            <color indexed="81"/>
            <rFont val="Tahoma"/>
            <family val="2"/>
          </rPr>
          <t xml:space="preserve">
c/y includes $9m bank OD; l/y includes $19m OD</t>
        </r>
      </text>
    </comment>
    <comment ref="C141" authorId="6" shapeId="0" xr:uid="{00000000-0006-0000-0400-000051000000}">
      <text>
        <r>
          <rPr>
            <b/>
            <sz val="8"/>
            <color indexed="81"/>
            <rFont val="Tahoma"/>
            <family val="2"/>
          </rPr>
          <t>Danny:</t>
        </r>
        <r>
          <rPr>
            <sz val="8"/>
            <color indexed="81"/>
            <rFont val="Tahoma"/>
            <family val="2"/>
          </rPr>
          <t xml:space="preserve">
l/y included $9m bank O/D</t>
        </r>
      </text>
    </comment>
    <comment ref="D141" authorId="6" shapeId="0" xr:uid="{00000000-0006-0000-0400-000052000000}">
      <text>
        <r>
          <rPr>
            <b/>
            <sz val="8"/>
            <color indexed="81"/>
            <rFont val="Tahoma"/>
            <family val="2"/>
          </rPr>
          <t>Danny:</t>
        </r>
        <r>
          <rPr>
            <sz val="8"/>
            <color indexed="81"/>
            <rFont val="Tahoma"/>
            <family val="2"/>
          </rPr>
          <t xml:space="preserve">
Included $2m bank O/D</t>
        </r>
      </text>
    </comment>
    <comment ref="G141" authorId="6" shapeId="0" xr:uid="{00000000-0006-0000-0400-000053000000}">
      <text>
        <r>
          <rPr>
            <b/>
            <sz val="8"/>
            <color indexed="81"/>
            <rFont val="Tahoma"/>
            <family val="2"/>
          </rPr>
          <t>Danny:</t>
        </r>
        <r>
          <rPr>
            <sz val="8"/>
            <color indexed="81"/>
            <rFont val="Tahoma"/>
            <family val="2"/>
          </rPr>
          <t xml:space="preserve">
Includes changes in bank OD of $3m</t>
        </r>
      </text>
    </comment>
    <comment ref="H141" authorId="6" shapeId="0" xr:uid="{00000000-0006-0000-0400-000054000000}">
      <text>
        <r>
          <rPr>
            <b/>
            <sz val="8"/>
            <color indexed="81"/>
            <rFont val="Tahoma"/>
            <family val="2"/>
          </rPr>
          <t>Danny:</t>
        </r>
        <r>
          <rPr>
            <sz val="8"/>
            <color indexed="81"/>
            <rFont val="Tahoma"/>
            <family val="2"/>
          </rPr>
          <t xml:space="preserve">
Includes $5m O/D</t>
        </r>
      </text>
    </comment>
    <comment ref="I141" authorId="6" shapeId="0" xr:uid="{00000000-0006-0000-0400-000055000000}">
      <text>
        <r>
          <rPr>
            <b/>
            <sz val="8"/>
            <color indexed="81"/>
            <rFont val="Tahoma"/>
            <family val="2"/>
          </rPr>
          <t>Danny:</t>
        </r>
        <r>
          <rPr>
            <sz val="8"/>
            <color indexed="81"/>
            <rFont val="Tahoma"/>
            <family val="2"/>
          </rPr>
          <t xml:space="preserve">
Include $13m bank O/D</t>
        </r>
      </text>
    </comment>
    <comment ref="J141" authorId="6" shapeId="0" xr:uid="{00000000-0006-0000-0400-000056000000}">
      <text>
        <r>
          <rPr>
            <b/>
            <sz val="8"/>
            <color indexed="81"/>
            <rFont val="Tahoma"/>
            <family val="2"/>
          </rPr>
          <t>Danny:</t>
        </r>
        <r>
          <rPr>
            <sz val="8"/>
            <color indexed="81"/>
            <rFont val="Tahoma"/>
            <family val="2"/>
          </rPr>
          <t xml:space="preserve">
Include $13m O/D</t>
        </r>
      </text>
    </comment>
    <comment ref="X149" authorId="10" shapeId="0" xr:uid="{00000000-0006-0000-0400-000057000000}">
      <text>
        <r>
          <rPr>
            <b/>
            <sz val="9"/>
            <color indexed="81"/>
            <rFont val="Tahoma"/>
            <family val="2"/>
          </rPr>
          <t>Liu, Ken:</t>
        </r>
        <r>
          <rPr>
            <sz val="9"/>
            <color indexed="81"/>
            <rFont val="Tahoma"/>
            <family val="2"/>
          </rPr>
          <t xml:space="preserve">
proforma shows 47.4%, similar to our estimates</t>
        </r>
      </text>
    </comment>
    <comment ref="AC154" authorId="0" shapeId="0" xr:uid="{00000000-0006-0000-0400-000058000000}">
      <text>
        <r>
          <rPr>
            <b/>
            <sz val="9"/>
            <color indexed="81"/>
            <rFont val="Tahoma"/>
            <family val="2"/>
          </rPr>
          <t>Sun, Abigail:</t>
        </r>
        <r>
          <rPr>
            <sz val="9"/>
            <color indexed="81"/>
            <rFont val="Tahoma"/>
            <family val="2"/>
          </rPr>
          <t xml:space="preserve">
6381 - Goodwill of AU retail</t>
        </r>
      </text>
    </comment>
    <comment ref="V159" authorId="8" shapeId="0" xr:uid="{00000000-0006-0000-0400-000059000000}">
      <text>
        <r>
          <rPr>
            <b/>
            <sz val="8"/>
            <color indexed="81"/>
            <rFont val="Tahoma"/>
            <family val="2"/>
          </rPr>
          <t>Ken Liu:</t>
        </r>
        <r>
          <rPr>
            <sz val="8"/>
            <color indexed="81"/>
            <rFont val="Tahoma"/>
            <family val="2"/>
          </rPr>
          <t xml:space="preserve">
excluding the impact of Yallourn mine</t>
        </r>
      </text>
    </comment>
    <comment ref="AC166" authorId="0" shapeId="0" xr:uid="{00000000-0006-0000-0400-00005A000000}">
      <text>
        <r>
          <rPr>
            <b/>
            <sz val="9"/>
            <color indexed="81"/>
            <rFont val="Tahoma"/>
            <family val="2"/>
          </rPr>
          <t>Sun, Abigail:</t>
        </r>
        <r>
          <rPr>
            <sz val="9"/>
            <color indexed="81"/>
            <rFont val="Tahoma"/>
            <family val="2"/>
          </rPr>
          <t xml:space="preserve">
higher nuclear, coal, hydro
lower wind</t>
        </r>
      </text>
    </comment>
    <comment ref="AA167" authorId="0" shapeId="0" xr:uid="{00000000-0006-0000-0400-00005B000000}">
      <text>
        <r>
          <rPr>
            <b/>
            <sz val="9"/>
            <color indexed="81"/>
            <rFont val="Tahoma"/>
            <family val="2"/>
          </rPr>
          <t>Sun, Abigail:</t>
        </r>
        <r>
          <rPr>
            <sz val="9"/>
            <color indexed="81"/>
            <rFont val="Tahoma"/>
            <family val="2"/>
          </rPr>
          <t xml:space="preserve">
Excluding Yangjiang</t>
        </r>
      </text>
    </comment>
    <comment ref="AC168" authorId="0" shapeId="0" xr:uid="{00000000-0006-0000-0400-00005C000000}">
      <text>
        <r>
          <rPr>
            <b/>
            <sz val="9"/>
            <color indexed="81"/>
            <rFont val="Tahoma"/>
            <family val="2"/>
          </rPr>
          <t>Sun, Abigail:</t>
        </r>
        <r>
          <rPr>
            <sz val="9"/>
            <color indexed="81"/>
            <rFont val="Tahoma"/>
            <family val="2"/>
          </rPr>
          <t xml:space="preserve">
Generation: low production from Mount Piper (coal supply) in H1, better in H2
Retail: change of tariff on 1st July -&gt; sustained pressure =&gt; goodwill impairment
Hedge: unfavourable fair value change</t>
        </r>
      </text>
    </comment>
    <comment ref="AC170" authorId="0" shapeId="0" xr:uid="{00000000-0006-0000-0400-00005D000000}">
      <text>
        <r>
          <rPr>
            <b/>
            <sz val="9"/>
            <color indexed="81"/>
            <rFont val="Tahoma"/>
            <family val="2"/>
          </rPr>
          <t>Sun, Abigail:</t>
        </r>
        <r>
          <rPr>
            <sz val="9"/>
            <color indexed="81"/>
            <rFont val="Tahoma"/>
            <family val="2"/>
          </rPr>
          <t xml:space="preserve">
40% stake sold to CDPQ
Plan to buy power transmission asset
H1: loss in Paguthan, higher in Jhajjar, wind, solar</t>
        </r>
      </text>
    </comment>
    <comment ref="AC172" authorId="0" shapeId="0" xr:uid="{00000000-0006-0000-0400-00005E000000}">
      <text>
        <r>
          <rPr>
            <b/>
            <sz val="9"/>
            <color indexed="81"/>
            <rFont val="Tahoma"/>
            <family val="2"/>
          </rPr>
          <t>Sun, Abigail:</t>
        </r>
        <r>
          <rPr>
            <sz val="9"/>
            <color indexed="81"/>
            <rFont val="Tahoma"/>
            <family val="2"/>
          </rPr>
          <t xml:space="preserve">
higher in Ho-Ping
recovery of development expense in Vung Ang II</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Sun, Abigail</author>
    <author>Lam, Jarvis</author>
    <author>Eason Tang</author>
    <author>powda</author>
    <author>oldfiest</author>
    <author>Liu, Ken</author>
    <author>Peng Yuxiao</author>
    <author>William Li</author>
    <author>Ken Liu</author>
  </authors>
  <commentList>
    <comment ref="A10" authorId="0" shapeId="0" xr:uid="{00000000-0006-0000-0500-000001000000}">
      <text>
        <r>
          <rPr>
            <b/>
            <sz val="9"/>
            <color indexed="81"/>
            <rFont val="Tahoma"/>
            <family val="2"/>
          </rPr>
          <t>Sun, Abigail:</t>
        </r>
        <r>
          <rPr>
            <sz val="9"/>
            <color indexed="81"/>
            <rFont val="Tahoma"/>
            <family val="2"/>
          </rPr>
          <t xml:space="preserve">
Sales to GD from HK, and Others</t>
        </r>
      </text>
    </comment>
    <comment ref="X47" authorId="0" shapeId="0" xr:uid="{00000000-0006-0000-0500-000002000000}">
      <text>
        <r>
          <rPr>
            <b/>
            <sz val="9"/>
            <color indexed="81"/>
            <rFont val="Tahoma"/>
            <family val="2"/>
          </rPr>
          <t>Sun, Abigail:</t>
        </r>
        <r>
          <rPr>
            <sz val="9"/>
            <color indexed="81"/>
            <rFont val="Tahoma"/>
            <family val="2"/>
          </rPr>
          <t xml:space="preserve">
One-off from AU
</t>
        </r>
      </text>
    </comment>
    <comment ref="Y47" authorId="0" shapeId="0" xr:uid="{00000000-0006-0000-0500-000003000000}">
      <text>
        <r>
          <rPr>
            <b/>
            <sz val="9"/>
            <color indexed="81"/>
            <rFont val="Tahoma"/>
            <family val="2"/>
          </rPr>
          <t>Sun, Abigail:</t>
        </r>
        <r>
          <rPr>
            <sz val="9"/>
            <color indexed="81"/>
            <rFont val="Tahoma"/>
            <family val="2"/>
          </rPr>
          <t xml:space="preserve">
one-off from AU</t>
        </r>
      </text>
    </comment>
    <comment ref="AF51" authorId="1" shapeId="0" xr:uid="{00000000-0006-0000-0500-000004000000}">
      <text>
        <r>
          <rPr>
            <b/>
            <sz val="9"/>
            <color indexed="81"/>
            <rFont val="Tahoma"/>
            <family val="2"/>
          </rPr>
          <t>Lam, Jarvis:</t>
        </r>
        <r>
          <rPr>
            <sz val="9"/>
            <color indexed="81"/>
            <rFont val="Tahoma"/>
            <family val="2"/>
          </rPr>
          <t xml:space="preserve">
H122: 4200</t>
        </r>
      </text>
    </comment>
    <comment ref="AF52" authorId="1" shapeId="0" xr:uid="{00000000-0006-0000-0500-000005000000}">
      <text>
        <r>
          <rPr>
            <b/>
            <sz val="9"/>
            <color indexed="81"/>
            <rFont val="Tahoma"/>
            <family val="2"/>
          </rPr>
          <t>Lam, Jarvis:</t>
        </r>
        <r>
          <rPr>
            <sz val="9"/>
            <color indexed="81"/>
            <rFont val="Tahoma"/>
            <family val="2"/>
          </rPr>
          <t xml:space="preserve">
H122: -726
</t>
        </r>
      </text>
    </comment>
    <comment ref="AG52" authorId="2" shapeId="0" xr:uid="{2CDA89E7-39E7-491A-8AFB-94CB4AA76019}">
      <text>
        <r>
          <rPr>
            <b/>
            <sz val="9"/>
            <color indexed="81"/>
            <rFont val="Tahoma"/>
            <family val="2"/>
          </rPr>
          <t>Eason Tang:</t>
        </r>
        <r>
          <rPr>
            <sz val="9"/>
            <color indexed="81"/>
            <rFont val="Tahoma"/>
            <family val="2"/>
          </rPr>
          <t xml:space="preserve">
Operating earnings 
(before fair value movements)</t>
        </r>
      </text>
    </comment>
    <comment ref="AH52" authorId="2" shapeId="0" xr:uid="{D70CFD1E-7C6E-4269-BB9D-F672A35446B1}">
      <text>
        <r>
          <rPr>
            <b/>
            <sz val="9"/>
            <color indexed="81"/>
            <rFont val="Tahoma"/>
            <family val="2"/>
          </rPr>
          <t>Eason Tang:</t>
        </r>
        <r>
          <rPr>
            <sz val="9"/>
            <color indexed="81"/>
            <rFont val="Tahoma"/>
            <family val="2"/>
          </rPr>
          <t xml:space="preserve">
Operating earnings 
(before fair value movements)</t>
        </r>
      </text>
    </comment>
    <comment ref="AF53" authorId="1" shapeId="0" xr:uid="{00000000-0006-0000-0500-000006000000}">
      <text>
        <r>
          <rPr>
            <b/>
            <sz val="9"/>
            <color indexed="81"/>
            <rFont val="Tahoma"/>
            <family val="2"/>
          </rPr>
          <t>Lam, Jarvis:</t>
        </r>
        <r>
          <rPr>
            <sz val="9"/>
            <color indexed="81"/>
            <rFont val="Tahoma"/>
            <family val="2"/>
          </rPr>
          <t xml:space="preserve">
H122: 1240</t>
        </r>
      </text>
    </comment>
    <comment ref="AF54" authorId="1" shapeId="0" xr:uid="{00000000-0006-0000-0500-000007000000}">
      <text>
        <r>
          <rPr>
            <b/>
            <sz val="9"/>
            <color indexed="81"/>
            <rFont val="Tahoma"/>
            <family val="2"/>
          </rPr>
          <t>Lam, Jarvis:</t>
        </r>
        <r>
          <rPr>
            <sz val="9"/>
            <color indexed="81"/>
            <rFont val="Tahoma"/>
            <family val="2"/>
          </rPr>
          <t xml:space="preserve">
H122: 98</t>
        </r>
      </text>
    </comment>
    <comment ref="AF55" authorId="1" shapeId="0" xr:uid="{00000000-0006-0000-0500-000008000000}">
      <text>
        <r>
          <rPr>
            <b/>
            <sz val="9"/>
            <color indexed="81"/>
            <rFont val="Tahoma"/>
            <family val="2"/>
          </rPr>
          <t>Lam, Jarvis:</t>
        </r>
        <r>
          <rPr>
            <sz val="9"/>
            <color indexed="81"/>
            <rFont val="Tahoma"/>
            <family val="2"/>
          </rPr>
          <t xml:space="preserve">
H122: -126
</t>
        </r>
      </text>
    </comment>
    <comment ref="X72" authorId="0" shapeId="0" xr:uid="{00000000-0006-0000-0500-000009000000}">
      <text>
        <r>
          <rPr>
            <b/>
            <sz val="9"/>
            <color indexed="81"/>
            <rFont val="Tahoma"/>
            <family val="2"/>
          </rPr>
          <t>Sun, Abigail:</t>
        </r>
        <r>
          <rPr>
            <sz val="9"/>
            <color indexed="81"/>
            <rFont val="Tahoma"/>
            <family val="2"/>
          </rPr>
          <t xml:space="preserve">
2013 number includes 28,514m leased PPE - financial lease from CAPCO
This amount was reclassified as owned assets after the acquisition in 2014
Total NFA number do not change materially.</t>
        </r>
      </text>
    </comment>
    <comment ref="Y77" authorId="0" shapeId="0" xr:uid="{00000000-0006-0000-0500-00000A000000}">
      <text>
        <r>
          <rPr>
            <b/>
            <sz val="9"/>
            <color indexed="81"/>
            <rFont val="Tahoma"/>
            <family val="2"/>
          </rPr>
          <t>Sun, Abigail:</t>
        </r>
        <r>
          <rPr>
            <sz val="9"/>
            <color indexed="81"/>
            <rFont val="Tahoma"/>
            <family val="2"/>
          </rPr>
          <t xml:space="preserve">
segment number:
before 2014: NFA
since 2015: NFA+IP+Leasehold land</t>
        </r>
      </text>
    </comment>
    <comment ref="W81" authorId="0" shapeId="0" xr:uid="{00000000-0006-0000-0500-00000B000000}">
      <text>
        <r>
          <rPr>
            <b/>
            <sz val="9"/>
            <color indexed="81"/>
            <rFont val="Tahoma"/>
            <family val="2"/>
          </rPr>
          <t>Sun, Abigail:</t>
        </r>
        <r>
          <rPr>
            <sz val="9"/>
            <color indexed="81"/>
            <rFont val="Tahoma"/>
            <family val="2"/>
          </rPr>
          <t xml:space="preserve">
including leased assets</t>
        </r>
      </text>
    </comment>
    <comment ref="Z89" authorId="0" shapeId="0" xr:uid="{00000000-0006-0000-0500-00000C000000}">
      <text>
        <r>
          <rPr>
            <b/>
            <sz val="9"/>
            <color indexed="81"/>
            <rFont val="Tahoma"/>
            <family val="2"/>
          </rPr>
          <t>Sun, Abigail:</t>
        </r>
        <r>
          <rPr>
            <sz val="9"/>
            <color indexed="81"/>
            <rFont val="Tahoma"/>
            <family val="2"/>
          </rPr>
          <t xml:space="preserve">
acquisition of Laguna Mall for HQ use: HK$1,238</t>
        </r>
      </text>
    </comment>
    <comment ref="M95" authorId="0" shapeId="0" xr:uid="{00000000-0006-0000-0500-00000D000000}">
      <text>
        <r>
          <rPr>
            <b/>
            <sz val="9"/>
            <color indexed="81"/>
            <rFont val="Tahoma"/>
            <family val="2"/>
          </rPr>
          <t>Sun, Abigail:</t>
        </r>
        <r>
          <rPr>
            <sz val="9"/>
            <color indexed="81"/>
            <rFont val="Tahoma"/>
            <family val="2"/>
          </rPr>
          <t xml:space="preserve">
Consolidated Yallourn (92%)</t>
        </r>
      </text>
    </comment>
    <comment ref="M97" authorId="0" shapeId="0" xr:uid="{00000000-0006-0000-0500-00000E000000}">
      <text>
        <r>
          <rPr>
            <b/>
            <sz val="9"/>
            <color indexed="81"/>
            <rFont val="Tahoma"/>
            <family val="2"/>
          </rPr>
          <t>Sun, Abigail:</t>
        </r>
        <r>
          <rPr>
            <sz val="9"/>
            <color indexed="81"/>
            <rFont val="Tahoma"/>
            <family val="2"/>
          </rPr>
          <t xml:space="preserve">
Consolidated GPEC (100%)
</t>
        </r>
      </text>
    </comment>
    <comment ref="P103" authorId="0" shapeId="0" xr:uid="{00000000-0006-0000-0500-00000F000000}">
      <text>
        <r>
          <rPr>
            <b/>
            <sz val="9"/>
            <color indexed="81"/>
            <rFont val="Tahoma"/>
            <family val="2"/>
          </rPr>
          <t>Sun, Abigail:</t>
        </r>
        <r>
          <rPr>
            <sz val="9"/>
            <color indexed="81"/>
            <rFont val="Tahoma"/>
            <family val="2"/>
          </rPr>
          <t xml:space="preserve">
including finance charge under finance lease during 2006-2014</t>
        </r>
      </text>
    </comment>
    <comment ref="W112" authorId="0" shapeId="0" xr:uid="{00000000-0006-0000-0500-000010000000}">
      <text>
        <r>
          <rPr>
            <b/>
            <sz val="9"/>
            <color indexed="81"/>
            <rFont val="Tahoma"/>
            <family val="2"/>
          </rPr>
          <t>Sun, Abigail:</t>
        </r>
        <r>
          <rPr>
            <sz val="9"/>
            <color indexed="81"/>
            <rFont val="Tahoma"/>
            <family val="2"/>
          </rPr>
          <t xml:space="preserve">
before 2013: including ~HK$2bn "finance charges under finance leases" - arise from the power purchase arrangement with CAPCO in respect of operational generating plant and associated fixed assets,</t>
        </r>
      </text>
    </comment>
    <comment ref="X112" authorId="0" shapeId="0" xr:uid="{00000000-0006-0000-0500-000011000000}">
      <text>
        <r>
          <rPr>
            <b/>
            <sz val="9"/>
            <color indexed="81"/>
            <rFont val="Tahoma"/>
            <family val="2"/>
          </rPr>
          <t>Sun, Abigail:</t>
        </r>
        <r>
          <rPr>
            <sz val="9"/>
            <color indexed="81"/>
            <rFont val="Tahoma"/>
            <family val="2"/>
          </rPr>
          <t xml:space="preserve">
finance charge under finance leases: -922m</t>
        </r>
      </text>
    </comment>
    <comment ref="Y112" authorId="0" shapeId="0" xr:uid="{00000000-0006-0000-0500-000012000000}">
      <text>
        <r>
          <rPr>
            <b/>
            <sz val="9"/>
            <color indexed="81"/>
            <rFont val="Tahoma"/>
            <family val="2"/>
          </rPr>
          <t>Sun, Abigail:</t>
        </r>
        <r>
          <rPr>
            <sz val="9"/>
            <color indexed="81"/>
            <rFont val="Tahoma"/>
            <family val="2"/>
          </rPr>
          <t xml:space="preserve">
one-off losses from AU</t>
        </r>
      </text>
    </comment>
    <comment ref="R119" authorId="3" shapeId="0" xr:uid="{00000000-0006-0000-0500-000013000000}">
      <text>
        <r>
          <rPr>
            <b/>
            <sz val="8"/>
            <color indexed="81"/>
            <rFont val="Tahoma"/>
            <family val="2"/>
          </rPr>
          <t>powda:</t>
        </r>
        <r>
          <rPr>
            <sz val="8"/>
            <color indexed="81"/>
            <rFont val="Tahoma"/>
            <family val="2"/>
          </rPr>
          <t xml:space="preserve">
p.145 AR</t>
        </r>
      </text>
    </comment>
    <comment ref="U120" authorId="4" shapeId="0" xr:uid="{00000000-0006-0000-0500-000014000000}">
      <text>
        <r>
          <rPr>
            <b/>
            <sz val="8"/>
            <color indexed="81"/>
            <rFont val="Tahoma"/>
            <family val="2"/>
          </rPr>
          <t>oldfiest:</t>
        </r>
        <r>
          <rPr>
            <sz val="8"/>
            <color indexed="81"/>
            <rFont val="Tahoma"/>
            <family val="2"/>
          </rPr>
          <t xml:space="preserve">
includes the sale of EGCO and the reorganisation of OneEnergy</t>
        </r>
      </text>
    </comment>
    <comment ref="W121" authorId="5" shapeId="0" xr:uid="{00000000-0006-0000-0500-000015000000}">
      <text>
        <r>
          <rPr>
            <b/>
            <sz val="9"/>
            <color indexed="81"/>
            <rFont val="Tahoma"/>
            <family val="2"/>
          </rPr>
          <t>Liu, Ken:</t>
        </r>
        <r>
          <rPr>
            <sz val="9"/>
            <color indexed="81"/>
            <rFont val="Tahoma"/>
            <family val="2"/>
          </rPr>
          <t xml:space="preserve">
 page 215 of pdf</t>
        </r>
      </text>
    </comment>
    <comment ref="L126" authorId="4" shapeId="0" xr:uid="{00000000-0006-0000-0500-000016000000}">
      <text>
        <r>
          <rPr>
            <b/>
            <sz val="8"/>
            <color indexed="81"/>
            <rFont val="Tahoma"/>
            <family val="2"/>
          </rPr>
          <t>oldfiest:</t>
        </r>
        <r>
          <rPr>
            <sz val="8"/>
            <color indexed="81"/>
            <rFont val="Tahoma"/>
            <family val="2"/>
          </rPr>
          <t xml:space="preserve">
less $10 tax</t>
        </r>
      </text>
    </comment>
    <comment ref="M126" authorId="4" shapeId="0" xr:uid="{00000000-0006-0000-0500-000017000000}">
      <text>
        <r>
          <rPr>
            <b/>
            <sz val="8"/>
            <color indexed="81"/>
            <rFont val="Tahoma"/>
            <family val="2"/>
          </rPr>
          <t>oldfiest:</t>
        </r>
        <r>
          <rPr>
            <sz val="8"/>
            <color indexed="81"/>
            <rFont val="Tahoma"/>
            <family val="2"/>
          </rPr>
          <t xml:space="preserve">
$36 tax</t>
        </r>
      </text>
    </comment>
    <comment ref="N126" authorId="4" shapeId="0" xr:uid="{00000000-0006-0000-0500-000018000000}">
      <text>
        <r>
          <rPr>
            <b/>
            <sz val="8"/>
            <color indexed="81"/>
            <rFont val="Tahoma"/>
            <family val="2"/>
          </rPr>
          <t>oldfiest:</t>
        </r>
        <r>
          <rPr>
            <sz val="8"/>
            <color indexed="81"/>
            <rFont val="Tahoma"/>
            <family val="2"/>
          </rPr>
          <t xml:space="preserve">
$48 tax</t>
        </r>
      </text>
    </comment>
    <comment ref="T126" authorId="6" shapeId="0" xr:uid="{00000000-0006-0000-0500-000019000000}">
      <text>
        <r>
          <rPr>
            <b/>
            <sz val="8"/>
            <color indexed="81"/>
            <rFont val="Tahoma"/>
            <family val="2"/>
          </rPr>
          <t>Peng Yuxiao:</t>
        </r>
        <r>
          <rPr>
            <sz val="8"/>
            <color indexed="81"/>
            <rFont val="Tahoma"/>
            <family val="2"/>
          </rPr>
          <t xml:space="preserve">
In September 2009, the investment in Guangdong Nuclear Power Joint Venture Company, Limited (GNPJVC) has been reclassified from a jointly controlled entity to an associated company.</t>
        </r>
      </text>
    </comment>
    <comment ref="X126" authorId="7" shapeId="0" xr:uid="{00000000-0006-0000-0500-00001A000000}">
      <text>
        <r>
          <rPr>
            <b/>
            <sz val="9"/>
            <color indexed="81"/>
            <rFont val="Tahoma"/>
            <family val="2"/>
          </rPr>
          <t>William Li:</t>
        </r>
        <r>
          <rPr>
            <sz val="9"/>
            <color indexed="81"/>
            <rFont val="Tahoma"/>
            <family val="2"/>
          </rPr>
          <t xml:space="preserve">
+25 to make up to 796 associate earnings</t>
        </r>
      </text>
    </comment>
    <comment ref="V127" authorId="8" shapeId="0" xr:uid="{00000000-0006-0000-0500-00001B000000}">
      <text>
        <r>
          <rPr>
            <b/>
            <sz val="8"/>
            <color indexed="81"/>
            <rFont val="Tahoma"/>
            <family val="2"/>
          </rPr>
          <t>Ken Liu:</t>
        </r>
        <r>
          <rPr>
            <sz val="8"/>
            <color indexed="81"/>
            <rFont val="Tahoma"/>
            <family val="2"/>
          </rPr>
          <t xml:space="preserve">
includes available for sale investment: which is the dividend from CNG stations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powda</author>
    <author>Peng Yuxiao</author>
    <author>Stephen Oldfield</author>
    <author>Sun, Abigail</author>
    <author>Liu, Ken</author>
  </authors>
  <commentList>
    <comment ref="E11" authorId="0" shapeId="0" xr:uid="{00000000-0006-0000-0600-000001000000}">
      <text>
        <r>
          <rPr>
            <sz val="8"/>
            <color indexed="81"/>
            <rFont val="Tahoma"/>
            <family val="2"/>
          </rPr>
          <t xml:space="preserve">Tsing Yi decom expense
</t>
        </r>
      </text>
    </comment>
    <comment ref="F11" authorId="0" shapeId="0" xr:uid="{00000000-0006-0000-0600-000002000000}">
      <text>
        <r>
          <rPr>
            <sz val="8"/>
            <color indexed="81"/>
            <rFont val="Tahoma"/>
            <family val="2"/>
          </rPr>
          <t>Tsing Yi decom expense</t>
        </r>
      </text>
    </comment>
    <comment ref="G11" authorId="0" shapeId="0" xr:uid="{00000000-0006-0000-0600-000003000000}">
      <text>
        <r>
          <rPr>
            <sz val="8"/>
            <color indexed="81"/>
            <rFont val="Tahoma"/>
            <family val="2"/>
          </rPr>
          <t>238: Decom expense for Tsing Yi power station
317: Employee reduction payments
see pg63 of AR</t>
        </r>
      </text>
    </comment>
    <comment ref="R11" authorId="1" shapeId="0" xr:uid="{00000000-0006-0000-0600-000004000000}">
      <text>
        <r>
          <rPr>
            <b/>
            <sz val="8"/>
            <color indexed="81"/>
            <rFont val="Tahoma"/>
            <family val="2"/>
          </rPr>
          <t>powda:</t>
        </r>
        <r>
          <rPr>
            <sz val="8"/>
            <color indexed="81"/>
            <rFont val="Tahoma"/>
            <family val="2"/>
          </rPr>
          <t xml:space="preserve">
Provision for asset decommissioning
The new SoC provides a cost charging mechanism for CLP Power Hong Kong to charge an amount for the decommissioning
liabilities account for the settlement of future asset decommissioning costs.</t>
        </r>
      </text>
    </comment>
    <comment ref="S11" authorId="1" shapeId="0" xr:uid="{00000000-0006-0000-0600-000005000000}">
      <text>
        <r>
          <rPr>
            <b/>
            <sz val="8"/>
            <color indexed="81"/>
            <rFont val="Tahoma"/>
            <family val="2"/>
          </rPr>
          <t>powda:</t>
        </r>
        <r>
          <rPr>
            <sz val="8"/>
            <color indexed="81"/>
            <rFont val="Tahoma"/>
            <family val="2"/>
          </rPr>
          <t xml:space="preserve">
Provision for asset decommissioning</t>
        </r>
      </text>
    </comment>
    <comment ref="T11" authorId="1" shapeId="0" xr:uid="{00000000-0006-0000-0600-000006000000}">
      <text>
        <r>
          <rPr>
            <b/>
            <sz val="8"/>
            <color indexed="81"/>
            <rFont val="Tahoma"/>
            <family val="2"/>
          </rPr>
          <t>powda:</t>
        </r>
        <r>
          <rPr>
            <sz val="8"/>
            <color indexed="81"/>
            <rFont val="Tahoma"/>
            <family val="2"/>
          </rPr>
          <t xml:space="preserve">
Provision for asset decommissioning</t>
        </r>
      </text>
    </comment>
    <comment ref="U11" authorId="2" shapeId="0" xr:uid="{00000000-0006-0000-0600-000007000000}">
      <text>
        <r>
          <rPr>
            <b/>
            <sz val="8"/>
            <color indexed="81"/>
            <rFont val="Tahoma"/>
            <family val="2"/>
          </rPr>
          <t>Peng Yuxiao:</t>
        </r>
        <r>
          <rPr>
            <sz val="8"/>
            <color indexed="81"/>
            <rFont val="Tahoma"/>
            <family val="2"/>
          </rPr>
          <t xml:space="preserve">
HK$78m - expense for carry out power demand growth feasibility study</t>
        </r>
      </text>
    </comment>
    <comment ref="K15" authorId="3" shapeId="0" xr:uid="{00000000-0006-0000-0600-000008000000}">
      <text>
        <r>
          <rPr>
            <b/>
            <sz val="8"/>
            <color indexed="81"/>
            <rFont val="Tahoma"/>
            <family val="2"/>
          </rPr>
          <t>Stephen Oldfield:</t>
        </r>
        <r>
          <rPr>
            <sz val="8"/>
            <color indexed="81"/>
            <rFont val="Tahoma"/>
            <family val="2"/>
          </rPr>
          <t xml:space="preserve">
one time tax saving of HK$270 mn - relates to 1999 change in yearend. According to Donald Shang, the company can pay tax as if 1999 was 12 months long rather than 15 months. Rate to return to normal next year.</t>
        </r>
      </text>
    </comment>
    <comment ref="T18" authorId="2" shapeId="0" xr:uid="{00000000-0006-0000-0600-000009000000}">
      <text>
        <r>
          <rPr>
            <b/>
            <sz val="8"/>
            <color indexed="81"/>
            <rFont val="Tahoma"/>
            <family val="2"/>
          </rPr>
          <t>Peng Yuxiao:</t>
        </r>
        <r>
          <rPr>
            <sz val="8"/>
            <color indexed="81"/>
            <rFont val="Tahoma"/>
            <family val="2"/>
          </rPr>
          <t xml:space="preserve">
performance incentives: positive HK$43m</t>
        </r>
      </text>
    </comment>
    <comment ref="T27" authorId="2" shapeId="0" xr:uid="{00000000-0006-0000-0600-00000A000000}">
      <text>
        <r>
          <rPr>
            <b/>
            <sz val="8"/>
            <color indexed="81"/>
            <rFont val="Tahoma"/>
            <family val="2"/>
          </rPr>
          <t>Peng Yuxiao:</t>
        </r>
        <r>
          <rPr>
            <sz val="8"/>
            <color indexed="81"/>
            <rFont val="Tahoma"/>
            <family val="2"/>
          </rPr>
          <t xml:space="preserve">
performance incentives: positive HK$43m</t>
        </r>
      </text>
    </comment>
    <comment ref="AB41" authorId="4" shapeId="0" xr:uid="{00000000-0006-0000-0600-00000B000000}">
      <text>
        <r>
          <rPr>
            <b/>
            <sz val="9"/>
            <color indexed="81"/>
            <rFont val="Tahoma"/>
            <family val="2"/>
          </rPr>
          <t>Sun, Abigail:</t>
        </r>
        <r>
          <rPr>
            <sz val="9"/>
            <color indexed="81"/>
            <rFont val="Tahoma"/>
            <family val="2"/>
          </rPr>
          <t xml:space="preserve">
Net return after CESF/EEF contribution</t>
        </r>
      </text>
    </comment>
    <comment ref="X45" authorId="5" shapeId="0" xr:uid="{00000000-0006-0000-0600-00000C000000}">
      <text>
        <r>
          <rPr>
            <b/>
            <sz val="9"/>
            <color indexed="81"/>
            <rFont val="Tahoma"/>
            <family val="2"/>
          </rPr>
          <t>Liu, Ken:</t>
        </r>
        <r>
          <rPr>
            <sz val="9"/>
            <color indexed="81"/>
            <rFont val="Tahoma"/>
            <family val="2"/>
          </rPr>
          <t xml:space="preserve">
expected to complete by 1 Jul 2014</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oldfiest</author>
    <author>William Li</author>
    <author>Li, William-W</author>
    <author>Stephen Oldfield</author>
    <author>Sun, Abigail</author>
    <author>Ken Liu</author>
  </authors>
  <commentList>
    <comment ref="R13" authorId="0" shapeId="0" xr:uid="{00000000-0006-0000-0700-000001000000}">
      <text>
        <r>
          <rPr>
            <b/>
            <sz val="8"/>
            <color indexed="81"/>
            <rFont val="Tahoma"/>
            <family val="2"/>
          </rPr>
          <t>oldfiest:</t>
        </r>
        <r>
          <rPr>
            <sz val="8"/>
            <color indexed="81"/>
            <rFont val="Tahoma"/>
            <family val="2"/>
          </rPr>
          <t xml:space="preserve">
to reflect a cut from 1 Oct 2008</t>
        </r>
      </text>
    </comment>
    <comment ref="Y16" authorId="1" shapeId="0" xr:uid="{00000000-0006-0000-0700-000002000000}">
      <text>
        <r>
          <rPr>
            <b/>
            <sz val="9"/>
            <color indexed="81"/>
            <rFont val="Tahoma"/>
            <family val="2"/>
          </rPr>
          <t xml:space="preserve">William Li:
-3.8 to account for the special fuel rebate paid in August 2015
page 263: *** The effective net tariff including the one-off special fuel rebate in 2015 is 110.3 cents per unit.
</t>
        </r>
        <r>
          <rPr>
            <sz val="9"/>
            <color indexed="81"/>
            <rFont val="Tahoma"/>
            <family val="2"/>
          </rPr>
          <t xml:space="preserve">
https://www.clponline.com.hk/faq/residentialcustomersfaq/Pages/ElectricityPrices.aspx?lang=en
</t>
        </r>
      </text>
    </comment>
    <comment ref="Z16" authorId="2" shapeId="0" xr:uid="{00000000-0006-0000-0700-000003000000}">
      <text>
        <r>
          <rPr>
            <b/>
            <sz val="9"/>
            <color indexed="81"/>
            <rFont val="Tahoma"/>
            <family val="2"/>
          </rPr>
          <t>Li, William-W:</t>
        </r>
        <r>
          <rPr>
            <sz val="9"/>
            <color indexed="81"/>
            <rFont val="Tahoma"/>
            <family val="2"/>
          </rPr>
          <t xml:space="preserve">
https://www.clp.com.hk/en/Documents/tariff2016/2016tariff-release-en.pdf?medias=Square&amp;campaign=2016Tariff  </t>
        </r>
      </text>
    </comment>
    <comment ref="K22" authorId="3" shapeId="0" xr:uid="{00000000-0006-0000-0700-000004000000}">
      <text>
        <r>
          <rPr>
            <b/>
            <sz val="8"/>
            <color indexed="81"/>
            <rFont val="Tahoma"/>
            <family val="2"/>
          </rPr>
          <t>Stephen Oldfield:</t>
        </r>
        <r>
          <rPr>
            <sz val="8"/>
            <color indexed="81"/>
            <rFont val="Tahoma"/>
            <family val="2"/>
          </rPr>
          <t xml:space="preserve">
$273 mil rebate for centenary per interim results</t>
        </r>
      </text>
    </comment>
    <comment ref="L22" authorId="3" shapeId="0" xr:uid="{00000000-0006-0000-0700-000005000000}">
      <text>
        <r>
          <rPr>
            <b/>
            <sz val="8"/>
            <color indexed="81"/>
            <rFont val="Tahoma"/>
            <family val="2"/>
          </rPr>
          <t>Stephen Oldfield:</t>
        </r>
        <r>
          <rPr>
            <sz val="8"/>
            <color indexed="81"/>
            <rFont val="Tahoma"/>
            <family val="2"/>
          </rPr>
          <t xml:space="preserve">
$220 per customer rebate per 21 Dec 2001 announcement</t>
        </r>
      </text>
    </comment>
    <comment ref="K23" authorId="3" shapeId="0" xr:uid="{00000000-0006-0000-0700-000006000000}">
      <text>
        <r>
          <rPr>
            <b/>
            <sz val="8"/>
            <color indexed="81"/>
            <rFont val="Tahoma"/>
            <family val="2"/>
          </rPr>
          <t>Stephen Oldfield:</t>
        </r>
        <r>
          <rPr>
            <sz val="8"/>
            <color indexed="81"/>
            <rFont val="Tahoma"/>
            <family val="2"/>
          </rPr>
          <t xml:space="preserve">
HK$99m special rebate per results presentation</t>
        </r>
      </text>
    </comment>
    <comment ref="AB37" authorId="4" shapeId="0" xr:uid="{00000000-0006-0000-0700-000007000000}">
      <text>
        <r>
          <rPr>
            <b/>
            <sz val="9"/>
            <color indexed="81"/>
            <rFont val="Tahoma"/>
            <family val="2"/>
          </rPr>
          <t>Sun, Abigail:</t>
        </r>
        <r>
          <rPr>
            <sz val="9"/>
            <color indexed="81"/>
            <rFont val="Tahoma"/>
            <family val="2"/>
          </rPr>
          <t xml:space="preserve">
Shekou electricity supply agreement expired in June 2018</t>
        </r>
      </text>
    </comment>
    <comment ref="V41" authorId="5" shapeId="0" xr:uid="{00000000-0006-0000-0700-000008000000}">
      <text>
        <r>
          <rPr>
            <b/>
            <sz val="8"/>
            <color indexed="81"/>
            <rFont val="Tahoma"/>
            <family val="2"/>
          </rPr>
          <t>Ken Liu:</t>
        </r>
        <r>
          <rPr>
            <sz val="8"/>
            <color indexed="81"/>
            <rFont val="Tahoma"/>
            <family val="2"/>
          </rPr>
          <t xml:space="preserve">
Jan to Aug 3.1% (from HK Census)</t>
        </r>
      </text>
    </comment>
    <comment ref="V42" authorId="5" shapeId="0" xr:uid="{00000000-0006-0000-0700-000009000000}">
      <text>
        <r>
          <rPr>
            <b/>
            <sz val="8"/>
            <color indexed="81"/>
            <rFont val="Tahoma"/>
            <family val="2"/>
          </rPr>
          <t>Ken Liu:</t>
        </r>
        <r>
          <rPr>
            <sz val="8"/>
            <color indexed="81"/>
            <rFont val="Tahoma"/>
            <family val="2"/>
          </rPr>
          <t xml:space="preserve">
Jan to Aug YTD = 5.5% (from HK census)
CLP Q1: 5.5%; Q2: 7.5%</t>
        </r>
      </text>
    </comment>
    <comment ref="V43" authorId="5" shapeId="0" xr:uid="{00000000-0006-0000-0700-00000A000000}">
      <text>
        <r>
          <rPr>
            <b/>
            <sz val="8"/>
            <color indexed="81"/>
            <rFont val="Tahoma"/>
            <family val="2"/>
          </rPr>
          <t>Ken Liu:</t>
        </r>
        <r>
          <rPr>
            <sz val="8"/>
            <color indexed="81"/>
            <rFont val="Tahoma"/>
            <family val="2"/>
          </rPr>
          <t xml:space="preserve">
Jan to Aug YTD = 1.4%
CLP Q1: 3.7%; Q2: -2.1%</t>
        </r>
      </text>
    </comment>
    <comment ref="V44" authorId="5" shapeId="0" xr:uid="{00000000-0006-0000-0700-00000B000000}">
      <text>
        <r>
          <rPr>
            <b/>
            <sz val="8"/>
            <color indexed="81"/>
            <rFont val="Tahoma"/>
            <family val="2"/>
          </rPr>
          <t>Ken Liu:</t>
        </r>
        <r>
          <rPr>
            <sz val="8"/>
            <color indexed="81"/>
            <rFont val="Tahoma"/>
            <family val="2"/>
          </rPr>
          <t xml:space="preserve">
CLP Q1: 5.9%; Q2: 5.4%</t>
        </r>
      </text>
    </comment>
    <comment ref="V45" authorId="5" shapeId="0" xr:uid="{00000000-0006-0000-0700-00000C000000}">
      <text>
        <r>
          <rPr>
            <b/>
            <sz val="8"/>
            <color indexed="81"/>
            <rFont val="Tahoma"/>
            <family val="2"/>
          </rPr>
          <t>Ken Liu:</t>
        </r>
        <r>
          <rPr>
            <sz val="8"/>
            <color indexed="81"/>
            <rFont val="Tahoma"/>
            <family val="2"/>
          </rPr>
          <t xml:space="preserve">
CLP: Jan-Aug 3.2%</t>
        </r>
      </text>
    </comment>
    <comment ref="V46" authorId="5" shapeId="0" xr:uid="{00000000-0006-0000-0700-00000D000000}">
      <text>
        <r>
          <rPr>
            <b/>
            <sz val="8"/>
            <color indexed="81"/>
            <rFont val="Tahoma"/>
            <family val="2"/>
          </rPr>
          <t>Ken Liu:</t>
        </r>
        <r>
          <rPr>
            <sz val="8"/>
            <color indexed="81"/>
            <rFont val="Tahoma"/>
            <family val="2"/>
          </rPr>
          <t xml:space="preserve">
Jan - Aug YTD sales -8.9%</t>
        </r>
      </text>
    </comment>
    <comment ref="AA46" authorId="4" shapeId="0" xr:uid="{00000000-0006-0000-0700-00000E000000}">
      <text>
        <r>
          <rPr>
            <b/>
            <sz val="9"/>
            <color indexed="81"/>
            <rFont val="Tahoma"/>
            <family val="2"/>
          </rPr>
          <t>Sun, Abigail:</t>
        </r>
        <r>
          <rPr>
            <sz val="9"/>
            <color indexed="81"/>
            <rFont val="Tahoma"/>
            <family val="2"/>
          </rPr>
          <t xml:space="preserve">
Increased sales to Shekou since Q3</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Li, William-W</author>
    <author>powda</author>
    <author>Ken Liu</author>
    <author>huangdaa</author>
    <author>srivaspb</author>
    <author>Stephen Oldfield</author>
    <author>Peng Yuxiao</author>
    <author>William Li</author>
    <author>Wu, Sophie</author>
    <author>Liu, Ken</author>
  </authors>
  <commentList>
    <comment ref="Y6" authorId="0" shapeId="0" xr:uid="{00000000-0006-0000-0900-000001000000}">
      <text>
        <r>
          <rPr>
            <b/>
            <sz val="9"/>
            <color indexed="81"/>
            <rFont val="Tahoma"/>
            <family val="2"/>
          </rPr>
          <t>Li, William-W:</t>
        </r>
        <r>
          <rPr>
            <sz val="9"/>
            <color indexed="81"/>
            <rFont val="Tahoma"/>
            <family val="2"/>
          </rPr>
          <t xml:space="preserve">
1264 of special fuel rebate</t>
        </r>
      </text>
    </comment>
    <comment ref="R7" authorId="1" shapeId="0" xr:uid="{00000000-0006-0000-0900-000002000000}">
      <text>
        <r>
          <rPr>
            <b/>
            <sz val="8"/>
            <color indexed="81"/>
            <rFont val="Tahoma"/>
            <family val="2"/>
          </rPr>
          <t>powda:</t>
        </r>
        <r>
          <rPr>
            <sz val="8"/>
            <color indexed="81"/>
            <rFont val="Tahoma"/>
            <family val="2"/>
          </rPr>
          <t xml:space="preserve">
AR p.140</t>
        </r>
      </text>
    </comment>
    <comment ref="V7" authorId="2" shapeId="0" xr:uid="{00000000-0006-0000-0900-000003000000}">
      <text>
        <r>
          <rPr>
            <b/>
            <sz val="8"/>
            <color indexed="81"/>
            <rFont val="Tahoma"/>
            <family val="2"/>
          </rPr>
          <t>Ken Liu:</t>
        </r>
        <r>
          <rPr>
            <sz val="8"/>
            <color indexed="81"/>
            <rFont val="Tahoma"/>
            <family val="2"/>
          </rPr>
          <t xml:space="preserve">
700m</t>
        </r>
      </text>
    </comment>
    <comment ref="J20" authorId="3" shapeId="0" xr:uid="{00000000-0006-0000-0900-000004000000}">
      <text>
        <r>
          <rPr>
            <b/>
            <sz val="8"/>
            <color indexed="81"/>
            <rFont val="Tahoma"/>
            <family val="2"/>
          </rPr>
          <t>Danny:</t>
        </r>
        <r>
          <rPr>
            <sz val="8"/>
            <color indexed="81"/>
            <rFont val="Tahoma"/>
            <family val="2"/>
          </rPr>
          <t xml:space="preserve">
Transfer to Special provision account</t>
        </r>
      </text>
    </comment>
    <comment ref="R20" authorId="1" shapeId="0" xr:uid="{00000000-0006-0000-0900-000005000000}">
      <text>
        <r>
          <rPr>
            <b/>
            <sz val="8"/>
            <color indexed="81"/>
            <rFont val="Tahoma"/>
            <family val="2"/>
          </rPr>
          <t>powda:</t>
        </r>
        <r>
          <rPr>
            <sz val="8"/>
            <color indexed="81"/>
            <rFont val="Tahoma"/>
            <family val="2"/>
          </rPr>
          <t xml:space="preserve">
Charge for asset decommissioning</t>
        </r>
      </text>
    </comment>
    <comment ref="S20" authorId="4" shapeId="0" xr:uid="{00000000-0006-0000-0900-000006000000}">
      <text>
        <r>
          <rPr>
            <b/>
            <sz val="8"/>
            <color indexed="81"/>
            <rFont val="Tahoma"/>
            <family val="2"/>
          </rPr>
          <t>srivaspb:</t>
        </r>
        <r>
          <rPr>
            <sz val="8"/>
            <color indexed="81"/>
            <rFont val="Tahoma"/>
            <family val="2"/>
          </rPr>
          <t xml:space="preserve">
charge for asset decomissioning.  Pg 185 note b.</t>
        </r>
      </text>
    </comment>
    <comment ref="L21" authorId="5" shapeId="0" xr:uid="{00000000-0006-0000-0900-000007000000}">
      <text>
        <r>
          <rPr>
            <b/>
            <sz val="8"/>
            <color indexed="81"/>
            <rFont val="Tahoma"/>
            <family val="2"/>
          </rPr>
          <t>Stephen Oldfield:</t>
        </r>
        <r>
          <rPr>
            <sz val="8"/>
            <color indexed="81"/>
            <rFont val="Tahoma"/>
            <family val="2"/>
          </rPr>
          <t xml:space="preserve">
HK$910 mn rebate split about 2/3,1/3 between dev fund and rate red resv (we've used 70%/30%)</t>
        </r>
      </text>
    </comment>
    <comment ref="V21" authorId="2" shapeId="0" xr:uid="{00000000-0006-0000-0900-000008000000}">
      <text>
        <r>
          <rPr>
            <b/>
            <sz val="8"/>
            <color indexed="81"/>
            <rFont val="Tahoma"/>
            <family val="2"/>
          </rPr>
          <t>Ken Liu:</t>
        </r>
        <r>
          <rPr>
            <sz val="8"/>
            <color indexed="81"/>
            <rFont val="Tahoma"/>
            <family val="2"/>
          </rPr>
          <t xml:space="preserve">
expects fund balance to be HK$700m (2013 tariff review)</t>
        </r>
      </text>
    </comment>
    <comment ref="J25" authorId="3" shapeId="0" xr:uid="{00000000-0006-0000-0900-000009000000}">
      <text>
        <r>
          <rPr>
            <b/>
            <sz val="8"/>
            <color indexed="81"/>
            <rFont val="Tahoma"/>
            <family val="2"/>
          </rPr>
          <t>Danny:</t>
        </r>
        <r>
          <rPr>
            <sz val="8"/>
            <color indexed="81"/>
            <rFont val="Tahoma"/>
            <family val="2"/>
          </rPr>
          <t xml:space="preserve">
Transfer from Development fund</t>
        </r>
      </text>
    </comment>
    <comment ref="J26" authorId="3" shapeId="0" xr:uid="{00000000-0006-0000-0900-00000A000000}">
      <text>
        <r>
          <rPr>
            <b/>
            <sz val="8"/>
            <color indexed="81"/>
            <rFont val="Tahoma"/>
            <family val="2"/>
          </rPr>
          <t>Danny:</t>
        </r>
        <r>
          <rPr>
            <sz val="8"/>
            <color indexed="81"/>
            <rFont val="Tahoma"/>
            <family val="2"/>
          </rPr>
          <t xml:space="preserve">
Transfer to P&amp;L</t>
        </r>
      </text>
    </comment>
    <comment ref="V38" authorId="6" shapeId="0" xr:uid="{00000000-0006-0000-0900-00000B000000}">
      <text>
        <r>
          <rPr>
            <b/>
            <sz val="8"/>
            <color indexed="81"/>
            <rFont val="Tahoma"/>
            <family val="2"/>
          </rPr>
          <t>Peng Yuxiao:</t>
        </r>
        <r>
          <rPr>
            <sz val="8"/>
            <color indexed="81"/>
            <rFont val="Tahoma"/>
            <family val="2"/>
          </rPr>
          <t xml:space="preserve">
Company guides that rents and rates refund is more than one year of rebate. 
</t>
        </r>
        <r>
          <rPr>
            <b/>
            <sz val="8"/>
            <color indexed="81"/>
            <rFont val="Tahoma"/>
            <family val="2"/>
          </rPr>
          <t>Ken Liu</t>
        </r>
        <r>
          <rPr>
            <sz val="8"/>
            <color indexed="81"/>
            <rFont val="Tahoma"/>
            <family val="2"/>
          </rPr>
          <t xml:space="preserve">
A CLP spokeswoman said the ruling meant they had been overcharged in rents and rates. "We will review the judgment in detail to assess its impact on CLP and our next steps," she said. It also means the department's actual refund to the firm depends on the valuation method favoured by the tribunal. Even before the case concluded, the government had refunded CLP HK$1.6 billion by the end of last year. (Apr 2013)
</t>
        </r>
      </text>
    </comment>
    <comment ref="X38" authorId="7" shapeId="0" xr:uid="{00000000-0006-0000-0900-00000C000000}">
      <text>
        <r>
          <rPr>
            <b/>
            <sz val="9"/>
            <color indexed="81"/>
            <rFont val="Tahoma"/>
            <family val="2"/>
          </rPr>
          <t>William Li:</t>
        </r>
        <r>
          <rPr>
            <sz val="9"/>
            <color indexed="81"/>
            <rFont val="Tahoma"/>
            <family val="2"/>
          </rPr>
          <t xml:space="preserve">
</t>
        </r>
        <r>
          <rPr>
            <sz val="7"/>
            <color indexed="81"/>
            <rFont val="Tahoma"/>
            <family val="2"/>
          </rPr>
          <t>The interim refunds received by CLP Power Hong Kong from the Hong Kong Government in 2012 and 2013 totalling HK$1,641 million had been fully expended in Rent and Rates Special Rebate provided to customers during 2012 and 2013. In 2014, a further interim refund of HK$72 million was received. These interim refunds were made by the Hong Kong Government without prejudice to the final outcome of the appeals which means that these amounts will be adjusted by reference to the decisions of the Lands Tribunal and subsequent appeals.</t>
        </r>
      </text>
    </comment>
    <comment ref="V46" authorId="2" shapeId="0" xr:uid="{00000000-0006-0000-0900-00000D000000}">
      <text>
        <r>
          <rPr>
            <b/>
            <sz val="8"/>
            <color indexed="81"/>
            <rFont val="Tahoma"/>
            <family val="2"/>
          </rPr>
          <t>Ken Liu:</t>
        </r>
        <r>
          <rPr>
            <sz val="8"/>
            <color indexed="81"/>
            <rFont val="Tahoma"/>
            <family val="2"/>
          </rPr>
          <t xml:space="preserve">
should exclude the abnormal generation, think should be from pumped storage</t>
        </r>
      </text>
    </comment>
    <comment ref="U48" authorId="6" shapeId="0" xr:uid="{00000000-0006-0000-0900-00000E000000}">
      <text>
        <r>
          <rPr>
            <b/>
            <sz val="8"/>
            <color indexed="81"/>
            <rFont val="Tahoma"/>
            <family val="2"/>
          </rPr>
          <t>Peng Yuxiao:</t>
        </r>
        <r>
          <rPr>
            <sz val="8"/>
            <color indexed="81"/>
            <rFont val="Tahoma"/>
            <family val="2"/>
          </rPr>
          <t xml:space="preserve">
H111 operating expenses up HK$113m, or 7% YoY
Company guidance for the full year 2012 of HK$3.9bn, up c.6% YoY
</t>
        </r>
      </text>
    </comment>
    <comment ref="U50" authorId="6" shapeId="0" xr:uid="{00000000-0006-0000-0900-00000F000000}">
      <text>
        <r>
          <rPr>
            <b/>
            <sz val="8"/>
            <color indexed="81"/>
            <rFont val="Tahoma"/>
            <family val="2"/>
          </rPr>
          <t>Peng Yuxiao:</t>
        </r>
        <r>
          <rPr>
            <sz val="8"/>
            <color indexed="81"/>
            <rFont val="Tahoma"/>
            <family val="2"/>
          </rPr>
          <t xml:space="preserve">
H111 operating expenses up HK$113m, or 7% YoY</t>
        </r>
      </text>
    </comment>
    <comment ref="V50" authorId="6" shapeId="0" xr:uid="{00000000-0006-0000-0900-000010000000}">
      <text>
        <r>
          <rPr>
            <b/>
            <sz val="8"/>
            <color indexed="81"/>
            <rFont val="Tahoma"/>
            <family val="2"/>
          </rPr>
          <t>Peng Yuxiao:</t>
        </r>
        <r>
          <rPr>
            <sz val="8"/>
            <color indexed="81"/>
            <rFont val="Tahoma"/>
            <family val="2"/>
          </rPr>
          <t xml:space="preserve">
H111 operating expenses up HK$113m, or 7% YoY</t>
        </r>
      </text>
    </comment>
    <comment ref="AC50" authorId="8" shapeId="0" xr:uid="{00000000-0006-0000-0900-000011000000}">
      <text>
        <r>
          <rPr>
            <b/>
            <sz val="9"/>
            <color indexed="81"/>
            <rFont val="Tahoma"/>
            <family val="2"/>
          </rPr>
          <t>Wu, Sophie:</t>
        </r>
        <r>
          <rPr>
            <sz val="9"/>
            <color indexed="81"/>
            <rFont val="Tahoma"/>
            <family val="2"/>
          </rPr>
          <t xml:space="preserve">
power sales to China = 0</t>
        </r>
      </text>
    </comment>
    <comment ref="V56" authorId="2" shapeId="0" xr:uid="{00000000-0006-0000-0900-000012000000}">
      <text>
        <r>
          <rPr>
            <b/>
            <sz val="8"/>
            <color indexed="81"/>
            <rFont val="Tahoma"/>
            <family val="2"/>
          </rPr>
          <t>Ken Liu:</t>
        </r>
        <r>
          <rPr>
            <sz val="8"/>
            <color indexed="81"/>
            <rFont val="Tahoma"/>
            <family val="2"/>
          </rPr>
          <t xml:space="preserve">
increased import because of conveyor belt accident in August during typhoon</t>
        </r>
      </text>
    </comment>
    <comment ref="A58" authorId="2" shapeId="0" xr:uid="{00000000-0006-0000-0900-000013000000}">
      <text>
        <r>
          <rPr>
            <b/>
            <sz val="8"/>
            <color indexed="81"/>
            <rFont val="Tahoma"/>
            <family val="2"/>
          </rPr>
          <t>Ken Liu:</t>
        </r>
        <r>
          <rPr>
            <sz val="8"/>
            <color indexed="81"/>
            <rFont val="Tahoma"/>
            <family val="2"/>
          </rPr>
          <t xml:space="preserve">
https://www.clpgroup.com/ourvalues/report/Pages/sustainabilityreport.aspx
(on the RHS bar)</t>
        </r>
      </text>
    </comment>
    <comment ref="Y58" authorId="9" shapeId="0" xr:uid="{00000000-0006-0000-0900-000014000000}">
      <text>
        <r>
          <rPr>
            <b/>
            <sz val="9"/>
            <color indexed="81"/>
            <rFont val="Tahoma"/>
            <family val="2"/>
          </rPr>
          <t>Liu, Ken:</t>
        </r>
        <r>
          <rPr>
            <sz val="9"/>
            <color indexed="81"/>
            <rFont val="Tahoma"/>
            <family val="2"/>
          </rPr>
          <t xml:space="preserve">
CLP file to legco shws that they expect gas fired generation to reach 10900+5530 = 16430 GWh</t>
        </r>
      </text>
    </comment>
    <comment ref="Y65" authorId="2" shapeId="0" xr:uid="{00000000-0006-0000-0900-000015000000}">
      <text>
        <r>
          <rPr>
            <b/>
            <sz val="8"/>
            <color indexed="81"/>
            <rFont val="Tahoma"/>
            <family val="2"/>
          </rPr>
          <t>Ken Liu:</t>
        </r>
        <r>
          <rPr>
            <sz val="8"/>
            <color indexed="81"/>
            <rFont val="Tahoma"/>
            <family val="2"/>
          </rPr>
          <t xml:space="preserve">
government target is 52%
Company forecast, 45% (2013 tariff review)
We assume the desulphurisation equipments can perform better</t>
        </r>
      </text>
    </comment>
    <comment ref="AD65" authorId="9" shapeId="0" xr:uid="{00000000-0006-0000-0900-000016000000}">
      <text>
        <r>
          <rPr>
            <b/>
            <sz val="9"/>
            <color indexed="81"/>
            <rFont val="Tahoma"/>
            <family val="2"/>
          </rPr>
          <t>Liu, Ken:</t>
        </r>
        <r>
          <rPr>
            <sz val="9"/>
            <color indexed="81"/>
            <rFont val="Tahoma"/>
            <family val="2"/>
          </rPr>
          <t xml:space="preserve">
target to 45% </t>
        </r>
      </text>
    </comment>
    <comment ref="AN65" authorId="9" shapeId="0" xr:uid="{00000000-0006-0000-0900-000017000000}">
      <text>
        <r>
          <rPr>
            <b/>
            <sz val="9"/>
            <color indexed="81"/>
            <rFont val="Tahoma"/>
            <family val="2"/>
          </rPr>
          <t>Liu, Ken:</t>
        </r>
        <r>
          <rPr>
            <sz val="9"/>
            <color indexed="81"/>
            <rFont val="Tahoma"/>
            <family val="2"/>
          </rPr>
          <t xml:space="preserve">
around 60% according to company PPT 2017 Jun</t>
        </r>
      </text>
    </comment>
    <comment ref="V69" authorId="2" shapeId="0" xr:uid="{00000000-0006-0000-0900-000018000000}">
      <text>
        <r>
          <rPr>
            <b/>
            <sz val="8"/>
            <color indexed="81"/>
            <rFont val="Tahoma"/>
            <family val="2"/>
          </rPr>
          <t>Ken Liu:</t>
        </r>
        <r>
          <rPr>
            <sz val="8"/>
            <color indexed="81"/>
            <rFont val="Tahoma"/>
            <family val="2"/>
          </rPr>
          <t xml:space="preserve">
around 10bn (2013 tariff review)</t>
        </r>
      </text>
    </comment>
    <comment ref="W76" authorId="9" shapeId="0" xr:uid="{00000000-0006-0000-0900-000019000000}">
      <text>
        <r>
          <rPr>
            <b/>
            <sz val="9"/>
            <color indexed="81"/>
            <rFont val="Tahoma"/>
            <family val="2"/>
          </rPr>
          <t>Liu, Ken:</t>
        </r>
        <r>
          <rPr>
            <sz val="9"/>
            <color indexed="81"/>
            <rFont val="Tahoma"/>
            <family val="2"/>
          </rPr>
          <t xml:space="preserve">
Janis said coal was around 5.2bn. Others are included here for easier modelling</t>
        </r>
      </text>
    </comment>
    <comment ref="AE76" authorId="9" shapeId="0" xr:uid="{00000000-0006-0000-0900-00001A000000}">
      <text>
        <r>
          <rPr>
            <b/>
            <sz val="9"/>
            <color indexed="81"/>
            <rFont val="Tahoma"/>
            <family val="2"/>
          </rPr>
          <t>Liu, Ken:</t>
        </r>
        <r>
          <rPr>
            <sz val="9"/>
            <color indexed="81"/>
            <rFont val="Tahoma"/>
            <family val="2"/>
          </rPr>
          <t xml:space="preserve">
 from ppt</t>
        </r>
      </text>
    </comment>
    <comment ref="W82" authorId="9" shapeId="0" xr:uid="{00000000-0006-0000-0900-00001B000000}">
      <text>
        <r>
          <rPr>
            <b/>
            <sz val="9"/>
            <color indexed="81"/>
            <rFont val="Tahoma"/>
            <family val="2"/>
          </rPr>
          <t>Liu, Ken:</t>
        </r>
        <r>
          <rPr>
            <sz val="9"/>
            <color indexed="81"/>
            <rFont val="Tahoma"/>
            <family val="2"/>
          </rPr>
          <t xml:space="preserve">
Checked with Janis ~ 4bn </t>
        </r>
      </text>
    </comment>
    <comment ref="U83" authorId="2" shapeId="0" xr:uid="{00000000-0006-0000-0900-00001C000000}">
      <text>
        <r>
          <rPr>
            <b/>
            <sz val="8"/>
            <color indexed="81"/>
            <rFont val="Tahoma"/>
            <family val="2"/>
          </rPr>
          <t>Ken Liu:</t>
        </r>
        <r>
          <rPr>
            <sz val="8"/>
            <color indexed="81"/>
            <rFont val="Tahoma"/>
            <family val="2"/>
          </rPr>
          <t xml:space="preserve">
company said Yacheng is around  US$6mmbtu</t>
        </r>
      </text>
    </comment>
    <comment ref="V83" authorId="2" shapeId="0" xr:uid="{00000000-0006-0000-0900-00001D000000}">
      <text>
        <r>
          <rPr>
            <b/>
            <sz val="8"/>
            <color indexed="81"/>
            <rFont val="Tahoma"/>
            <family val="2"/>
          </rPr>
          <t>Ken Liu:</t>
        </r>
        <r>
          <rPr>
            <sz val="8"/>
            <color indexed="81"/>
            <rFont val="Tahoma"/>
            <family val="2"/>
          </rPr>
          <t xml:space="preserve">
implied, by assuming a smooth transition</t>
        </r>
      </text>
    </comment>
    <comment ref="V84" authorId="2" shapeId="0" xr:uid="{00000000-0006-0000-0900-00001E000000}">
      <text>
        <r>
          <rPr>
            <b/>
            <sz val="8"/>
            <color indexed="81"/>
            <rFont val="Tahoma"/>
            <family val="2"/>
          </rPr>
          <t>Ken Liu:</t>
        </r>
        <r>
          <rPr>
            <sz val="8"/>
            <color indexed="81"/>
            <rFont val="Tahoma"/>
            <family val="2"/>
          </rPr>
          <t xml:space="preserve">
2013 tariff review presentation slides to the Legislative council</t>
        </r>
      </text>
    </comment>
    <comment ref="V85" authorId="2" shapeId="0" xr:uid="{00000000-0006-0000-0900-00001F000000}">
      <text>
        <r>
          <rPr>
            <b/>
            <sz val="8"/>
            <color indexed="81"/>
            <rFont val="Tahoma"/>
            <family val="2"/>
          </rPr>
          <t>Ken Liu:</t>
        </r>
        <r>
          <rPr>
            <sz val="8"/>
            <color indexed="81"/>
            <rFont val="Tahoma"/>
            <family val="2"/>
          </rPr>
          <t xml:space="preserve">
2013 tariff review presentation slides to the Legislative council</t>
        </r>
      </text>
    </comment>
    <comment ref="V86" authorId="2" shapeId="0" xr:uid="{00000000-0006-0000-0900-000020000000}">
      <text>
        <r>
          <rPr>
            <b/>
            <sz val="8"/>
            <color indexed="81"/>
            <rFont val="Tahoma"/>
            <family val="2"/>
          </rPr>
          <t>Ken Liu:</t>
        </r>
        <r>
          <rPr>
            <sz val="8"/>
            <color indexed="81"/>
            <rFont val="Tahoma"/>
            <family val="2"/>
          </rPr>
          <t xml:space="preserve">
2013 tariff review presentation slides to the Legislative council</t>
        </r>
      </text>
    </comment>
    <comment ref="AB88" authorId="9" shapeId="0" xr:uid="{00000000-0006-0000-0900-000021000000}">
      <text>
        <r>
          <rPr>
            <b/>
            <sz val="9"/>
            <color indexed="81"/>
            <rFont val="Tahoma"/>
            <family val="2"/>
          </rPr>
          <t>Liu, Ken:</t>
        </r>
        <r>
          <rPr>
            <sz val="9"/>
            <color indexed="81"/>
            <rFont val="Tahoma"/>
            <family val="2"/>
          </rPr>
          <t xml:space="preserve">
from PPT slides 39</t>
        </r>
      </text>
    </comment>
    <comment ref="AF89" authorId="9" shapeId="0" xr:uid="{00000000-0006-0000-0900-000022000000}">
      <text>
        <r>
          <rPr>
            <b/>
            <sz val="9"/>
            <color indexed="81"/>
            <rFont val="Tahoma"/>
            <family val="2"/>
          </rPr>
          <t>Liu, Ken:</t>
        </r>
        <r>
          <rPr>
            <sz val="9"/>
            <color indexed="81"/>
            <rFont val="Tahoma"/>
            <family val="2"/>
          </rPr>
          <t xml:space="preserve">
CLP got its own LNG termal for cheaper gas</t>
        </r>
      </text>
    </comment>
    <comment ref="X90" authorId="9" shapeId="0" xr:uid="{00000000-0006-0000-0900-000023000000}">
      <text>
        <r>
          <rPr>
            <b/>
            <sz val="9"/>
            <color indexed="81"/>
            <rFont val="Tahoma"/>
            <family val="2"/>
          </rPr>
          <t>Liu, Ken:</t>
        </r>
        <r>
          <rPr>
            <sz val="9"/>
            <color indexed="81"/>
            <rFont val="Tahoma"/>
            <family val="2"/>
          </rPr>
          <t xml:space="preserve">
The mix was updated from CLP's doc to legco, page 8, in Dec 2013</t>
        </r>
      </text>
    </comment>
    <comment ref="X91" authorId="7" shapeId="0" xr:uid="{00000000-0006-0000-0900-000024000000}">
      <text>
        <r>
          <rPr>
            <b/>
            <sz val="9"/>
            <color indexed="81"/>
            <rFont val="Tahoma"/>
            <family val="2"/>
          </rPr>
          <t>William Li:</t>
        </r>
        <r>
          <rPr>
            <sz val="9"/>
            <color indexed="81"/>
            <rFont val="Tahoma"/>
            <family val="2"/>
          </rPr>
          <t xml:space="preserve">
Black Point facility performance stats</t>
        </r>
      </text>
    </comment>
    <comment ref="V100" authorId="2" shapeId="0" xr:uid="{00000000-0006-0000-0900-000025000000}">
      <text>
        <r>
          <rPr>
            <b/>
            <sz val="8"/>
            <color indexed="81"/>
            <rFont val="Tahoma"/>
            <family val="2"/>
          </rPr>
          <t>Ken Liu:</t>
        </r>
        <r>
          <rPr>
            <sz val="8"/>
            <color indexed="81"/>
            <rFont val="Tahoma"/>
            <family val="2"/>
          </rPr>
          <t xml:space="preserve">
Oil turned on, so more polluting</t>
        </r>
      </text>
    </comment>
    <comment ref="Y115" authorId="0" shapeId="0" xr:uid="{00000000-0006-0000-0900-000026000000}">
      <text>
        <r>
          <rPr>
            <b/>
            <sz val="9"/>
            <color indexed="81"/>
            <rFont val="Tahoma"/>
            <family val="2"/>
          </rPr>
          <t>Li, William-W:</t>
        </r>
        <r>
          <rPr>
            <sz val="9"/>
            <color indexed="81"/>
            <rFont val="Tahoma"/>
            <family val="2"/>
          </rPr>
          <t xml:space="preserve">
ok to fail. CLP said you can transfer emission cap from other power stations. As long as overall emissions does not fail</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Powell, Simon</author>
    <author>Liu, Ken</author>
    <author>Sun, Abigail</author>
    <author>Lam, Jarvis</author>
    <author>Peng Yuxiao</author>
    <author>Chow, David</author>
    <author>Eason Tang</author>
  </authors>
  <commentList>
    <comment ref="AB6" authorId="0" shapeId="0" xr:uid="{00000000-0006-0000-0800-000001000000}">
      <text>
        <r>
          <rPr>
            <b/>
            <sz val="9"/>
            <color indexed="81"/>
            <rFont val="Tahoma"/>
            <family val="2"/>
          </rPr>
          <t>Powell, Simon:</t>
        </r>
        <r>
          <rPr>
            <sz val="9"/>
            <color indexed="81"/>
            <rFont val="Tahoma"/>
            <family val="2"/>
          </rPr>
          <t xml:space="preserve">
current SoC ends 30 Sept so 9 months at 9.99%
 and 3 months at 8%</t>
        </r>
      </text>
    </comment>
    <comment ref="AC6" authorId="1" shapeId="0" xr:uid="{00000000-0006-0000-0800-000002000000}">
      <text>
        <r>
          <rPr>
            <b/>
            <sz val="9"/>
            <color indexed="81"/>
            <rFont val="Tahoma"/>
            <family val="2"/>
          </rPr>
          <t>Liu, Ken:</t>
        </r>
        <r>
          <rPr>
            <sz val="9"/>
            <color indexed="81"/>
            <rFont val="Tahoma"/>
            <family val="2"/>
          </rPr>
          <t xml:space="preserve">
Assume a lower permitted return starting from 2019</t>
        </r>
      </text>
    </comment>
    <comment ref="X19" authorId="1" shapeId="0" xr:uid="{00000000-0006-0000-0800-000003000000}">
      <text>
        <r>
          <rPr>
            <b/>
            <sz val="9"/>
            <color indexed="81"/>
            <rFont val="Tahoma"/>
            <family val="2"/>
          </rPr>
          <t>Liu, Ken:</t>
        </r>
        <r>
          <rPr>
            <sz val="9"/>
            <color indexed="81"/>
            <rFont val="Tahoma"/>
            <family val="2"/>
          </rPr>
          <t xml:space="preserve">
goodwill of 7904, from 30% acquired, and 40% deemed disposal of goodwill</t>
        </r>
      </text>
    </comment>
    <comment ref="S34" authorId="2" shapeId="0" xr:uid="{00000000-0006-0000-0800-000004000000}">
      <text>
        <r>
          <rPr>
            <b/>
            <sz val="9"/>
            <color indexed="81"/>
            <rFont val="Tahoma"/>
            <family val="2"/>
          </rPr>
          <t>Sun, Abigail:</t>
        </r>
        <r>
          <rPr>
            <sz val="9"/>
            <color indexed="81"/>
            <rFont val="Tahoma"/>
            <family val="2"/>
          </rPr>
          <t xml:space="preserve">
200 from PSDC and Group level</t>
        </r>
      </text>
    </comment>
    <comment ref="W34" authorId="2" shapeId="0" xr:uid="{00000000-0006-0000-0800-000005000000}">
      <text>
        <r>
          <rPr>
            <b/>
            <sz val="9"/>
            <color indexed="81"/>
            <rFont val="Tahoma"/>
            <family val="2"/>
          </rPr>
          <t>Sun, Abigail:</t>
        </r>
        <r>
          <rPr>
            <sz val="9"/>
            <color indexed="81"/>
            <rFont val="Tahoma"/>
            <family val="2"/>
          </rPr>
          <t xml:space="preserve">
assume 200 are under PSDC/Group level</t>
        </r>
      </text>
    </comment>
    <comment ref="AA34" authorId="2" shapeId="0" xr:uid="{00000000-0006-0000-0800-000006000000}">
      <text>
        <r>
          <rPr>
            <b/>
            <sz val="9"/>
            <color indexed="81"/>
            <rFont val="Tahoma"/>
            <family val="2"/>
          </rPr>
          <t>Sun, Abigail:</t>
        </r>
        <r>
          <rPr>
            <sz val="9"/>
            <color indexed="81"/>
            <rFont val="Tahoma"/>
            <family val="2"/>
          </rPr>
          <t xml:space="preserve">
CAPCO issued US$500m bond at 3.25% rate on 26 July 2017
</t>
        </r>
      </text>
    </comment>
    <comment ref="AG42" authorId="1" shapeId="0" xr:uid="{68AD679E-5354-40F4-B658-572BE2B0BB16}">
      <text>
        <r>
          <rPr>
            <b/>
            <sz val="9"/>
            <color indexed="81"/>
            <rFont val="Tahoma"/>
            <family val="2"/>
          </rPr>
          <t>Liu, Ken:</t>
        </r>
        <r>
          <rPr>
            <sz val="9"/>
            <color indexed="81"/>
            <rFont val="Tahoma"/>
            <family val="2"/>
          </rPr>
          <t xml:space="preserve">
UBSe 4.2/1.4/1.9 in 23/24/25 for Hk 10 year bond yield, assume 0.75% preimum</t>
        </r>
      </text>
    </comment>
    <comment ref="AH42" authorId="1" shapeId="0" xr:uid="{CD21D699-BE23-4162-9C31-1310391F283D}">
      <text>
        <r>
          <rPr>
            <b/>
            <sz val="9"/>
            <color indexed="81"/>
            <rFont val="Tahoma"/>
            <family val="2"/>
          </rPr>
          <t>Liu, Ken:</t>
        </r>
        <r>
          <rPr>
            <sz val="9"/>
            <color indexed="81"/>
            <rFont val="Tahoma"/>
            <family val="2"/>
          </rPr>
          <t xml:space="preserve">
UBSe 4.2/1.4/1.9 in 23/24/25 for Hk 10 year bond yield, assume 0.75% preimum</t>
        </r>
      </text>
    </comment>
    <comment ref="AI42" authorId="3" shapeId="0" xr:uid="{28714A71-29BC-4B78-936F-069B8DB87755}">
      <text>
        <r>
          <rPr>
            <b/>
            <sz val="9"/>
            <color indexed="81"/>
            <rFont val="Tahoma"/>
            <family val="2"/>
          </rPr>
          <t>Eason Tang:</t>
        </r>
        <r>
          <rPr>
            <sz val="9"/>
            <color indexed="81"/>
            <rFont val="Tahoma"/>
            <family val="2"/>
          </rPr>
          <t xml:space="preserve">
UBSe HK policy rate 2.5/1.9% for 2025/26
Assume 0.75% premium
</t>
        </r>
      </text>
    </comment>
    <comment ref="X46" authorId="2" shapeId="0" xr:uid="{00000000-0006-0000-0800-000007000000}">
      <text>
        <r>
          <rPr>
            <b/>
            <sz val="9"/>
            <color indexed="81"/>
            <rFont val="Tahoma"/>
            <family val="2"/>
          </rPr>
          <t>Sun, Abigail:</t>
        </r>
        <r>
          <rPr>
            <sz val="9"/>
            <color indexed="81"/>
            <rFont val="Tahoma"/>
            <family val="2"/>
          </rPr>
          <t xml:space="preserve">
CLP consolidated CAPCO in 12 May 2014
</t>
        </r>
      </text>
    </comment>
    <comment ref="W54" authorId="2" shapeId="0" xr:uid="{00000000-0006-0000-0800-000008000000}">
      <text>
        <r>
          <rPr>
            <b/>
            <sz val="9"/>
            <color indexed="81"/>
            <rFont val="Tahoma"/>
            <family val="2"/>
          </rPr>
          <t xml:space="preserve">Liu, Ken:
</t>
        </r>
        <r>
          <rPr>
            <sz val="9"/>
            <color indexed="81"/>
            <rFont val="Tahoma"/>
            <family val="2"/>
          </rPr>
          <t>5459 = T&amp;D
171 = customer and corporate service development</t>
        </r>
      </text>
    </comment>
    <comment ref="AA55" authorId="2" shapeId="0" xr:uid="{00000000-0006-0000-0800-000009000000}">
      <text>
        <r>
          <rPr>
            <b/>
            <sz val="9"/>
            <color indexed="81"/>
            <rFont val="Tahoma"/>
            <family val="2"/>
          </rPr>
          <t xml:space="preserve">Powell, Simon:
</t>
        </r>
        <r>
          <rPr>
            <sz val="9"/>
            <color indexed="81"/>
            <rFont val="Tahoma"/>
            <family val="2"/>
          </rPr>
          <t>Company guides 5bn for a 550MW CCGT in Black Point over 17 /18 / 19 
(AR16 P37)
The total estimated capital expenditure (CAPEX) of the new gas unit is about $5,547 million. Of the $5,547 million CAPEX, $3,575 million will be incurred over the remaining period of the existing Scheme of Control Agreement (SCA), which will expire on September 30, 2018. After offsetting by adjustments and savings from other capital projects, the total CAPEX as approved in the CLP's 2014-18 Development Plan will increase from $34.1 billion to $37.1 billion.</t>
        </r>
      </text>
    </comment>
    <comment ref="AC55" authorId="2" shapeId="0" xr:uid="{00000000-0006-0000-0800-00000A000000}">
      <text>
        <r>
          <rPr>
            <b/>
            <sz val="9"/>
            <color indexed="81"/>
            <rFont val="Tahoma"/>
            <family val="2"/>
          </rPr>
          <t>Sun, Abigail:</t>
        </r>
        <r>
          <rPr>
            <sz val="9"/>
            <color indexed="81"/>
            <rFont val="Tahoma"/>
            <family val="2"/>
          </rPr>
          <t xml:space="preserve">
LNG terminal 2800
</t>
        </r>
      </text>
    </comment>
    <comment ref="A63" authorId="4" shapeId="0" xr:uid="{00000000-0006-0000-0800-00000B000000}">
      <text>
        <r>
          <rPr>
            <b/>
            <sz val="8"/>
            <color indexed="81"/>
            <rFont val="Tahoma"/>
            <family val="2"/>
          </rPr>
          <t>Peng Yuxiao:</t>
        </r>
        <r>
          <rPr>
            <sz val="8"/>
            <color indexed="81"/>
            <rFont val="Tahoma"/>
            <family val="2"/>
          </rPr>
          <t xml:space="preserve">
6,908MW from CAPCO
Others include Daya Bay and PSDC</t>
        </r>
      </text>
    </comment>
    <comment ref="AH71" authorId="5" shapeId="0" xr:uid="{33B18940-E1B2-4A9C-B9E9-00D789ED5773}">
      <text>
        <r>
          <rPr>
            <b/>
            <sz val="9"/>
            <color indexed="81"/>
            <rFont val="Tahoma"/>
            <family val="2"/>
          </rPr>
          <t>Chow, David:</t>
        </r>
        <r>
          <rPr>
            <sz val="9"/>
            <color indexed="81"/>
            <rFont val="Tahoma"/>
            <family val="2"/>
          </rPr>
          <t xml:space="preserve">
Units A1, A2 and A3 units of Castle Peak Power Station, with a combined capacity of 1,050MW, were retired as of 20 April 2024.</t>
        </r>
      </text>
    </comment>
    <comment ref="AG72" authorId="2" shapeId="0" xr:uid="{00000000-0006-0000-0800-00000C000000}">
      <text>
        <r>
          <rPr>
            <b/>
            <sz val="9"/>
            <color indexed="81"/>
            <rFont val="Tahoma"/>
            <family val="2"/>
          </rPr>
          <t>Sun, Abigail:</t>
        </r>
        <r>
          <rPr>
            <sz val="9"/>
            <color indexed="81"/>
            <rFont val="Tahoma"/>
            <family val="2"/>
          </rPr>
          <t xml:space="preserve">
Approved under new PDP for 2018-23E</t>
        </r>
      </text>
    </comment>
    <comment ref="AH72" authorId="5" shapeId="0" xr:uid="{3CAED004-4287-4A93-AE98-40D60FA49773}">
      <text>
        <r>
          <rPr>
            <b/>
            <sz val="9"/>
            <color indexed="81"/>
            <rFont val="Tahoma"/>
            <family val="2"/>
          </rPr>
          <t>Chow, David:</t>
        </r>
        <r>
          <rPr>
            <sz val="9"/>
            <color indexed="81"/>
            <rFont val="Tahoma"/>
            <family val="2"/>
          </rPr>
          <t xml:space="preserve">
Units A1, A2 and A3 units of Castle Peak Power Station, with a combined capacity of 1,050MW, were retired as of 20 April 2024.</t>
        </r>
      </text>
    </comment>
    <comment ref="U90" authorId="2" shapeId="0" xr:uid="{00000000-0006-0000-0800-00000D000000}">
      <text>
        <r>
          <rPr>
            <b/>
            <sz val="9"/>
            <color indexed="81"/>
            <rFont val="Tahoma"/>
            <family val="2"/>
          </rPr>
          <t>Sun, Abigail:</t>
        </r>
        <r>
          <rPr>
            <sz val="9"/>
            <color indexed="81"/>
            <rFont val="Tahoma"/>
            <family val="2"/>
          </rPr>
          <t xml:space="preserve">
Oct 2018 - Dec 2023</t>
        </r>
      </text>
    </comment>
    <comment ref="U92" authorId="6" shapeId="0" xr:uid="{80EE855E-FE80-498F-A352-82B220672F8D}">
      <text>
        <r>
          <rPr>
            <b/>
            <sz val="9"/>
            <color indexed="81"/>
            <rFont val="Tahoma"/>
            <family val="2"/>
          </rPr>
          <t>Eason Tang:</t>
        </r>
        <r>
          <rPr>
            <sz val="9"/>
            <color indexed="81"/>
            <rFont val="Tahoma"/>
            <family val="2"/>
          </rPr>
          <t xml:space="preserve">
https://hk.news.yahoo.com/%E4%B8%AD%E9%9B%BB-00002-%E4%BA%94%E5%B9%B4%E7%99%BC%E5%B1%95%E8%A8%88%E5%8A%83%E7%8D%B2%E6%89%B931-52%E5%84%84%E5%85%83%E9%A1%8D%E5%A4%96%E8%B3%87%E6%9C%AC%E6%8A%95%E8%B3%87-085234204.html
</t>
        </r>
      </text>
    </comment>
    <comment ref="V94" authorId="6" shapeId="0" xr:uid="{1FD90FEB-CB97-4406-BA5F-79FEDCDA0E59}">
      <text>
        <r>
          <rPr>
            <b/>
            <sz val="9"/>
            <color indexed="81"/>
            <rFont val="Tahoma"/>
            <family val="2"/>
          </rPr>
          <t>Eason Tang:24-28 Development plan announced on 28th Nov 2023</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Eason Tang</author>
    <author>Sun, Abigail</author>
    <author>Lam, Jarvis</author>
    <author>Wu, Sophie</author>
    <author>Chow, David</author>
  </authors>
  <commentList>
    <comment ref="AH2" authorId="0" shapeId="0" xr:uid="{0CB5BC52-0555-40AC-A181-29DD8F608BFB}">
      <text>
        <r>
          <rPr>
            <b/>
            <sz val="9"/>
            <color indexed="81"/>
            <rFont val="Tahoma"/>
            <family val="2"/>
          </rPr>
          <t>Eason Tang:</t>
        </r>
        <r>
          <rPr>
            <sz val="9"/>
            <color indexed="81"/>
            <rFont val="Tahoma"/>
            <family val="2"/>
          </rPr>
          <t xml:space="preserve">
UBSe</t>
        </r>
      </text>
    </comment>
    <comment ref="AI2" authorId="0" shapeId="0" xr:uid="{A0793300-B989-489F-818D-2A5CC449F0F8}">
      <text>
        <r>
          <rPr>
            <b/>
            <sz val="9"/>
            <color indexed="81"/>
            <rFont val="Tahoma"/>
            <family val="2"/>
          </rPr>
          <t>Eason Tang:</t>
        </r>
        <r>
          <rPr>
            <sz val="9"/>
            <color indexed="81"/>
            <rFont val="Tahoma"/>
            <family val="2"/>
          </rPr>
          <t xml:space="preserve">
per H125</t>
        </r>
      </text>
    </comment>
    <comment ref="X6" authorId="1" shapeId="0" xr:uid="{00000000-0006-0000-0A00-000001000000}">
      <text>
        <r>
          <rPr>
            <b/>
            <sz val="9"/>
            <color indexed="81"/>
            <rFont val="Tahoma"/>
            <family val="2"/>
          </rPr>
          <t>Sun, Abigail:</t>
        </r>
        <r>
          <rPr>
            <sz val="9"/>
            <color indexed="81"/>
            <rFont val="Tahoma"/>
            <family val="2"/>
          </rPr>
          <t xml:space="preserve">
Decline: reclassification of PSDC (49% to 100%);
Rise: new investment in ShenGang Natural Gas Pipeline</t>
        </r>
      </text>
    </comment>
    <comment ref="Z7" authorId="1" shapeId="0" xr:uid="{00000000-0006-0000-0A00-000002000000}">
      <text>
        <r>
          <rPr>
            <b/>
            <sz val="9"/>
            <color indexed="81"/>
            <rFont val="Tahoma"/>
            <family val="2"/>
          </rPr>
          <t>Sun, Abigail:</t>
        </r>
        <r>
          <rPr>
            <sz val="9"/>
            <color indexed="81"/>
            <rFont val="Tahoma"/>
            <family val="2"/>
          </rPr>
          <t xml:space="preserve">
GNPJVC (25%)
Operates Daya Bay to generate electricity and supply to HK and Guangdong</t>
        </r>
      </text>
    </comment>
    <comment ref="X10" authorId="1" shapeId="0" xr:uid="{00000000-0006-0000-0A00-000003000000}">
      <text>
        <r>
          <rPr>
            <b/>
            <sz val="9"/>
            <color indexed="81"/>
            <rFont val="Tahoma"/>
            <family val="2"/>
          </rPr>
          <t>Sun, Abigail:</t>
        </r>
        <r>
          <rPr>
            <sz val="9"/>
            <color indexed="81"/>
            <rFont val="Tahoma"/>
            <family val="2"/>
          </rPr>
          <t xml:space="preserve">
Amor of the capacity right to use 50% of PSDC until 2034;
such right was acquired through the PSDC acquisition in May 2014</t>
        </r>
      </text>
    </comment>
    <comment ref="AF19" authorId="2" shapeId="0" xr:uid="{00000000-0006-0000-0A00-000004000000}">
      <text>
        <r>
          <rPr>
            <b/>
            <sz val="9"/>
            <color indexed="81"/>
            <rFont val="Tahoma"/>
            <family val="2"/>
          </rPr>
          <t>Lam, Jarvis:</t>
        </r>
        <r>
          <rPr>
            <sz val="9"/>
            <color indexed="81"/>
            <rFont val="Tahoma"/>
            <family val="2"/>
          </rPr>
          <t xml:space="preserve">
Loss on sale of Fangchenggang
</t>
        </r>
      </text>
    </comment>
    <comment ref="AI26" authorId="0" shapeId="0" xr:uid="{DE0370B6-6608-4FA4-A755-348A79814D34}">
      <text>
        <r>
          <rPr>
            <b/>
            <sz val="9"/>
            <color indexed="81"/>
            <rFont val="Tahoma"/>
            <family val="2"/>
          </rPr>
          <t>Eason Tang:</t>
        </r>
        <r>
          <rPr>
            <sz val="9"/>
            <color indexed="81"/>
            <rFont val="Tahoma"/>
            <family val="2"/>
          </rPr>
          <t xml:space="preserve">
H125 -29% YoY despite capacity addition
</t>
        </r>
      </text>
    </comment>
    <comment ref="AI27" authorId="0" shapeId="0" xr:uid="{42B1DC27-76D8-48CB-A6E3-E0CCE6091404}">
      <text>
        <r>
          <rPr>
            <b/>
            <sz val="9"/>
            <color indexed="81"/>
            <rFont val="Tahoma"/>
            <family val="2"/>
          </rPr>
          <t>Eason Tang:</t>
        </r>
        <r>
          <rPr>
            <sz val="9"/>
            <color indexed="81"/>
            <rFont val="Tahoma"/>
            <family val="2"/>
          </rPr>
          <t xml:space="preserve">
H125 39% YoY</t>
        </r>
      </text>
    </comment>
    <comment ref="AI28" authorId="0" shapeId="0" xr:uid="{4F7EAB0D-9B0B-4EBF-8DE0-7C6A5D70805D}">
      <text>
        <r>
          <rPr>
            <b/>
            <sz val="9"/>
            <color indexed="81"/>
            <rFont val="Tahoma"/>
            <family val="2"/>
          </rPr>
          <t>Eason Tang:</t>
        </r>
        <r>
          <rPr>
            <sz val="9"/>
            <color indexed="81"/>
            <rFont val="Tahoma"/>
            <family val="2"/>
          </rPr>
          <t xml:space="preserve">
H125 -3%YoY</t>
        </r>
      </text>
    </comment>
    <comment ref="AA31" authorId="1" shapeId="0" xr:uid="{00000000-0006-0000-0A00-000005000000}">
      <text>
        <r>
          <rPr>
            <b/>
            <sz val="9"/>
            <color indexed="81"/>
            <rFont val="Tahoma"/>
            <family val="2"/>
          </rPr>
          <t>Sun, Abigail:</t>
        </r>
        <r>
          <rPr>
            <sz val="9"/>
            <color indexed="81"/>
            <rFont val="Tahoma"/>
            <family val="2"/>
          </rPr>
          <t xml:space="preserve">
2015 NP of 17% stake: HK$165m (1.5 units);
2017: 3 units - full year
1 units - March 2017
YJ expected to be consolidated in Dec 2017</t>
        </r>
      </text>
    </comment>
    <comment ref="A41" authorId="1" shapeId="0" xr:uid="{00000000-0006-0000-0A00-000006000000}">
      <text>
        <r>
          <rPr>
            <b/>
            <sz val="9"/>
            <color indexed="81"/>
            <rFont val="Tahoma"/>
            <family val="2"/>
          </rPr>
          <t>Sun, Abigail:</t>
        </r>
        <r>
          <rPr>
            <sz val="9"/>
            <color indexed="81"/>
            <rFont val="Tahoma"/>
            <family val="2"/>
          </rPr>
          <t xml:space="preserve">
HKBL: the Shengang Natural Gas Pipeline (40% - JV)
transport gas from Petro China's pipeline to Black Point Power Station in HK</t>
        </r>
      </text>
    </comment>
    <comment ref="AI42" authorId="0" shapeId="0" xr:uid="{EEFD13DA-14A0-4067-B26C-905B7EFA24BC}">
      <text>
        <r>
          <rPr>
            <b/>
            <sz val="9"/>
            <color indexed="81"/>
            <rFont val="Tahoma"/>
            <family val="2"/>
          </rPr>
          <t>Eason Tang:</t>
        </r>
        <r>
          <rPr>
            <sz val="9"/>
            <color indexed="81"/>
            <rFont val="Tahoma"/>
            <family val="2"/>
          </rPr>
          <t xml:space="preserve">
H125 12% decline due to power tariff cut in yangjiang and renewable portfolio weakness.
</t>
        </r>
      </text>
    </comment>
    <comment ref="X55" authorId="1" shapeId="0" xr:uid="{00000000-0006-0000-0A00-000007000000}">
      <text>
        <r>
          <rPr>
            <b/>
            <sz val="9"/>
            <color indexed="81"/>
            <rFont val="Tahoma"/>
            <family val="2"/>
          </rPr>
          <t>Sun, Abigail:</t>
        </r>
        <r>
          <rPr>
            <sz val="9"/>
            <color indexed="81"/>
            <rFont val="Tahoma"/>
            <family val="2"/>
          </rPr>
          <t xml:space="preserve">
CLP shared no profit from Guohua &amp; Shenmu in 2014, under the Share Transfer Agreement.</t>
        </r>
      </text>
    </comment>
    <comment ref="AC68" authorId="3" shapeId="0" xr:uid="{00000000-0006-0000-0A00-000008000000}">
      <text>
        <r>
          <rPr>
            <b/>
            <sz val="9"/>
            <color indexed="81"/>
            <rFont val="Tahoma"/>
            <family val="2"/>
          </rPr>
          <t>Wu, Sophie:</t>
        </r>
        <r>
          <rPr>
            <sz val="9"/>
            <color indexed="81"/>
            <rFont val="Tahoma"/>
            <family val="2"/>
          </rPr>
          <t xml:space="preserve">
acquisition of 100% stake in Meizhou Pingyuan Solar </t>
        </r>
      </text>
    </comment>
    <comment ref="AH73" authorId="4" shapeId="0" xr:uid="{41A88314-6B60-4F2C-8FEC-6C3BFB31EAC8}">
      <text>
        <r>
          <rPr>
            <b/>
            <sz val="9"/>
            <color indexed="81"/>
            <rFont val="Tahoma"/>
            <family val="2"/>
          </rPr>
          <t>Chow, David:</t>
        </r>
        <r>
          <rPr>
            <sz val="9"/>
            <color indexed="81"/>
            <rFont val="Tahoma"/>
            <family val="2"/>
          </rPr>
          <t xml:space="preserve">
exited SZPC</t>
        </r>
      </text>
    </comment>
    <comment ref="AG79" authorId="0" shapeId="0" xr:uid="{58960EC4-B7B5-4FBA-8DB3-BBFC52926CAC}">
      <text>
        <r>
          <rPr>
            <b/>
            <sz val="9"/>
            <color indexed="81"/>
            <rFont val="Tahoma"/>
            <family val="2"/>
          </rPr>
          <t>Eason Tang:</t>
        </r>
        <r>
          <rPr>
            <sz val="9"/>
            <color indexed="81"/>
            <rFont val="Tahoma"/>
            <family val="2"/>
          </rPr>
          <t xml:space="preserve">
5% down due to power tariff decline</t>
        </r>
      </text>
    </comment>
    <comment ref="AH79" authorId="0" shapeId="0" xr:uid="{B639235F-9595-4349-BCA2-F1FA1A8CA1D2}">
      <text>
        <r>
          <rPr>
            <b/>
            <sz val="9"/>
            <color indexed="81"/>
            <rFont val="Tahoma"/>
            <family val="2"/>
          </rPr>
          <t>Eason Tang:</t>
        </r>
        <r>
          <rPr>
            <sz val="9"/>
            <color indexed="81"/>
            <rFont val="Tahoma"/>
            <family val="2"/>
          </rPr>
          <t xml:space="preserve">
5% down due to power tariff decline</t>
        </r>
      </text>
    </comment>
    <comment ref="AG81" authorId="0" shapeId="0" xr:uid="{225722DF-65DC-4282-9305-4F151E9B738E}">
      <text>
        <r>
          <rPr>
            <b/>
            <sz val="9"/>
            <color indexed="81"/>
            <rFont val="Tahoma"/>
            <family val="2"/>
          </rPr>
          <t>Eason Tang:</t>
        </r>
        <r>
          <rPr>
            <sz val="9"/>
            <color indexed="81"/>
            <rFont val="Tahoma"/>
            <family val="2"/>
          </rPr>
          <t xml:space="preserve">
5% down due to power tariff decline</t>
        </r>
      </text>
    </comment>
    <comment ref="AH81" authorId="0" shapeId="0" xr:uid="{1EA680DC-0925-4585-96A1-FD5C8A93B974}">
      <text>
        <r>
          <rPr>
            <b/>
            <sz val="9"/>
            <color indexed="81"/>
            <rFont val="Tahoma"/>
            <family val="2"/>
          </rPr>
          <t>Eason Tang:</t>
        </r>
        <r>
          <rPr>
            <sz val="9"/>
            <color indexed="81"/>
            <rFont val="Tahoma"/>
            <family val="2"/>
          </rPr>
          <t xml:space="preserve">
5% down due to power tariff decline</t>
        </r>
      </text>
    </comment>
    <comment ref="Z88" authorId="1" shapeId="0" xr:uid="{00000000-0006-0000-0A00-00000A000000}">
      <text>
        <r>
          <rPr>
            <b/>
            <sz val="9"/>
            <color indexed="81"/>
            <rFont val="Tahoma"/>
            <family val="2"/>
          </rPr>
          <t>Sun, Abigail:</t>
        </r>
        <r>
          <rPr>
            <sz val="9"/>
            <color indexed="81"/>
            <rFont val="Tahoma"/>
            <family val="2"/>
          </rPr>
          <t xml:space="preserve">
Fangchenggang II only start operation in Dec 2016</t>
        </r>
      </text>
    </comment>
    <comment ref="A125" authorId="1" shapeId="0" xr:uid="{00000000-0006-0000-0A00-00000B000000}">
      <text>
        <r>
          <rPr>
            <b/>
            <sz val="9"/>
            <color indexed="81"/>
            <rFont val="Tahoma"/>
            <family val="2"/>
          </rPr>
          <t>Sun, Abigail:</t>
        </r>
        <r>
          <rPr>
            <sz val="9"/>
            <color indexed="81"/>
            <rFont val="Tahoma"/>
            <family val="2"/>
          </rPr>
          <t xml:space="preserve">
80% send to HK</t>
        </r>
      </text>
    </comment>
    <comment ref="A126" authorId="1" shapeId="0" xr:uid="{00000000-0006-0000-0A00-00000C000000}">
      <text>
        <r>
          <rPr>
            <b/>
            <sz val="9"/>
            <color indexed="81"/>
            <rFont val="Tahoma"/>
            <family val="2"/>
          </rPr>
          <t>Sun, Abigail:</t>
        </r>
        <r>
          <rPr>
            <sz val="9"/>
            <color indexed="81"/>
            <rFont val="Tahoma"/>
            <family val="2"/>
          </rPr>
          <t xml:space="preserve">
The generation facility serves HK</t>
        </r>
      </text>
    </comment>
    <comment ref="Z127" authorId="1" shapeId="0" xr:uid="{00000000-0006-0000-0A00-00000D000000}">
      <text>
        <r>
          <rPr>
            <b/>
            <sz val="9"/>
            <color indexed="81"/>
            <rFont val="Tahoma"/>
            <family val="2"/>
          </rPr>
          <t>Sun, Abigail:</t>
        </r>
        <r>
          <rPr>
            <sz val="9"/>
            <color indexed="81"/>
            <rFont val="Tahoma"/>
            <family val="2"/>
          </rPr>
          <t xml:space="preserve">
Fangchenggang II started operation in Dec 2016</t>
        </r>
      </text>
    </comment>
    <comment ref="AF127" authorId="2" shapeId="0" xr:uid="{00000000-0006-0000-0A00-00000E000000}">
      <text>
        <r>
          <rPr>
            <b/>
            <sz val="9"/>
            <color indexed="81"/>
            <rFont val="Tahoma"/>
            <family val="2"/>
          </rPr>
          <t>Lam, Jarvis:</t>
        </r>
        <r>
          <rPr>
            <sz val="9"/>
            <color indexed="81"/>
            <rFont val="Tahoma"/>
            <family val="2"/>
          </rPr>
          <t xml:space="preserve">
Disposed all of the 70% holdings in FCG to phase out coal based assets</t>
        </r>
      </text>
    </comment>
    <comment ref="AF128" authorId="2" shapeId="0" xr:uid="{00000000-0006-0000-0A00-00000F000000}">
      <text>
        <r>
          <rPr>
            <b/>
            <sz val="9"/>
            <color indexed="81"/>
            <rFont val="Tahoma"/>
            <family val="2"/>
          </rPr>
          <t>Lam, Jarvis:</t>
        </r>
        <r>
          <rPr>
            <sz val="9"/>
            <color indexed="81"/>
            <rFont val="Tahoma"/>
            <family val="2"/>
          </rPr>
          <t xml:space="preserve">
Transferred Shiheng (370MW) back to local partner at the end of Built-Operate-Transfer contract</t>
        </r>
      </text>
    </comment>
    <comment ref="AH128" authorId="4" shapeId="0" xr:uid="{D3D73849-8857-4472-8CCF-E040FA7CDA7A}">
      <text>
        <r>
          <rPr>
            <b/>
            <sz val="9"/>
            <color indexed="81"/>
            <rFont val="Tahoma"/>
            <family val="2"/>
          </rPr>
          <t>Chow, David:</t>
        </r>
        <r>
          <rPr>
            <sz val="9"/>
            <color indexed="81"/>
            <rFont val="Tahoma"/>
            <family val="2"/>
          </rPr>
          <t xml:space="preserve">
Exited SZPC</t>
        </r>
      </text>
    </comment>
    <comment ref="AD132" authorId="3" shapeId="0" xr:uid="{00000000-0006-0000-0A00-000010000000}">
      <text>
        <r>
          <rPr>
            <b/>
            <sz val="9"/>
            <color indexed="81"/>
            <rFont val="Tahoma"/>
            <family val="2"/>
          </rPr>
          <t>Wu, Sophie:</t>
        </r>
        <r>
          <rPr>
            <sz val="9"/>
            <color indexed="81"/>
            <rFont val="Tahoma"/>
            <family val="2"/>
          </rPr>
          <t xml:space="preserve">
Laiwu III 50MW</t>
        </r>
      </text>
    </comment>
    <comment ref="AF132" authorId="2" shapeId="0" xr:uid="{00000000-0006-0000-0A00-000011000000}">
      <text>
        <r>
          <rPr>
            <b/>
            <sz val="9"/>
            <color indexed="81"/>
            <rFont val="Tahoma"/>
            <family val="2"/>
          </rPr>
          <t>Lam, Jarvis:</t>
        </r>
        <r>
          <rPr>
            <sz val="9"/>
            <color indexed="81"/>
            <rFont val="Tahoma"/>
            <family val="2"/>
          </rPr>
          <t xml:space="preserve">
5MW battery storage project</t>
        </r>
      </text>
    </comment>
    <comment ref="AG132" authorId="2" shapeId="0" xr:uid="{00000000-0006-0000-0A00-000012000000}">
      <text>
        <r>
          <rPr>
            <b/>
            <sz val="9"/>
            <color indexed="81"/>
            <rFont val="Tahoma"/>
            <family val="2"/>
          </rPr>
          <t>Lam, Jarvis:</t>
        </r>
        <r>
          <rPr>
            <sz val="9"/>
            <color indexed="81"/>
            <rFont val="Tahoma"/>
            <family val="2"/>
          </rPr>
          <t xml:space="preserve">
50MW addition in Yunnan
</t>
        </r>
      </text>
    </comment>
    <comment ref="AH132" authorId="4" shapeId="0" xr:uid="{B79B981F-C949-4FD2-A253-A40C39E6AB48}">
      <text>
        <r>
          <rPr>
            <b/>
            <sz val="9"/>
            <color indexed="81"/>
            <rFont val="Tahoma"/>
            <family val="2"/>
          </rPr>
          <t>Chow, David:</t>
        </r>
        <r>
          <rPr>
            <sz val="9"/>
            <color indexed="81"/>
            <rFont val="Tahoma"/>
            <family val="2"/>
          </rPr>
          <t xml:space="preserve">
include 20MW wind BESS</t>
        </r>
      </text>
    </comment>
    <comment ref="AH135" authorId="4" shapeId="0" xr:uid="{ED1FF921-23E3-4004-9B3F-68DC99D0B7F1}">
      <text>
        <r>
          <rPr>
            <b/>
            <sz val="9"/>
            <color indexed="81"/>
            <rFont val="Tahoma"/>
            <family val="2"/>
          </rPr>
          <t>Chow, David:</t>
        </r>
        <r>
          <rPr>
            <sz val="9"/>
            <color indexed="81"/>
            <rFont val="Tahoma"/>
            <family val="2"/>
          </rPr>
          <t xml:space="preserve">
include 27MW solar BESS</t>
        </r>
      </text>
    </comment>
    <comment ref="AA136" authorId="1" shapeId="0" xr:uid="{00000000-0006-0000-0A00-000013000000}">
      <text>
        <r>
          <rPr>
            <b/>
            <sz val="9"/>
            <color indexed="81"/>
            <rFont val="Tahoma"/>
            <family val="2"/>
          </rPr>
          <t>Sun, Abigail:</t>
        </r>
        <r>
          <rPr>
            <sz val="9"/>
            <color indexed="81"/>
            <rFont val="Tahoma"/>
            <family val="2"/>
          </rPr>
          <t xml:space="preserve">
Acquired 17% stake from CGN on 30 Nov 2016.
@HK$5.6bn
Capacity: 
six 1,086MW units
3 in operation in 2016
3 under construction, expecting to start operation in 2017-19.</t>
        </r>
      </text>
    </comment>
    <comment ref="AG136" authorId="2" shapeId="0" xr:uid="{00000000-0006-0000-0A00-000014000000}">
      <text>
        <r>
          <rPr>
            <b/>
            <sz val="9"/>
            <color indexed="81"/>
            <rFont val="Tahoma"/>
            <family val="2"/>
          </rPr>
          <t>Lam, Jarvis:</t>
        </r>
        <r>
          <rPr>
            <sz val="9"/>
            <color indexed="81"/>
            <rFont val="Tahoma"/>
            <family val="2"/>
          </rPr>
          <t xml:space="preserve">
80MW addition in Jiangsu and 100MW in Guangdong
</t>
        </r>
      </text>
    </comment>
    <comment ref="AI160" authorId="0" shapeId="0" xr:uid="{678FB6C5-50DA-409C-B35B-FAEBE002F369}">
      <text>
        <r>
          <rPr>
            <b/>
            <sz val="9"/>
            <color indexed="81"/>
            <rFont val="Tahoma"/>
            <family val="2"/>
          </rPr>
          <t>Eason Tang:</t>
        </r>
        <r>
          <rPr>
            <sz val="9"/>
            <color indexed="81"/>
            <rFont val="Tahoma"/>
            <family val="2"/>
          </rPr>
          <t xml:space="preserve">
aim to achieve 6GW renewable portfolio from 2.3GW by 2030
Management not plant to pursuing growth at all costs. Company are focusing on areas where they can have predicatable cash flow with reason able returns. </t>
        </r>
      </text>
    </comment>
    <comment ref="AA163" authorId="1" shapeId="0" xr:uid="{00000000-0006-0000-0A00-000015000000}">
      <text>
        <r>
          <rPr>
            <b/>
            <sz val="9"/>
            <color indexed="81"/>
            <rFont val="Tahoma"/>
            <family val="2"/>
          </rPr>
          <t>Sun, Abigail:</t>
        </r>
        <r>
          <rPr>
            <sz val="9"/>
            <color indexed="81"/>
            <rFont val="Tahoma"/>
            <family val="2"/>
          </rPr>
          <t xml:space="preserve">
For YJ purchase</t>
        </r>
      </text>
    </comment>
    <comment ref="AI164" authorId="0" shapeId="0" xr:uid="{261A1861-9CB0-4EA0-857F-7DB73CE259D7}">
      <text>
        <r>
          <rPr>
            <b/>
            <sz val="9"/>
            <color indexed="81"/>
            <rFont val="Tahoma"/>
            <family val="2"/>
          </rPr>
          <t>Eason Tang:</t>
        </r>
        <r>
          <rPr>
            <sz val="9"/>
            <color indexed="81"/>
            <rFont val="Tahoma"/>
            <family val="2"/>
          </rPr>
          <t xml:space="preserve">
2025/26 UBSe 1.0%, down 0.2% from 1.5% in 2024</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Lam, Jarvis</author>
    <author>Peng Yuxiao</author>
    <author>Sun, Abigail</author>
    <author>Chow, David</author>
    <author>Ken Liu</author>
    <author>Liu, Ken</author>
    <author>Eason Tang</author>
    <author>Wu, Sophie</author>
  </authors>
  <commentList>
    <comment ref="AI2" authorId="0" shapeId="0" xr:uid="{9E991143-E0A5-4BC4-B798-36D69F2D58AB}">
      <text>
        <r>
          <rPr>
            <b/>
            <sz val="9"/>
            <color indexed="81"/>
            <rFont val="Tahoma"/>
            <family val="2"/>
          </rPr>
          <t>Lam, Jarvis:</t>
        </r>
        <r>
          <rPr>
            <sz val="9"/>
            <color indexed="81"/>
            <rFont val="Tahoma"/>
            <family val="2"/>
          </rPr>
          <t xml:space="preserve">
per H125</t>
        </r>
      </text>
    </comment>
    <comment ref="S5" authorId="1" shapeId="0" xr:uid="{00000000-0006-0000-0B00-000001000000}">
      <text>
        <r>
          <rPr>
            <b/>
            <sz val="8"/>
            <color indexed="81"/>
            <rFont val="Tahoma"/>
            <family val="2"/>
          </rPr>
          <t>Peng Yuxiao:</t>
        </r>
        <r>
          <rPr>
            <sz val="8"/>
            <color indexed="81"/>
            <rFont val="Tahoma"/>
            <family val="2"/>
          </rPr>
          <t xml:space="preserve">
The 420MW combined cycle gas-fi red Tallawarra Power Station began commercial operations on 23 January 2009 and offi cially
opened on 31 March</t>
        </r>
      </text>
    </comment>
    <comment ref="S9" authorId="1" shapeId="0" xr:uid="{00000000-0006-0000-0B00-000002000000}">
      <text>
        <r>
          <rPr>
            <b/>
            <sz val="8"/>
            <color indexed="81"/>
            <rFont val="Tahoma"/>
            <family val="2"/>
          </rPr>
          <t>Peng Yuxiao:</t>
        </r>
        <r>
          <rPr>
            <sz val="8"/>
            <color indexed="81"/>
            <rFont val="Tahoma"/>
            <family val="2"/>
          </rPr>
          <t xml:space="preserve">
Due to loss of Roaring 40s of 31m
Availability at both Bluff Point and Studland Bay wind farms was lower than the previous year mainly due to a gearbox maintenance programme. Production was assisted by the removal of a transmission constraint in May 2009 and higher average wind speeds. 
Production from Cathedral Rocks was lower than the previous year due to transmission constraint and lower availability, in part due to a turbine fi re in February 2009.</t>
        </r>
      </text>
    </comment>
    <comment ref="T9" authorId="1" shapeId="0" xr:uid="{00000000-0006-0000-0B00-000003000000}">
      <text>
        <r>
          <rPr>
            <b/>
            <sz val="8"/>
            <color indexed="81"/>
            <rFont val="Tahoma"/>
            <family val="2"/>
          </rPr>
          <t>Peng Yuxiao:</t>
        </r>
        <r>
          <rPr>
            <sz val="8"/>
            <color indexed="81"/>
            <rFont val="Tahoma"/>
            <family val="2"/>
          </rPr>
          <t xml:space="preserve">
incl. write off of goodwill of 258m</t>
        </r>
      </text>
    </comment>
    <comment ref="S10" authorId="1" shapeId="0" xr:uid="{00000000-0006-0000-0B00-000004000000}">
      <text>
        <r>
          <rPr>
            <b/>
            <sz val="8"/>
            <color indexed="81"/>
            <rFont val="Tahoma"/>
            <family val="2"/>
          </rPr>
          <t>Peng Yuxiao:</t>
        </r>
        <r>
          <rPr>
            <sz val="8"/>
            <color indexed="81"/>
            <rFont val="Tahoma"/>
            <family val="2"/>
          </rPr>
          <t xml:space="preserve">
incl. provision for Solar Systems 346m</t>
        </r>
      </text>
    </comment>
    <comment ref="Z10" authorId="2" shapeId="0" xr:uid="{00000000-0006-0000-0B00-000005000000}">
      <text>
        <r>
          <rPr>
            <b/>
            <sz val="9"/>
            <color indexed="81"/>
            <rFont val="Tahoma"/>
            <family val="2"/>
          </rPr>
          <t>Sun, Abigail:</t>
        </r>
        <r>
          <rPr>
            <sz val="9"/>
            <color indexed="81"/>
            <rFont val="Tahoma"/>
            <family val="2"/>
          </rPr>
          <t xml:space="preserve">
Redback Technologies </t>
        </r>
      </text>
    </comment>
    <comment ref="T11" authorId="2" shapeId="0" xr:uid="{00000000-0006-0000-0B00-000006000000}">
      <text>
        <r>
          <rPr>
            <b/>
            <sz val="9"/>
            <color indexed="81"/>
            <rFont val="Tahoma"/>
            <family val="2"/>
          </rPr>
          <t>Sun, Abigail:</t>
        </r>
        <r>
          <rPr>
            <sz val="9"/>
            <color indexed="81"/>
            <rFont val="Tahoma"/>
            <family val="2"/>
          </rPr>
          <t xml:space="preserve">
-33: renewables</t>
        </r>
      </text>
    </comment>
    <comment ref="AG11" authorId="3" shapeId="0" xr:uid="{32F0F55C-DB81-49CC-9A52-7754E0C01F29}">
      <text>
        <r>
          <rPr>
            <b/>
            <sz val="9"/>
            <color indexed="81"/>
            <rFont val="Tahoma"/>
            <family val="2"/>
          </rPr>
          <t>Chow, David:</t>
        </r>
        <r>
          <rPr>
            <sz val="9"/>
            <color indexed="81"/>
            <rFont val="Tahoma"/>
            <family val="2"/>
          </rPr>
          <t xml:space="preserve">
use presentation figure, page 46 - Total EBITDAF</t>
        </r>
      </text>
    </comment>
    <comment ref="V13" authorId="4" shapeId="0" xr:uid="{00000000-0006-0000-0B00-000007000000}">
      <text>
        <r>
          <rPr>
            <b/>
            <sz val="8"/>
            <color indexed="81"/>
            <rFont val="Tahoma"/>
            <family val="2"/>
          </rPr>
          <t>Ken Liu:</t>
        </r>
        <r>
          <rPr>
            <sz val="8"/>
            <color indexed="81"/>
            <rFont val="Tahoma"/>
            <family val="2"/>
          </rPr>
          <t xml:space="preserve">
adjusted to add another 2 months contribution</t>
        </r>
      </text>
    </comment>
    <comment ref="O14" authorId="2" shapeId="0" xr:uid="{00000000-0006-0000-0B00-000008000000}">
      <text>
        <r>
          <rPr>
            <b/>
            <sz val="9"/>
            <color indexed="81"/>
            <rFont val="Tahoma"/>
            <family val="2"/>
          </rPr>
          <t>Sun, Abigail:</t>
        </r>
        <r>
          <rPr>
            <sz val="9"/>
            <color indexed="81"/>
            <rFont val="Tahoma"/>
            <family val="2"/>
          </rPr>
          <t xml:space="preserve">
arising from the long term hedge agreement with Ecogen from the acquisition of MEB in May 2005</t>
        </r>
      </text>
    </comment>
    <comment ref="AC17" authorId="5" shapeId="0" xr:uid="{00000000-0006-0000-0B00-000009000000}">
      <text>
        <r>
          <rPr>
            <b/>
            <sz val="9"/>
            <color indexed="81"/>
            <rFont val="Tahoma"/>
            <family val="2"/>
          </rPr>
          <t>Liu, Ken:</t>
        </r>
        <r>
          <rPr>
            <sz val="9"/>
            <color indexed="81"/>
            <rFont val="Tahoma"/>
            <family val="2"/>
          </rPr>
          <t xml:space="preserve">
Sales to C&amp;I customers transferred from Energy to Customer
H219 could be zero, since regulatory changes on 1 July 2019 taking 240-300m HKD profit away from retail; that implies EBITF of around HK$350-430m reduction
H219 retail EBITF should be 470-400 = 70. But assume churn to stablise from here
H120: -303
H219: 209
H119: 470 (reallocated, now is 248)
H218: 530
H118: 1001
H217:1372
H117: 1618</t>
        </r>
      </text>
    </comment>
    <comment ref="AE17" authorId="5" shapeId="0" xr:uid="{00000000-0006-0000-0B00-00000A000000}">
      <text>
        <r>
          <rPr>
            <b/>
            <sz val="9"/>
            <color indexed="81"/>
            <rFont val="Tahoma"/>
            <family val="2"/>
          </rPr>
          <t>Liu, Ken:</t>
        </r>
        <r>
          <rPr>
            <sz val="9"/>
            <color indexed="81"/>
            <rFont val="Tahoma"/>
            <family val="2"/>
          </rPr>
          <t xml:space="preserve">
H221: 524 
H121: 295
H220: 567
H120: -303
H219: 209
H119: 470 (reallocated, now is 248)
H218: 530
H118: 1001
H217:1372
H117: 1618</t>
        </r>
      </text>
    </comment>
    <comment ref="AF17" authorId="0" shapeId="0" xr:uid="{00000000-0006-0000-0B00-00000B000000}">
      <text>
        <r>
          <rPr>
            <b/>
            <sz val="9"/>
            <color indexed="81"/>
            <rFont val="Tahoma"/>
            <family val="2"/>
          </rPr>
          <t>Lam, Jarvis:</t>
        </r>
        <r>
          <rPr>
            <sz val="9"/>
            <color indexed="81"/>
            <rFont val="Tahoma"/>
            <family val="2"/>
          </rPr>
          <t xml:space="preserve">
H122: 779
H221: 524 
H121: 295 (restated to 333)
H220: 567
H120: -303
H219: 209
H119: 470 (reallocated, now is 248)
H218: 530
H118: 1001
H217:1372
H117: 1618</t>
        </r>
      </text>
    </comment>
    <comment ref="AG17" authorId="0" shapeId="0" xr:uid="{2E1B1ACD-C662-489F-9EDB-5003EE6A5EB3}">
      <text>
        <r>
          <rPr>
            <b/>
            <sz val="9"/>
            <color indexed="81"/>
            <rFont val="Tahoma"/>
            <family val="2"/>
          </rPr>
          <t>Lam, Jarvis:</t>
        </r>
        <r>
          <rPr>
            <sz val="9"/>
            <color indexed="81"/>
            <rFont val="Tahoma"/>
            <family val="2"/>
          </rPr>
          <t xml:space="preserve">
Change of disclosure since 2023, EBITDAF disclosed instead of EBITF </t>
        </r>
      </text>
    </comment>
    <comment ref="AC19" authorId="5" shapeId="0" xr:uid="{00000000-0006-0000-0B00-00000C000000}">
      <text>
        <r>
          <rPr>
            <b/>
            <sz val="9"/>
            <color indexed="81"/>
            <rFont val="Tahoma"/>
            <family val="2"/>
          </rPr>
          <t>Liu, Ken:</t>
        </r>
        <r>
          <rPr>
            <sz val="9"/>
            <color indexed="81"/>
            <rFont val="Tahoma"/>
            <family val="2"/>
          </rPr>
          <t xml:space="preserve">
H220 1.3bn
H120 2.3bn
H219 1.4bn
H119 2.2bn
H218 2.4bn
H118 3.0bn
1/3 of decline from lower pool prices
2/3 of decline from Yallourn and Mt piper outages
if we were to normalise, H119 could have been 2.7bn
CLP expects 1/2 of the problem could be fixed in H2, and the other 1/2 in H120
</t>
        </r>
      </text>
    </comment>
    <comment ref="AE19" authorId="5" shapeId="0" xr:uid="{00000000-0006-0000-0B00-00000D000000}">
      <text>
        <r>
          <rPr>
            <b/>
            <sz val="9"/>
            <color indexed="81"/>
            <rFont val="Tahoma"/>
            <family val="2"/>
          </rPr>
          <t>Liu, Ken:</t>
        </r>
        <r>
          <rPr>
            <sz val="9"/>
            <color indexed="81"/>
            <rFont val="Tahoma"/>
            <family val="2"/>
          </rPr>
          <t xml:space="preserve">
H221 -0.2bn
H121 1.6bn
H220 1.1bn
H120 2.3bn
H219 1.4bn
H119 2.2bn
H218 2.4bn
H118 3.0bn</t>
        </r>
      </text>
    </comment>
    <comment ref="AF19" authorId="0" shapeId="0" xr:uid="{00000000-0006-0000-0B00-00000E000000}">
      <text>
        <r>
          <rPr>
            <b/>
            <sz val="9"/>
            <color indexed="81"/>
            <rFont val="Tahoma"/>
            <family val="2"/>
          </rPr>
          <t>Lam, Jarvis:</t>
        </r>
        <r>
          <rPr>
            <sz val="9"/>
            <color indexed="81"/>
            <rFont val="Tahoma"/>
            <family val="2"/>
          </rPr>
          <t xml:space="preserve">
H122 -1.1bn
H221 -0.2bn
H121 1.6bn
H220 1.1bn
H120 2.3bn
H219 1.4bn
H119 2.2bn
H218 2.4bn
H118 3.0bn</t>
        </r>
      </text>
    </comment>
    <comment ref="AF21" authorId="0" shapeId="0" xr:uid="{00000000-0006-0000-0B00-00000F000000}">
      <text>
        <r>
          <rPr>
            <b/>
            <sz val="9"/>
            <color indexed="81"/>
            <rFont val="Tahoma"/>
            <family val="2"/>
          </rPr>
          <t>Lam, Jarvis:</t>
        </r>
        <r>
          <rPr>
            <sz val="9"/>
            <color indexed="81"/>
            <rFont val="Tahoma"/>
            <family val="2"/>
          </rPr>
          <t xml:space="preserve">
H122 -708
H121 -905</t>
        </r>
      </text>
    </comment>
    <comment ref="V22" authorId="4" shapeId="0" xr:uid="{00000000-0006-0000-0B00-000010000000}">
      <text>
        <r>
          <rPr>
            <b/>
            <sz val="8"/>
            <color indexed="81"/>
            <rFont val="Tahoma"/>
            <family val="2"/>
          </rPr>
          <t>Ken Liu:</t>
        </r>
        <r>
          <rPr>
            <sz val="8"/>
            <color indexed="81"/>
            <rFont val="Tahoma"/>
            <family val="2"/>
          </rPr>
          <t xml:space="preserve">
Mark to H112</t>
        </r>
      </text>
    </comment>
    <comment ref="AC22" authorId="5" shapeId="0" xr:uid="{00000000-0006-0000-0B00-000011000000}">
      <text>
        <r>
          <rPr>
            <b/>
            <sz val="9"/>
            <color indexed="81"/>
            <rFont val="Tahoma"/>
            <family val="2"/>
          </rPr>
          <t>Liu, Ken:</t>
        </r>
        <r>
          <rPr>
            <sz val="9"/>
            <color indexed="81"/>
            <rFont val="Tahoma"/>
            <family val="2"/>
          </rPr>
          <t xml:space="preserve">
fair value adjustment due to rising forward prices which adversely impact contracts to sell energy</t>
        </r>
      </text>
    </comment>
    <comment ref="AG22" authorId="3" shapeId="0" xr:uid="{D7C5E50B-961D-459F-8DF6-2E7CD3E437DB}">
      <text>
        <r>
          <rPr>
            <b/>
            <sz val="9"/>
            <color indexed="81"/>
            <rFont val="Tahoma"/>
            <family val="2"/>
          </rPr>
          <t>Chow, David:</t>
        </r>
        <r>
          <rPr>
            <sz val="9"/>
            <color indexed="81"/>
            <rFont val="Tahoma"/>
            <family val="2"/>
          </rPr>
          <t xml:space="preserve">
use presentation figure, page 46 - fair value movements, net of tax</t>
        </r>
      </text>
    </comment>
    <comment ref="AH22" authorId="3" shapeId="0" xr:uid="{020C9A36-E58B-4E93-B041-9B5A0B02FAD6}">
      <text>
        <r>
          <rPr>
            <b/>
            <sz val="9"/>
            <color indexed="81"/>
            <rFont val="Tahoma"/>
            <family val="2"/>
          </rPr>
          <t>Chow, David:</t>
        </r>
        <r>
          <rPr>
            <sz val="9"/>
            <color indexed="81"/>
            <rFont val="Tahoma"/>
            <family val="2"/>
          </rPr>
          <t xml:space="preserve">
use presentation figure, page 46 - fair value movements, net of tax</t>
        </r>
      </text>
    </comment>
    <comment ref="AF23" authorId="0" shapeId="0" xr:uid="{00000000-0006-0000-0B00-000012000000}">
      <text>
        <r>
          <rPr>
            <b/>
            <sz val="9"/>
            <color indexed="81"/>
            <rFont val="Tahoma"/>
            <family val="2"/>
          </rPr>
          <t>Lam, Jarvis:</t>
        </r>
        <r>
          <rPr>
            <sz val="9"/>
            <color indexed="81"/>
            <rFont val="Tahoma"/>
            <family val="2"/>
          </rPr>
          <t xml:space="preserve">
H122 -1049</t>
        </r>
      </text>
    </comment>
    <comment ref="AE27" authorId="0" shapeId="0" xr:uid="{00000000-0006-0000-0B00-000013000000}">
      <text>
        <r>
          <rPr>
            <b/>
            <sz val="9"/>
            <color indexed="81"/>
            <rFont val="Tahoma"/>
            <family val="2"/>
          </rPr>
          <t>Lam, Jarvis:</t>
        </r>
        <r>
          <rPr>
            <sz val="9"/>
            <color indexed="81"/>
            <rFont val="Tahoma"/>
            <family val="2"/>
          </rPr>
          <t xml:space="preserve">
Tax credit</t>
        </r>
      </text>
    </comment>
    <comment ref="AF27" authorId="0" shapeId="0" xr:uid="{00000000-0006-0000-0B00-000014000000}">
      <text>
        <r>
          <rPr>
            <b/>
            <sz val="9"/>
            <color indexed="81"/>
            <rFont val="Tahoma"/>
            <family val="2"/>
          </rPr>
          <t>Lam, Jarvis:</t>
        </r>
        <r>
          <rPr>
            <sz val="9"/>
            <color indexed="81"/>
            <rFont val="Tahoma"/>
            <family val="2"/>
          </rPr>
          <t xml:space="preserve">
Tax credit</t>
        </r>
      </text>
    </comment>
    <comment ref="AG27" authorId="3" shapeId="0" xr:uid="{61972D05-3342-4AD5-8536-46EA37D60105}">
      <text>
        <r>
          <rPr>
            <b/>
            <sz val="9"/>
            <color indexed="81"/>
            <rFont val="Tahoma"/>
            <family val="2"/>
          </rPr>
          <t>Chow, David:</t>
        </r>
        <r>
          <rPr>
            <sz val="9"/>
            <color indexed="81"/>
            <rFont val="Tahoma"/>
            <family val="2"/>
          </rPr>
          <t xml:space="preserve">
Tax credit - use presentation figure page 46</t>
        </r>
      </text>
    </comment>
    <comment ref="AH27" authorId="3" shapeId="0" xr:uid="{66998E25-84FD-4327-A769-558CC2D170A6}">
      <text>
        <r>
          <rPr>
            <b/>
            <sz val="9"/>
            <color indexed="81"/>
            <rFont val="Tahoma"/>
            <family val="2"/>
          </rPr>
          <t>Chow, David:</t>
        </r>
        <r>
          <rPr>
            <sz val="9"/>
            <color indexed="81"/>
            <rFont val="Tahoma"/>
            <family val="2"/>
          </rPr>
          <t xml:space="preserve">
Tax credit - use presentation figure page 46</t>
        </r>
      </text>
    </comment>
    <comment ref="AF29" authorId="0" shapeId="0" xr:uid="{00000000-0006-0000-0B00-000015000000}">
      <text>
        <r>
          <rPr>
            <b/>
            <sz val="9"/>
            <color indexed="81"/>
            <rFont val="Tahoma"/>
            <family val="2"/>
          </rPr>
          <t>Lam, Jarvis:</t>
        </r>
        <r>
          <rPr>
            <sz val="9"/>
            <color indexed="81"/>
            <rFont val="Tahoma"/>
            <family val="2"/>
          </rPr>
          <t xml:space="preserve">
H122 net loss HK$726m</t>
        </r>
      </text>
    </comment>
    <comment ref="AI29" authorId="6" shapeId="0" xr:uid="{EDB5B84B-1E2D-46E1-A1A0-CF554777BCFF}">
      <text>
        <r>
          <rPr>
            <b/>
            <sz val="9"/>
            <color indexed="81"/>
            <rFont val="Tahoma"/>
            <family val="2"/>
          </rPr>
          <t>Eason Tang:</t>
        </r>
        <r>
          <rPr>
            <sz val="9"/>
            <color indexed="81"/>
            <rFont val="Tahoma"/>
            <family val="2"/>
          </rPr>
          <t xml:space="preserve">
H125 73% YoY decline mainly due to retail</t>
        </r>
      </text>
    </comment>
    <comment ref="AG30" authorId="3" shapeId="0" xr:uid="{92A60598-0C60-43F4-AD06-BC44EACDD32F}">
      <text>
        <r>
          <rPr>
            <b/>
            <sz val="9"/>
            <color indexed="81"/>
            <rFont val="Tahoma"/>
            <family val="2"/>
          </rPr>
          <t>Chow, David:</t>
        </r>
        <r>
          <rPr>
            <sz val="9"/>
            <color indexed="81"/>
            <rFont val="Tahoma"/>
            <family val="2"/>
          </rPr>
          <t xml:space="preserve">
Impairment of goodwill of Customer business</t>
        </r>
      </text>
    </comment>
    <comment ref="AE31" authorId="0" shapeId="0" xr:uid="{00000000-0006-0000-0B00-000016000000}">
      <text>
        <r>
          <rPr>
            <b/>
            <sz val="9"/>
            <color indexed="81"/>
            <rFont val="Tahoma"/>
            <family val="2"/>
          </rPr>
          <t>Lam, Jarvis:</t>
        </r>
        <r>
          <rPr>
            <sz val="9"/>
            <color indexed="81"/>
            <rFont val="Tahoma"/>
            <family val="2"/>
          </rPr>
          <t xml:space="preserve">
litigationsettlementandYallournMorwellRiverDiversionsolution.
</t>
        </r>
      </text>
    </comment>
    <comment ref="AC37" authorId="5" shapeId="0" xr:uid="{00000000-0006-0000-0B00-000017000000}">
      <text>
        <r>
          <rPr>
            <b/>
            <sz val="9"/>
            <color indexed="81"/>
            <rFont val="Tahoma"/>
            <family val="2"/>
          </rPr>
          <t>Liu, Ken:</t>
        </r>
        <r>
          <rPr>
            <sz val="9"/>
            <color indexed="81"/>
            <rFont val="Tahoma"/>
            <family val="2"/>
          </rPr>
          <t xml:space="preserve">
H119 down 2%</t>
        </r>
      </text>
    </comment>
    <comment ref="Y40" authorId="2" shapeId="0" xr:uid="{00000000-0006-0000-0B00-000018000000}">
      <text>
        <r>
          <rPr>
            <b/>
            <sz val="9"/>
            <color indexed="81"/>
            <rFont val="Tahoma"/>
            <family val="2"/>
          </rPr>
          <t>Sun, Abigail:</t>
        </r>
        <r>
          <rPr>
            <sz val="9"/>
            <color indexed="81"/>
            <rFont val="Tahoma"/>
            <family val="2"/>
          </rPr>
          <t xml:space="preserve">
decreased volume due to lower sales to low margin C&amp;I customers
</t>
        </r>
      </text>
    </comment>
    <comment ref="AH42" authorId="3" shapeId="0" xr:uid="{0948AD35-DC76-432F-B7CB-2F0ACFD8FF49}">
      <text>
        <r>
          <rPr>
            <b/>
            <sz val="9"/>
            <color indexed="81"/>
            <rFont val="Tahoma"/>
            <family val="2"/>
          </rPr>
          <t>Chow, David:</t>
        </r>
        <r>
          <rPr>
            <sz val="9"/>
            <color indexed="81"/>
            <rFont val="Tahoma"/>
            <family val="2"/>
          </rPr>
          <t xml:space="preserve">
from presentation, page 49, Sales Revenue (A$m)</t>
        </r>
      </text>
    </comment>
    <comment ref="AH50" authorId="3" shapeId="0" xr:uid="{5223C3AE-B38C-474E-9880-D916D1ED598A}">
      <text>
        <r>
          <rPr>
            <b/>
            <sz val="9"/>
            <color indexed="81"/>
            <rFont val="Tahoma"/>
            <family val="2"/>
          </rPr>
          <t>Chow, David:</t>
        </r>
        <r>
          <rPr>
            <sz val="9"/>
            <color indexed="81"/>
            <rFont val="Tahoma"/>
            <family val="2"/>
          </rPr>
          <t xml:space="preserve">
from presentation, page 49, Sales Revenue (A$m)</t>
        </r>
      </text>
    </comment>
    <comment ref="AD52" authorId="5" shapeId="0" xr:uid="{00000000-0006-0000-0B00-000019000000}">
      <text>
        <r>
          <rPr>
            <b/>
            <sz val="9"/>
            <color indexed="81"/>
            <rFont val="Tahoma"/>
            <family val="2"/>
          </rPr>
          <t>Liu, Ken:</t>
        </r>
        <r>
          <rPr>
            <sz val="9"/>
            <color indexed="81"/>
            <rFont val="Tahoma"/>
            <family val="2"/>
          </rPr>
          <t xml:space="preserve">
H119 HK$470 (reallocated to 209)
H219 had HK$209m H120 (303)</t>
        </r>
      </text>
    </comment>
    <comment ref="AD61" authorId="7" shapeId="0" xr:uid="{00000000-0006-0000-0B00-00001A000000}">
      <text>
        <r>
          <rPr>
            <b/>
            <sz val="9"/>
            <color indexed="81"/>
            <rFont val="Tahoma"/>
            <family val="2"/>
          </rPr>
          <t>Wu, Sophie:</t>
        </r>
        <r>
          <rPr>
            <sz val="9"/>
            <color indexed="81"/>
            <rFont val="Tahoma"/>
            <family val="2"/>
          </rPr>
          <t xml:space="preserve">
Capacity increased by 30MW in early 2020</t>
        </r>
      </text>
    </comment>
    <comment ref="AB62" authorId="2" shapeId="0" xr:uid="{00000000-0006-0000-0B00-00001B000000}">
      <text>
        <r>
          <rPr>
            <b/>
            <sz val="9"/>
            <color indexed="81"/>
            <rFont val="Tahoma"/>
            <family val="2"/>
          </rPr>
          <t>Sun, Abigail:</t>
        </r>
        <r>
          <rPr>
            <sz val="9"/>
            <color indexed="81"/>
            <rFont val="Tahoma"/>
            <family val="2"/>
          </rPr>
          <t xml:space="preserve">
EnergyAustralia acquired Ecogen in April 2018, which included Newport and Jeeralang</t>
        </r>
      </text>
    </comment>
    <comment ref="A70" authorId="2" shapeId="0" xr:uid="{00000000-0006-0000-0B00-00001C000000}">
      <text>
        <r>
          <rPr>
            <b/>
            <sz val="9"/>
            <color indexed="81"/>
            <rFont val="Tahoma"/>
            <family val="2"/>
          </rPr>
          <t>Sun, Abigail:</t>
        </r>
        <r>
          <rPr>
            <sz val="9"/>
            <color indexed="81"/>
            <rFont val="Tahoma"/>
            <family val="2"/>
          </rPr>
          <t xml:space="preserve">
Acquired in 2013</t>
        </r>
      </text>
    </comment>
    <comment ref="AG71" authorId="3" shapeId="0" xr:uid="{FE3052AA-54D6-4F5F-899B-9B15E4E0BD10}">
      <text>
        <r>
          <rPr>
            <b/>
            <sz val="9"/>
            <color indexed="81"/>
            <rFont val="Tahoma"/>
            <family val="2"/>
          </rPr>
          <t>Chow, David:</t>
        </r>
        <r>
          <rPr>
            <sz val="9"/>
            <color indexed="81"/>
            <rFont val="Tahoma"/>
            <family val="2"/>
          </rPr>
          <t xml:space="preserve">
doesn’t report starting 2023 assume same as 2022</t>
        </r>
      </text>
    </comment>
    <comment ref="AH71" authorId="3" shapeId="0" xr:uid="{D938DAAA-5399-4F81-AE72-ABE743F3090F}">
      <text>
        <r>
          <rPr>
            <b/>
            <sz val="9"/>
            <color indexed="81"/>
            <rFont val="Tahoma"/>
            <family val="2"/>
          </rPr>
          <t>Chow, David:</t>
        </r>
        <r>
          <rPr>
            <sz val="9"/>
            <color indexed="81"/>
            <rFont val="Tahoma"/>
            <family val="2"/>
          </rPr>
          <t xml:space="preserve">
doesn’t report starting 2023 assume same as 2022</t>
        </r>
      </text>
    </comment>
    <comment ref="AG72" authorId="3" shapeId="0" xr:uid="{EFE8661B-1A79-42FD-848A-AA1625A4BFB6}">
      <text>
        <r>
          <rPr>
            <b/>
            <sz val="9"/>
            <color indexed="81"/>
            <rFont val="Tahoma"/>
            <family val="2"/>
          </rPr>
          <t>Chow, David:</t>
        </r>
        <r>
          <rPr>
            <sz val="9"/>
            <color indexed="81"/>
            <rFont val="Tahoma"/>
            <family val="2"/>
          </rPr>
          <t xml:space="preserve">
doesn’t report starting 2023 assume same as 2022</t>
        </r>
      </text>
    </comment>
    <comment ref="AH72" authorId="3" shapeId="0" xr:uid="{32156BEC-F18B-49CD-83D7-CD11E8B24460}">
      <text>
        <r>
          <rPr>
            <b/>
            <sz val="9"/>
            <color indexed="81"/>
            <rFont val="Tahoma"/>
            <family val="2"/>
          </rPr>
          <t>Chow, David:</t>
        </r>
        <r>
          <rPr>
            <sz val="9"/>
            <color indexed="81"/>
            <rFont val="Tahoma"/>
            <family val="2"/>
          </rPr>
          <t xml:space="preserve">
doesn’t report starting 2023 assume same as 2022</t>
        </r>
      </text>
    </comment>
    <comment ref="AG73" authorId="3" shapeId="0" xr:uid="{B74AE8EB-6292-4DF8-8B7D-123564027D6D}">
      <text>
        <r>
          <rPr>
            <b/>
            <sz val="9"/>
            <color indexed="81"/>
            <rFont val="Tahoma"/>
            <family val="2"/>
          </rPr>
          <t>Chow, David:</t>
        </r>
        <r>
          <rPr>
            <sz val="9"/>
            <color indexed="81"/>
            <rFont val="Tahoma"/>
            <family val="2"/>
          </rPr>
          <t xml:space="preserve">
doesn’t report starting 2023 assume same as 2022</t>
        </r>
      </text>
    </comment>
    <comment ref="AH73" authorId="3" shapeId="0" xr:uid="{C2D02D84-8EC3-4157-B7B6-D2B984465149}">
      <text>
        <r>
          <rPr>
            <b/>
            <sz val="9"/>
            <color indexed="81"/>
            <rFont val="Tahoma"/>
            <family val="2"/>
          </rPr>
          <t>Chow, David:</t>
        </r>
        <r>
          <rPr>
            <sz val="9"/>
            <color indexed="81"/>
            <rFont val="Tahoma"/>
            <family val="2"/>
          </rPr>
          <t xml:space="preserve">
doesn’t report starting 2023 assume same as 2022</t>
        </r>
      </text>
    </comment>
    <comment ref="AG74" authorId="3" shapeId="0" xr:uid="{7882D6D7-1C22-4E24-B47E-09919750893E}">
      <text>
        <r>
          <rPr>
            <b/>
            <sz val="9"/>
            <color indexed="81"/>
            <rFont val="Tahoma"/>
            <family val="2"/>
          </rPr>
          <t>Chow, David:</t>
        </r>
        <r>
          <rPr>
            <sz val="9"/>
            <color indexed="81"/>
            <rFont val="Tahoma"/>
            <family val="2"/>
          </rPr>
          <t xml:space="preserve">
doesn’t report starting 2023 assume same as 2022</t>
        </r>
      </text>
    </comment>
    <comment ref="AH74" authorId="3" shapeId="0" xr:uid="{FF5F8579-9DA4-41C9-BB40-50E16F89906F}">
      <text>
        <r>
          <rPr>
            <b/>
            <sz val="9"/>
            <color indexed="81"/>
            <rFont val="Tahoma"/>
            <family val="2"/>
          </rPr>
          <t>Chow, David:</t>
        </r>
        <r>
          <rPr>
            <sz val="9"/>
            <color indexed="81"/>
            <rFont val="Tahoma"/>
            <family val="2"/>
          </rPr>
          <t xml:space="preserve">
doesn’t report starting 2023 assume same as 2022</t>
        </r>
      </text>
    </comment>
    <comment ref="AC77" authorId="5" shapeId="0" xr:uid="{00000000-0006-0000-0B00-00001D000000}">
      <text>
        <r>
          <rPr>
            <b/>
            <sz val="9"/>
            <color indexed="81"/>
            <rFont val="Tahoma"/>
            <family val="2"/>
          </rPr>
          <t>Liu, Ken:</t>
        </r>
        <r>
          <rPr>
            <sz val="9"/>
            <color indexed="81"/>
            <rFont val="Tahoma"/>
            <family val="2"/>
          </rPr>
          <t xml:space="preserve">
unplanned outage in Mount Piper and Yallourn
</t>
        </r>
      </text>
    </comment>
    <comment ref="AD77" authorId="5" shapeId="0" xr:uid="{00000000-0006-0000-0B00-00001E000000}">
      <text>
        <r>
          <rPr>
            <b/>
            <sz val="9"/>
            <color indexed="81"/>
            <rFont val="Tahoma"/>
            <family val="2"/>
          </rPr>
          <t>Liu, Ken:</t>
        </r>
        <r>
          <rPr>
            <sz val="9"/>
            <color indexed="81"/>
            <rFont val="Tahoma"/>
            <family val="2"/>
          </rPr>
          <t xml:space="preserve">
unplanned outage in Mount Piper and Yallourn
</t>
        </r>
      </text>
    </comment>
    <comment ref="AC81" authorId="5" shapeId="0" xr:uid="{00000000-0006-0000-0B00-00001F000000}">
      <text>
        <r>
          <rPr>
            <b/>
            <sz val="9"/>
            <color indexed="81"/>
            <rFont val="Tahoma"/>
            <family val="2"/>
          </rPr>
          <t>Liu, Ken:</t>
        </r>
        <r>
          <rPr>
            <sz val="9"/>
            <color indexed="81"/>
            <rFont val="Tahoma"/>
            <family val="2"/>
          </rPr>
          <t xml:space="preserve">
higher prices volatility in 2019</t>
        </r>
      </text>
    </comment>
    <comment ref="AD81" authorId="5" shapeId="0" xr:uid="{00000000-0006-0000-0B00-000020000000}">
      <text>
        <r>
          <rPr>
            <b/>
            <sz val="9"/>
            <color indexed="81"/>
            <rFont val="Tahoma"/>
            <family val="2"/>
          </rPr>
          <t>Liu, Ken:</t>
        </r>
        <r>
          <rPr>
            <sz val="9"/>
            <color indexed="81"/>
            <rFont val="Tahoma"/>
            <family val="2"/>
          </rPr>
          <t xml:space="preserve">
higher prices volatility in 2019</t>
        </r>
      </text>
    </comment>
    <comment ref="AF81" authorId="0" shapeId="0" xr:uid="{00000000-0006-0000-0B00-000021000000}">
      <text>
        <r>
          <rPr>
            <b/>
            <sz val="9"/>
            <color indexed="81"/>
            <rFont val="Tahoma"/>
            <family val="2"/>
          </rPr>
          <t>Lam, Jarvis:</t>
        </r>
        <r>
          <rPr>
            <sz val="9"/>
            <color indexed="81"/>
            <rFont val="Tahoma"/>
            <family val="2"/>
          </rPr>
          <t xml:space="preserve">
-ve margin due to contract settlement for power generation shortfall which EA has to purchase eletricity from spot market at high price</t>
        </r>
      </text>
    </comment>
    <comment ref="A84" authorId="1" shapeId="0" xr:uid="{00000000-0006-0000-0B00-000022000000}">
      <text>
        <r>
          <rPr>
            <b/>
            <sz val="8"/>
            <color indexed="81"/>
            <rFont val="Tahoma"/>
            <family val="2"/>
          </rPr>
          <t>Peng Yuxiao:</t>
        </r>
        <r>
          <rPr>
            <sz val="8"/>
            <color indexed="81"/>
            <rFont val="Tahoma"/>
            <family val="2"/>
          </rPr>
          <t xml:space="preserve">
adjusted for currency movement on "debt" page</t>
        </r>
      </text>
    </comment>
    <comment ref="AA84" authorId="2" shapeId="0" xr:uid="{00000000-0006-0000-0B00-000023000000}">
      <text>
        <r>
          <rPr>
            <b/>
            <sz val="9"/>
            <color indexed="81"/>
            <rFont val="Tahoma"/>
            <family val="2"/>
          </rPr>
          <t>Sun, Abigail:</t>
        </r>
        <r>
          <rPr>
            <sz val="9"/>
            <color indexed="81"/>
            <rFont val="Tahoma"/>
            <family val="2"/>
          </rPr>
          <t xml:space="preserve">
the company issued AUD35m debt at 3.92% in end-Nov 2017</t>
        </r>
      </text>
    </comment>
    <comment ref="U85" authorId="4" shapeId="0" xr:uid="{00000000-0006-0000-0B00-000024000000}">
      <text>
        <r>
          <rPr>
            <b/>
            <sz val="8"/>
            <color indexed="81"/>
            <rFont val="Tahoma"/>
            <family val="2"/>
          </rPr>
          <t>Ken Liu:</t>
        </r>
        <r>
          <rPr>
            <sz val="8"/>
            <color indexed="81"/>
            <rFont val="Tahoma"/>
            <family val="2"/>
          </rPr>
          <t xml:space="preserve">
10 months of contributioin from NSW in 2011</t>
        </r>
      </text>
    </comment>
    <comment ref="AI85" authorId="0" shapeId="0" xr:uid="{3CBBEC52-469D-4FBA-AB68-9CF74DDF3EEA}">
      <text>
        <r>
          <rPr>
            <b/>
            <sz val="9"/>
            <color indexed="81"/>
            <rFont val="Tahoma"/>
            <family val="2"/>
          </rPr>
          <t>Lam, Jarvis:</t>
        </r>
        <r>
          <rPr>
            <sz val="9"/>
            <color indexed="81"/>
            <rFont val="Tahoma"/>
            <family val="2"/>
          </rPr>
          <t xml:space="preserve">
UBS forecast 100bps rate cut in 2025</t>
        </r>
      </text>
    </comment>
    <comment ref="W90" authorId="5" shapeId="0" xr:uid="{00000000-0006-0000-0B00-000025000000}">
      <text>
        <r>
          <rPr>
            <b/>
            <sz val="9"/>
            <color indexed="81"/>
            <rFont val="Tahoma"/>
            <family val="2"/>
          </rPr>
          <t>Liu, Ken:</t>
        </r>
        <r>
          <rPr>
            <sz val="9"/>
            <color indexed="81"/>
            <rFont val="Tahoma"/>
            <family val="2"/>
          </rPr>
          <t xml:space="preserve">
impairment happened at year end</t>
        </r>
      </text>
    </comment>
    <comment ref="AI91" authorId="6" shapeId="0" xr:uid="{5FF3BE0E-2609-4321-920C-C858BA20EFE9}">
      <text>
        <r>
          <rPr>
            <b/>
            <sz val="9"/>
            <color indexed="81"/>
            <rFont val="Tahoma"/>
            <family val="2"/>
          </rPr>
          <t>Eason Tang:</t>
        </r>
        <r>
          <rPr>
            <sz val="9"/>
            <color indexed="81"/>
            <rFont val="Tahoma"/>
            <family val="2"/>
          </rPr>
          <t xml:space="preserve">
expand contract renewable portfolio to up to 3GW by 2030 and 1.6GW flexible capacity by 2030. 
CapEx will need to increase in EnergyAustralia. 
Will conduct in joint venture to control the capex level.</t>
        </r>
      </text>
    </comment>
    <comment ref="A101" authorId="2" shapeId="0" xr:uid="{00000000-0006-0000-0B00-000026000000}">
      <text>
        <r>
          <rPr>
            <b/>
            <sz val="9"/>
            <color indexed="81"/>
            <rFont val="Tahoma"/>
            <family val="2"/>
          </rPr>
          <t>Sun, Abigail:</t>
        </r>
        <r>
          <rPr>
            <sz val="9"/>
            <color indexed="81"/>
            <rFont val="Tahoma"/>
            <family val="2"/>
          </rPr>
          <t xml:space="preserve">
From AU team</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Sun, Abigail</author>
    <author>Lam, Jarvis</author>
    <author>Chow, David</author>
    <author>Wu, Sophie</author>
    <author>Liu, Ken</author>
    <author>Eason Tang</author>
  </authors>
  <commentList>
    <comment ref="L1" authorId="0" shapeId="0" xr:uid="{00000000-0006-0000-0C00-000001000000}">
      <text>
        <r>
          <rPr>
            <b/>
            <sz val="9"/>
            <color indexed="81"/>
            <rFont val="Tahoma"/>
            <family val="2"/>
          </rPr>
          <t>Sun, Abigail:</t>
        </r>
        <r>
          <rPr>
            <sz val="9"/>
            <color indexed="81"/>
            <rFont val="Tahoma"/>
            <family val="2"/>
          </rPr>
          <t xml:space="preserve">
Acquired 80% interest in GPEC - JV</t>
        </r>
      </text>
    </comment>
    <comment ref="M1" authorId="0" shapeId="0" xr:uid="{00000000-0006-0000-0C00-000002000000}">
      <text>
        <r>
          <rPr>
            <b/>
            <sz val="9"/>
            <color indexed="81"/>
            <rFont val="Tahoma"/>
            <family val="2"/>
          </rPr>
          <t>Sun, Abigail:</t>
        </r>
        <r>
          <rPr>
            <sz val="9"/>
            <color indexed="81"/>
            <rFont val="Tahoma"/>
            <family val="2"/>
          </rPr>
          <t xml:space="preserve">
Acquired 100% interest in GPEC - Consolidated</t>
        </r>
      </text>
    </comment>
    <comment ref="AB1" authorId="0" shapeId="0" xr:uid="{00000000-0006-0000-0C00-000003000000}">
      <text>
        <r>
          <rPr>
            <b/>
            <sz val="9"/>
            <color indexed="81"/>
            <rFont val="Tahoma"/>
            <family val="2"/>
          </rPr>
          <t>Sun, Abigail:</t>
        </r>
        <r>
          <rPr>
            <sz val="9"/>
            <color indexed="81"/>
            <rFont val="Tahoma"/>
            <family val="2"/>
          </rPr>
          <t xml:space="preserve">
Sell 40% of CLP India to CDPQ for INR26.4bn</t>
        </r>
      </text>
    </comment>
    <comment ref="AE8" authorId="1" shapeId="0" xr:uid="{00000000-0006-0000-0C00-000004000000}">
      <text>
        <r>
          <rPr>
            <b/>
            <sz val="9"/>
            <color indexed="81"/>
            <rFont val="Tahoma"/>
            <family val="2"/>
          </rPr>
          <t>Lam, Jarvis:</t>
        </r>
        <r>
          <rPr>
            <sz val="9"/>
            <color indexed="81"/>
            <rFont val="Tahoma"/>
            <family val="2"/>
          </rPr>
          <t xml:space="preserve">
617m D&amp;A from report
</t>
        </r>
      </text>
    </comment>
    <comment ref="AF8" authorId="1" shapeId="0" xr:uid="{00000000-0006-0000-0C00-000005000000}">
      <text>
        <r>
          <rPr>
            <b/>
            <sz val="9"/>
            <color indexed="81"/>
            <rFont val="Tahoma"/>
            <family val="2"/>
          </rPr>
          <t>Lam, Jarvis:</t>
        </r>
        <r>
          <rPr>
            <sz val="9"/>
            <color indexed="81"/>
            <rFont val="Tahoma"/>
            <family val="2"/>
          </rPr>
          <t xml:space="preserve">
283m D&amp;A from report
</t>
        </r>
      </text>
    </comment>
    <comment ref="AG9" authorId="2" shapeId="0" xr:uid="{D72D7C46-5F7A-44E8-A35B-7857FD3AAB25}">
      <text>
        <r>
          <rPr>
            <b/>
            <sz val="9"/>
            <color indexed="81"/>
            <rFont val="Tahoma"/>
            <family val="2"/>
          </rPr>
          <t>Chow, David:</t>
        </r>
        <r>
          <rPr>
            <sz val="9"/>
            <color indexed="81"/>
            <rFont val="Tahoma"/>
            <family val="2"/>
          </rPr>
          <t xml:space="preserve">
Does not report ACOI anymore
</t>
        </r>
      </text>
    </comment>
    <comment ref="AH9" authorId="2" shapeId="0" xr:uid="{B36C0093-F988-47E0-949F-4BCDFDAB839F}">
      <text>
        <r>
          <rPr>
            <b/>
            <sz val="9"/>
            <color indexed="81"/>
            <rFont val="Tahoma"/>
            <family val="2"/>
          </rPr>
          <t>Chow, David:</t>
        </r>
        <r>
          <rPr>
            <sz val="9"/>
            <color indexed="81"/>
            <rFont val="Tahoma"/>
            <family val="2"/>
          </rPr>
          <t xml:space="preserve">
Does not report ACOI anymore
</t>
        </r>
      </text>
    </comment>
    <comment ref="Z10" authorId="0" shapeId="0" xr:uid="{00000000-0006-0000-0C00-000006000000}">
      <text>
        <r>
          <rPr>
            <b/>
            <sz val="9"/>
            <color indexed="81"/>
            <rFont val="Tahoma"/>
            <family val="2"/>
          </rPr>
          <t>Sun, Abigail:</t>
        </r>
        <r>
          <rPr>
            <sz val="9"/>
            <color indexed="81"/>
            <rFont val="Tahoma"/>
            <family val="2"/>
          </rPr>
          <t xml:space="preserve">
Lower generation on lower demand;
Lower tariff effective Apr 2016 under PPA</t>
        </r>
      </text>
    </comment>
    <comment ref="AG10" authorId="2" shapeId="0" xr:uid="{E38D6AFC-213B-4633-9E5D-8A976F112439}">
      <text>
        <r>
          <rPr>
            <b/>
            <sz val="9"/>
            <color indexed="81"/>
            <rFont val="Tahoma"/>
            <family val="2"/>
          </rPr>
          <t>Chow, David:</t>
        </r>
        <r>
          <rPr>
            <sz val="9"/>
            <color indexed="81"/>
            <rFont val="Tahoma"/>
            <family val="2"/>
          </rPr>
          <t xml:space="preserve">
Does not report ACOI anymore
</t>
        </r>
      </text>
    </comment>
    <comment ref="AH10" authorId="2" shapeId="0" xr:uid="{0E30302A-9197-443E-8886-69E39A720112}">
      <text>
        <r>
          <rPr>
            <b/>
            <sz val="9"/>
            <color indexed="81"/>
            <rFont val="Tahoma"/>
            <family val="2"/>
          </rPr>
          <t>Chow, David:</t>
        </r>
        <r>
          <rPr>
            <sz val="9"/>
            <color indexed="81"/>
            <rFont val="Tahoma"/>
            <family val="2"/>
          </rPr>
          <t xml:space="preserve">
Does not report ACOI anymore
</t>
        </r>
      </text>
    </comment>
    <comment ref="AC11" authorId="3" shapeId="0" xr:uid="{00000000-0006-0000-0C00-000007000000}">
      <text>
        <r>
          <rPr>
            <b/>
            <sz val="9"/>
            <color indexed="81"/>
            <rFont val="Tahoma"/>
            <family val="2"/>
          </rPr>
          <t>Wu, Sophie:</t>
        </r>
        <r>
          <rPr>
            <sz val="9"/>
            <color indexed="81"/>
            <rFont val="Tahoma"/>
            <family val="2"/>
          </rPr>
          <t xml:space="preserve">
PPA ended in 2019</t>
        </r>
      </text>
    </comment>
    <comment ref="AG11" authorId="2" shapeId="0" xr:uid="{01829021-6261-46C6-99BA-D45F8DD326FF}">
      <text>
        <r>
          <rPr>
            <b/>
            <sz val="9"/>
            <color indexed="81"/>
            <rFont val="Tahoma"/>
            <family val="2"/>
          </rPr>
          <t>Chow, David:</t>
        </r>
        <r>
          <rPr>
            <sz val="9"/>
            <color indexed="81"/>
            <rFont val="Tahoma"/>
            <family val="2"/>
          </rPr>
          <t xml:space="preserve">
Does not report ACOI anymore
</t>
        </r>
      </text>
    </comment>
    <comment ref="AH11" authorId="2" shapeId="0" xr:uid="{7E947BE5-4546-4E7B-8BC0-3DA6EADD5800}">
      <text>
        <r>
          <rPr>
            <b/>
            <sz val="9"/>
            <color indexed="81"/>
            <rFont val="Tahoma"/>
            <family val="2"/>
          </rPr>
          <t>Chow, David:</t>
        </r>
        <r>
          <rPr>
            <sz val="9"/>
            <color indexed="81"/>
            <rFont val="Tahoma"/>
            <family val="2"/>
          </rPr>
          <t xml:space="preserve">
Does not report ACOI anymore
</t>
        </r>
      </text>
    </comment>
    <comment ref="AG12" authorId="2" shapeId="0" xr:uid="{50FBF3F3-2644-4C94-8DD7-163CAF33E12E}">
      <text>
        <r>
          <rPr>
            <b/>
            <sz val="9"/>
            <color indexed="81"/>
            <rFont val="Tahoma"/>
            <family val="2"/>
          </rPr>
          <t>Chow, David:</t>
        </r>
        <r>
          <rPr>
            <sz val="9"/>
            <color indexed="81"/>
            <rFont val="Tahoma"/>
            <family val="2"/>
          </rPr>
          <t xml:space="preserve">
Does not report ACOI anymore
</t>
        </r>
      </text>
    </comment>
    <comment ref="AH12" authorId="2" shapeId="0" xr:uid="{ED1D7B8F-C072-4F11-BC99-238B24352878}">
      <text>
        <r>
          <rPr>
            <b/>
            <sz val="9"/>
            <color indexed="81"/>
            <rFont val="Tahoma"/>
            <family val="2"/>
          </rPr>
          <t>Chow, David:</t>
        </r>
        <r>
          <rPr>
            <sz val="9"/>
            <color indexed="81"/>
            <rFont val="Tahoma"/>
            <family val="2"/>
          </rPr>
          <t xml:space="preserve">
Does not report ACOI anymore
</t>
        </r>
      </text>
    </comment>
    <comment ref="A13" authorId="3" shapeId="0" xr:uid="{00000000-0006-0000-0C00-000008000000}">
      <text>
        <r>
          <rPr>
            <b/>
            <sz val="9"/>
            <color indexed="81"/>
            <rFont val="Tahoma"/>
            <family val="2"/>
          </rPr>
          <t>Wu, Sophie:</t>
        </r>
        <r>
          <rPr>
            <sz val="9"/>
            <color indexed="81"/>
            <rFont val="Tahoma"/>
            <family val="2"/>
          </rPr>
          <t xml:space="preserve">
Acquired 1 transmission asset in 2019; plan to acquire the other two in 2020</t>
        </r>
      </text>
    </comment>
    <comment ref="AG13" authorId="2" shapeId="0" xr:uid="{81CAAD4B-939F-4FA1-B1DD-45B1AA209352}">
      <text>
        <r>
          <rPr>
            <b/>
            <sz val="9"/>
            <color indexed="81"/>
            <rFont val="Tahoma"/>
            <family val="2"/>
          </rPr>
          <t>Chow, David:</t>
        </r>
        <r>
          <rPr>
            <sz val="9"/>
            <color indexed="81"/>
            <rFont val="Tahoma"/>
            <family val="2"/>
          </rPr>
          <t xml:space="preserve">
Does not report ACOI anymore
</t>
        </r>
      </text>
    </comment>
    <comment ref="AH13" authorId="2" shapeId="0" xr:uid="{37E0A9CB-DA5A-445E-A9AF-AC784D39829A}">
      <text>
        <r>
          <rPr>
            <b/>
            <sz val="9"/>
            <color indexed="81"/>
            <rFont val="Tahoma"/>
            <family val="2"/>
          </rPr>
          <t>Chow, David:</t>
        </r>
        <r>
          <rPr>
            <sz val="9"/>
            <color indexed="81"/>
            <rFont val="Tahoma"/>
            <family val="2"/>
          </rPr>
          <t xml:space="preserve">
Does not report ACOI anymore
</t>
        </r>
      </text>
    </comment>
    <comment ref="V20" authorId="0" shapeId="0" xr:uid="{00000000-0006-0000-0C00-000009000000}">
      <text>
        <r>
          <rPr>
            <b/>
            <sz val="9"/>
            <color indexed="81"/>
            <rFont val="Tahoma"/>
            <family val="2"/>
          </rPr>
          <t>Sun, Abigail:</t>
        </r>
        <r>
          <rPr>
            <sz val="9"/>
            <color indexed="81"/>
            <rFont val="Tahoma"/>
            <family val="2"/>
          </rPr>
          <t xml:space="preserve">
-554: operating loss</t>
        </r>
      </text>
    </comment>
    <comment ref="AD23" authorId="4" shapeId="0" xr:uid="{00000000-0006-0000-0C00-00000A000000}">
      <text>
        <r>
          <rPr>
            <b/>
            <sz val="9"/>
            <color indexed="81"/>
            <rFont val="Tahoma"/>
            <family val="2"/>
          </rPr>
          <t>Liu, Ken:</t>
        </r>
        <r>
          <rPr>
            <sz val="9"/>
            <color indexed="81"/>
            <rFont val="Tahoma"/>
            <family val="2"/>
          </rPr>
          <t xml:space="preserve">
assume 30% equity, and then 15% ROE on investment, and attributable earnings is 60%</t>
        </r>
      </text>
    </comment>
    <comment ref="AB24" authorId="0" shapeId="0" xr:uid="{00000000-0006-0000-0C00-00000B000000}">
      <text>
        <r>
          <rPr>
            <b/>
            <sz val="9"/>
            <color indexed="81"/>
            <rFont val="Tahoma"/>
            <family val="2"/>
          </rPr>
          <t>Sun, Abigail:</t>
        </r>
        <r>
          <rPr>
            <sz val="9"/>
            <color indexed="81"/>
            <rFont val="Tahoma"/>
            <family val="2"/>
          </rPr>
          <t xml:space="preserve">
provision for Paguthan's deemed generation receivables</t>
        </r>
      </text>
    </comment>
    <comment ref="AI25" authorId="5" shapeId="0" xr:uid="{C6BBE35A-8A03-44EF-9E9E-3D76E7BDD3C6}">
      <text>
        <r>
          <rPr>
            <b/>
            <sz val="9"/>
            <color indexed="81"/>
            <rFont val="Tahoma"/>
            <family val="2"/>
          </rPr>
          <t>Eason Tang:</t>
        </r>
        <r>
          <rPr>
            <sz val="9"/>
            <color indexed="81"/>
            <rFont val="Tahoma"/>
            <family val="2"/>
          </rPr>
          <t xml:space="preserve">
H125 -61% YoY</t>
        </r>
      </text>
    </comment>
    <comment ref="V35" authorId="0" shapeId="0" xr:uid="{00000000-0006-0000-0C00-00000F000000}">
      <text>
        <r>
          <rPr>
            <b/>
            <sz val="9"/>
            <color indexed="81"/>
            <rFont val="Tahoma"/>
            <family val="2"/>
          </rPr>
          <t>Sun, Abigail:</t>
        </r>
        <r>
          <rPr>
            <sz val="9"/>
            <color indexed="81"/>
            <rFont val="Tahoma"/>
            <family val="2"/>
          </rPr>
          <t xml:space="preserve">
one in March
one in July</t>
        </r>
      </text>
    </comment>
    <comment ref="Y37" authorId="0" shapeId="0" xr:uid="{00000000-0006-0000-0C00-000010000000}">
      <text>
        <r>
          <rPr>
            <b/>
            <sz val="9"/>
            <color indexed="81"/>
            <rFont val="Tahoma"/>
            <family val="2"/>
          </rPr>
          <t>Sun, Abigail:</t>
        </r>
        <r>
          <rPr>
            <sz val="9"/>
            <color indexed="81"/>
            <rFont val="Tahoma"/>
            <family val="2"/>
          </rPr>
          <t xml:space="preserve">
Start operation in H215</t>
        </r>
      </text>
    </comment>
    <comment ref="AA37" authorId="0" shapeId="0" xr:uid="{00000000-0006-0000-0C00-000011000000}">
      <text>
        <r>
          <rPr>
            <b/>
            <sz val="9"/>
            <color indexed="81"/>
            <rFont val="Tahoma"/>
            <family val="2"/>
          </rPr>
          <t>Sun, Abigail:</t>
        </r>
        <r>
          <rPr>
            <sz val="9"/>
            <color indexed="81"/>
            <rFont val="Tahoma"/>
            <family val="2"/>
          </rPr>
          <t xml:space="preserve">
50MW solar project - commission by Aug-2017;
the other 50MW to be commissioned in Q4</t>
        </r>
      </text>
    </comment>
    <comment ref="AC37" authorId="4" shapeId="0" xr:uid="{00000000-0006-0000-0C00-000012000000}">
      <text>
        <r>
          <rPr>
            <b/>
            <sz val="9"/>
            <color indexed="81"/>
            <rFont val="Tahoma"/>
            <family val="2"/>
          </rPr>
          <t>Liu, Ken:</t>
        </r>
        <r>
          <rPr>
            <sz val="9"/>
            <color indexed="81"/>
            <rFont val="Tahoma"/>
            <family val="2"/>
          </rPr>
          <t xml:space="preserve">
capex costs Rs60m/kW, so 1.5bn of HKD capex per year will grow capacity by around 250MW</t>
        </r>
      </text>
    </comment>
    <comment ref="AD37" authorId="4" shapeId="0" xr:uid="{00000000-0006-0000-0C00-000013000000}">
      <text>
        <r>
          <rPr>
            <b/>
            <sz val="9"/>
            <color indexed="81"/>
            <rFont val="Tahoma"/>
            <family val="2"/>
          </rPr>
          <t>Liu, Ken:</t>
        </r>
        <r>
          <rPr>
            <sz val="9"/>
            <color indexed="81"/>
            <rFont val="Tahoma"/>
            <family val="2"/>
          </rPr>
          <t xml:space="preserve">
capex costs Rs60m/kW, so 1.5bn of HKD capex per year will grow capacity by around 250MW</t>
        </r>
      </text>
    </comment>
    <comment ref="AE37" authorId="4" shapeId="0" xr:uid="{00000000-0006-0000-0C00-000014000000}">
      <text>
        <r>
          <rPr>
            <b/>
            <sz val="9"/>
            <color indexed="81"/>
            <rFont val="Tahoma"/>
            <family val="2"/>
          </rPr>
          <t>Liu, Ken:</t>
        </r>
        <r>
          <rPr>
            <sz val="9"/>
            <color indexed="81"/>
            <rFont val="Tahoma"/>
            <family val="2"/>
          </rPr>
          <t xml:space="preserve">
capex costs Rs60m/kW, so 1.5bn of HKD capex per year will grow capacity by around 250MW</t>
        </r>
      </text>
    </comment>
    <comment ref="AH37" authorId="2" shapeId="0" xr:uid="{FB0DD9C0-9127-4AFD-B8C8-DF886097C14C}">
      <text>
        <r>
          <rPr>
            <b/>
            <sz val="9"/>
            <color indexed="81"/>
            <rFont val="Tahoma"/>
            <family val="2"/>
          </rPr>
          <t>Chow, David:</t>
        </r>
        <r>
          <rPr>
            <sz val="9"/>
            <color indexed="81"/>
            <rFont val="Tahoma"/>
            <family val="2"/>
          </rPr>
          <t xml:space="preserve">
Construction Projects: 251MW new wind project in Gujarat
550MW solar
</t>
        </r>
      </text>
    </comment>
    <comment ref="AC39" authorId="1" shapeId="0" xr:uid="{00000000-0006-0000-0C00-000016000000}">
      <text>
        <r>
          <rPr>
            <b/>
            <sz val="9"/>
            <color indexed="81"/>
            <rFont val="Tahoma"/>
            <family val="2"/>
          </rPr>
          <t>Lam, Jarvis:</t>
        </r>
        <r>
          <rPr>
            <sz val="9"/>
            <color indexed="81"/>
            <rFont val="Tahoma"/>
            <family val="2"/>
          </rPr>
          <t xml:space="preserve">
</t>
        </r>
      </text>
    </comment>
    <comment ref="AA43" authorId="0" shapeId="0" xr:uid="{00000000-0006-0000-0C00-000017000000}">
      <text>
        <r>
          <rPr>
            <b/>
            <sz val="9"/>
            <color indexed="81"/>
            <rFont val="Tahoma"/>
            <family val="2"/>
          </rPr>
          <t>Sun, Abigail:</t>
        </r>
        <r>
          <rPr>
            <sz val="9"/>
            <color indexed="81"/>
            <rFont val="Tahoma"/>
            <family val="2"/>
          </rPr>
          <t xml:space="preserve">
The Yermala wind power project is discontinued in Q117</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Sun, Abigail</author>
    <author>Wu, Sophie</author>
    <author>Lam, Jarvis</author>
    <author>Eason Tang</author>
  </authors>
  <commentList>
    <comment ref="Z7" authorId="0" shapeId="0" xr:uid="{00000000-0006-0000-0D00-000001000000}">
      <text>
        <r>
          <rPr>
            <b/>
            <sz val="9"/>
            <color indexed="81"/>
            <rFont val="Tahoma"/>
            <family val="2"/>
          </rPr>
          <t>Sun, Abigail:</t>
        </r>
        <r>
          <rPr>
            <sz val="9"/>
            <color indexed="81"/>
            <rFont val="Tahoma"/>
            <family val="2"/>
          </rPr>
          <t xml:space="preserve">
OneEnergy Taiwan (50%), it owns 40% of Ho-Ping</t>
        </r>
      </text>
    </comment>
    <comment ref="AC7" authorId="1" shapeId="0" xr:uid="{00000000-0006-0000-0D00-000002000000}">
      <text>
        <r>
          <rPr>
            <b/>
            <sz val="9"/>
            <color indexed="81"/>
            <rFont val="Tahoma"/>
            <family val="2"/>
          </rPr>
          <t>Wu, Sophie:</t>
        </r>
        <r>
          <rPr>
            <sz val="9"/>
            <color indexed="81"/>
            <rFont val="Tahoma"/>
            <family val="2"/>
          </rPr>
          <t xml:space="preserve">
lower coal costs and higher energy tariff for Ho-ping power station; Ho-ping's annual energy tariff was increased in 2019 under PPA</t>
        </r>
      </text>
    </comment>
    <comment ref="A11" authorId="0" shapeId="0" xr:uid="{00000000-0006-0000-0D00-000003000000}">
      <text>
        <r>
          <rPr>
            <b/>
            <sz val="9"/>
            <color indexed="81"/>
            <rFont val="Tahoma"/>
            <family val="2"/>
          </rPr>
          <t>Sun, Abigail:</t>
        </r>
        <r>
          <rPr>
            <sz val="9"/>
            <color indexed="81"/>
            <rFont val="Tahoma"/>
            <family val="2"/>
          </rPr>
          <t xml:space="preserve">
Started commercial operation in 2002</t>
        </r>
      </text>
    </comment>
    <comment ref="AD13" authorId="2" shapeId="0" xr:uid="{00000000-0006-0000-0D00-000004000000}">
      <text>
        <r>
          <rPr>
            <b/>
            <sz val="9"/>
            <color indexed="81"/>
            <rFont val="Tahoma"/>
            <family val="2"/>
          </rPr>
          <t>Lam, Jarvis:</t>
        </r>
        <r>
          <rPr>
            <sz val="9"/>
            <color indexed="81"/>
            <rFont val="Tahoma"/>
            <family val="2"/>
          </rPr>
          <t xml:space="preserve">
new classification</t>
        </r>
      </text>
    </comment>
    <comment ref="R19" authorId="0" shapeId="0" xr:uid="{00000000-0006-0000-0D00-000005000000}">
      <text>
        <r>
          <rPr>
            <b/>
            <sz val="9"/>
            <color indexed="81"/>
            <rFont val="Tahoma"/>
            <family val="2"/>
          </rPr>
          <t>Sun, Abigail:</t>
        </r>
        <r>
          <rPr>
            <sz val="9"/>
            <color indexed="81"/>
            <rFont val="Tahoma"/>
            <family val="2"/>
          </rPr>
          <t xml:space="preserve">
high coal cost, and lower ownership from 40% to 20%</t>
        </r>
      </text>
    </comment>
    <comment ref="P24" authorId="0" shapeId="0" xr:uid="{00000000-0006-0000-0D00-000006000000}">
      <text>
        <r>
          <rPr>
            <b/>
            <sz val="9"/>
            <color indexed="81"/>
            <rFont val="Tahoma"/>
            <family val="2"/>
          </rPr>
          <t>Sun, Abigail:</t>
        </r>
        <r>
          <rPr>
            <sz val="9"/>
            <color indexed="81"/>
            <rFont val="Tahoma"/>
            <family val="2"/>
          </rPr>
          <t xml:space="preserve">
disposal gain - injection of Ho-Ping into OneEnergy</t>
        </r>
      </text>
    </comment>
    <comment ref="Q24" authorId="0" shapeId="0" xr:uid="{00000000-0006-0000-0D00-000007000000}">
      <text>
        <r>
          <rPr>
            <b/>
            <sz val="9"/>
            <color indexed="81"/>
            <rFont val="Tahoma"/>
            <family val="2"/>
          </rPr>
          <t>Sun, Abigail:</t>
        </r>
        <r>
          <rPr>
            <sz val="9"/>
            <color indexed="81"/>
            <rFont val="Tahoma"/>
            <family val="2"/>
          </rPr>
          <t xml:space="preserve">
disposal gain - injection of Ho-Ping into OneEnergy</t>
        </r>
      </text>
    </comment>
    <comment ref="S24" authorId="0" shapeId="0" xr:uid="{00000000-0006-0000-0D00-000008000000}">
      <text>
        <r>
          <rPr>
            <b/>
            <sz val="9"/>
            <color indexed="81"/>
            <rFont val="Tahoma"/>
            <family val="2"/>
          </rPr>
          <t>Sun, Abigail:</t>
        </r>
        <r>
          <rPr>
            <sz val="9"/>
            <color indexed="81"/>
            <rFont val="Tahoma"/>
            <family val="2"/>
          </rPr>
          <t xml:space="preserve">
153: gain on sale of PGS
-131: Provision for OneEnergy</t>
        </r>
      </text>
    </comment>
    <comment ref="U24" authorId="0" shapeId="0" xr:uid="{00000000-0006-0000-0D00-000009000000}">
      <text>
        <r>
          <rPr>
            <b/>
            <sz val="9"/>
            <color indexed="81"/>
            <rFont val="Tahoma"/>
            <family val="2"/>
          </rPr>
          <t>Sun, Abigail:</t>
        </r>
        <r>
          <rPr>
            <sz val="9"/>
            <color indexed="81"/>
            <rFont val="Tahoma"/>
            <family val="2"/>
          </rPr>
          <t xml:space="preserve">
Gain on sale of EGCO in Feb 2011</t>
        </r>
      </text>
    </comment>
    <comment ref="AE24" authorId="2" shapeId="0" xr:uid="{00000000-0006-0000-0D00-00000A000000}">
      <text>
        <r>
          <rPr>
            <b/>
            <sz val="9"/>
            <color indexed="81"/>
            <rFont val="Tahoma"/>
            <family val="2"/>
          </rPr>
          <t>Lam, Jarvis:</t>
        </r>
        <r>
          <rPr>
            <sz val="9"/>
            <color indexed="81"/>
            <rFont val="Tahoma"/>
            <family val="2"/>
          </rPr>
          <t xml:space="preserve">
Gain on sale of Vietnam project</t>
        </r>
      </text>
    </comment>
    <comment ref="AI25" authorId="3" shapeId="0" xr:uid="{EC4709B4-32C8-42BE-8A61-74435DBD9EF8}">
      <text>
        <r>
          <rPr>
            <b/>
            <sz val="9"/>
            <color indexed="81"/>
            <rFont val="Tahoma"/>
            <family val="2"/>
          </rPr>
          <t>Eason Tang:</t>
        </r>
        <r>
          <rPr>
            <sz val="9"/>
            <color indexed="81"/>
            <rFont val="Tahoma"/>
            <family val="2"/>
          </rPr>
          <t xml:space="preserve">
-76% in H125</t>
        </r>
      </text>
    </comment>
  </commentList>
</comments>
</file>

<file path=xl/sharedStrings.xml><?xml version="1.0" encoding="utf-8"?>
<sst xmlns="http://schemas.openxmlformats.org/spreadsheetml/2006/main" count="1216" uniqueCount="772">
  <si>
    <t>Total liabilities</t>
  </si>
  <si>
    <t>Check: rate reduction reserve</t>
  </si>
  <si>
    <t>Repayment of lease obligations</t>
  </si>
  <si>
    <t>Finance lease obligations</t>
  </si>
  <si>
    <t>Long-term finance lease obligations</t>
  </si>
  <si>
    <t>less finance lease obligations</t>
  </si>
  <si>
    <t>2017E</t>
  </si>
  <si>
    <t>ROIC (incl. carbon tax impact)</t>
  </si>
  <si>
    <t>Terminal growth rate</t>
  </si>
  <si>
    <t>Historical emission (kt)</t>
  </si>
  <si>
    <t>Emission (t/fuel consumption, output based)</t>
  </si>
  <si>
    <t>Terminal return on capital</t>
  </si>
  <si>
    <t>NOPAT Multiple</t>
  </si>
  <si>
    <t>Adjusted tax rate</t>
  </si>
  <si>
    <t>NOPAT</t>
  </si>
  <si>
    <t>Average invested capital</t>
  </si>
  <si>
    <t>Return on capital</t>
  </si>
  <si>
    <t>NOPAT multiple</t>
  </si>
  <si>
    <t>Terminal value (undiscounted)</t>
  </si>
  <si>
    <t>Discount rate</t>
  </si>
  <si>
    <t>1st year NOPAT</t>
  </si>
  <si>
    <t>NPV per share</t>
  </si>
  <si>
    <t>EBIT, core</t>
  </si>
  <si>
    <t>Terminal growth for div and int</t>
  </si>
  <si>
    <t>CLP pre tax cost of debt (%)</t>
  </si>
  <si>
    <t>Implied export tariff/kWh</t>
  </si>
  <si>
    <t>Other Income, net</t>
  </si>
  <si>
    <t>Dividends and interest received</t>
  </si>
  <si>
    <t xml:space="preserve">   Gas (implied)</t>
  </si>
  <si>
    <t>Higher or (lower) than government (kT)</t>
  </si>
  <si>
    <t xml:space="preserve">   Overall</t>
  </si>
  <si>
    <t>Terminal value and NPV</t>
  </si>
  <si>
    <t>Explicit cash flows forecasts</t>
  </si>
  <si>
    <t>Terminal period - Group</t>
  </si>
  <si>
    <t>ROE</t>
  </si>
  <si>
    <t>HKD/AUD</t>
  </si>
  <si>
    <t>add back non-recurring items</t>
  </si>
  <si>
    <t>current year 1H EBIT (CUS)/Op Inc (Final)</t>
  </si>
  <si>
    <t>1H earnings</t>
  </si>
  <si>
    <t>1H recurring earnings</t>
  </si>
  <si>
    <t>1H as % of total</t>
  </si>
  <si>
    <t>1H revenue</t>
  </si>
  <si>
    <t>1st year avg invested capital</t>
  </si>
  <si>
    <t>Special rebate account</t>
  </si>
  <si>
    <t>Recovery of rents and rates</t>
  </si>
  <si>
    <t>Rebate to customers</t>
  </si>
  <si>
    <t>Closing balance payable (receivable)</t>
  </si>
  <si>
    <t xml:space="preserve">1H Hong Kong </t>
  </si>
  <si>
    <t>%</t>
  </si>
  <si>
    <t>Adj. no. of shares -end (mn)</t>
  </si>
  <si>
    <t>Check: tariff stablisation fund</t>
  </si>
  <si>
    <t>Rent &amp; Rates Special Rebate</t>
  </si>
  <si>
    <t>Transfer from (to) fuel cost adjustment</t>
  </si>
  <si>
    <t>Gross electricity revenue (Basic tariff x GWh)</t>
  </si>
  <si>
    <t>Sales of electricity</t>
  </si>
  <si>
    <t>Export to China</t>
  </si>
  <si>
    <t>YoY</t>
  </si>
  <si>
    <t>EBITDAF</t>
  </si>
  <si>
    <t>Fair value movement</t>
  </si>
  <si>
    <t>EBITDAF margin</t>
  </si>
  <si>
    <t>Transfer from/(to) development fund (theoretical)</t>
  </si>
  <si>
    <t>EBIT (recurring)</t>
  </si>
  <si>
    <t>Unallocated</t>
  </si>
  <si>
    <t>HK$ m</t>
  </si>
  <si>
    <t>Coal-fired (CAPCO)</t>
  </si>
  <si>
    <t>Gas-fired (Black Point)</t>
  </si>
  <si>
    <t>Oil (Penny Bay)</t>
  </si>
  <si>
    <t>Nuclear (Daya Bay)</t>
  </si>
  <si>
    <t>Utilisation rate</t>
  </si>
  <si>
    <t>Government targets</t>
  </si>
  <si>
    <t>Total debt</t>
  </si>
  <si>
    <t>Total debt to capital</t>
  </si>
  <si>
    <t>WACC</t>
  </si>
  <si>
    <t>Capacity</t>
  </si>
  <si>
    <t>Non-fixed assets</t>
  </si>
  <si>
    <t>Total assets breakdown</t>
  </si>
  <si>
    <t>%+/-</t>
  </si>
  <si>
    <t>Total</t>
  </si>
  <si>
    <t>Key Assumptions</t>
  </si>
  <si>
    <t>Hong Kong risk-free rate</t>
  </si>
  <si>
    <t>CLP beta (X)</t>
  </si>
  <si>
    <t>CLP cost of equity (%)</t>
  </si>
  <si>
    <t>Effective tax rate (%)</t>
  </si>
  <si>
    <t>CLP after tax cost of debt (%)</t>
  </si>
  <si>
    <t>L/T debt to total capital ratio (%)</t>
  </si>
  <si>
    <t>Discount Rate (%)</t>
  </si>
  <si>
    <t>Long-term growth rate</t>
  </si>
  <si>
    <t>Years ahead</t>
  </si>
  <si>
    <t>Discount factor</t>
  </si>
  <si>
    <t>Other one-offs</t>
  </si>
  <si>
    <t>HK$ Million</t>
  </si>
  <si>
    <t>Terminal value</t>
  </si>
  <si>
    <t>add back interest</t>
  </si>
  <si>
    <t>Capital expenditure</t>
  </si>
  <si>
    <t>Net cash flow</t>
  </si>
  <si>
    <t>Discounted cash flow</t>
  </si>
  <si>
    <t>less debt</t>
  </si>
  <si>
    <t>NPV</t>
  </si>
  <si>
    <t>Earnings</t>
  </si>
  <si>
    <t>Daya Bay</t>
  </si>
  <si>
    <t>Taxation</t>
  </si>
  <si>
    <t>Debt</t>
  </si>
  <si>
    <t>Balance sheet</t>
  </si>
  <si>
    <t>Long-term debt</t>
  </si>
  <si>
    <t>Marketable securities</t>
  </si>
  <si>
    <t>EBITDA</t>
  </si>
  <si>
    <t>EBIT</t>
  </si>
  <si>
    <t>Profit before tax</t>
  </si>
  <si>
    <t>Tax</t>
  </si>
  <si>
    <t>Minority interests</t>
  </si>
  <si>
    <t>Dividends</t>
  </si>
  <si>
    <t>Other</t>
  </si>
  <si>
    <t>Inflation</t>
  </si>
  <si>
    <t>1999R</t>
  </si>
  <si>
    <t>Revenue</t>
  </si>
  <si>
    <t>SOC revenue</t>
  </si>
  <si>
    <t>Operating costs</t>
  </si>
  <si>
    <t>Total operating expenses</t>
  </si>
  <si>
    <t>Net operating income</t>
  </si>
  <si>
    <t>Property</t>
  </si>
  <si>
    <t>Other jointly controlled entities</t>
  </si>
  <si>
    <t>Electricity associates</t>
  </si>
  <si>
    <t>Pretax profits</t>
  </si>
  <si>
    <t>Avg shares outstanding (mn)</t>
  </si>
  <si>
    <t>Dividend payout ratio</t>
  </si>
  <si>
    <t>Final DPS (HK$)</t>
  </si>
  <si>
    <t>Cash and equivalents</t>
  </si>
  <si>
    <t>Total current assets</t>
  </si>
  <si>
    <t>Net fixed assets</t>
  </si>
  <si>
    <t>Employee retirement plan assets</t>
  </si>
  <si>
    <t>Total assets</t>
  </si>
  <si>
    <t>Total current liabilities</t>
  </si>
  <si>
    <t>Deferred taxes</t>
  </si>
  <si>
    <t>Total long-term liabilities</t>
  </si>
  <si>
    <t>Minority Interests</t>
  </si>
  <si>
    <t>Total retained earnings</t>
  </si>
  <si>
    <t>Total shareholders’ equity</t>
  </si>
  <si>
    <t>Total liabilities and shareholders’ equity</t>
  </si>
  <si>
    <t>Dividends received</t>
  </si>
  <si>
    <t>Net cash flow from operations</t>
  </si>
  <si>
    <t>Cash flow from investing (CFI)</t>
  </si>
  <si>
    <t>Capital expenditures</t>
  </si>
  <si>
    <t>Less: tax shield on interest</t>
  </si>
  <si>
    <t>Add: interest expenses</t>
  </si>
  <si>
    <t>Less: Capex</t>
  </si>
  <si>
    <t>Discounted free cash flows</t>
  </si>
  <si>
    <t>Discounted terminal value</t>
  </si>
  <si>
    <t>Sum of discounted free cash flows</t>
  </si>
  <si>
    <t>Terminal period:</t>
  </si>
  <si>
    <t>Implied EV/MW</t>
  </si>
  <si>
    <t>NPV of 100% of CAPCO (HK$ m)</t>
  </si>
  <si>
    <t>Valuation of CAPCO</t>
  </si>
  <si>
    <t xml:space="preserve">NPV calculation: </t>
  </si>
  <si>
    <t>Less: Debt</t>
  </si>
  <si>
    <t>(HK$ m)</t>
  </si>
  <si>
    <t>Net (increase)/decrease investments</t>
  </si>
  <si>
    <t>Net cash flow from investing</t>
  </si>
  <si>
    <t>Common stock issuance</t>
  </si>
  <si>
    <t>Less dividends</t>
  </si>
  <si>
    <t>Increase/decrease in minority interest</t>
  </si>
  <si>
    <t>Change in debt</t>
  </si>
  <si>
    <t>Net cash flow from financing</t>
  </si>
  <si>
    <t>Net increase/(decrease) cash</t>
  </si>
  <si>
    <t>Year ended December (HK$m)</t>
  </si>
  <si>
    <t>Associates</t>
  </si>
  <si>
    <t>Rate Reduction Reserve</t>
  </si>
  <si>
    <t>SoC revenues</t>
  </si>
  <si>
    <t>Fuel costs</t>
  </si>
  <si>
    <t>Interest expense</t>
  </si>
  <si>
    <t>Depreciation</t>
  </si>
  <si>
    <t>Misc</t>
  </si>
  <si>
    <t>Tax rate (%)</t>
  </si>
  <si>
    <t>Profit after taxation</t>
  </si>
  <si>
    <t>Increase in customer deposits</t>
  </si>
  <si>
    <t>China sales</t>
  </si>
  <si>
    <t>SoC net income</t>
  </si>
  <si>
    <t>Transfer from/(to) development fund</t>
  </si>
  <si>
    <t>Permitted return</t>
  </si>
  <si>
    <t>Interest on increase in customers deposits</t>
  </si>
  <si>
    <t>Transfer to special provision account</t>
  </si>
  <si>
    <t>Transfer to rate reduction reserve</t>
  </si>
  <si>
    <t>Net return</t>
  </si>
  <si>
    <t>CAPCO portion (%)</t>
  </si>
  <si>
    <t>SOC Profits</t>
  </si>
  <si>
    <t>Pumped storage</t>
  </si>
  <si>
    <t>Write-down of investments</t>
  </si>
  <si>
    <t>Capex</t>
  </si>
  <si>
    <t xml:space="preserve">      Black Point (Gas fired)</t>
  </si>
  <si>
    <t xml:space="preserve">   - Decrease / (increase) in fuel clause account</t>
  </si>
  <si>
    <t>Opening balance</t>
  </si>
  <si>
    <t>Earnings, post-tax</t>
  </si>
  <si>
    <t>Adjustments</t>
  </si>
  <si>
    <t>Closing balance</t>
  </si>
  <si>
    <t>Acquisitions</t>
  </si>
  <si>
    <t>Goodwill amortization</t>
  </si>
  <si>
    <t>Dividend</t>
  </si>
  <si>
    <t>Jointly controlled entities</t>
  </si>
  <si>
    <t>Interest income</t>
  </si>
  <si>
    <t>CLP Scheme of Control Revenue</t>
  </si>
  <si>
    <t xml:space="preserve">Electricity Revenue: </t>
  </si>
  <si>
    <t>Sundry income</t>
  </si>
  <si>
    <t>Total SOC revenue</t>
  </si>
  <si>
    <t>Actual Tariffs at Year End (Cents per kWh)</t>
  </si>
  <si>
    <t>Basic Tariff</t>
  </si>
  <si>
    <t>Special rebates</t>
  </si>
  <si>
    <t>Rate Reduction Rebate</t>
  </si>
  <si>
    <t xml:space="preserve">Net Tariff </t>
  </si>
  <si>
    <t>Total value of special rebate</t>
  </si>
  <si>
    <t>Total value of rate reduction rebate</t>
  </si>
  <si>
    <t>Commercial</t>
  </si>
  <si>
    <t>Domestic</t>
  </si>
  <si>
    <t>Industrial</t>
  </si>
  <si>
    <t>Government &amp; others</t>
  </si>
  <si>
    <t>China</t>
  </si>
  <si>
    <t>Total local and China</t>
  </si>
  <si>
    <t>Demand (Gwh)</t>
  </si>
  <si>
    <t>Total local</t>
  </si>
  <si>
    <t>YOY Change (%)</t>
  </si>
  <si>
    <t>na</t>
  </si>
  <si>
    <t>Government and others</t>
  </si>
  <si>
    <t>Percentage of sales</t>
  </si>
  <si>
    <t>Fuel Clause Recovery</t>
  </si>
  <si>
    <t>Transferred from Profit &amp; Loss Account</t>
  </si>
  <si>
    <t>Fixed assets</t>
  </si>
  <si>
    <t>Current liabilities</t>
  </si>
  <si>
    <t>Deferred liabilities</t>
  </si>
  <si>
    <t>Development fund</t>
  </si>
  <si>
    <t>Capital</t>
  </si>
  <si>
    <t>Customer deposits</t>
  </si>
  <si>
    <t>1996</t>
  </si>
  <si>
    <t>Allowed return</t>
  </si>
  <si>
    <t>Return on ANFA</t>
  </si>
  <si>
    <t>Shareholder investments post 79</t>
  </si>
  <si>
    <t>Permitted return for the year</t>
  </si>
  <si>
    <t>Price per KWh</t>
  </si>
  <si>
    <t>Net operating costs</t>
  </si>
  <si>
    <t>Interest rate</t>
  </si>
  <si>
    <t>Australia</t>
  </si>
  <si>
    <t>Closing shares outstanding (mn)</t>
  </si>
  <si>
    <t>Total dividend</t>
  </si>
  <si>
    <t>Interim DPS (HK$)</t>
  </si>
  <si>
    <t>Total DPS (HK$)</t>
  </si>
  <si>
    <t>Scheme of control liabilities</t>
  </si>
  <si>
    <t>Fuel clause account</t>
  </si>
  <si>
    <t>Exchange rate</t>
  </si>
  <si>
    <t>Net debt</t>
  </si>
  <si>
    <t>Inventories</t>
  </si>
  <si>
    <t>Receivable</t>
  </si>
  <si>
    <t>Payable</t>
  </si>
  <si>
    <t>Current and short-term debt</t>
  </si>
  <si>
    <t>Dividends payable</t>
  </si>
  <si>
    <t xml:space="preserve">   Black point</t>
  </si>
  <si>
    <t xml:space="preserve">   Castle Peak</t>
  </si>
  <si>
    <t xml:space="preserve">      Castle Peak (Coal fired)</t>
  </si>
  <si>
    <t>Total power sent out</t>
  </si>
  <si>
    <t xml:space="preserve">      SO2</t>
  </si>
  <si>
    <t xml:space="preserve">      NOx</t>
  </si>
  <si>
    <t xml:space="preserve">      Particulate (Respirable)</t>
  </si>
  <si>
    <t>Consumption of coal (TJ)</t>
  </si>
  <si>
    <t>Consumption of coal (mt)</t>
  </si>
  <si>
    <t>Coal consumption, output based (g/kWh)</t>
  </si>
  <si>
    <t>Total cost of coal</t>
  </si>
  <si>
    <t xml:space="preserve">   Nuclear</t>
  </si>
  <si>
    <t>Gas consumption (TJ)</t>
  </si>
  <si>
    <t>Gas cost (US$/mmbtu)</t>
  </si>
  <si>
    <t>Gas consumption, output based (J/kWh)</t>
  </si>
  <si>
    <t>Coal cost (US$/t)</t>
  </si>
  <si>
    <t>Implied fuel mix</t>
  </si>
  <si>
    <t xml:space="preserve">   Gas</t>
  </si>
  <si>
    <t xml:space="preserve">   Coal</t>
  </si>
  <si>
    <t>T&amp;D Loss</t>
  </si>
  <si>
    <t>Total cost of gas</t>
  </si>
  <si>
    <t xml:space="preserve">   Yacheng (US$/mmbtu)</t>
  </si>
  <si>
    <t xml:space="preserve">   West-to-East II pipeline (US$/mmbtu)</t>
  </si>
  <si>
    <t xml:space="preserve">   South China Sea Gas (US$/mmbtu)</t>
  </si>
  <si>
    <t>% of gas from</t>
  </si>
  <si>
    <t xml:space="preserve">   Yacheng</t>
  </si>
  <si>
    <t xml:space="preserve">   South China Sea Gas (short term)</t>
  </si>
  <si>
    <t xml:space="preserve">   West-to-East II pipeline</t>
  </si>
  <si>
    <t>2018E</t>
  </si>
  <si>
    <t>Development Fund/Tariff Stabilization Account</t>
  </si>
  <si>
    <t>Transfer to/from income statement</t>
  </si>
  <si>
    <t>Rebates</t>
  </si>
  <si>
    <t>Deferred creditors and others</t>
  </si>
  <si>
    <t>Adjustment for performance incentives/penaties</t>
  </si>
  <si>
    <t>Recurring earnings</t>
  </si>
  <si>
    <t>JCEs</t>
  </si>
  <si>
    <t>Total revenue</t>
  </si>
  <si>
    <t>Overseas power revenues</t>
  </si>
  <si>
    <t>check:</t>
  </si>
  <si>
    <t>EV mix</t>
  </si>
  <si>
    <t>100% CAPCO earnings</t>
  </si>
  <si>
    <t>CAPCO cash earnings</t>
  </si>
  <si>
    <t>Free cash flows</t>
  </si>
  <si>
    <t>Invested capital</t>
  </si>
  <si>
    <t>Other non-SOC revenue</t>
  </si>
  <si>
    <t>Fangchenggang</t>
  </si>
  <si>
    <t>Wind</t>
  </si>
  <si>
    <t>Cost per kWh</t>
  </si>
  <si>
    <t>Closing net fixed assets</t>
  </si>
  <si>
    <t>Average net fixed assets</t>
  </si>
  <si>
    <t>Growth in post-79 shareholder invest</t>
  </si>
  <si>
    <t>Growth in Permitted Return</t>
  </si>
  <si>
    <t>SOC adjustments (until 2004)</t>
  </si>
  <si>
    <t>Intangible assets</t>
  </si>
  <si>
    <t>Derivative instruments</t>
  </si>
  <si>
    <t>Deferred tax assets</t>
  </si>
  <si>
    <t>Depreciation and amortisation</t>
  </si>
  <si>
    <t>Local reserve margin</t>
  </si>
  <si>
    <t>System reserve margin, post China demand</t>
  </si>
  <si>
    <t>Local peak demand</t>
  </si>
  <si>
    <t>Implied China demand at local peak</t>
  </si>
  <si>
    <t>System demand</t>
  </si>
  <si>
    <t>Local peak demand growth</t>
  </si>
  <si>
    <t>China demand growth</t>
  </si>
  <si>
    <t>System peak demand growth</t>
  </si>
  <si>
    <t>Net capacity additions</t>
  </si>
  <si>
    <t>Hong Kong</t>
  </si>
  <si>
    <t>Income Statement</t>
  </si>
  <si>
    <t>Hedging costs</t>
  </si>
  <si>
    <t>Scheme of control items</t>
  </si>
  <si>
    <t xml:space="preserve">   - Increase in customer deposits</t>
  </si>
  <si>
    <t xml:space="preserve">   - One-off rebates</t>
  </si>
  <si>
    <t xml:space="preserve">   - Rate reduction rebate</t>
  </si>
  <si>
    <t xml:space="preserve">   - Transfers to development fund</t>
  </si>
  <si>
    <t>Total before working capital changes</t>
  </si>
  <si>
    <t>Working capital changes</t>
  </si>
  <si>
    <t>Tax paid</t>
  </si>
  <si>
    <t>Trade and other payables</t>
  </si>
  <si>
    <t>Special provision account</t>
  </si>
  <si>
    <t>Share capital and share premium</t>
  </si>
  <si>
    <t>Net cash flows from operations</t>
  </si>
  <si>
    <t>Interest paid</t>
  </si>
  <si>
    <t>Currency adjustments</t>
  </si>
  <si>
    <t>Other investing cash flows</t>
  </si>
  <si>
    <t>Other operating cash flows</t>
  </si>
  <si>
    <t>Interim ordinary dividend</t>
  </si>
  <si>
    <t>Final ordinary dividend</t>
  </si>
  <si>
    <t>Less earnings from JCE/Associates</t>
  </si>
  <si>
    <t xml:space="preserve">   - Transfers to rate reduction reserve</t>
  </si>
  <si>
    <t xml:space="preserve">   - Special provision account</t>
  </si>
  <si>
    <t>Transferred to P&amp;L</t>
  </si>
  <si>
    <t>Finance income</t>
  </si>
  <si>
    <t>Development expenditure</t>
  </si>
  <si>
    <t>Check</t>
  </si>
  <si>
    <t>Operating expenditure</t>
  </si>
  <si>
    <t>Others</t>
  </si>
  <si>
    <t>1999*</t>
  </si>
  <si>
    <t>* = 15 months to 31 December 1999</t>
  </si>
  <si>
    <t>D&amp;A</t>
  </si>
  <si>
    <t>Actual fuel cost/kWh</t>
  </si>
  <si>
    <t>Transfer from P&amp;L/kWh</t>
  </si>
  <si>
    <t>Standard fuel cost/kWh</t>
  </si>
  <si>
    <t>Disposal or tax consolidation gains</t>
  </si>
  <si>
    <t>Loss (gain) on asset disposals</t>
  </si>
  <si>
    <t>India</t>
  </si>
  <si>
    <t>Hong Kong equity risk premium</t>
  </si>
  <si>
    <t>* change to December year end from 1999</t>
  </si>
  <si>
    <t>less tax shield on interest</t>
  </si>
  <si>
    <t>Investment in associates and investments</t>
  </si>
  <si>
    <t>Cash on hand and securities</t>
  </si>
  <si>
    <t>SOC liabilities</t>
  </si>
  <si>
    <t>Charge for asset decommissioning</t>
  </si>
  <si>
    <t>Effective tax rate</t>
  </si>
  <si>
    <t>Accounts and lease receivables</t>
  </si>
  <si>
    <t>Lease receivables</t>
  </si>
  <si>
    <t>SOC component</t>
  </si>
  <si>
    <t>Net SOC cash flows</t>
  </si>
  <si>
    <t>incl. CAPCO for HK</t>
  </si>
  <si>
    <t xml:space="preserve">Net debt </t>
  </si>
  <si>
    <t>Net cash flows</t>
  </si>
  <si>
    <t>Discounted cashflow</t>
  </si>
  <si>
    <t>EV</t>
  </si>
  <si>
    <t>Gas</t>
  </si>
  <si>
    <t>Electricity</t>
  </si>
  <si>
    <t>Volume (TJ)</t>
  </si>
  <si>
    <t xml:space="preserve">    YoY</t>
  </si>
  <si>
    <t>Net fixed assets (HK$m)</t>
  </si>
  <si>
    <t>2019E</t>
  </si>
  <si>
    <t>Average net fixed assets (100%)</t>
  </si>
  <si>
    <t>Return</t>
  </si>
  <si>
    <t>Discounted terminal value for interest income</t>
  </si>
  <si>
    <t>China IPPs and DayaBay</t>
  </si>
  <si>
    <t>Finance lease charge</t>
  </si>
  <si>
    <t>Terminal value (discounted)</t>
  </si>
  <si>
    <t>Add change in SOC accounts</t>
  </si>
  <si>
    <t>Add capex</t>
  </si>
  <si>
    <t>Implied others consolidated net cash flow</t>
  </si>
  <si>
    <t>Add back interests</t>
  </si>
  <si>
    <t>Implied others consolidated operating cash flow</t>
  </si>
  <si>
    <t>Weighted</t>
  </si>
  <si>
    <t>ROIC</t>
  </si>
  <si>
    <t>Group</t>
  </si>
  <si>
    <t>Estimated Invested capital breakdown</t>
  </si>
  <si>
    <t>Implied terminal return on capital</t>
  </si>
  <si>
    <t>Implied terminal ROIC</t>
  </si>
  <si>
    <t>Implied NOPAT multiple</t>
  </si>
  <si>
    <t>Weighted Average</t>
  </si>
  <si>
    <t>less minority interest</t>
  </si>
  <si>
    <t>2020E</t>
  </si>
  <si>
    <t>MI</t>
  </si>
  <si>
    <t>Unit fuel costs by fuel type (HK$/kWh)</t>
  </si>
  <si>
    <t>Investment securities and others</t>
  </si>
  <si>
    <t>Hong Kong EBITDA (CAPCO + CLP HK)</t>
  </si>
  <si>
    <t>less SOC Capex</t>
  </si>
  <si>
    <t>HK (CAPCO and CLP)</t>
  </si>
  <si>
    <t xml:space="preserve">less tax </t>
  </si>
  <si>
    <t>Hong Kong (CLP and CAPCO)</t>
  </si>
  <si>
    <t>2021E</t>
  </si>
  <si>
    <t>Income tax expense</t>
  </si>
  <si>
    <t>Nuclear Power purchase costs</t>
  </si>
  <si>
    <t>Income taxation payable</t>
  </si>
  <si>
    <t>Fuel Clause Charge/(Rebate)</t>
  </si>
  <si>
    <t>Charge/(Rebate) during the year</t>
  </si>
  <si>
    <t>Check: fuel clause account (neg is payable)</t>
  </si>
  <si>
    <t>Investment/(repayment) in advance to JV</t>
  </si>
  <si>
    <t>Interim result</t>
  </si>
  <si>
    <t>Opex</t>
  </si>
  <si>
    <t>EBITDAF (recurring)</t>
  </si>
  <si>
    <t>Share of result - JV</t>
  </si>
  <si>
    <t>Share of result - Associates</t>
  </si>
  <si>
    <t>Net finance costs</t>
  </si>
  <si>
    <t>Finance costs</t>
  </si>
  <si>
    <t>Earnings (recurring)</t>
  </si>
  <si>
    <t>EBITF (recurring)</t>
  </si>
  <si>
    <t>One-off impairment</t>
  </si>
  <si>
    <t>Other non-recurring items</t>
  </si>
  <si>
    <t>Earnings (reported)</t>
  </si>
  <si>
    <t>Customer (Retail)</t>
  </si>
  <si>
    <t>Energy (Wholesale)</t>
  </si>
  <si>
    <t>Enterprise (Corporate)</t>
  </si>
  <si>
    <t>Retail</t>
  </si>
  <si>
    <t>Mass market</t>
  </si>
  <si>
    <t>Commercial and industrial</t>
  </si>
  <si>
    <t>Volume (GWh)</t>
  </si>
  <si>
    <t>Margin</t>
  </si>
  <si>
    <t>as % of NFA</t>
  </si>
  <si>
    <t>Hallett (gas)</t>
  </si>
  <si>
    <t>Mount Piper (coal)</t>
  </si>
  <si>
    <t>Tallawarra (gas)</t>
  </si>
  <si>
    <t>Retail EBIT</t>
  </si>
  <si>
    <t>EBIT per unit electricity sales (HK$)</t>
  </si>
  <si>
    <t>EBIT per unit electricity sales (AUD)</t>
  </si>
  <si>
    <t>Generation (GWh)</t>
  </si>
  <si>
    <t>Wholesale</t>
  </si>
  <si>
    <t>Wholesale EBIT</t>
  </si>
  <si>
    <t>Uitlization rate</t>
  </si>
  <si>
    <t>Key drivers</t>
  </si>
  <si>
    <t>Financial Statements</t>
  </si>
  <si>
    <t>Exchange fluctuation</t>
  </si>
  <si>
    <t>NPV of 30% of CAPCO owned by EMC (HK$ m)</t>
  </si>
  <si>
    <t>NPV of 30% of CAPCO owned by EMC (US$ m)</t>
  </si>
  <si>
    <t xml:space="preserve">Dividends Termina value </t>
  </si>
  <si>
    <t>Discounted dividends terminal value</t>
  </si>
  <si>
    <t>NOPAT breakdown</t>
  </si>
  <si>
    <t>HK</t>
  </si>
  <si>
    <t xml:space="preserve">Implied AUD/MWh wholesale price </t>
  </si>
  <si>
    <t>CCGT new build</t>
  </si>
  <si>
    <t>2022E</t>
  </si>
  <si>
    <t>Average net fixed assets in 2022</t>
  </si>
  <si>
    <t>NOPAT in 2022E</t>
  </si>
  <si>
    <t>EBIT per unit ('000 HK$/MWh)</t>
  </si>
  <si>
    <t>EBIT per unit ('000 AUD/MWh)</t>
  </si>
  <si>
    <t>Australia team forecasts:</t>
  </si>
  <si>
    <t>Tallawarra (gas) - NSW</t>
  </si>
  <si>
    <t>Hallett (gas) - SA</t>
  </si>
  <si>
    <t>Cathedral Rocks (wind) - NSW</t>
  </si>
  <si>
    <t xml:space="preserve">Yallourn (coal) </t>
  </si>
  <si>
    <t>Yallourn (coal) - VIC, 1985</t>
  </si>
  <si>
    <t>Mount Piper (coal) - NSW, 1993</t>
  </si>
  <si>
    <t>Retail margin - Business</t>
  </si>
  <si>
    <t>Retail margin - Residential</t>
  </si>
  <si>
    <t>Energy Australia</t>
  </si>
  <si>
    <t>Electricity price (AUD/MWh):</t>
  </si>
  <si>
    <t>NEM price</t>
  </si>
  <si>
    <t>Retail - business</t>
  </si>
  <si>
    <t>Retail - residential</t>
  </si>
  <si>
    <t>Wholesale price</t>
  </si>
  <si>
    <t>Gas price (AUD/GJ):</t>
  </si>
  <si>
    <t>Intangible assets (HK$m)</t>
  </si>
  <si>
    <t>Net profits (recurring)</t>
  </si>
  <si>
    <t>NPV by segments:</t>
  </si>
  <si>
    <t>Dividend + interests income</t>
  </si>
  <si>
    <t>EBIT recurring</t>
  </si>
  <si>
    <t>Fair value adjustment</t>
  </si>
  <si>
    <t>Net financial costs</t>
  </si>
  <si>
    <t>Income tax</t>
  </si>
  <si>
    <t>Recurring NP</t>
  </si>
  <si>
    <t>Retail unit EBIT</t>
  </si>
  <si>
    <t>Wholesale unit EBIT</t>
  </si>
  <si>
    <t>Power plants utilization rate (rhs)</t>
  </si>
  <si>
    <t>Sensitivity analysis</t>
  </si>
  <si>
    <t>Base</t>
  </si>
  <si>
    <t>Retail unit EBIT (AUD/MWh)</t>
  </si>
  <si>
    <t>Wholesale unit EBIT (AUD/MWh)</t>
  </si>
  <si>
    <t>PT</t>
  </si>
  <si>
    <t>ROIC:</t>
  </si>
  <si>
    <t>Utilization</t>
  </si>
  <si>
    <t>High scenario</t>
  </si>
  <si>
    <t>Low scenario</t>
  </si>
  <si>
    <t>Quarterly Sales</t>
  </si>
  <si>
    <t>Q117</t>
  </si>
  <si>
    <t>Residential</t>
  </si>
  <si>
    <t xml:space="preserve">Commercial </t>
  </si>
  <si>
    <t>Infrastructure &amp; Public Services</t>
  </si>
  <si>
    <t>Manufacturing</t>
  </si>
  <si>
    <t>Q116</t>
  </si>
  <si>
    <t>Transfer from development fund</t>
  </si>
  <si>
    <t>SEA and Taiwan</t>
  </si>
  <si>
    <t>Profit after tax</t>
  </si>
  <si>
    <t>Perpetual capital costs</t>
  </si>
  <si>
    <t>EPS (recurring)</t>
  </si>
  <si>
    <t>EPS (reported)</t>
  </si>
  <si>
    <t>Net profits (reported)</t>
  </si>
  <si>
    <t>Special dividend</t>
  </si>
  <si>
    <t>DPS</t>
  </si>
  <si>
    <t>Recurring DPS growth</t>
  </si>
  <si>
    <t>Cash flow statement</t>
  </si>
  <si>
    <t>Net interest expense (income)</t>
  </si>
  <si>
    <t>Total D&amp;A</t>
  </si>
  <si>
    <t>Cash costs</t>
  </si>
  <si>
    <t>EBITF (ACOI)</t>
  </si>
  <si>
    <t>Renewable</t>
  </si>
  <si>
    <t>Financial Statement (HK$ m)</t>
  </si>
  <si>
    <t xml:space="preserve">PBT </t>
  </si>
  <si>
    <t>One-off items</t>
  </si>
  <si>
    <t>Coal (Jhajjar)</t>
  </si>
  <si>
    <t>Gas (Paguthan)</t>
  </si>
  <si>
    <t>Attributable capacity</t>
  </si>
  <si>
    <t>Consolidated Capacity (MW)</t>
  </si>
  <si>
    <t>Operational capacity</t>
  </si>
  <si>
    <t>Total operational capacity</t>
  </si>
  <si>
    <t>Total construction capacity</t>
  </si>
  <si>
    <t>Construction capacity</t>
  </si>
  <si>
    <t>Total Capacity</t>
  </si>
  <si>
    <t>INR/HKD - YE</t>
  </si>
  <si>
    <t>INR/HKD - Avg</t>
  </si>
  <si>
    <t>Unit EBIT (INR m/MW)</t>
  </si>
  <si>
    <t>CAPEX</t>
  </si>
  <si>
    <t>PPE</t>
  </si>
  <si>
    <t>Depreciation rate</t>
  </si>
  <si>
    <t>Total Debt</t>
  </si>
  <si>
    <t>Interest expense rate</t>
  </si>
  <si>
    <t>Reported NP</t>
  </si>
  <si>
    <t>Thermal</t>
  </si>
  <si>
    <t>TWD/HKD - avg</t>
  </si>
  <si>
    <t>THB/HKD - avg</t>
  </si>
  <si>
    <t>Thermal (Taiwan, Ho-Ping)</t>
  </si>
  <si>
    <t>Renewables (Thailand, NED)</t>
  </si>
  <si>
    <t>OPEX</t>
  </si>
  <si>
    <t>One-off/Discontinued earnings</t>
  </si>
  <si>
    <t>EGCO (Thailand)</t>
  </si>
  <si>
    <t>Attributable Capacity (MW)</t>
  </si>
  <si>
    <t>Renewables (Thailand, NED solar)</t>
  </si>
  <si>
    <t>Ownership in Ho-Ping</t>
  </si>
  <si>
    <t>Ownership in NED</t>
  </si>
  <si>
    <t>Unit EBIT (EBIT/MW)</t>
  </si>
  <si>
    <t>Ho-Ping (TWD m/MW)</t>
  </si>
  <si>
    <t>NED (THB m/MW)</t>
  </si>
  <si>
    <t>Rmb/HKD - Avg</t>
  </si>
  <si>
    <t>Minority interest</t>
  </si>
  <si>
    <t>Hydro</t>
  </si>
  <si>
    <t>Solar</t>
  </si>
  <si>
    <t>Nuclear</t>
  </si>
  <si>
    <t>Yangjiang</t>
  </si>
  <si>
    <t>Shandong</t>
  </si>
  <si>
    <t>Guohua</t>
  </si>
  <si>
    <t>Earnings by segment (HK$ m)</t>
  </si>
  <si>
    <t>Total NP (excl. PSDC)</t>
  </si>
  <si>
    <t>RMB exchange loss</t>
  </si>
  <si>
    <t>NP from PSDC &amp; HK branch line</t>
  </si>
  <si>
    <t>Total NP</t>
  </si>
  <si>
    <t>Boxing Biomass</t>
  </si>
  <si>
    <t>Daya Bay (n)</t>
  </si>
  <si>
    <t>Pumped Storage (h)</t>
  </si>
  <si>
    <t>Fangchenggang (c)</t>
  </si>
  <si>
    <t>Anshun II (c)</t>
  </si>
  <si>
    <t>Jiangbian (h)</t>
  </si>
  <si>
    <t>Wind project (w)</t>
  </si>
  <si>
    <t>Wind projects (w)</t>
  </si>
  <si>
    <t>Suizhong II (c)</t>
  </si>
  <si>
    <t>Dali Yang'er (h)</t>
  </si>
  <si>
    <t>Hydro projects (h)</t>
  </si>
  <si>
    <t>CGN Wind (w)</t>
  </si>
  <si>
    <t>Solar projects</t>
  </si>
  <si>
    <t>Fangchenggang II (c)</t>
  </si>
  <si>
    <t>Solar projects (s)</t>
  </si>
  <si>
    <t>JV</t>
  </si>
  <si>
    <t>CSEC Guohua (30%), Fangchenggang (70%), ShenGang Nuatural Gas pipeline (40%), Shandong Zhonghua Power (29.4%)</t>
  </si>
  <si>
    <t>GNPJVC - Daya Bay (25%)</t>
  </si>
  <si>
    <t>Associate</t>
  </si>
  <si>
    <t>Shandong SZPC (c)</t>
  </si>
  <si>
    <t>Guohua &amp; Shenmu (c)</t>
  </si>
  <si>
    <t>Guohua - 30%, Shenmu - 49%</t>
  </si>
  <si>
    <t>PSDC, Dali Yang_er, Jiangbian (100%); Huaiji (84.9%)</t>
  </si>
  <si>
    <t>Consolidated</t>
  </si>
  <si>
    <t>Shandong (29.4%)</t>
  </si>
  <si>
    <t>Guohua (30%)</t>
  </si>
  <si>
    <t>Fangchenggang (70%)</t>
  </si>
  <si>
    <t>Performance by segment</t>
  </si>
  <si>
    <t>Yangjiang  (n)</t>
  </si>
  <si>
    <t>Unit EBIT (Rmb m/MW)</t>
  </si>
  <si>
    <t>Attributable capacity by segments</t>
  </si>
  <si>
    <t>Total earnings from JCEs</t>
  </si>
  <si>
    <t>Income Statements</t>
  </si>
  <si>
    <t>Balance Sheet</t>
  </si>
  <si>
    <t>Gross Fixed Assets</t>
  </si>
  <si>
    <t>Accumulated Depreciation</t>
  </si>
  <si>
    <t>Investment properties</t>
  </si>
  <si>
    <t>Net fixed assets and IP</t>
  </si>
  <si>
    <t>Joint Ventures</t>
  </si>
  <si>
    <t>Earnings from JV</t>
  </si>
  <si>
    <t>Earnings from Associates</t>
  </si>
  <si>
    <t>Investment in JCEs</t>
  </si>
  <si>
    <t>SoC Permitted Return</t>
  </si>
  <si>
    <t>Equity + Liability</t>
  </si>
  <si>
    <t>Net fixed assets - CLP</t>
  </si>
  <si>
    <t>Net fixed assets - CAPCO</t>
  </si>
  <si>
    <t>CLP's share (%)</t>
  </si>
  <si>
    <t>Long term borrowing</t>
  </si>
  <si>
    <t>Borrowing - CAPCO</t>
  </si>
  <si>
    <t>Net fixed assets &amp; leasehold land</t>
  </si>
  <si>
    <t>SoC Income statement</t>
  </si>
  <si>
    <t>Purchase of nuclear power</t>
  </si>
  <si>
    <t>CLP Power HK (T&amp;D)</t>
  </si>
  <si>
    <t>CAPCO (Generation)</t>
  </si>
  <si>
    <t>CLP's portion in CAPCO</t>
  </si>
  <si>
    <t>CLP's share in CLP Power HK</t>
  </si>
  <si>
    <t>CLP's share in CAPCO</t>
  </si>
  <si>
    <t>Interest on borrowed capital</t>
  </si>
  <si>
    <t>Operating interest</t>
  </si>
  <si>
    <t>Net finance costs - CLP HK segment</t>
  </si>
  <si>
    <t>CLP Power HK portion (%)</t>
  </si>
  <si>
    <t>Interest expense charged to P&amp;L</t>
  </si>
  <si>
    <t>Interest rate (%)</t>
  </si>
  <si>
    <t>Check with SoC interest expense</t>
  </si>
  <si>
    <t>Profits split between CLP and CAPCO</t>
  </si>
  <si>
    <t>Total net return</t>
  </si>
  <si>
    <t>Cash</t>
  </si>
  <si>
    <t>CLP's HK Segment</t>
  </si>
  <si>
    <t>CAPEX - CAPCO</t>
  </si>
  <si>
    <t>Borrowing - CLP Power HK</t>
  </si>
  <si>
    <t>CAPEX - CLP Power HK</t>
  </si>
  <si>
    <t>CLP consolidated CAPEX</t>
  </si>
  <si>
    <t>Addition to leased assets</t>
  </si>
  <si>
    <t>CLP capex - HK Segment</t>
  </si>
  <si>
    <t>- Depreciation</t>
  </si>
  <si>
    <t>- Amortisation</t>
  </si>
  <si>
    <t>- Amortisatin</t>
  </si>
  <si>
    <t>- Depreciaiton</t>
  </si>
  <si>
    <t>Operating Income before JCEs</t>
  </si>
  <si>
    <t xml:space="preserve">Note: </t>
  </si>
  <si>
    <t>China segement includes "Mainland Business" and "PSDC &amp; HK Branch Line"</t>
  </si>
  <si>
    <t>SoC segment refers to "Local Electricity Business"</t>
  </si>
  <si>
    <t>Other assets</t>
  </si>
  <si>
    <t>Total SoC capex</t>
  </si>
  <si>
    <t>Key drivers - Borrowing</t>
  </si>
  <si>
    <t>Depreciation rate (%)</t>
  </si>
  <si>
    <t>Total Depreciation</t>
  </si>
  <si>
    <t>Total Amortization</t>
  </si>
  <si>
    <t>Net finance costs - SoC</t>
  </si>
  <si>
    <t>Fixed Assets and CAPEX</t>
  </si>
  <si>
    <t>Fixed Assets</t>
  </si>
  <si>
    <t>Daya Bay and PSDC+HKBL are based in China, but used to serve HK</t>
  </si>
  <si>
    <t>HK exports power to China - Power sales to GD from HK</t>
  </si>
  <si>
    <t>Attributable installed capacity available to HK</t>
  </si>
  <si>
    <t>GNPS/GPSPS/Others</t>
  </si>
  <si>
    <t>CAPCO output (GWh)</t>
  </si>
  <si>
    <t>Total fuel costs</t>
  </si>
  <si>
    <t>Total power sales</t>
  </si>
  <si>
    <t>Power sales by fuel type</t>
  </si>
  <si>
    <t>YoY growth</t>
  </si>
  <si>
    <t>Recurring NP by segment</t>
  </si>
  <si>
    <t>Total recurring NP (excl. PSDC)</t>
  </si>
  <si>
    <t>Total recurring NP</t>
  </si>
  <si>
    <t>CAPCO</t>
  </si>
  <si>
    <t>Market value</t>
  </si>
  <si>
    <t>Net gearing</t>
  </si>
  <si>
    <t>1H PSDC+HKBL+Sales to GD+Others</t>
  </si>
  <si>
    <t>1H China</t>
  </si>
  <si>
    <t>1H Australia</t>
  </si>
  <si>
    <t>1H India</t>
  </si>
  <si>
    <t>1H SEA and TW</t>
  </si>
  <si>
    <t>Other, net</t>
  </si>
  <si>
    <t>By Segments:</t>
  </si>
  <si>
    <t>Yield</t>
  </si>
  <si>
    <t>PE</t>
  </si>
  <si>
    <t>HK SoC</t>
  </si>
  <si>
    <t>T&amp;D</t>
  </si>
  <si>
    <t>Gneration</t>
  </si>
  <si>
    <t>Property under development</t>
  </si>
  <si>
    <t>2025E</t>
  </si>
  <si>
    <t>LNG terminal</t>
  </si>
  <si>
    <t>2004</t>
  </si>
  <si>
    <t>2007</t>
  </si>
  <si>
    <t>Environmental Impact Assessment Report (EIA) and Environmental Permit (EP) are approved</t>
  </si>
  <si>
    <t>On hold</t>
  </si>
  <si>
    <t>HK cooperated with mainland to facilitate the supply of natural gas from Turkmenistan, through Second West-to-East Pipeline</t>
  </si>
  <si>
    <t>Current source:</t>
  </si>
  <si>
    <t>Start discussion - propose a landbased LNG terminal</t>
  </si>
  <si>
    <t>Yacheng 13-1 (CLP)</t>
  </si>
  <si>
    <t>Turkmenistan (CLP)</t>
  </si>
  <si>
    <t>Guangdong Dapeng LNG (HKEI)</t>
  </si>
  <si>
    <t>2016.05</t>
  </si>
  <si>
    <t xml:space="preserve">FSRU LNG terminal - LNG storage tanks, LNG regasification units, subsea pipeline </t>
  </si>
  <si>
    <t>HK Offshore LNG Terminal: a FSRU and two subsea pipelines</t>
  </si>
  <si>
    <t>2008</t>
  </si>
  <si>
    <t>Rejected by HK Government (US$10bn onshore plant)</t>
  </si>
  <si>
    <t>2020</t>
  </si>
  <si>
    <t>3-5 mtpa</t>
  </si>
  <si>
    <t>capacity</t>
  </si>
  <si>
    <t>2019</t>
  </si>
  <si>
    <t>Construction start</t>
  </si>
  <si>
    <t>Already submit for government approval</t>
  </si>
  <si>
    <t>Start operation by end-2020</t>
  </si>
  <si>
    <t>CAPEX (HK$ million)</t>
  </si>
  <si>
    <t>CLP's share</t>
  </si>
  <si>
    <t>CLP's CAPEX</t>
  </si>
  <si>
    <t>Permitted Return</t>
  </si>
  <si>
    <t>% of 2021 earnings</t>
  </si>
  <si>
    <t>% of 2021 HK SoC earnings</t>
  </si>
  <si>
    <t>% of increase in HK SoC net fixed asset 2021</t>
  </si>
  <si>
    <t>Ecogen (gas)</t>
  </si>
  <si>
    <t xml:space="preserve">Installed Capacity in operation (MW) </t>
  </si>
  <si>
    <t>2026E</t>
  </si>
  <si>
    <t>2027E</t>
  </si>
  <si>
    <t>2028E</t>
  </si>
  <si>
    <t>2029E</t>
  </si>
  <si>
    <t>2030E</t>
  </si>
  <si>
    <t>Dividend received in 2030</t>
  </si>
  <si>
    <t>In 2030</t>
  </si>
  <si>
    <t>Invested capital in 2029</t>
  </si>
  <si>
    <t>Invested capital in 2030</t>
  </si>
  <si>
    <t>Explicit cash flows (2019-2030)</t>
  </si>
  <si>
    <t>2013-18</t>
  </si>
  <si>
    <t>2018-23</t>
  </si>
  <si>
    <t>In 2030 - Group</t>
  </si>
  <si>
    <t>Wind projects</t>
  </si>
  <si>
    <t>Sales to Guangdong</t>
  </si>
  <si>
    <t>2019E earnings</t>
  </si>
  <si>
    <t>2019E PE</t>
  </si>
  <si>
    <t>https://www.google.com/url?sa=t&amp;rct=j&amp;q=&amp;esrc=s&amp;source=web&amp;cd=1&amp;ved=2ahUKEwi649Oeo-PjAhWHPXAKHcpyCBUQFjAAegQIABAC&amp;url=https%3A%2F%2Fwww.clpgroup.com%2Fen%2FMedia-Resources-site%2FCurrent%2520Releases%2F20180703_en.pdf&amp;usg=AOvVaw3JugD4oY5Ns32PMBU-Giat</t>
  </si>
  <si>
    <t>Updated 2014-18 PDP (Jul 2018)</t>
  </si>
  <si>
    <t xml:space="preserve">   Grid</t>
  </si>
  <si>
    <t>Grid</t>
  </si>
  <si>
    <t xml:space="preserve">   Renewables</t>
  </si>
  <si>
    <t>Transmission</t>
  </si>
  <si>
    <t>Contribution to CESF / EEF</t>
  </si>
  <si>
    <t>DCF</t>
  </si>
  <si>
    <t>Adjustment for performance (incentives)/penaties</t>
  </si>
  <si>
    <t>CLPe</t>
  </si>
  <si>
    <t xml:space="preserve"> </t>
  </si>
  <si>
    <t>Interest income yield %</t>
  </si>
  <si>
    <t>2023-28</t>
  </si>
  <si>
    <t>Current price</t>
  </si>
  <si>
    <t>Upside</t>
  </si>
  <si>
    <t>EV/EBITDA 2024E</t>
  </si>
  <si>
    <t>EV/EBITDA 2025E</t>
  </si>
  <si>
    <t>PE-2024E</t>
  </si>
  <si>
    <t>PE-2025E</t>
  </si>
  <si>
    <t>PE-2026E</t>
  </si>
  <si>
    <t>Battery projects</t>
  </si>
  <si>
    <t>EBITF</t>
  </si>
  <si>
    <t>Diff</t>
  </si>
  <si>
    <t>Explicit cash flows (2027-2030)</t>
  </si>
  <si>
    <t>EV/NFA - 2025</t>
  </si>
  <si>
    <t>New UBSe</t>
  </si>
  <si>
    <t>Old UBSe</t>
  </si>
  <si>
    <t>FCFF</t>
  </si>
  <si>
    <t>flexible</t>
  </si>
  <si>
    <t>Annual</t>
  </si>
  <si>
    <t>50% ownership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</si>
</sst>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3">
    <numFmt numFmtId="41" formatCode="_(* #,##0_);_(* \(#,##0\);_(* &quot;-&quot;_);_(@_)"/>
    <numFmt numFmtId="43" formatCode="_(* #,##0.00_);_(* \(#,##0.00\);_(* &quot;-&quot;??_);_(@_)"/>
    <numFmt numFmtId="164" formatCode="&quot;HK$&quot;#,##0.00_);[Red]\(&quot;HK$&quot;#,##0.00\)"/>
    <numFmt numFmtId="165" formatCode="_(&quot;HK$&quot;* #,##0_);_(&quot;HK$&quot;* \(#,##0\);_(&quot;HK$&quot;* &quot;-&quot;_);_(@_)"/>
    <numFmt numFmtId="166" formatCode="_(&quot;HK$&quot;* #,##0.00_);_(&quot;HK$&quot;* \(#,##0.00\);_(&quot;HK$&quot;* &quot;-&quot;??_);_(@_)"/>
    <numFmt numFmtId="167" formatCode="_-* #,##0_-;\-* #,##0_-;_-* &quot;-&quot;_-;_-@_-"/>
    <numFmt numFmtId="168" formatCode="_-* #,##0.00_-;\-* #,##0.00_-;_-* &quot;-&quot;??_-;_-@_-"/>
    <numFmt numFmtId="169" formatCode="0.0%"/>
    <numFmt numFmtId="170" formatCode="0.00_);\(0.00\);0.00_)"/>
    <numFmt numFmtId="171" formatCode="0.00\%;\-0.00\%;0.00\%"/>
    <numFmt numFmtId="172" formatCode="0.00_);\(0.00\);0.00"/>
    <numFmt numFmtId="173" formatCode="0.00\x;\-0.00\x;0.00\x"/>
    <numFmt numFmtId="174" formatCode="0.0000"/>
    <numFmt numFmtId="175" formatCode="#,##0.0;[Red]\-#,##0.0"/>
    <numFmt numFmtId="176" formatCode="#,##0;[Red]\(\-#,##0\)"/>
    <numFmt numFmtId="177" formatCode="#,##0.0;[Red]\(\-#,##0.0\)"/>
    <numFmt numFmtId="178" formatCode="#,##0.00;[Red]\(\-#,##0.00\)"/>
    <numFmt numFmtId="179" formatCode="#,##0.000;[Red]\-#,##0.000"/>
    <numFmt numFmtId="180" formatCode="&quot;&quot;#,##0_);\(&quot;&quot;#,##0\)"/>
    <numFmt numFmtId="181" formatCode="#,##0\ "/>
    <numFmt numFmtId="182" formatCode="#,##0.0000\ \ "/>
    <numFmt numFmtId="183" formatCode="#,##0\ \ ;\(#,##0\)\ "/>
    <numFmt numFmtId="184" formatCode="#,###&quot;—&quot;_);\(#,###&quot;—&quot;\)"/>
    <numFmt numFmtId="185" formatCode="0&quot;%&quot;\ \ \ "/>
    <numFmt numFmtId="186" formatCode="0_);\(0\)"/>
    <numFmt numFmtId="187" formatCode="0\ "/>
    <numFmt numFmtId="188" formatCode="_(* #,##0.0000_);_(* \(#,##0.0000\);_(* &quot;-&quot;??_);_(@_)"/>
    <numFmt numFmtId="189" formatCode="0.\ "/>
    <numFmt numFmtId="190" formatCode="#,##0\ \ \ ;\(#,##0\)\ \ "/>
    <numFmt numFmtId="191" formatCode="#,##0\ ;\(#,##0\)"/>
    <numFmt numFmtId="192" formatCode="0.00*.00\1"/>
    <numFmt numFmtId="193" formatCode="yy"/>
    <numFmt numFmtId="194" formatCode="#,###&quot;—&quot;\ \ \ _);\(#,##0\)"/>
    <numFmt numFmtId="195" formatCode="#,##0.0"/>
    <numFmt numFmtId="196" formatCode="#,##0.0_);\(#,##0.0\);#,##0.0_)"/>
    <numFmt numFmtId="203" formatCode="_(* #,##0.0_);_(* \(#,##0.0\);_(* &quot;-&quot;?_);_(@_)"/>
    <numFmt numFmtId="204" formatCode="0.0&quot;x&quot;"/>
    <numFmt numFmtId="205" formatCode="#,##0.000"/>
    <numFmt numFmtId="207" formatCode="0.0"/>
    <numFmt numFmtId="208" formatCode="#,##0_);\(#,##0\);\-\-_)"/>
    <numFmt numFmtId="209" formatCode="#,##0.000_);\(#,##0.000\);\-\-_)"/>
    <numFmt numFmtId="210" formatCode="#,##0.0_);\(#,##0.0\);\-\-_)"/>
    <numFmt numFmtId="211" formatCode="#,##0.00_);\(#,##0.00\);\-\-_)"/>
    <numFmt numFmtId="212" formatCode="#,##0.000_);\(#,##0.000\)"/>
    <numFmt numFmtId="213" formatCode="#,##0.0000_);\(#,##0.0000\);\-\-_)"/>
    <numFmt numFmtId="214" formatCode="#,##0.0;[Red]\(#,##0.0\)"/>
    <numFmt numFmtId="215" formatCode="#\ ##0\ "/>
    <numFmt numFmtId="216" formatCode="0.000_)"/>
    <numFmt numFmtId="217" formatCode="\$#,##0\ ;\(\$#,##0\)"/>
    <numFmt numFmtId="218" formatCode="#,##0,"/>
    <numFmt numFmtId="219" formatCode="#,##0,,"/>
    <numFmt numFmtId="220" formatCode="\+\ #\ ??/??;[Red]\ \-\ #\ ??/??"/>
    <numFmt numFmtId="221" formatCode="_-&quot;HK$&quot;* #,##0_-;\-&quot;HK$&quot;* #,##0_-;_-&quot;HK$&quot;* &quot;-&quot;_-;_-@_-"/>
    <numFmt numFmtId="222" formatCode="_-&quot;HK$&quot;* #,##0.00_-;\-&quot;HK$&quot;* #,##0.00_-;_-&quot;HK$&quot;* &quot;-&quot;??_-;_-@_-"/>
    <numFmt numFmtId="223" formatCode="0.00_)"/>
    <numFmt numFmtId="224" formatCode="#,##0.00_);\(#,##0.00\);&quot; --- &quot;"/>
    <numFmt numFmtId="225" formatCode="#,"/>
    <numFmt numFmtId="226" formatCode="General_)"/>
    <numFmt numFmtId="227" formatCode="0.00;\-0.00;0.00"/>
    <numFmt numFmtId="228" formatCode="##0.00000"/>
    <numFmt numFmtId="229" formatCode="General;\-General;General;"/>
    <numFmt numFmtId="231" formatCode="_(* #,##0.00_);_(* \(#,##0.00\);_(* &quot;-&quot;_);_(@_)"/>
    <numFmt numFmtId="232" formatCode="0&quot;E&quot;\ \ \ "/>
  </numFmts>
  <fonts count="109">
    <font>
      <sz val="10"/>
      <name val="Geneva"/>
      <family val="2"/>
    </font>
    <font>
      <sz val="10"/>
      <name val="Helvetica"/>
      <family val="2"/>
    </font>
    <font>
      <sz val="10"/>
      <name val="Arial"/>
      <family val="2"/>
    </font>
    <font>
      <sz val="10"/>
      <name val="Helvetica"/>
      <family val="2"/>
    </font>
    <font>
      <sz val="10"/>
      <name val="Geneva"/>
      <family val="2"/>
    </font>
    <font>
      <sz val="10"/>
      <name val="MS Sans Serif"/>
      <family val="2"/>
    </font>
    <font>
      <sz val="24"/>
      <name val="MS Sans Serif"/>
      <family val="2"/>
    </font>
    <font>
      <u/>
      <sz val="10"/>
      <color indexed="12"/>
      <name val="Geneva"/>
      <family val="2"/>
    </font>
    <font>
      <b/>
      <sz val="10"/>
      <name val="MS Sans Serif"/>
      <family val="2"/>
    </font>
    <font>
      <sz val="10"/>
      <name val="Times"/>
      <family val="1"/>
    </font>
    <font>
      <sz val="10"/>
      <name val="Helv"/>
      <family val="2"/>
    </font>
    <font>
      <sz val="10"/>
      <color indexed="12"/>
      <name val="MS Sans Serif"/>
      <family val="2"/>
    </font>
    <font>
      <b/>
      <sz val="12"/>
      <name val="Arial"/>
      <family val="2"/>
    </font>
    <font>
      <sz val="10"/>
      <name val="Arial"/>
      <family val="2"/>
    </font>
    <font>
      <b/>
      <sz val="8"/>
      <color indexed="81"/>
      <name val="Tahoma"/>
      <family val="2"/>
    </font>
    <font>
      <sz val="8"/>
      <color indexed="81"/>
      <name val="Tahoma"/>
      <family val="2"/>
    </font>
    <font>
      <i/>
      <sz val="10"/>
      <name val="Arial"/>
      <family val="2"/>
    </font>
    <font>
      <sz val="8"/>
      <name val="Geneva"/>
      <family val="2"/>
    </font>
    <font>
      <u/>
      <sz val="8.4"/>
      <color indexed="12"/>
      <name val="Arial"/>
      <family val="2"/>
    </font>
    <font>
      <sz val="10"/>
      <name val="Frutiger 45 Light"/>
      <family val="2"/>
    </font>
    <font>
      <sz val="10.5"/>
      <name val="Frutiger 45 Light"/>
      <family val="2"/>
    </font>
    <font>
      <b/>
      <sz val="10"/>
      <color indexed="12"/>
      <name val="Arial"/>
      <family val="2"/>
    </font>
    <font>
      <sz val="9"/>
      <color indexed="81"/>
      <name val="Tahoma"/>
      <family val="2"/>
    </font>
    <font>
      <b/>
      <sz val="9"/>
      <color indexed="81"/>
      <name val="Tahoma"/>
      <family val="2"/>
    </font>
    <font>
      <sz val="7"/>
      <color indexed="81"/>
      <name val="Tahoma"/>
      <family val="2"/>
    </font>
    <font>
      <sz val="8"/>
      <name val="Arial"/>
      <family val="2"/>
    </font>
    <font>
      <b/>
      <sz val="8"/>
      <name val="Times New Roman"/>
      <family val="1"/>
    </font>
    <font>
      <b/>
      <sz val="8"/>
      <color indexed="8"/>
      <name val="Times New Roman"/>
      <family val="1"/>
    </font>
    <font>
      <b/>
      <sz val="8"/>
      <color indexed="12"/>
      <name val="Times New Roman"/>
      <family val="1"/>
    </font>
    <font>
      <sz val="7"/>
      <name val="Times New Roman"/>
      <family val="1"/>
    </font>
    <font>
      <sz val="8"/>
      <color indexed="8"/>
      <name val="Times New Roman"/>
      <family val="1"/>
    </font>
    <font>
      <sz val="11"/>
      <name val="Tms Rmn"/>
    </font>
    <font>
      <sz val="10"/>
      <color indexed="22"/>
      <name val="MS Sans Serif"/>
      <family val="2"/>
    </font>
    <font>
      <b/>
      <sz val="9"/>
      <name val="Times New Roman"/>
      <family val="1"/>
    </font>
    <font>
      <sz val="11"/>
      <name val="Book Antiqua"/>
      <family val="1"/>
    </font>
    <font>
      <sz val="1"/>
      <color indexed="8"/>
      <name val="Courier"/>
      <family val="3"/>
    </font>
    <font>
      <sz val="9"/>
      <name val="Times New Roman"/>
      <family val="1"/>
    </font>
    <font>
      <i/>
      <sz val="8"/>
      <color indexed="12"/>
      <name val="Times New Roman"/>
      <family val="1"/>
    </font>
    <font>
      <u/>
      <sz val="10"/>
      <color indexed="12"/>
      <name val="Arial"/>
      <family val="2"/>
    </font>
    <font>
      <sz val="11"/>
      <name val="Times New Roman"/>
      <family val="1"/>
    </font>
    <font>
      <sz val="10"/>
      <name val="Courier"/>
      <family val="3"/>
    </font>
    <font>
      <b/>
      <i/>
      <sz val="16"/>
      <name val="Helv"/>
    </font>
    <font>
      <b/>
      <sz val="1"/>
      <color indexed="8"/>
      <name val="Courier"/>
      <family val="3"/>
    </font>
    <font>
      <b/>
      <sz val="8"/>
      <color indexed="10"/>
      <name val="Times New Roman"/>
      <family val="1"/>
    </font>
    <font>
      <b/>
      <sz val="9"/>
      <color indexed="12"/>
      <name val="Times New Roman"/>
      <family val="1"/>
    </font>
    <font>
      <b/>
      <sz val="18"/>
      <color indexed="24"/>
      <name val="Arial"/>
      <family val="2"/>
    </font>
    <font>
      <sz val="11"/>
      <color indexed="8"/>
      <name val="Calibri"/>
      <family val="2"/>
    </font>
    <font>
      <sz val="11"/>
      <color indexed="9"/>
      <name val="Calibri"/>
      <family val="2"/>
    </font>
    <font>
      <sz val="11"/>
      <color indexed="20"/>
      <name val="Calibri"/>
      <family val="2"/>
    </font>
    <font>
      <sz val="10"/>
      <name val="Times New Roman"/>
      <family val="1"/>
    </font>
    <font>
      <sz val="11"/>
      <color indexed="17"/>
      <name val="Calibri"/>
      <family val="2"/>
    </font>
    <font>
      <b/>
      <sz val="11"/>
      <color indexed="52"/>
      <name val="Calibri"/>
      <family val="2"/>
    </font>
    <font>
      <b/>
      <sz val="11"/>
      <color indexed="9"/>
      <name val="Calibri"/>
      <family val="2"/>
    </font>
    <font>
      <sz val="11"/>
      <color indexed="52"/>
      <name val="Calibri"/>
      <family val="2"/>
    </font>
    <font>
      <sz val="11"/>
      <color indexed="10"/>
      <name val="Calibri"/>
      <family val="2"/>
    </font>
    <font>
      <b/>
      <sz val="11"/>
      <color indexed="56"/>
      <name val="Calibri"/>
      <family val="2"/>
    </font>
    <font>
      <sz val="11"/>
      <color indexed="62"/>
      <name val="Calibri"/>
      <family val="2"/>
    </font>
    <font>
      <i/>
      <sz val="11"/>
      <color indexed="23"/>
      <name val="Calibri"/>
      <family val="2"/>
    </font>
    <font>
      <b/>
      <sz val="15"/>
      <color indexed="56"/>
      <name val="Calibri"/>
      <family val="2"/>
    </font>
    <font>
      <b/>
      <sz val="13"/>
      <color indexed="56"/>
      <name val="Calibri"/>
      <family val="2"/>
    </font>
    <font>
      <b/>
      <sz val="11"/>
      <color indexed="62"/>
      <name val="Calibri"/>
      <family val="2"/>
    </font>
    <font>
      <sz val="11"/>
      <color indexed="19"/>
      <name val="Calibri"/>
      <family val="2"/>
    </font>
    <font>
      <b/>
      <sz val="11"/>
      <color indexed="63"/>
      <name val="Calibri"/>
      <family val="2"/>
    </font>
    <font>
      <sz val="10"/>
      <color indexed="23"/>
      <name val="MS Sans Serif"/>
      <family val="2"/>
    </font>
    <font>
      <b/>
      <sz val="12"/>
      <name val="MS Sans Serif"/>
      <family val="2"/>
    </font>
    <font>
      <b/>
      <sz val="18"/>
      <color indexed="56"/>
      <name val="Cambria"/>
      <family val="2"/>
    </font>
    <font>
      <i/>
      <sz val="10"/>
      <name val="Helv"/>
    </font>
    <font>
      <sz val="10.5"/>
      <color theme="1"/>
      <name val="Frutiger 45 Light"/>
      <family val="2"/>
    </font>
    <font>
      <u/>
      <sz val="10"/>
      <color theme="10"/>
      <name val="Arial"/>
      <family val="2"/>
    </font>
    <font>
      <sz val="10"/>
      <color rgb="FF0000FF"/>
      <name val="Calibri"/>
      <family val="2"/>
      <scheme val="minor"/>
    </font>
    <font>
      <b/>
      <sz val="10"/>
      <name val="Calibri"/>
      <family val="2"/>
      <scheme val="minor"/>
    </font>
    <font>
      <sz val="10"/>
      <name val="Calibri"/>
      <family val="2"/>
      <scheme val="minor"/>
    </font>
    <font>
      <sz val="10"/>
      <color indexed="17"/>
      <name val="Calibri"/>
      <family val="2"/>
      <scheme val="minor"/>
    </font>
    <font>
      <i/>
      <sz val="10"/>
      <name val="Calibri"/>
      <family val="2"/>
      <scheme val="minor"/>
    </font>
    <font>
      <sz val="10"/>
      <color indexed="12"/>
      <name val="Calibri"/>
      <family val="2"/>
      <scheme val="minor"/>
    </font>
    <font>
      <sz val="10"/>
      <color indexed="22"/>
      <name val="Calibri"/>
      <family val="2"/>
      <scheme val="minor"/>
    </font>
    <font>
      <b/>
      <sz val="10"/>
      <color rgb="FFFF0000"/>
      <name val="Calibri"/>
      <family val="2"/>
      <scheme val="minor"/>
    </font>
    <font>
      <sz val="10"/>
      <color indexed="23"/>
      <name val="Calibri"/>
      <family val="2"/>
      <scheme val="minor"/>
    </font>
    <font>
      <i/>
      <sz val="10"/>
      <color rgb="FFFF0000"/>
      <name val="Calibri"/>
      <family val="2"/>
      <scheme val="minor"/>
    </font>
    <font>
      <b/>
      <sz val="10"/>
      <color rgb="FF0000FF"/>
      <name val="Calibri"/>
      <family val="2"/>
      <scheme val="minor"/>
    </font>
    <font>
      <b/>
      <sz val="10"/>
      <color rgb="FF00B050"/>
      <name val="Calibri"/>
      <family val="2"/>
      <scheme val="minor"/>
    </font>
    <font>
      <i/>
      <sz val="10"/>
      <color rgb="FF0000FF"/>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rgb="FF3366FF"/>
      <name val="Calibri"/>
      <family val="2"/>
      <scheme val="minor"/>
    </font>
    <font>
      <sz val="10"/>
      <color rgb="FF3333FF"/>
      <name val="Calibri"/>
      <family val="2"/>
      <scheme val="minor"/>
    </font>
    <font>
      <b/>
      <i/>
      <sz val="10"/>
      <color rgb="FFFF0000"/>
      <name val="Calibri"/>
      <family val="2"/>
      <scheme val="minor"/>
    </font>
    <font>
      <i/>
      <sz val="10"/>
      <color indexed="12"/>
      <name val="Calibri"/>
      <family val="2"/>
      <scheme val="minor"/>
    </font>
    <font>
      <b/>
      <u/>
      <sz val="10"/>
      <color indexed="12"/>
      <name val="Calibri"/>
      <family val="2"/>
      <scheme val="minor"/>
    </font>
    <font>
      <b/>
      <sz val="10"/>
      <color indexed="12"/>
      <name val="Calibri"/>
      <family val="2"/>
      <scheme val="minor"/>
    </font>
    <font>
      <b/>
      <u/>
      <sz val="10"/>
      <name val="Calibri"/>
      <family val="2"/>
      <scheme val="minor"/>
    </font>
    <font>
      <b/>
      <sz val="10"/>
      <color indexed="23"/>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0"/>
      <name val="Calibri"/>
      <family val="2"/>
      <scheme val="minor"/>
    </font>
  </fonts>
  <fills count="51">
    <fill>
      <patternFill patternType="none"/>
    </fill>
    <fill>
      <patternFill patternType="gray125"/>
    </fill>
    <fill>
      <patternFill patternType="solid">
        <fgColor indexed="29"/>
      </patternFill>
    </fill>
    <fill>
      <patternFill patternType="solid">
        <fgColor indexed="44"/>
      </patternFill>
    </fill>
    <fill>
      <patternFill patternType="solid">
        <fgColor indexed="47"/>
      </patternFill>
    </fill>
    <fill>
      <patternFill patternType="solid">
        <fgColor indexed="43"/>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53"/>
      </patternFill>
    </fill>
    <fill>
      <patternFill patternType="solid">
        <fgColor indexed="11"/>
      </patternFill>
    </fill>
    <fill>
      <patternFill patternType="solid">
        <fgColor indexed="51"/>
      </patternFill>
    </fill>
    <fill>
      <patternFill patternType="solid">
        <fgColor indexed="49"/>
      </patternFill>
    </fill>
    <fill>
      <patternFill patternType="solid">
        <fgColor indexed="22"/>
      </patternFill>
    </fill>
    <fill>
      <patternFill patternType="solid">
        <fgColor indexed="30"/>
      </patternFill>
    </fill>
    <fill>
      <patternFill patternType="solid">
        <fgColor indexed="36"/>
      </patternFill>
    </fill>
    <fill>
      <patternFill patternType="solid">
        <fgColor indexed="52"/>
      </patternFill>
    </fill>
    <fill>
      <patternFill patternType="solid">
        <fgColor indexed="56"/>
      </patternFill>
    </fill>
    <fill>
      <patternFill patternType="solid">
        <fgColor indexed="10"/>
      </patternFill>
    </fill>
    <fill>
      <patternFill patternType="solid">
        <fgColor indexed="57"/>
      </patternFill>
    </fill>
    <fill>
      <patternFill patternType="solid">
        <fgColor indexed="54"/>
      </patternFill>
    </fill>
    <fill>
      <patternFill patternType="solid">
        <fgColor indexed="55"/>
      </patternFill>
    </fill>
    <fill>
      <patternFill patternType="lightGray">
        <fgColor indexed="12"/>
      </patternFill>
    </fill>
    <fill>
      <patternFill patternType="solid">
        <fgColor indexed="9"/>
        <bgColor indexed="64"/>
      </patternFill>
    </fill>
    <fill>
      <patternFill patternType="solid">
        <fgColor indexed="62"/>
      </patternFill>
    </fill>
    <fill>
      <patternFill patternType="solid">
        <fgColor indexed="13"/>
      </patternFill>
    </fill>
    <fill>
      <patternFill patternType="solid">
        <fgColor indexed="26"/>
      </patternFill>
    </fill>
    <fill>
      <patternFill patternType="solid">
        <fgColor indexed="9"/>
      </patternFill>
    </fill>
    <fill>
      <patternFill patternType="gray125">
        <fgColor indexed="22"/>
      </patternFill>
    </fill>
    <fill>
      <patternFill patternType="solid">
        <fgColor indexed="13"/>
        <bgColor indexed="64"/>
      </patternFill>
    </fill>
    <fill>
      <patternFill patternType="solid">
        <fgColor indexed="52"/>
        <bgColor indexed="64"/>
      </patternFill>
    </fill>
    <fill>
      <patternFill patternType="solid">
        <fgColor indexed="10"/>
        <bgColor indexed="64"/>
      </patternFill>
    </fill>
    <fill>
      <patternFill patternType="solid">
        <fgColor theme="3"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FFCC"/>
        <bgColor indexed="64"/>
      </patternFill>
    </fill>
    <fill>
      <patternFill patternType="solid">
        <fgColor theme="4"/>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theme="5" tint="0.79998168889431442"/>
        <bgColor indexed="64"/>
      </patternFill>
    </fill>
    <fill>
      <patternFill patternType="solid">
        <fgColor theme="9" tint="0.399975585192419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s>
  <borders count="48">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double">
        <color indexed="10"/>
      </bottom>
      <diagonal/>
    </border>
    <border>
      <left/>
      <right/>
      <top style="thin">
        <color indexed="64"/>
      </top>
      <bottom/>
      <diagonal/>
    </border>
    <border>
      <left style="hair">
        <color indexed="64"/>
      </left>
      <right style="hair">
        <color indexed="64"/>
      </right>
      <top style="hair">
        <color indexed="64"/>
      </top>
      <bottom style="hair">
        <color indexed="64"/>
      </bottom>
      <diagonal/>
    </border>
    <border>
      <left style="thin">
        <color indexed="8"/>
      </left>
      <right style="thin">
        <color indexed="8"/>
      </right>
      <top style="thin">
        <color indexed="8"/>
      </top>
      <bottom style="thin">
        <color indexed="8"/>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thin">
        <color indexed="64"/>
      </bottom>
      <diagonal/>
    </border>
    <border>
      <left/>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0"/>
      </right>
      <top style="thin">
        <color theme="0"/>
      </top>
      <bottom style="thin">
        <color theme="0"/>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321">
    <xf numFmtId="0" fontId="0" fillId="0" borderId="0" applyFill="0"/>
    <xf numFmtId="184" fontId="1" fillId="0" borderId="0"/>
    <xf numFmtId="37" fontId="1" fillId="0" borderId="0"/>
    <xf numFmtId="183" fontId="1" fillId="0" borderId="0"/>
    <xf numFmtId="41" fontId="13" fillId="0" borderId="0" applyFont="0" applyFill="0" applyBorder="0" applyAlignment="0" applyProtection="0"/>
    <xf numFmtId="0" fontId="18" fillId="0" borderId="0" applyNumberFormat="0" applyFill="0" applyBorder="0" applyAlignment="0" applyProtection="0">
      <alignment vertical="top"/>
      <protection locked="0"/>
    </xf>
    <xf numFmtId="43" fontId="13" fillId="0" borderId="0" applyFont="0" applyFill="0" applyBorder="0" applyAlignment="0" applyProtection="0"/>
    <xf numFmtId="182" fontId="2" fillId="0" borderId="0"/>
    <xf numFmtId="188" fontId="3" fillId="0" borderId="0"/>
    <xf numFmtId="188" fontId="1" fillId="0" borderId="0"/>
    <xf numFmtId="187" fontId="3" fillId="0" borderId="0"/>
    <xf numFmtId="187" fontId="1" fillId="0" borderId="0"/>
    <xf numFmtId="174" fontId="3" fillId="0" borderId="0"/>
    <xf numFmtId="174" fontId="1" fillId="0" borderId="0"/>
    <xf numFmtId="0" fontId="2" fillId="0" borderId="0"/>
    <xf numFmtId="185" fontId="10" fillId="0" borderId="0"/>
    <xf numFmtId="0" fontId="2" fillId="0" borderId="0"/>
    <xf numFmtId="190" fontId="10" fillId="0" borderId="0"/>
    <xf numFmtId="182" fontId="2" fillId="0" borderId="0"/>
    <xf numFmtId="0" fontId="2" fillId="0" borderId="0"/>
    <xf numFmtId="182" fontId="2" fillId="0" borderId="0"/>
    <xf numFmtId="188" fontId="3" fillId="0" borderId="0"/>
    <xf numFmtId="188" fontId="1" fillId="0" borderId="0"/>
    <xf numFmtId="187" fontId="3" fillId="0" borderId="0"/>
    <xf numFmtId="187" fontId="1" fillId="0" borderId="0"/>
    <xf numFmtId="174" fontId="3" fillId="0" borderId="0"/>
    <xf numFmtId="174" fontId="1" fillId="0" borderId="0"/>
    <xf numFmtId="0" fontId="2" fillId="0" borderId="0"/>
    <xf numFmtId="185" fontId="10" fillId="0" borderId="0"/>
    <xf numFmtId="0" fontId="2" fillId="0" borderId="0"/>
    <xf numFmtId="185" fontId="4" fillId="0" borderId="0"/>
    <xf numFmtId="194" fontId="3" fillId="0" borderId="0"/>
    <xf numFmtId="194" fontId="1" fillId="0" borderId="0"/>
    <xf numFmtId="194" fontId="3" fillId="0" borderId="0"/>
    <xf numFmtId="194" fontId="1" fillId="0" borderId="0"/>
    <xf numFmtId="194" fontId="3" fillId="0" borderId="0"/>
    <xf numFmtId="194" fontId="1" fillId="0" borderId="0"/>
    <xf numFmtId="0" fontId="2" fillId="0" borderId="0"/>
    <xf numFmtId="0" fontId="2" fillId="0" borderId="0"/>
    <xf numFmtId="185" fontId="4" fillId="0" borderId="0"/>
    <xf numFmtId="189" fontId="2" fillId="0" borderId="0"/>
    <xf numFmtId="191" fontId="10" fillId="0" borderId="0"/>
    <xf numFmtId="0" fontId="10" fillId="0" borderId="0"/>
    <xf numFmtId="194" fontId="3" fillId="0" borderId="0"/>
    <xf numFmtId="194" fontId="1" fillId="0" borderId="0"/>
    <xf numFmtId="194" fontId="3" fillId="0" borderId="0"/>
    <xf numFmtId="194" fontId="1" fillId="0" borderId="0"/>
    <xf numFmtId="194" fontId="3" fillId="0" borderId="0"/>
    <xf numFmtId="194" fontId="1" fillId="0" borderId="0"/>
    <xf numFmtId="194" fontId="3" fillId="0" borderId="0"/>
    <xf numFmtId="194" fontId="1" fillId="0" borderId="0"/>
    <xf numFmtId="194" fontId="3" fillId="0" borderId="0"/>
    <xf numFmtId="194" fontId="1" fillId="0" borderId="0"/>
    <xf numFmtId="0" fontId="2" fillId="0" borderId="0"/>
    <xf numFmtId="0" fontId="45" fillId="0" borderId="0" applyNumberFormat="0" applyFill="0" applyBorder="0" applyAlignment="0" applyProtection="0"/>
    <xf numFmtId="3" fontId="1" fillId="0" borderId="0"/>
    <xf numFmtId="181" fontId="1" fillId="0" borderId="0" applyBorder="0"/>
    <xf numFmtId="0" fontId="46" fillId="3" borderId="0" applyNumberFormat="0" applyBorder="0" applyAlignment="0" applyProtection="0"/>
    <xf numFmtId="0" fontId="46" fillId="3" borderId="0" applyNumberFormat="0" applyBorder="0" applyAlignment="0" applyProtection="0"/>
    <xf numFmtId="0" fontId="46" fillId="5" borderId="0" applyNumberFormat="0" applyBorder="0" applyAlignment="0" applyProtection="0"/>
    <xf numFmtId="0" fontId="46" fillId="5" borderId="0" applyNumberFormat="0" applyBorder="0" applyAlignment="0" applyProtection="0"/>
    <xf numFmtId="0" fontId="46" fillId="5" borderId="0" applyNumberFormat="0" applyBorder="0" applyAlignment="0" applyProtection="0"/>
    <xf numFmtId="0" fontId="46" fillId="5" borderId="0" applyNumberFormat="0" applyBorder="0" applyAlignment="0" applyProtection="0"/>
    <xf numFmtId="0" fontId="46" fillId="4" borderId="0" applyNumberFormat="0" applyBorder="0" applyAlignment="0" applyProtection="0"/>
    <xf numFmtId="0" fontId="46" fillId="4" borderId="0" applyNumberFormat="0" applyBorder="0" applyAlignment="0" applyProtection="0"/>
    <xf numFmtId="0" fontId="46" fillId="3" borderId="0" applyNumberFormat="0" applyBorder="0" applyAlignment="0" applyProtection="0"/>
    <xf numFmtId="0" fontId="46" fillId="3" borderId="0" applyNumberFormat="0" applyBorder="0" applyAlignment="0" applyProtection="0"/>
    <xf numFmtId="0" fontId="46" fillId="5" borderId="0" applyNumberFormat="0" applyBorder="0" applyAlignment="0" applyProtection="0"/>
    <xf numFmtId="0" fontId="46" fillId="5" borderId="0" applyNumberFormat="0" applyBorder="0" applyAlignment="0" applyProtection="0"/>
    <xf numFmtId="0" fontId="46" fillId="3" borderId="0" applyNumberFormat="0" applyBorder="0" applyAlignment="0" applyProtection="0"/>
    <xf numFmtId="0" fontId="46" fillId="5" borderId="0" applyNumberFormat="0" applyBorder="0" applyAlignment="0" applyProtection="0"/>
    <xf numFmtId="0" fontId="46" fillId="5" borderId="0" applyNumberFormat="0" applyBorder="0" applyAlignment="0" applyProtection="0"/>
    <xf numFmtId="0" fontId="46" fillId="4" borderId="0" applyNumberFormat="0" applyBorder="0" applyAlignment="0" applyProtection="0"/>
    <xf numFmtId="0" fontId="46" fillId="3" borderId="0" applyNumberFormat="0" applyBorder="0" applyAlignment="0" applyProtection="0"/>
    <xf numFmtId="0" fontId="46" fillId="5" borderId="0" applyNumberFormat="0" applyBorder="0" applyAlignment="0" applyProtection="0"/>
    <xf numFmtId="0" fontId="46" fillId="6" borderId="0" applyNumberFormat="0" applyBorder="0" applyAlignment="0" applyProtection="0"/>
    <xf numFmtId="0" fontId="46" fillId="7" borderId="0" applyNumberFormat="0" applyBorder="0" applyAlignment="0" applyProtection="0"/>
    <xf numFmtId="0" fontId="46" fillId="8" borderId="0" applyNumberFormat="0" applyBorder="0" applyAlignment="0" applyProtection="0"/>
    <xf numFmtId="0" fontId="46" fillId="9" borderId="0" applyNumberFormat="0" applyBorder="0" applyAlignment="0" applyProtection="0"/>
    <xf numFmtId="0" fontId="46" fillId="10" borderId="0" applyNumberFormat="0" applyBorder="0" applyAlignment="0" applyProtection="0"/>
    <xf numFmtId="0" fontId="46" fillId="4" borderId="0" applyNumberFormat="0" applyBorder="0" applyAlignment="0" applyProtection="0"/>
    <xf numFmtId="0" fontId="46" fillId="3" borderId="0" applyNumberFormat="0" applyBorder="0" applyAlignment="0" applyProtection="0"/>
    <xf numFmtId="0" fontId="46" fillId="3" borderId="0" applyNumberFormat="0" applyBorder="0" applyAlignment="0" applyProtection="0"/>
    <xf numFmtId="0" fontId="46" fillId="11" borderId="0" applyNumberFormat="0" applyBorder="0" applyAlignment="0" applyProtection="0"/>
    <xf numFmtId="0" fontId="46" fillId="11" borderId="0" applyNumberFormat="0" applyBorder="0" applyAlignment="0" applyProtection="0"/>
    <xf numFmtId="0" fontId="46" fillId="5" borderId="0" applyNumberFormat="0" applyBorder="0" applyAlignment="0" applyProtection="0"/>
    <xf numFmtId="0" fontId="46" fillId="5" borderId="0" applyNumberFormat="0" applyBorder="0" applyAlignment="0" applyProtection="0"/>
    <xf numFmtId="0" fontId="46" fillId="7" borderId="0" applyNumberFormat="0" applyBorder="0" applyAlignment="0" applyProtection="0"/>
    <xf numFmtId="0" fontId="46" fillId="7" borderId="0" applyNumberFormat="0" applyBorder="0" applyAlignment="0" applyProtection="0"/>
    <xf numFmtId="0" fontId="46" fillId="3" borderId="0" applyNumberFormat="0" applyBorder="0" applyAlignment="0" applyProtection="0"/>
    <xf numFmtId="0" fontId="46" fillId="3" borderId="0" applyNumberFormat="0" applyBorder="0" applyAlignment="0" applyProtection="0"/>
    <xf numFmtId="0" fontId="46" fillId="5" borderId="0" applyNumberFormat="0" applyBorder="0" applyAlignment="0" applyProtection="0"/>
    <xf numFmtId="0" fontId="46" fillId="5" borderId="0" applyNumberFormat="0" applyBorder="0" applyAlignment="0" applyProtection="0"/>
    <xf numFmtId="0" fontId="46" fillId="3" borderId="0" applyNumberFormat="0" applyBorder="0" applyAlignment="0" applyProtection="0"/>
    <xf numFmtId="0" fontId="46" fillId="11" borderId="0" applyNumberFormat="0" applyBorder="0" applyAlignment="0" applyProtection="0"/>
    <xf numFmtId="0" fontId="46" fillId="5" borderId="0" applyNumberFormat="0" applyBorder="0" applyAlignment="0" applyProtection="0"/>
    <xf numFmtId="0" fontId="46" fillId="7" borderId="0" applyNumberFormat="0" applyBorder="0" applyAlignment="0" applyProtection="0"/>
    <xf numFmtId="0" fontId="46" fillId="3" borderId="0" applyNumberFormat="0" applyBorder="0" applyAlignment="0" applyProtection="0"/>
    <xf numFmtId="0" fontId="46" fillId="5" borderId="0" applyNumberFormat="0" applyBorder="0" applyAlignment="0" applyProtection="0"/>
    <xf numFmtId="0" fontId="46" fillId="3" borderId="0" applyNumberFormat="0" applyBorder="0" applyAlignment="0" applyProtection="0"/>
    <xf numFmtId="0" fontId="46" fillId="2" borderId="0" applyNumberFormat="0" applyBorder="0" applyAlignment="0" applyProtection="0"/>
    <xf numFmtId="0" fontId="46" fillId="12" borderId="0" applyNumberFormat="0" applyBorder="0" applyAlignment="0" applyProtection="0"/>
    <xf numFmtId="0" fontId="46" fillId="9" borderId="0" applyNumberFormat="0" applyBorder="0" applyAlignment="0" applyProtection="0"/>
    <xf numFmtId="0" fontId="46" fillId="3" borderId="0" applyNumberFormat="0" applyBorder="0" applyAlignment="0" applyProtection="0"/>
    <xf numFmtId="0" fontId="46" fillId="13" borderId="0" applyNumberFormat="0" applyBorder="0" applyAlignment="0" applyProtection="0"/>
    <xf numFmtId="0" fontId="47" fillId="3" borderId="0" applyNumberFormat="0" applyBorder="0" applyAlignment="0" applyProtection="0"/>
    <xf numFmtId="0" fontId="47" fillId="3" borderId="0" applyNumberFormat="0" applyBorder="0" applyAlignment="0" applyProtection="0"/>
    <xf numFmtId="0" fontId="47" fillId="11" borderId="0" applyNumberFormat="0" applyBorder="0" applyAlignment="0" applyProtection="0"/>
    <xf numFmtId="0" fontId="47" fillId="11" borderId="0" applyNumberFormat="0" applyBorder="0" applyAlignment="0" applyProtection="0"/>
    <xf numFmtId="0" fontId="47" fillId="13" borderId="0" applyNumberFormat="0" applyBorder="0" applyAlignment="0" applyProtection="0"/>
    <xf numFmtId="0" fontId="47" fillId="13"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3" borderId="0" applyNumberFormat="0" applyBorder="0" applyAlignment="0" applyProtection="0"/>
    <xf numFmtId="0" fontId="47" fillId="3" borderId="0" applyNumberFormat="0" applyBorder="0" applyAlignment="0" applyProtection="0"/>
    <xf numFmtId="0" fontId="47" fillId="5" borderId="0" applyNumberFormat="0" applyBorder="0" applyAlignment="0" applyProtection="0"/>
    <xf numFmtId="0" fontId="47" fillId="5" borderId="0" applyNumberFormat="0" applyBorder="0" applyAlignment="0" applyProtection="0"/>
    <xf numFmtId="0" fontId="47" fillId="11" borderId="0" applyNumberFormat="0" applyBorder="0" applyAlignment="0" applyProtection="0"/>
    <xf numFmtId="0" fontId="47" fillId="13" borderId="0" applyNumberFormat="0" applyBorder="0" applyAlignment="0" applyProtection="0"/>
    <xf numFmtId="0" fontId="47" fillId="7" borderId="0" applyNumberFormat="0" applyBorder="0" applyAlignment="0" applyProtection="0"/>
    <xf numFmtId="0" fontId="47" fillId="3" borderId="0" applyNumberFormat="0" applyBorder="0" applyAlignment="0" applyProtection="0"/>
    <xf numFmtId="0" fontId="47" fillId="5" borderId="0" applyNumberFormat="0" applyBorder="0" applyAlignment="0" applyProtection="0"/>
    <xf numFmtId="0" fontId="47" fillId="16" borderId="0" applyNumberFormat="0" applyBorder="0" applyAlignment="0" applyProtection="0"/>
    <xf numFmtId="0" fontId="47" fillId="2" borderId="0" applyNumberFormat="0" applyBorder="0" applyAlignment="0" applyProtection="0"/>
    <xf numFmtId="0" fontId="47" fillId="12" borderId="0" applyNumberFormat="0" applyBorder="0" applyAlignment="0" applyProtection="0"/>
    <xf numFmtId="0" fontId="47" fillId="17" borderId="0" applyNumberFormat="0" applyBorder="0" applyAlignment="0" applyProtection="0"/>
    <xf numFmtId="0" fontId="47" fillId="14" borderId="0" applyNumberFormat="0" applyBorder="0" applyAlignment="0" applyProtection="0"/>
    <xf numFmtId="0" fontId="47" fillId="18" borderId="0" applyNumberFormat="0" applyBorder="0" applyAlignment="0" applyProtection="0"/>
    <xf numFmtId="0" fontId="47" fillId="19" borderId="0" applyNumberFormat="0" applyBorder="0" applyAlignment="0" applyProtection="0"/>
    <xf numFmtId="0" fontId="47" fillId="19" borderId="0" applyNumberFormat="0" applyBorder="0" applyAlignment="0" applyProtection="0"/>
    <xf numFmtId="0" fontId="47" fillId="13" borderId="0" applyNumberFormat="0" applyBorder="0" applyAlignment="0" applyProtection="0"/>
    <xf numFmtId="0" fontId="47" fillId="13" borderId="0" applyNumberFormat="0" applyBorder="0" applyAlignment="0" applyProtection="0"/>
    <xf numFmtId="0" fontId="47" fillId="22" borderId="0" applyNumberFormat="0" applyBorder="0" applyAlignment="0" applyProtection="0"/>
    <xf numFmtId="0" fontId="47" fillId="22" borderId="0" applyNumberFormat="0" applyBorder="0" applyAlignment="0" applyProtection="0"/>
    <xf numFmtId="0" fontId="47" fillId="14" borderId="0" applyNumberFormat="0" applyBorder="0" applyAlignment="0" applyProtection="0"/>
    <xf numFmtId="0" fontId="47" fillId="14" borderId="0" applyNumberFormat="0" applyBorder="0" applyAlignment="0" applyProtection="0"/>
    <xf numFmtId="0" fontId="36" fillId="0" borderId="0"/>
    <xf numFmtId="0" fontId="36" fillId="0" borderId="0"/>
    <xf numFmtId="1" fontId="26" fillId="0" borderId="0" applyFill="0" applyBorder="0" applyProtection="0">
      <alignment horizontal="right" wrapText="1"/>
      <protection locked="0"/>
    </xf>
    <xf numFmtId="214" fontId="27" fillId="0" borderId="0" applyFill="0" applyBorder="0" applyProtection="0">
      <alignment horizontal="right"/>
      <protection locked="0"/>
    </xf>
    <xf numFmtId="1" fontId="26" fillId="0" borderId="0" applyFill="0" applyBorder="0" applyProtection="0">
      <alignment horizontal="right" wrapText="1"/>
      <protection locked="0"/>
    </xf>
    <xf numFmtId="0" fontId="28" fillId="0" borderId="0" applyNumberFormat="0" applyFill="0" applyBorder="0" applyProtection="0">
      <protection locked="0"/>
    </xf>
    <xf numFmtId="214" fontId="21" fillId="0" borderId="0">
      <protection locked="0"/>
    </xf>
    <xf numFmtId="214" fontId="21" fillId="0" borderId="0">
      <protection locked="0"/>
    </xf>
    <xf numFmtId="0" fontId="28" fillId="0" borderId="0" applyNumberFormat="0" applyFill="0" applyBorder="0" applyProtection="0">
      <protection locked="0"/>
    </xf>
    <xf numFmtId="226" fontId="49" fillId="0" borderId="0">
      <alignment vertical="top"/>
    </xf>
    <xf numFmtId="215" fontId="29" fillId="0" borderId="0" applyFill="0" applyBorder="0" applyProtection="0"/>
    <xf numFmtId="226" fontId="29" fillId="0" borderId="0">
      <alignment horizontal="left"/>
    </xf>
    <xf numFmtId="0" fontId="50" fillId="8" borderId="0" applyNumberFormat="0" applyBorder="0" applyAlignment="0" applyProtection="0"/>
    <xf numFmtId="0" fontId="50" fillId="8" borderId="0" applyNumberFormat="0" applyBorder="0" applyAlignment="0" applyProtection="0"/>
    <xf numFmtId="0" fontId="51" fillId="15" borderId="1" applyNumberFormat="0" applyAlignment="0" applyProtection="0"/>
    <xf numFmtId="0" fontId="51" fillId="15" borderId="1" applyNumberFormat="0" applyAlignment="0" applyProtection="0"/>
    <xf numFmtId="0" fontId="52" fillId="23" borderId="2" applyNumberFormat="0" applyAlignment="0" applyProtection="0"/>
    <xf numFmtId="0" fontId="53" fillId="0" borderId="3" applyNumberFormat="0" applyFill="0" applyAlignment="0" applyProtection="0"/>
    <xf numFmtId="0" fontId="52" fillId="23" borderId="2" applyNumberFormat="0" applyAlignment="0" applyProtection="0"/>
    <xf numFmtId="0" fontId="54" fillId="0" borderId="4" applyNumberFormat="0" applyFill="0" applyAlignment="0" applyProtection="0"/>
    <xf numFmtId="1" fontId="30" fillId="0" borderId="0">
      <protection locked="0"/>
    </xf>
    <xf numFmtId="0" fontId="5" fillId="0" borderId="0">
      <alignment horizontal="center" wrapText="1"/>
      <protection hidden="1"/>
    </xf>
    <xf numFmtId="3" fontId="4" fillId="0" borderId="0" applyFont="0" applyFill="0" applyBorder="0" applyAlignment="0" applyProtection="0"/>
    <xf numFmtId="193" fontId="10" fillId="0" borderId="0"/>
    <xf numFmtId="216" fontId="31" fillId="0" borderId="0"/>
    <xf numFmtId="193" fontId="10" fillId="0" borderId="0"/>
    <xf numFmtId="216" fontId="31" fillId="0" borderId="0"/>
    <xf numFmtId="193" fontId="10" fillId="0" borderId="0"/>
    <xf numFmtId="216" fontId="31" fillId="0" borderId="0"/>
    <xf numFmtId="193" fontId="10" fillId="0" borderId="0"/>
    <xf numFmtId="216" fontId="31" fillId="0" borderId="0"/>
    <xf numFmtId="193" fontId="10" fillId="0" borderId="0"/>
    <xf numFmtId="216" fontId="31" fillId="0" borderId="0"/>
    <xf numFmtId="193" fontId="10" fillId="0" borderId="0"/>
    <xf numFmtId="216" fontId="31" fillId="0" borderId="0"/>
    <xf numFmtId="193" fontId="10" fillId="0" borderId="0"/>
    <xf numFmtId="216" fontId="31" fillId="0" borderId="0"/>
    <xf numFmtId="193" fontId="10" fillId="0" borderId="0"/>
    <xf numFmtId="43" fontId="67" fillId="0" borderId="0" applyFont="0" applyFill="0" applyBorder="0" applyAlignment="0" applyProtection="0"/>
    <xf numFmtId="168" fontId="2" fillId="0" borderId="0" applyFont="0" applyFill="0" applyBorder="0" applyAlignment="0" applyProtection="0"/>
    <xf numFmtId="168" fontId="2" fillId="0" borderId="0" applyFont="0" applyFill="0" applyBorder="0" applyAlignment="0" applyProtection="0"/>
    <xf numFmtId="168" fontId="2" fillId="0" borderId="0" applyFont="0" applyFill="0" applyBorder="0" applyAlignment="0" applyProtection="0"/>
    <xf numFmtId="0" fontId="2" fillId="0" borderId="0" applyFont="0" applyFill="0" applyBorder="0" applyAlignment="0" applyProtection="0"/>
    <xf numFmtId="3" fontId="32" fillId="0" borderId="0" applyFont="0" applyFill="0" applyBorder="0" applyAlignment="0" applyProtection="0"/>
    <xf numFmtId="0" fontId="6" fillId="24" borderId="0">
      <alignment horizontal="center" vertical="center" wrapText="1"/>
    </xf>
    <xf numFmtId="172" fontId="5" fillId="0" borderId="0" applyFill="0" applyBorder="0">
      <alignment horizontal="right"/>
      <protection locked="0"/>
    </xf>
    <xf numFmtId="164" fontId="4" fillId="0" borderId="0" applyFont="0" applyFill="0" applyBorder="0" applyAlignment="0" applyProtection="0"/>
    <xf numFmtId="217" fontId="32" fillId="0" borderId="0" applyFont="0" applyFill="0" applyBorder="0" applyAlignment="0" applyProtection="0"/>
    <xf numFmtId="0" fontId="5" fillId="0" borderId="0" applyFont="0" applyFill="0" applyBorder="0" applyAlignment="0">
      <protection locked="0"/>
    </xf>
    <xf numFmtId="17" fontId="33" fillId="0" borderId="5" applyFont="0" applyFill="0" applyBorder="0" applyAlignment="0" applyProtection="0"/>
    <xf numFmtId="17" fontId="33" fillId="0" borderId="5" applyFont="0" applyFill="0" applyBorder="0" applyAlignment="0" applyProtection="0"/>
    <xf numFmtId="207" fontId="25" fillId="25" borderId="0">
      <alignment horizontal="right"/>
    </xf>
    <xf numFmtId="218" fontId="34" fillId="0" borderId="0"/>
    <xf numFmtId="219" fontId="34" fillId="0" borderId="0"/>
    <xf numFmtId="0" fontId="55" fillId="0" borderId="0" applyNumberFormat="0" applyFill="0" applyBorder="0" applyAlignment="0" applyProtection="0"/>
    <xf numFmtId="0" fontId="47" fillId="11" borderId="0" applyNumberFormat="0" applyBorder="0" applyAlignment="0" applyProtection="0"/>
    <xf numFmtId="0" fontId="47" fillId="26" borderId="0" applyNumberFormat="0" applyBorder="0" applyAlignment="0" applyProtection="0"/>
    <xf numFmtId="0" fontId="47" fillId="20" borderId="0" applyNumberFormat="0" applyBorder="0" applyAlignment="0" applyProtection="0"/>
    <xf numFmtId="0" fontId="47" fillId="21" borderId="0" applyNumberFormat="0" applyBorder="0" applyAlignment="0" applyProtection="0"/>
    <xf numFmtId="0" fontId="47" fillId="17" borderId="0" applyNumberFormat="0" applyBorder="0" applyAlignment="0" applyProtection="0"/>
    <xf numFmtId="0" fontId="47" fillId="11" borderId="0" applyNumberFormat="0" applyBorder="0" applyAlignment="0" applyProtection="0"/>
    <xf numFmtId="0" fontId="56" fillId="4" borderId="1" applyNumberFormat="0" applyAlignment="0" applyProtection="0"/>
    <xf numFmtId="0" fontId="56" fillId="4" borderId="1" applyNumberFormat="0" applyAlignment="0" applyProtection="0"/>
    <xf numFmtId="0" fontId="35" fillId="0" borderId="0">
      <protection locked="0"/>
    </xf>
    <xf numFmtId="0" fontId="35" fillId="0" borderId="0">
      <protection locked="0"/>
    </xf>
    <xf numFmtId="0" fontId="35" fillId="0" borderId="0">
      <protection locked="0"/>
    </xf>
    <xf numFmtId="0" fontId="35" fillId="0" borderId="0">
      <protection locked="0"/>
    </xf>
    <xf numFmtId="0" fontId="35" fillId="0" borderId="0">
      <protection locked="0"/>
    </xf>
    <xf numFmtId="0" fontId="35" fillId="0" borderId="0">
      <protection locked="0"/>
    </xf>
    <xf numFmtId="0" fontId="35" fillId="0" borderId="0">
      <protection locked="0"/>
    </xf>
    <xf numFmtId="0" fontId="5" fillId="0" borderId="0"/>
    <xf numFmtId="220" fontId="36" fillId="0" borderId="0" applyFont="0" applyFill="0" applyBorder="0" applyAlignment="0" applyProtection="0">
      <protection locked="0"/>
    </xf>
    <xf numFmtId="13" fontId="36" fillId="0" borderId="0" applyFont="0" applyFill="0" applyBorder="0" applyAlignment="0" applyProtection="0">
      <protection locked="0"/>
    </xf>
    <xf numFmtId="169" fontId="37" fillId="0" borderId="0" applyFill="0" applyBorder="0" applyProtection="0">
      <alignment horizontal="right"/>
      <protection locked="0"/>
    </xf>
    <xf numFmtId="0" fontId="38" fillId="0" borderId="0" applyNumberFormat="0" applyFill="0" applyBorder="0" applyAlignment="0" applyProtection="0">
      <alignment vertical="top"/>
      <protection locked="0"/>
    </xf>
    <xf numFmtId="0" fontId="7" fillId="0" borderId="0" applyNumberFormat="0" applyFill="0" applyBorder="0" applyAlignment="0" applyProtection="0">
      <alignment vertical="top"/>
      <protection locked="0"/>
    </xf>
    <xf numFmtId="0" fontId="68" fillId="0" borderId="0" applyNumberFormat="0" applyFill="0" applyBorder="0" applyAlignment="0" applyProtection="0"/>
    <xf numFmtId="0" fontId="2" fillId="0" borderId="0" applyNumberFormat="0" applyFill="0" applyBorder="0" applyAlignment="0" applyProtection="0">
      <alignment vertical="top"/>
      <protection locked="0"/>
    </xf>
    <xf numFmtId="0" fontId="3" fillId="0" borderId="0" applyFont="0" applyFill="0" applyBorder="0" applyAlignment="0" applyProtection="0"/>
    <xf numFmtId="0" fontId="48" fillId="7" borderId="0" applyNumberFormat="0" applyBorder="0" applyAlignment="0" applyProtection="0"/>
    <xf numFmtId="0" fontId="48" fillId="9" borderId="0" applyNumberFormat="0" applyBorder="0" applyAlignment="0" applyProtection="0"/>
    <xf numFmtId="13" fontId="26" fillId="0" borderId="6" applyNumberFormat="0" applyFont="0" applyFill="0" applyAlignment="0" applyProtection="0">
      <alignment horizontal="right" wrapText="1"/>
      <protection locked="0"/>
    </xf>
    <xf numFmtId="0" fontId="5" fillId="0" borderId="0" applyFill="0" applyBorder="0">
      <alignment horizontal="right"/>
      <protection locked="0"/>
    </xf>
    <xf numFmtId="170" fontId="5" fillId="0" borderId="0" applyFill="0" applyBorder="0">
      <alignment horizontal="right"/>
      <protection locked="0"/>
    </xf>
    <xf numFmtId="0" fontId="8" fillId="27" borderId="7">
      <alignment horizontal="left" vertical="center" wrapText="1"/>
    </xf>
    <xf numFmtId="0" fontId="8" fillId="27" borderId="7">
      <alignment horizontal="left" vertical="center" wrapText="1"/>
    </xf>
    <xf numFmtId="15" fontId="2" fillId="0" borderId="0"/>
    <xf numFmtId="167" fontId="2" fillId="0" borderId="0" applyFont="0" applyFill="0" applyBorder="0" applyAlignment="0" applyProtection="0"/>
    <xf numFmtId="4" fontId="39" fillId="0" borderId="0" applyFont="0" applyFill="0" applyBorder="0" applyAlignment="0" applyProtection="0"/>
    <xf numFmtId="168" fontId="2" fillId="0" borderId="0" applyFont="0" applyFill="0" applyBorder="0" applyAlignment="0" applyProtection="0"/>
    <xf numFmtId="165" fontId="2" fillId="0" borderId="0" applyFont="0" applyFill="0" applyBorder="0" applyAlignment="0" applyProtection="0"/>
    <xf numFmtId="166" fontId="2" fillId="0" borderId="0" applyFont="0" applyFill="0" applyBorder="0" applyAlignment="0" applyProtection="0"/>
    <xf numFmtId="221" fontId="2" fillId="0" borderId="0" applyFont="0" applyFill="0" applyBorder="0" applyAlignment="0" applyProtection="0"/>
    <xf numFmtId="222" fontId="2" fillId="0" borderId="0" applyFont="0" applyFill="0" applyBorder="0" applyAlignment="0" applyProtection="0"/>
    <xf numFmtId="0" fontId="61" fillId="5" borderId="0" applyNumberFormat="0" applyBorder="0" applyAlignment="0" applyProtection="0"/>
    <xf numFmtId="0" fontId="40" fillId="0" borderId="0"/>
    <xf numFmtId="192" fontId="10" fillId="0" borderId="0"/>
    <xf numFmtId="223" fontId="41" fillId="0" borderId="0"/>
    <xf numFmtId="0" fontId="67" fillId="0" borderId="0"/>
    <xf numFmtId="0" fontId="67" fillId="0" borderId="0"/>
    <xf numFmtId="0" fontId="67" fillId="0" borderId="0"/>
    <xf numFmtId="0" fontId="67" fillId="0" borderId="0"/>
    <xf numFmtId="0" fontId="2" fillId="0" borderId="0"/>
    <xf numFmtId="0" fontId="2" fillId="0" borderId="0"/>
    <xf numFmtId="0" fontId="2" fillId="0" borderId="0"/>
    <xf numFmtId="0" fontId="2" fillId="0" borderId="0"/>
    <xf numFmtId="0" fontId="2" fillId="0" borderId="0"/>
    <xf numFmtId="0" fontId="2" fillId="0" borderId="0"/>
    <xf numFmtId="0" fontId="9" fillId="0" borderId="0"/>
    <xf numFmtId="0" fontId="2" fillId="0" borderId="0"/>
    <xf numFmtId="0" fontId="20" fillId="0" borderId="0"/>
    <xf numFmtId="0" fontId="2" fillId="0" borderId="0"/>
    <xf numFmtId="0" fontId="2" fillId="0" borderId="0"/>
    <xf numFmtId="0" fontId="2" fillId="0" borderId="0"/>
    <xf numFmtId="0" fontId="67" fillId="0" borderId="0"/>
    <xf numFmtId="0" fontId="2" fillId="0" borderId="0"/>
    <xf numFmtId="0" fontId="67" fillId="0" borderId="0"/>
    <xf numFmtId="0" fontId="2" fillId="0" borderId="0"/>
    <xf numFmtId="0" fontId="2" fillId="0" borderId="0"/>
    <xf numFmtId="0" fontId="2" fillId="0" borderId="0"/>
    <xf numFmtId="0" fontId="67" fillId="0" borderId="0"/>
    <xf numFmtId="0" fontId="2" fillId="0" borderId="0"/>
    <xf numFmtId="0" fontId="10" fillId="0" borderId="0"/>
    <xf numFmtId="0" fontId="2" fillId="0" borderId="0"/>
    <xf numFmtId="3" fontId="2" fillId="0" borderId="0"/>
    <xf numFmtId="0" fontId="13" fillId="0" borderId="0"/>
    <xf numFmtId="0" fontId="19" fillId="5" borderId="8" applyNumberFormat="0" applyFont="0" applyAlignment="0" applyProtection="0"/>
    <xf numFmtId="0" fontId="19" fillId="5" borderId="8" applyNumberFormat="0" applyFont="0" applyAlignment="0" applyProtection="0"/>
    <xf numFmtId="0" fontId="46" fillId="28" borderId="8" applyNumberFormat="0" applyFont="0" applyAlignment="0" applyProtection="0"/>
    <xf numFmtId="0" fontId="46" fillId="28" borderId="8" applyNumberFormat="0" applyFont="0" applyAlignment="0" applyProtection="0"/>
    <xf numFmtId="0" fontId="66" fillId="0" borderId="9"/>
    <xf numFmtId="224" fontId="16" fillId="0" borderId="0" applyFont="0" applyFill="0" applyBorder="0" applyAlignment="0" applyProtection="0"/>
    <xf numFmtId="225" fontId="42" fillId="0" borderId="0">
      <protection locked="0"/>
    </xf>
    <xf numFmtId="9" fontId="4" fillId="0" borderId="0" applyFont="0" applyFill="0" applyBorder="0" applyAlignment="0" applyProtection="0"/>
    <xf numFmtId="9" fontId="67"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171" fontId="5" fillId="0" borderId="0" applyFill="0" applyBorder="0">
      <alignment horizontal="right"/>
      <protection locked="0"/>
    </xf>
    <xf numFmtId="2" fontId="2" fillId="0" borderId="0" applyFont="0" applyFill="0" applyAlignment="0" applyProtection="0"/>
    <xf numFmtId="9" fontId="2" fillId="0" borderId="0" applyNumberFormat="0" applyFill="0" applyBorder="0" applyAlignment="0" applyProtection="0"/>
    <xf numFmtId="227" fontId="5" fillId="0" borderId="0" applyFill="0" applyBorder="0">
      <alignment horizontal="right"/>
      <protection locked="0"/>
    </xf>
    <xf numFmtId="173" fontId="5" fillId="0" borderId="0">
      <alignment horizontal="right"/>
      <protection locked="0"/>
    </xf>
    <xf numFmtId="0" fontId="43" fillId="0" borderId="0" applyNumberFormat="0" applyFill="0" applyBorder="0" applyProtection="0">
      <protection locked="0"/>
    </xf>
    <xf numFmtId="0" fontId="62" fillId="29" borderId="10" applyNumberFormat="0" applyAlignment="0" applyProtection="0"/>
    <xf numFmtId="0" fontId="62" fillId="29" borderId="10" applyNumberFormat="0" applyAlignment="0" applyProtection="0"/>
    <xf numFmtId="0" fontId="62" fillId="15" borderId="10" applyNumberFormat="0" applyAlignment="0" applyProtection="0"/>
    <xf numFmtId="0" fontId="62" fillId="15" borderId="10" applyNumberFormat="0" applyAlignment="0" applyProtection="0"/>
    <xf numFmtId="0" fontId="11" fillId="0" borderId="0" applyFill="0" applyBorder="0" applyProtection="0">
      <alignment horizontal="right"/>
      <protection hidden="1"/>
    </xf>
    <xf numFmtId="228" fontId="63" fillId="0" borderId="0" applyFill="0" applyBorder="0">
      <alignment horizontal="right"/>
      <protection hidden="1"/>
    </xf>
    <xf numFmtId="0" fontId="12" fillId="24" borderId="11">
      <alignment horizontal="center" vertical="center" wrapText="1"/>
      <protection hidden="1"/>
    </xf>
    <xf numFmtId="0" fontId="64" fillId="24" borderId="11">
      <alignment horizontal="center" vertical="center" wrapText="1"/>
      <protection hidden="1"/>
    </xf>
    <xf numFmtId="38" fontId="5" fillId="0" borderId="0" applyFont="0" applyFill="0" applyBorder="0" applyAlignment="0" applyProtection="0"/>
    <xf numFmtId="41" fontId="2" fillId="0" borderId="0" applyFont="0" applyFill="0" applyBorder="0" applyAlignment="0" applyProtection="0"/>
    <xf numFmtId="43" fontId="2" fillId="0" borderId="0" applyFont="0" applyFill="0" applyBorder="0" applyAlignment="0" applyProtection="0"/>
    <xf numFmtId="214" fontId="44" fillId="30" borderId="0" applyNumberFormat="0" applyFont="0" applyBorder="0" applyAlignment="0" applyProtection="0">
      <protection locked="0"/>
    </xf>
    <xf numFmtId="229" fontId="5" fillId="0" borderId="0">
      <protection locked="0"/>
    </xf>
    <xf numFmtId="0" fontId="2" fillId="0" borderId="0"/>
    <xf numFmtId="0" fontId="54" fillId="0" borderId="0" applyNumberFormat="0" applyFill="0" applyBorder="0" applyAlignment="0" applyProtection="0"/>
    <xf numFmtId="0" fontId="54" fillId="0" borderId="0" applyNumberFormat="0" applyFill="0" applyBorder="0" applyAlignment="0" applyProtection="0"/>
    <xf numFmtId="0" fontId="57" fillId="0" borderId="0" applyNumberFormat="0" applyFill="0" applyBorder="0" applyAlignment="0" applyProtection="0"/>
    <xf numFmtId="0" fontId="5" fillId="0" borderId="0" applyBorder="0"/>
    <xf numFmtId="0" fontId="65" fillId="0" borderId="0" applyNumberFormat="0" applyFill="0" applyBorder="0" applyAlignment="0" applyProtection="0"/>
    <xf numFmtId="0" fontId="58" fillId="0" borderId="12" applyNumberFormat="0" applyFill="0" applyAlignment="0" applyProtection="0"/>
    <xf numFmtId="0" fontId="59" fillId="0" borderId="13" applyNumberFormat="0" applyFill="0" applyAlignment="0" applyProtection="0"/>
    <xf numFmtId="0" fontId="55" fillId="0" borderId="14" applyNumberFormat="0" applyFill="0" applyAlignment="0" applyProtection="0"/>
    <xf numFmtId="0" fontId="60" fillId="0" borderId="0" applyNumberFormat="0" applyFill="0" applyBorder="0" applyAlignment="0" applyProtection="0"/>
    <xf numFmtId="0" fontId="5" fillId="0" borderId="0"/>
    <xf numFmtId="0" fontId="36" fillId="27" borderId="0" applyNumberFormat="0" applyFont="0" applyBorder="0" applyAlignment="0" applyProtection="0"/>
    <xf numFmtId="0" fontId="93" fillId="0" borderId="0" applyNumberFormat="0" applyFill="0" applyBorder="0" applyAlignment="0" applyProtection="0"/>
    <xf numFmtId="0" fontId="94" fillId="0" borderId="39" applyNumberFormat="0" applyFill="0" applyAlignment="0" applyProtection="0"/>
    <xf numFmtId="0" fontId="95" fillId="0" borderId="40" applyNumberFormat="0" applyFill="0" applyAlignment="0" applyProtection="0"/>
    <xf numFmtId="0" fontId="96" fillId="0" borderId="41" applyNumberFormat="0" applyFill="0" applyAlignment="0" applyProtection="0"/>
    <xf numFmtId="0" fontId="96" fillId="0" borderId="0" applyNumberFormat="0" applyFill="0" applyBorder="0" applyAlignment="0" applyProtection="0"/>
    <xf numFmtId="0" fontId="97" fillId="44" borderId="0" applyNumberFormat="0" applyBorder="0" applyAlignment="0" applyProtection="0"/>
    <xf numFmtId="0" fontId="98" fillId="45" borderId="0" applyNumberFormat="0" applyBorder="0" applyAlignment="0" applyProtection="0"/>
    <xf numFmtId="0" fontId="99" fillId="46" borderId="0" applyNumberFormat="0" applyBorder="0" applyAlignment="0" applyProtection="0"/>
    <xf numFmtId="0" fontId="100" fillId="47" borderId="42" applyNumberFormat="0" applyAlignment="0" applyProtection="0"/>
    <xf numFmtId="0" fontId="101" fillId="48" borderId="43" applyNumberFormat="0" applyAlignment="0" applyProtection="0"/>
    <xf numFmtId="0" fontId="102" fillId="48" borderId="42" applyNumberFormat="0" applyAlignment="0" applyProtection="0"/>
    <xf numFmtId="0" fontId="103" fillId="0" borderId="44" applyNumberFormat="0" applyFill="0" applyAlignment="0" applyProtection="0"/>
    <xf numFmtId="0" fontId="104" fillId="49" borderId="45" applyNumberFormat="0" applyAlignment="0" applyProtection="0"/>
    <xf numFmtId="0" fontId="105" fillId="0" borderId="0" applyNumberFormat="0" applyFill="0" applyBorder="0" applyAlignment="0" applyProtection="0"/>
    <xf numFmtId="0" fontId="4" fillId="50" borderId="46" applyNumberFormat="0" applyFont="0" applyAlignment="0" applyProtection="0"/>
    <xf numFmtId="0" fontId="106" fillId="0" borderId="0" applyNumberFormat="0" applyFill="0" applyBorder="0" applyAlignment="0" applyProtection="0"/>
    <xf numFmtId="0" fontId="107" fillId="0" borderId="47" applyNumberFormat="0" applyFill="0" applyAlignment="0" applyProtection="0"/>
  </cellStyleXfs>
  <cellXfs count="494">
    <xf numFmtId="0" fontId="0" fillId="0" borderId="0" xfId="0"/>
    <xf numFmtId="0" fontId="2" fillId="0" borderId="0" xfId="0" applyFont="1"/>
    <xf numFmtId="0" fontId="13" fillId="34" borderId="0" xfId="0" applyFont="1" applyFill="1"/>
    <xf numFmtId="208" fontId="69" fillId="0" borderId="0" xfId="0" applyNumberFormat="1" applyFont="1" applyFill="1"/>
    <xf numFmtId="0" fontId="70" fillId="0" borderId="15" xfId="0" applyFont="1" applyBorder="1"/>
    <xf numFmtId="0" fontId="70" fillId="0" borderId="15" xfId="0" applyFont="1" applyBorder="1" applyAlignment="1">
      <alignment horizontal="center"/>
    </xf>
    <xf numFmtId="0" fontId="70" fillId="34" borderId="0" xfId="0" applyFont="1" applyFill="1"/>
    <xf numFmtId="208" fontId="71" fillId="0" borderId="0" xfId="0" applyNumberFormat="1" applyFont="1"/>
    <xf numFmtId="208" fontId="71" fillId="34" borderId="0" xfId="0" applyNumberFormat="1" applyFont="1" applyFill="1"/>
    <xf numFmtId="208" fontId="70" fillId="0" borderId="5" xfId="0" applyNumberFormat="1" applyFont="1" applyBorder="1"/>
    <xf numFmtId="0" fontId="71" fillId="0" borderId="0" xfId="0" applyFont="1" applyAlignment="1">
      <alignment horizontal="left"/>
    </xf>
    <xf numFmtId="38" fontId="71" fillId="0" borderId="0" xfId="260" applyNumberFormat="1" applyFont="1"/>
    <xf numFmtId="3" fontId="71" fillId="0" borderId="0" xfId="260" applyFont="1"/>
    <xf numFmtId="9" fontId="71" fillId="0" borderId="0" xfId="269" applyFont="1" applyFill="1" applyBorder="1"/>
    <xf numFmtId="3" fontId="71" fillId="0" borderId="0" xfId="158" applyFont="1" applyFill="1" applyBorder="1"/>
    <xf numFmtId="0" fontId="70" fillId="0" borderId="0" xfId="260" applyNumberFormat="1" applyFont="1" applyAlignment="1">
      <alignment horizontal="center"/>
    </xf>
    <xf numFmtId="176" fontId="71" fillId="0" borderId="0" xfId="260" applyNumberFormat="1" applyFont="1"/>
    <xf numFmtId="208" fontId="71" fillId="0" borderId="0" xfId="158" applyNumberFormat="1" applyFont="1" applyFill="1" applyBorder="1"/>
    <xf numFmtId="41" fontId="71" fillId="0" borderId="0" xfId="158" applyNumberFormat="1" applyFont="1" applyFill="1" applyBorder="1"/>
    <xf numFmtId="176" fontId="70" fillId="0" borderId="0" xfId="260" applyNumberFormat="1" applyFont="1"/>
    <xf numFmtId="208" fontId="70" fillId="0" borderId="0" xfId="158" applyNumberFormat="1" applyFont="1" applyFill="1" applyBorder="1"/>
    <xf numFmtId="176" fontId="71" fillId="0" borderId="0" xfId="260" quotePrefix="1" applyNumberFormat="1" applyFont="1" applyAlignment="1">
      <alignment horizontal="left"/>
    </xf>
    <xf numFmtId="176" fontId="71" fillId="0" borderId="0" xfId="260" applyNumberFormat="1" applyFont="1" applyAlignment="1">
      <alignment horizontal="left"/>
    </xf>
    <xf numFmtId="41" fontId="71" fillId="0" borderId="0" xfId="158" applyNumberFormat="1" applyFont="1" applyFill="1" applyBorder="1" applyAlignment="1">
      <alignment horizontal="right"/>
    </xf>
    <xf numFmtId="208" fontId="71" fillId="35" borderId="0" xfId="158" applyNumberFormat="1" applyFont="1" applyFill="1" applyBorder="1"/>
    <xf numFmtId="176" fontId="70" fillId="0" borderId="5" xfId="260" applyNumberFormat="1" applyFont="1" applyBorder="1"/>
    <xf numFmtId="208" fontId="70" fillId="0" borderId="5" xfId="158" applyNumberFormat="1" applyFont="1" applyFill="1" applyBorder="1"/>
    <xf numFmtId="208" fontId="71" fillId="0" borderId="0" xfId="158" applyNumberFormat="1" applyFont="1"/>
    <xf numFmtId="208" fontId="71" fillId="0" borderId="0" xfId="158" applyNumberFormat="1" applyFont="1" applyFill="1"/>
    <xf numFmtId="0" fontId="71" fillId="0" borderId="0" xfId="0" applyFont="1" applyFill="1"/>
    <xf numFmtId="208" fontId="71" fillId="0" borderId="0" xfId="0" applyNumberFormat="1" applyFont="1" applyFill="1"/>
    <xf numFmtId="3" fontId="71" fillId="0" borderId="0" xfId="0" applyNumberFormat="1" applyFont="1"/>
    <xf numFmtId="3" fontId="71" fillId="0" borderId="0" xfId="0" applyNumberFormat="1" applyFont="1" applyFill="1"/>
    <xf numFmtId="208" fontId="71" fillId="0" borderId="0" xfId="269" applyNumberFormat="1" applyFont="1" applyFill="1" applyBorder="1"/>
    <xf numFmtId="169" fontId="71" fillId="0" borderId="0" xfId="269" applyNumberFormat="1" applyFont="1" applyFill="1" applyBorder="1"/>
    <xf numFmtId="176" fontId="70" fillId="0" borderId="0" xfId="260" applyNumberFormat="1" applyFont="1" applyAlignment="1">
      <alignment horizontal="left"/>
    </xf>
    <xf numFmtId="3" fontId="70" fillId="0" borderId="0" xfId="158" applyFont="1" applyFill="1" applyBorder="1"/>
    <xf numFmtId="178" fontId="71" fillId="0" borderId="0" xfId="260" applyNumberFormat="1" applyFont="1"/>
    <xf numFmtId="208" fontId="71" fillId="0" borderId="0" xfId="178" applyNumberFormat="1" applyFont="1" applyFill="1" applyBorder="1"/>
    <xf numFmtId="178" fontId="71" fillId="0" borderId="0" xfId="178" applyNumberFormat="1" applyFont="1" applyFill="1" applyBorder="1"/>
    <xf numFmtId="176" fontId="71" fillId="0" borderId="0" xfId="178" applyNumberFormat="1" applyFont="1" applyFill="1" applyBorder="1"/>
    <xf numFmtId="4" fontId="71" fillId="0" borderId="0" xfId="158" applyNumberFormat="1" applyFont="1" applyFill="1" applyBorder="1"/>
    <xf numFmtId="0" fontId="70" fillId="0" borderId="0" xfId="0" applyFont="1"/>
    <xf numFmtId="0" fontId="71" fillId="0" borderId="0" xfId="0" applyFont="1"/>
    <xf numFmtId="176" fontId="72" fillId="0" borderId="0" xfId="260" applyNumberFormat="1" applyFont="1"/>
    <xf numFmtId="208" fontId="71" fillId="0" borderId="0" xfId="158" applyNumberFormat="1" applyFont="1" applyFill="1" applyBorder="1" applyAlignment="1"/>
    <xf numFmtId="208" fontId="71" fillId="0" borderId="0" xfId="260" applyNumberFormat="1" applyFont="1"/>
    <xf numFmtId="208" fontId="69" fillId="0" borderId="0" xfId="158" applyNumberFormat="1" applyFont="1" applyFill="1" applyBorder="1" applyAlignment="1"/>
    <xf numFmtId="208" fontId="69" fillId="0" borderId="0" xfId="260" applyNumberFormat="1" applyFont="1"/>
    <xf numFmtId="38" fontId="71" fillId="0" borderId="0" xfId="158" applyNumberFormat="1" applyFont="1" applyFill="1" applyBorder="1"/>
    <xf numFmtId="208" fontId="71" fillId="0" borderId="0" xfId="158" applyNumberFormat="1" applyFont="1" applyBorder="1"/>
    <xf numFmtId="176" fontId="73" fillId="0" borderId="0" xfId="260" applyNumberFormat="1" applyFont="1"/>
    <xf numFmtId="3" fontId="71" fillId="0" borderId="0" xfId="158" quotePrefix="1" applyFont="1" applyFill="1" applyBorder="1" applyAlignment="1">
      <alignment horizontal="left"/>
    </xf>
    <xf numFmtId="176" fontId="71" fillId="0" borderId="0" xfId="259" applyNumberFormat="1" applyFont="1" applyAlignment="1">
      <alignment horizontal="left"/>
    </xf>
    <xf numFmtId="208" fontId="74" fillId="0" borderId="0" xfId="158" applyNumberFormat="1" applyFont="1" applyFill="1" applyBorder="1"/>
    <xf numFmtId="208" fontId="69" fillId="0" borderId="0" xfId="158" applyNumberFormat="1" applyFont="1" applyFill="1" applyBorder="1"/>
    <xf numFmtId="208" fontId="71" fillId="0" borderId="0" xfId="158" applyNumberFormat="1" applyFont="1" applyFill="1" applyBorder="1" applyAlignment="1">
      <alignment horizontal="right"/>
    </xf>
    <xf numFmtId="176" fontId="73" fillId="0" borderId="0" xfId="260" applyNumberFormat="1" applyFont="1" applyAlignment="1">
      <alignment horizontal="left"/>
    </xf>
    <xf numFmtId="208" fontId="75" fillId="0" borderId="0" xfId="158" applyNumberFormat="1" applyFont="1" applyFill="1" applyBorder="1"/>
    <xf numFmtId="208" fontId="76" fillId="0" borderId="0" xfId="158" applyNumberFormat="1" applyFont="1" applyFill="1" applyBorder="1"/>
    <xf numFmtId="37" fontId="71" fillId="0" borderId="0" xfId="260" quotePrefix="1" applyNumberFormat="1" applyFont="1" applyAlignment="1">
      <alignment horizontal="left"/>
    </xf>
    <xf numFmtId="0" fontId="71" fillId="0" borderId="0" xfId="178" applyFont="1" applyFill="1" applyBorder="1"/>
    <xf numFmtId="0" fontId="70" fillId="0" borderId="0" xfId="0" applyFont="1" applyFill="1"/>
    <xf numFmtId="208" fontId="71" fillId="34" borderId="0" xfId="178" applyNumberFormat="1" applyFont="1" applyFill="1" applyBorder="1"/>
    <xf numFmtId="208" fontId="71" fillId="34" borderId="0" xfId="158" applyNumberFormat="1" applyFont="1" applyFill="1" applyBorder="1"/>
    <xf numFmtId="208" fontId="77" fillId="0" borderId="0" xfId="260" applyNumberFormat="1" applyFont="1"/>
    <xf numFmtId="208" fontId="77" fillId="0" borderId="0" xfId="0" applyNumberFormat="1" applyFont="1" applyFill="1"/>
    <xf numFmtId="9" fontId="77" fillId="0" borderId="0" xfId="269" applyFont="1" applyFill="1" applyBorder="1"/>
    <xf numFmtId="9" fontId="69" fillId="0" borderId="0" xfId="269" applyFont="1" applyFill="1" applyBorder="1"/>
    <xf numFmtId="208" fontId="77" fillId="0" borderId="0" xfId="158" applyNumberFormat="1" applyFont="1" applyFill="1" applyBorder="1"/>
    <xf numFmtId="211" fontId="70" fillId="0" borderId="0" xfId="158" applyNumberFormat="1" applyFont="1" applyFill="1" applyBorder="1"/>
    <xf numFmtId="211" fontId="71" fillId="0" borderId="0" xfId="158" applyNumberFormat="1" applyFont="1" applyFill="1" applyBorder="1"/>
    <xf numFmtId="9" fontId="72" fillId="0" borderId="0" xfId="269" applyFont="1" applyFill="1" applyBorder="1"/>
    <xf numFmtId="9" fontId="71" fillId="0" borderId="0" xfId="178" applyNumberFormat="1" applyFont="1" applyFill="1" applyBorder="1"/>
    <xf numFmtId="178" fontId="70" fillId="0" borderId="0" xfId="260" applyNumberFormat="1" applyFont="1"/>
    <xf numFmtId="195" fontId="71" fillId="0" borderId="0" xfId="158" applyNumberFormat="1" applyFont="1" applyFill="1" applyBorder="1"/>
    <xf numFmtId="9" fontId="74" fillId="0" borderId="0" xfId="269" applyFont="1" applyFill="1" applyBorder="1"/>
    <xf numFmtId="211" fontId="70" fillId="0" borderId="5" xfId="158" applyNumberFormat="1" applyFont="1" applyFill="1" applyBorder="1"/>
    <xf numFmtId="176" fontId="78" fillId="0" borderId="0" xfId="260" applyNumberFormat="1" applyFont="1"/>
    <xf numFmtId="208" fontId="70" fillId="0" borderId="0" xfId="0" applyNumberFormat="1" applyFont="1"/>
    <xf numFmtId="0" fontId="70" fillId="0" borderId="5" xfId="0" applyFont="1" applyBorder="1"/>
    <xf numFmtId="208" fontId="69" fillId="0" borderId="0" xfId="0" applyNumberFormat="1" applyFont="1"/>
    <xf numFmtId="208" fontId="71" fillId="0" borderId="5" xfId="0" applyNumberFormat="1" applyFont="1" applyBorder="1"/>
    <xf numFmtId="208" fontId="69" fillId="0" borderId="0" xfId="158" applyNumberFormat="1" applyFont="1" applyFill="1"/>
    <xf numFmtId="186" fontId="70" fillId="0" borderId="0" xfId="260" applyNumberFormat="1" applyFont="1" applyAlignment="1">
      <alignment horizontal="center"/>
    </xf>
    <xf numFmtId="0" fontId="71" fillId="34" borderId="0" xfId="0" applyFont="1" applyFill="1"/>
    <xf numFmtId="0" fontId="71" fillId="0" borderId="0" xfId="0" applyFont="1" applyAlignment="1">
      <alignment horizontal="left" indent="1"/>
    </xf>
    <xf numFmtId="213" fontId="71" fillId="0" borderId="0" xfId="0" applyNumberFormat="1" applyFont="1"/>
    <xf numFmtId="0" fontId="70" fillId="36" borderId="0" xfId="0" applyFont="1" applyFill="1"/>
    <xf numFmtId="208" fontId="71" fillId="36" borderId="0" xfId="0" applyNumberFormat="1" applyFont="1" applyFill="1"/>
    <xf numFmtId="9" fontId="71" fillId="0" borderId="0" xfId="0" applyNumberFormat="1" applyFont="1"/>
    <xf numFmtId="211" fontId="71" fillId="0" borderId="0" xfId="0" applyNumberFormat="1" applyFont="1"/>
    <xf numFmtId="211" fontId="69" fillId="0" borderId="0" xfId="0" applyNumberFormat="1" applyFont="1"/>
    <xf numFmtId="213" fontId="69" fillId="0" borderId="0" xfId="0" applyNumberFormat="1" applyFont="1"/>
    <xf numFmtId="169" fontId="71" fillId="0" borderId="0" xfId="0" applyNumberFormat="1" applyFont="1"/>
    <xf numFmtId="169" fontId="69" fillId="0" borderId="0" xfId="0" applyNumberFormat="1" applyFont="1"/>
    <xf numFmtId="208" fontId="69" fillId="37" borderId="0" xfId="0" applyNumberFormat="1" applyFont="1" applyFill="1"/>
    <xf numFmtId="210" fontId="70" fillId="0" borderId="0" xfId="260" applyNumberFormat="1" applyFont="1" applyAlignment="1">
      <alignment horizontal="center"/>
    </xf>
    <xf numFmtId="210" fontId="71" fillId="0" borderId="0" xfId="0" applyNumberFormat="1" applyFont="1"/>
    <xf numFmtId="209" fontId="71" fillId="0" borderId="0" xfId="0" applyNumberFormat="1" applyFont="1"/>
    <xf numFmtId="208" fontId="79" fillId="0" borderId="0" xfId="0" applyNumberFormat="1" applyFont="1"/>
    <xf numFmtId="9" fontId="69" fillId="0" borderId="0" xfId="0" applyNumberFormat="1" applyFont="1"/>
    <xf numFmtId="209" fontId="69" fillId="0" borderId="0" xfId="0" applyNumberFormat="1" applyFont="1"/>
    <xf numFmtId="210" fontId="71" fillId="0" borderId="0" xfId="158" applyNumberFormat="1" applyFont="1" applyBorder="1"/>
    <xf numFmtId="210" fontId="69" fillId="0" borderId="0" xfId="158" applyNumberFormat="1" applyFont="1" applyBorder="1"/>
    <xf numFmtId="37" fontId="71" fillId="0" borderId="0" xfId="0" applyNumberFormat="1" applyFont="1"/>
    <xf numFmtId="208" fontId="70" fillId="0" borderId="0" xfId="158" applyNumberFormat="1" applyFont="1" applyBorder="1"/>
    <xf numFmtId="208" fontId="70" fillId="0" borderId="0" xfId="158" applyNumberFormat="1" applyFont="1" applyFill="1" applyBorder="1" applyAlignment="1"/>
    <xf numFmtId="208" fontId="70" fillId="0" borderId="0" xfId="0" applyNumberFormat="1" applyFont="1" applyFill="1"/>
    <xf numFmtId="0" fontId="70" fillId="0" borderId="5" xfId="0" applyFont="1" applyFill="1" applyBorder="1"/>
    <xf numFmtId="37" fontId="70" fillId="0" borderId="5" xfId="0" applyNumberFormat="1" applyFont="1" applyBorder="1"/>
    <xf numFmtId="0" fontId="71" fillId="0" borderId="0" xfId="0" applyFont="1" applyFill="1" applyAlignment="1">
      <alignment horizontal="left" indent="1"/>
    </xf>
    <xf numFmtId="208" fontId="70" fillId="0" borderId="5" xfId="0" applyNumberFormat="1" applyFont="1" applyFill="1" applyBorder="1"/>
    <xf numFmtId="0" fontId="73" fillId="0" borderId="0" xfId="0" applyFont="1" applyFill="1"/>
    <xf numFmtId="9" fontId="73" fillId="0" borderId="0" xfId="0" applyNumberFormat="1" applyFont="1" applyFill="1"/>
    <xf numFmtId="37" fontId="71" fillId="0" borderId="0" xfId="158" applyNumberFormat="1" applyFont="1" applyBorder="1"/>
    <xf numFmtId="37" fontId="71" fillId="0" borderId="0" xfId="158" applyNumberFormat="1" applyFont="1" applyFill="1" applyBorder="1"/>
    <xf numFmtId="0" fontId="80" fillId="0" borderId="0" xfId="0" applyFont="1"/>
    <xf numFmtId="0" fontId="73" fillId="0" borderId="0" xfId="0" applyFont="1" applyFill="1" applyAlignment="1">
      <alignment horizontal="left" indent="1"/>
    </xf>
    <xf numFmtId="9" fontId="71" fillId="0" borderId="0" xfId="158" applyNumberFormat="1" applyFont="1" applyBorder="1"/>
    <xf numFmtId="212" fontId="71" fillId="0" borderId="0" xfId="0" applyNumberFormat="1" applyFont="1"/>
    <xf numFmtId="207" fontId="71" fillId="0" borderId="0" xfId="0" applyNumberFormat="1" applyFont="1"/>
    <xf numFmtId="41" fontId="71" fillId="0" borderId="0" xfId="0" applyNumberFormat="1" applyFont="1"/>
    <xf numFmtId="9" fontId="69" fillId="0" borderId="0" xfId="158" applyNumberFormat="1" applyFont="1" applyBorder="1"/>
    <xf numFmtId="169" fontId="71" fillId="0" borderId="0" xfId="0" applyNumberFormat="1" applyFont="1" applyFill="1"/>
    <xf numFmtId="0" fontId="71" fillId="0" borderId="0" xfId="0" quotePrefix="1" applyFont="1"/>
    <xf numFmtId="10" fontId="71" fillId="0" borderId="0" xfId="0" applyNumberFormat="1" applyFont="1"/>
    <xf numFmtId="207" fontId="71" fillId="0" borderId="0" xfId="0" applyNumberFormat="1" applyFont="1" applyFill="1"/>
    <xf numFmtId="9" fontId="73" fillId="0" borderId="0" xfId="158" applyNumberFormat="1" applyFont="1" applyBorder="1"/>
    <xf numFmtId="9" fontId="81" fillId="0" borderId="0" xfId="0" applyNumberFormat="1" applyFont="1" applyFill="1"/>
    <xf numFmtId="0" fontId="71" fillId="0" borderId="0" xfId="0" quotePrefix="1" applyFont="1" applyFill="1"/>
    <xf numFmtId="9" fontId="71" fillId="0" borderId="0" xfId="0" applyNumberFormat="1" applyFont="1" applyFill="1"/>
    <xf numFmtId="0" fontId="71" fillId="36" borderId="0" xfId="0" applyFont="1" applyFill="1"/>
    <xf numFmtId="37" fontId="71" fillId="36" borderId="0" xfId="158" applyNumberFormat="1" applyFont="1" applyFill="1" applyBorder="1"/>
    <xf numFmtId="208" fontId="71" fillId="36" borderId="0" xfId="158" applyNumberFormat="1" applyFont="1" applyFill="1" applyBorder="1"/>
    <xf numFmtId="9" fontId="81" fillId="0" borderId="0" xfId="158" applyNumberFormat="1" applyFont="1" applyBorder="1"/>
    <xf numFmtId="169" fontId="71" fillId="0" borderId="0" xfId="269" applyNumberFormat="1" applyFont="1" applyBorder="1"/>
    <xf numFmtId="3" fontId="70" fillId="0" borderId="0" xfId="158" applyFont="1" applyBorder="1"/>
    <xf numFmtId="37" fontId="70" fillId="0" borderId="0" xfId="158" applyNumberFormat="1" applyFont="1" applyBorder="1"/>
    <xf numFmtId="39" fontId="71" fillId="0" borderId="0" xfId="158" applyNumberFormat="1" applyFont="1" applyBorder="1"/>
    <xf numFmtId="211" fontId="69" fillId="0" borderId="0" xfId="158" applyNumberFormat="1" applyFont="1" applyBorder="1"/>
    <xf numFmtId="186" fontId="71" fillId="0" borderId="0" xfId="0" applyNumberFormat="1" applyFont="1" applyFill="1"/>
    <xf numFmtId="212" fontId="71" fillId="0" borderId="0" xfId="158" applyNumberFormat="1" applyFont="1" applyBorder="1"/>
    <xf numFmtId="212" fontId="69" fillId="35" borderId="0" xfId="158" applyNumberFormat="1" applyFont="1" applyFill="1" applyBorder="1"/>
    <xf numFmtId="39" fontId="71" fillId="0" borderId="0" xfId="0" applyNumberFormat="1" applyFont="1" applyFill="1"/>
    <xf numFmtId="212" fontId="71" fillId="0" borderId="0" xfId="0" applyNumberFormat="1" applyFont="1" applyFill="1"/>
    <xf numFmtId="37" fontId="69" fillId="0" borderId="0" xfId="158" applyNumberFormat="1" applyFont="1" applyBorder="1"/>
    <xf numFmtId="212" fontId="69" fillId="0" borderId="0" xfId="158" applyNumberFormat="1" applyFont="1" applyFill="1" applyBorder="1"/>
    <xf numFmtId="208" fontId="69" fillId="0" borderId="0" xfId="158" applyNumberFormat="1" applyFont="1" applyBorder="1"/>
    <xf numFmtId="9" fontId="71" fillId="36" borderId="0" xfId="0" applyNumberFormat="1" applyFont="1" applyFill="1"/>
    <xf numFmtId="196" fontId="71" fillId="0" borderId="0" xfId="158" applyNumberFormat="1" applyFont="1" applyBorder="1"/>
    <xf numFmtId="37" fontId="82" fillId="0" borderId="0" xfId="158" applyNumberFormat="1" applyFont="1" applyBorder="1"/>
    <xf numFmtId="208" fontId="71" fillId="0" borderId="0" xfId="0" applyNumberFormat="1" applyFont="1" applyAlignment="1">
      <alignment horizontal="left" indent="1"/>
    </xf>
    <xf numFmtId="208" fontId="82" fillId="0" borderId="0" xfId="0" applyNumberFormat="1" applyFont="1"/>
    <xf numFmtId="9" fontId="82" fillId="0" borderId="0" xfId="0" applyNumberFormat="1" applyFont="1"/>
    <xf numFmtId="0" fontId="82" fillId="0" borderId="0" xfId="0" applyFont="1"/>
    <xf numFmtId="208" fontId="83" fillId="38" borderId="0" xfId="0" applyNumberFormat="1" applyFont="1" applyFill="1"/>
    <xf numFmtId="0" fontId="84" fillId="38" borderId="0" xfId="0" applyFont="1" applyFill="1"/>
    <xf numFmtId="208" fontId="85" fillId="0" borderId="0" xfId="158" applyNumberFormat="1" applyFont="1" applyFill="1" applyBorder="1"/>
    <xf numFmtId="38" fontId="70" fillId="0" borderId="0" xfId="158" applyNumberFormat="1" applyFont="1" applyFill="1" applyBorder="1"/>
    <xf numFmtId="1" fontId="70" fillId="0" borderId="0" xfId="158" applyNumberFormat="1" applyFont="1" applyFill="1" applyBorder="1"/>
    <xf numFmtId="1" fontId="70" fillId="0" borderId="0" xfId="158" applyNumberFormat="1" applyFont="1" applyFill="1" applyBorder="1" applyAlignment="1">
      <alignment horizontal="right"/>
    </xf>
    <xf numFmtId="38" fontId="70" fillId="0" borderId="0" xfId="158" quotePrefix="1" applyNumberFormat="1" applyFont="1" applyFill="1" applyBorder="1" applyAlignment="1">
      <alignment horizontal="right"/>
    </xf>
    <xf numFmtId="0" fontId="70" fillId="0" borderId="0" xfId="158" quotePrefix="1" applyNumberFormat="1" applyFont="1" applyFill="1" applyBorder="1" applyAlignment="1">
      <alignment horizontal="right"/>
    </xf>
    <xf numFmtId="169" fontId="69" fillId="0" borderId="0" xfId="269" applyNumberFormat="1" applyFont="1" applyFill="1" applyBorder="1"/>
    <xf numFmtId="10" fontId="71" fillId="0" borderId="0" xfId="269" applyNumberFormat="1" applyFont="1" applyFill="1" applyBorder="1"/>
    <xf numFmtId="175" fontId="71" fillId="0" borderId="0" xfId="158" applyNumberFormat="1" applyFont="1" applyFill="1" applyBorder="1"/>
    <xf numFmtId="208" fontId="86" fillId="0" borderId="0" xfId="158" applyNumberFormat="1" applyFont="1" applyFill="1" applyBorder="1"/>
    <xf numFmtId="175" fontId="70" fillId="0" borderId="0" xfId="158" applyNumberFormat="1" applyFont="1" applyFill="1" applyBorder="1"/>
    <xf numFmtId="9" fontId="71" fillId="0" borderId="0" xfId="158" applyNumberFormat="1" applyFont="1" applyFill="1" applyBorder="1"/>
    <xf numFmtId="38" fontId="71" fillId="0" borderId="0" xfId="158" applyNumberFormat="1" applyFont="1" applyFill="1" applyBorder="1" applyAlignment="1">
      <alignment horizontal="left" indent="1"/>
    </xf>
    <xf numFmtId="208" fontId="86" fillId="0" borderId="0" xfId="0" applyNumberFormat="1" applyFont="1"/>
    <xf numFmtId="208" fontId="71" fillId="35" borderId="0" xfId="0" applyNumberFormat="1" applyFont="1" applyFill="1"/>
    <xf numFmtId="38" fontId="86" fillId="0" borderId="0" xfId="158" applyNumberFormat="1" applyFont="1" applyFill="1" applyBorder="1"/>
    <xf numFmtId="38" fontId="70" fillId="0" borderId="5" xfId="158" applyNumberFormat="1" applyFont="1" applyFill="1" applyBorder="1"/>
    <xf numFmtId="1" fontId="70" fillId="0" borderId="0" xfId="0" applyNumberFormat="1" applyFont="1" applyFill="1"/>
    <xf numFmtId="1" fontId="70" fillId="0" borderId="0" xfId="0" applyNumberFormat="1" applyFont="1" applyFill="1" applyAlignment="1">
      <alignment horizontal="right"/>
    </xf>
    <xf numFmtId="0" fontId="70" fillId="0" borderId="0" xfId="0" applyFont="1" applyFill="1" applyAlignment="1">
      <alignment horizontal="right"/>
    </xf>
    <xf numFmtId="186" fontId="70" fillId="0" borderId="0" xfId="0" applyNumberFormat="1" applyFont="1" applyFill="1" applyAlignment="1">
      <alignment horizontal="right"/>
    </xf>
    <xf numFmtId="176" fontId="70" fillId="0" borderId="0" xfId="0" applyNumberFormat="1" applyFont="1" applyFill="1"/>
    <xf numFmtId="176" fontId="71" fillId="0" borderId="0" xfId="0" applyNumberFormat="1" applyFont="1" applyFill="1"/>
    <xf numFmtId="208" fontId="74" fillId="0" borderId="0" xfId="0" applyNumberFormat="1" applyFont="1" applyFill="1"/>
    <xf numFmtId="0" fontId="74" fillId="0" borderId="0" xfId="0" applyFont="1"/>
    <xf numFmtId="3" fontId="71" fillId="0" borderId="0" xfId="269" applyNumberFormat="1" applyFont="1" applyFill="1" applyBorder="1"/>
    <xf numFmtId="169" fontId="71" fillId="0" borderId="0" xfId="269" applyNumberFormat="1" applyFont="1"/>
    <xf numFmtId="3" fontId="70" fillId="0" borderId="0" xfId="0" applyNumberFormat="1" applyFont="1" applyFill="1"/>
    <xf numFmtId="1" fontId="71" fillId="0" borderId="0" xfId="0" applyNumberFormat="1" applyFont="1" applyFill="1"/>
    <xf numFmtId="0" fontId="71" fillId="0" borderId="0" xfId="0" applyFont="1" applyFill="1" applyAlignment="1">
      <alignment horizontal="centerContinuous"/>
    </xf>
    <xf numFmtId="176" fontId="71" fillId="0" borderId="0" xfId="0" applyNumberFormat="1" applyFont="1"/>
    <xf numFmtId="176" fontId="70" fillId="0" borderId="0" xfId="0" applyNumberFormat="1" applyFont="1"/>
    <xf numFmtId="4" fontId="70" fillId="0" borderId="0" xfId="0" applyNumberFormat="1" applyFont="1" applyFill="1"/>
    <xf numFmtId="169" fontId="74" fillId="0" borderId="0" xfId="269" applyNumberFormat="1" applyFont="1" applyFill="1" applyBorder="1"/>
    <xf numFmtId="4" fontId="74" fillId="0" borderId="0" xfId="0" applyNumberFormat="1" applyFont="1" applyFill="1"/>
    <xf numFmtId="4" fontId="71" fillId="0" borderId="0" xfId="0" applyNumberFormat="1" applyFont="1" applyFill="1"/>
    <xf numFmtId="9" fontId="70" fillId="0" borderId="0" xfId="0" applyNumberFormat="1" applyFont="1" applyFill="1"/>
    <xf numFmtId="177" fontId="71" fillId="0" borderId="0" xfId="158" applyNumberFormat="1" applyFont="1" applyFill="1" applyBorder="1"/>
    <xf numFmtId="169" fontId="70" fillId="0" borderId="0" xfId="0" applyNumberFormat="1" applyFont="1" applyFill="1"/>
    <xf numFmtId="205" fontId="71" fillId="0" borderId="0" xfId="158" applyNumberFormat="1" applyFont="1" applyFill="1" applyBorder="1"/>
    <xf numFmtId="179" fontId="71" fillId="0" borderId="0" xfId="158" applyNumberFormat="1" applyFont="1" applyFill="1" applyBorder="1"/>
    <xf numFmtId="0" fontId="87" fillId="0" borderId="0" xfId="0" applyFont="1" applyFill="1"/>
    <xf numFmtId="208" fontId="78" fillId="0" borderId="0" xfId="0" applyNumberFormat="1" applyFont="1"/>
    <xf numFmtId="0" fontId="78" fillId="0" borderId="0" xfId="0" applyFont="1"/>
    <xf numFmtId="208" fontId="78" fillId="0" borderId="0" xfId="0" applyNumberFormat="1" applyFont="1" applyFill="1"/>
    <xf numFmtId="0" fontId="78" fillId="0" borderId="0" xfId="0" applyFont="1" applyFill="1"/>
    <xf numFmtId="37" fontId="78" fillId="0" borderId="0" xfId="0" applyNumberFormat="1" applyFont="1" applyFill="1"/>
    <xf numFmtId="176" fontId="78" fillId="0" borderId="0" xfId="0" applyNumberFormat="1" applyFont="1" applyFill="1"/>
    <xf numFmtId="180" fontId="71" fillId="0" borderId="0" xfId="0" applyNumberFormat="1" applyFont="1" applyFill="1"/>
    <xf numFmtId="37" fontId="71" fillId="0" borderId="0" xfId="0" applyNumberFormat="1" applyFont="1" applyFill="1"/>
    <xf numFmtId="180" fontId="70" fillId="0" borderId="0" xfId="0" applyNumberFormat="1" applyFont="1" applyFill="1"/>
    <xf numFmtId="37" fontId="70" fillId="0" borderId="0" xfId="0" applyNumberFormat="1" applyFont="1" applyFill="1"/>
    <xf numFmtId="169" fontId="74" fillId="0" borderId="0" xfId="0" applyNumberFormat="1" applyFont="1" applyFill="1"/>
    <xf numFmtId="169" fontId="71" fillId="0" borderId="0" xfId="0" applyNumberFormat="1" applyFont="1" applyFill="1" applyAlignment="1">
      <alignment horizontal="right"/>
    </xf>
    <xf numFmtId="169" fontId="70" fillId="0" borderId="0" xfId="0" applyNumberFormat="1" applyFont="1" applyFill="1" applyAlignment="1">
      <alignment horizontal="right"/>
    </xf>
    <xf numFmtId="3" fontId="73" fillId="0" borderId="0" xfId="0" applyNumberFormat="1" applyFont="1" applyFill="1"/>
    <xf numFmtId="0" fontId="73" fillId="0" borderId="0" xfId="0" applyFont="1"/>
    <xf numFmtId="3" fontId="73" fillId="0" borderId="0" xfId="158" applyFont="1" applyFill="1" applyBorder="1"/>
    <xf numFmtId="3" fontId="73" fillId="0" borderId="0" xfId="158" applyFont="1" applyBorder="1"/>
    <xf numFmtId="3" fontId="71" fillId="0" borderId="0" xfId="158" applyFont="1"/>
    <xf numFmtId="4" fontId="73" fillId="0" borderId="0" xfId="158" applyNumberFormat="1" applyFont="1" applyFill="1" applyBorder="1"/>
    <xf numFmtId="4" fontId="81" fillId="0" borderId="0" xfId="158" applyNumberFormat="1" applyFont="1" applyFill="1" applyBorder="1"/>
    <xf numFmtId="3" fontId="71" fillId="0" borderId="0" xfId="158" applyFont="1" applyBorder="1"/>
    <xf numFmtId="3" fontId="70" fillId="0" borderId="0" xfId="0" applyNumberFormat="1" applyFont="1"/>
    <xf numFmtId="208" fontId="81" fillId="0" borderId="0" xfId="158" applyNumberFormat="1" applyFont="1" applyFill="1" applyBorder="1"/>
    <xf numFmtId="209" fontId="69" fillId="0" borderId="0" xfId="158" applyNumberFormat="1" applyFont="1" applyFill="1" applyBorder="1"/>
    <xf numFmtId="0" fontId="70" fillId="0" borderId="0" xfId="0" applyFont="1" applyFill="1" applyAlignment="1">
      <alignment horizontal="centerContinuous"/>
    </xf>
    <xf numFmtId="3" fontId="71" fillId="0" borderId="0" xfId="0" applyNumberFormat="1" applyFont="1" applyFill="1" applyAlignment="1">
      <alignment horizontal="centerContinuous"/>
    </xf>
    <xf numFmtId="9" fontId="71" fillId="0" borderId="0" xfId="269" applyFont="1" applyBorder="1"/>
    <xf numFmtId="169" fontId="73" fillId="0" borderId="0" xfId="269" applyNumberFormat="1" applyFont="1" applyBorder="1"/>
    <xf numFmtId="169" fontId="73" fillId="0" borderId="0" xfId="269" applyNumberFormat="1" applyFont="1" applyFill="1" applyBorder="1"/>
    <xf numFmtId="169" fontId="88" fillId="0" borderId="0" xfId="0" applyNumberFormat="1" applyFont="1"/>
    <xf numFmtId="9" fontId="69" fillId="0" borderId="0" xfId="0" applyNumberFormat="1" applyFont="1" applyFill="1"/>
    <xf numFmtId="40" fontId="71" fillId="0" borderId="0" xfId="0" applyNumberFormat="1" applyFont="1"/>
    <xf numFmtId="40" fontId="71" fillId="0" borderId="0" xfId="0" applyNumberFormat="1" applyFont="1" applyFill="1"/>
    <xf numFmtId="4" fontId="71" fillId="0" borderId="0" xfId="158" applyNumberFormat="1" applyFont="1" applyBorder="1"/>
    <xf numFmtId="195" fontId="71" fillId="0" borderId="0" xfId="158" applyNumberFormat="1" applyFont="1" applyBorder="1"/>
    <xf numFmtId="205" fontId="71" fillId="32" borderId="0" xfId="0" applyNumberFormat="1" applyFont="1" applyFill="1" applyAlignment="1">
      <alignment horizontal="right"/>
    </xf>
    <xf numFmtId="205" fontId="71" fillId="0" borderId="0" xfId="0" applyNumberFormat="1" applyFont="1" applyAlignment="1">
      <alignment horizontal="right"/>
    </xf>
    <xf numFmtId="195" fontId="71" fillId="32" borderId="0" xfId="0" applyNumberFormat="1" applyFont="1" applyFill="1" applyAlignment="1">
      <alignment horizontal="right"/>
    </xf>
    <xf numFmtId="0" fontId="71" fillId="0" borderId="0" xfId="0" applyFont="1" applyAlignment="1">
      <alignment horizontal="right"/>
    </xf>
    <xf numFmtId="205" fontId="71" fillId="39" borderId="0" xfId="0" applyNumberFormat="1" applyFont="1" applyFill="1" applyAlignment="1">
      <alignment horizontal="right"/>
    </xf>
    <xf numFmtId="2" fontId="71" fillId="0" borderId="0" xfId="0" applyNumberFormat="1" applyFont="1" applyFill="1"/>
    <xf numFmtId="2" fontId="71" fillId="40" borderId="0" xfId="0" applyNumberFormat="1" applyFont="1" applyFill="1"/>
    <xf numFmtId="4" fontId="74" fillId="0" borderId="0" xfId="158" applyNumberFormat="1" applyFont="1" applyBorder="1"/>
    <xf numFmtId="0" fontId="74" fillId="0" borderId="0" xfId="0" applyFont="1" applyFill="1"/>
    <xf numFmtId="2" fontId="74" fillId="0" borderId="0" xfId="0" applyNumberFormat="1" applyFont="1"/>
    <xf numFmtId="2" fontId="71" fillId="0" borderId="0" xfId="0" applyNumberFormat="1" applyFont="1"/>
    <xf numFmtId="205" fontId="71" fillId="0" borderId="0" xfId="0" applyNumberFormat="1" applyFont="1"/>
    <xf numFmtId="205" fontId="71" fillId="0" borderId="0" xfId="269" applyNumberFormat="1" applyFont="1" applyBorder="1"/>
    <xf numFmtId="205" fontId="71" fillId="0" borderId="0" xfId="182" applyNumberFormat="1" applyFont="1" applyBorder="1"/>
    <xf numFmtId="205" fontId="71" fillId="0" borderId="0" xfId="158" applyNumberFormat="1" applyFont="1" applyBorder="1"/>
    <xf numFmtId="4" fontId="71" fillId="0" borderId="0" xfId="0" applyNumberFormat="1" applyFont="1"/>
    <xf numFmtId="196" fontId="71" fillId="0" borderId="0" xfId="0" applyNumberFormat="1" applyFont="1"/>
    <xf numFmtId="196" fontId="71" fillId="0" borderId="0" xfId="0" applyNumberFormat="1" applyFont="1" applyFill="1"/>
    <xf numFmtId="195" fontId="74" fillId="0" borderId="0" xfId="158" applyNumberFormat="1" applyFont="1" applyBorder="1"/>
    <xf numFmtId="195" fontId="74" fillId="0" borderId="0" xfId="158" applyNumberFormat="1" applyFont="1" applyFill="1" applyBorder="1"/>
    <xf numFmtId="9" fontId="74" fillId="31" borderId="0" xfId="269" applyFont="1" applyFill="1" applyBorder="1"/>
    <xf numFmtId="205" fontId="74" fillId="0" borderId="0" xfId="0" applyNumberFormat="1" applyFont="1"/>
    <xf numFmtId="4" fontId="74" fillId="0" borderId="0" xfId="0" applyNumberFormat="1" applyFont="1"/>
    <xf numFmtId="208" fontId="73" fillId="0" borderId="0" xfId="0" applyNumberFormat="1" applyFont="1" applyFill="1"/>
    <xf numFmtId="208" fontId="76" fillId="0" borderId="0" xfId="0" applyNumberFormat="1" applyFont="1"/>
    <xf numFmtId="9" fontId="70" fillId="0" borderId="0" xfId="269" applyFont="1" applyFill="1" applyBorder="1"/>
    <xf numFmtId="9" fontId="86" fillId="0" borderId="0" xfId="269" applyFont="1" applyFill="1" applyBorder="1"/>
    <xf numFmtId="210" fontId="70" fillId="0" borderId="0" xfId="0" applyNumberFormat="1" applyFont="1" applyFill="1"/>
    <xf numFmtId="210" fontId="71" fillId="0" borderId="0" xfId="0" applyNumberFormat="1" applyFont="1" applyFill="1"/>
    <xf numFmtId="210" fontId="74" fillId="0" borderId="0" xfId="0" applyNumberFormat="1" applyFont="1" applyFill="1"/>
    <xf numFmtId="210" fontId="69" fillId="0" borderId="0" xfId="0" applyNumberFormat="1" applyFont="1" applyFill="1"/>
    <xf numFmtId="210" fontId="70" fillId="0" borderId="0" xfId="158" applyNumberFormat="1" applyFont="1" applyFill="1" applyBorder="1"/>
    <xf numFmtId="210" fontId="71" fillId="0" borderId="0" xfId="158" applyNumberFormat="1" applyFont="1" applyFill="1" applyBorder="1"/>
    <xf numFmtId="211" fontId="71" fillId="0" borderId="0" xfId="158" applyNumberFormat="1" applyFont="1"/>
    <xf numFmtId="211" fontId="74" fillId="0" borderId="0" xfId="0" applyNumberFormat="1" applyFont="1"/>
    <xf numFmtId="210" fontId="70" fillId="0" borderId="5" xfId="0" applyNumberFormat="1" applyFont="1" applyFill="1" applyBorder="1"/>
    <xf numFmtId="176" fontId="70" fillId="0" borderId="5" xfId="0" applyNumberFormat="1" applyFont="1" applyFill="1" applyBorder="1"/>
    <xf numFmtId="38" fontId="69" fillId="0" borderId="0" xfId="158" applyNumberFormat="1" applyFont="1" applyFill="1" applyBorder="1"/>
    <xf numFmtId="40" fontId="71" fillId="0" borderId="0" xfId="158" applyNumberFormat="1" applyFont="1" applyFill="1" applyBorder="1"/>
    <xf numFmtId="169" fontId="71" fillId="0" borderId="0" xfId="158" applyNumberFormat="1" applyFont="1" applyFill="1" applyBorder="1"/>
    <xf numFmtId="175" fontId="70" fillId="0" borderId="5" xfId="158" applyNumberFormat="1" applyFont="1" applyFill="1" applyBorder="1"/>
    <xf numFmtId="38" fontId="79" fillId="0" borderId="5" xfId="158" applyNumberFormat="1" applyFont="1" applyFill="1" applyBorder="1"/>
    <xf numFmtId="169" fontId="69" fillId="0" borderId="0" xfId="158" applyNumberFormat="1" applyFont="1" applyFill="1" applyBorder="1"/>
    <xf numFmtId="38" fontId="78" fillId="0" borderId="0" xfId="158" applyNumberFormat="1" applyFont="1" applyFill="1" applyBorder="1"/>
    <xf numFmtId="38" fontId="73" fillId="0" borderId="0" xfId="158" applyNumberFormat="1" applyFont="1" applyFill="1" applyBorder="1"/>
    <xf numFmtId="208" fontId="78" fillId="0" borderId="0" xfId="158" applyNumberFormat="1" applyFont="1" applyFill="1" applyBorder="1"/>
    <xf numFmtId="176" fontId="70" fillId="0" borderId="16" xfId="0" applyNumberFormat="1" applyFont="1" applyFill="1" applyBorder="1"/>
    <xf numFmtId="208" fontId="70" fillId="0" borderId="16" xfId="0" applyNumberFormat="1" applyFont="1" applyFill="1" applyBorder="1"/>
    <xf numFmtId="0" fontId="70" fillId="0" borderId="0" xfId="261" applyFont="1" applyAlignment="1">
      <alignment horizontal="left"/>
    </xf>
    <xf numFmtId="3" fontId="71" fillId="0" borderId="0" xfId="260" applyFont="1" applyAlignment="1">
      <alignment horizontal="center"/>
    </xf>
    <xf numFmtId="0" fontId="71" fillId="25" borderId="0" xfId="0" applyFont="1" applyFill="1"/>
    <xf numFmtId="41" fontId="71" fillId="25" borderId="0" xfId="0" applyNumberFormat="1" applyFont="1" applyFill="1"/>
    <xf numFmtId="0" fontId="70" fillId="25" borderId="0" xfId="258" applyFont="1" applyFill="1"/>
    <xf numFmtId="0" fontId="71" fillId="25" borderId="0" xfId="258" applyFont="1" applyFill="1"/>
    <xf numFmtId="169" fontId="79" fillId="35" borderId="17" xfId="269" applyNumberFormat="1" applyFont="1" applyFill="1" applyBorder="1"/>
    <xf numFmtId="41" fontId="79" fillId="25" borderId="11" xfId="0" applyNumberFormat="1" applyFont="1" applyFill="1" applyBorder="1"/>
    <xf numFmtId="0" fontId="70" fillId="25" borderId="0" xfId="0" applyFont="1" applyFill="1"/>
    <xf numFmtId="169" fontId="79" fillId="35" borderId="9" xfId="269" applyNumberFormat="1" applyFont="1" applyFill="1" applyBorder="1"/>
    <xf numFmtId="169" fontId="71" fillId="25" borderId="0" xfId="0" applyNumberFormat="1" applyFont="1" applyFill="1"/>
    <xf numFmtId="195" fontId="79" fillId="35" borderId="18" xfId="158" applyNumberFormat="1" applyFont="1" applyFill="1" applyBorder="1"/>
    <xf numFmtId="169" fontId="71" fillId="25" borderId="0" xfId="269" applyNumberFormat="1" applyFont="1" applyFill="1" applyBorder="1"/>
    <xf numFmtId="0" fontId="71" fillId="33" borderId="0" xfId="0" applyFont="1" applyFill="1"/>
    <xf numFmtId="169" fontId="79" fillId="35" borderId="18" xfId="269" applyNumberFormat="1" applyFont="1" applyFill="1" applyBorder="1"/>
    <xf numFmtId="204" fontId="71" fillId="25" borderId="0" xfId="0" applyNumberFormat="1" applyFont="1" applyFill="1"/>
    <xf numFmtId="3" fontId="71" fillId="33" borderId="0" xfId="158" applyFont="1" applyFill="1" applyBorder="1"/>
    <xf numFmtId="169" fontId="79" fillId="35" borderId="11" xfId="269" applyNumberFormat="1" applyFont="1" applyFill="1" applyBorder="1"/>
    <xf numFmtId="169" fontId="70" fillId="25" borderId="0" xfId="269" applyNumberFormat="1" applyFont="1" applyFill="1" applyBorder="1"/>
    <xf numFmtId="3" fontId="71" fillId="25" borderId="0" xfId="0" applyNumberFormat="1" applyFont="1" applyFill="1"/>
    <xf numFmtId="169" fontId="71" fillId="0" borderId="38" xfId="269" applyNumberFormat="1" applyFont="1" applyFill="1" applyBorder="1"/>
    <xf numFmtId="9" fontId="71" fillId="25" borderId="0" xfId="269" applyFont="1" applyFill="1" applyBorder="1"/>
    <xf numFmtId="169" fontId="70" fillId="25" borderId="0" xfId="0" applyNumberFormat="1" applyFont="1" applyFill="1"/>
    <xf numFmtId="3" fontId="71" fillId="25" borderId="0" xfId="158" applyFont="1" applyFill="1" applyBorder="1"/>
    <xf numFmtId="3" fontId="71" fillId="41" borderId="0" xfId="0" applyNumberFormat="1" applyFont="1" applyFill="1"/>
    <xf numFmtId="1" fontId="70" fillId="25" borderId="0" xfId="0" applyNumberFormat="1" applyFont="1" applyFill="1" applyAlignment="1">
      <alignment horizontal="right"/>
    </xf>
    <xf numFmtId="1" fontId="70" fillId="25" borderId="0" xfId="0" applyNumberFormat="1" applyFont="1" applyFill="1" applyAlignment="1">
      <alignment horizontal="center"/>
    </xf>
    <xf numFmtId="0" fontId="71" fillId="0" borderId="38" xfId="0" applyFont="1" applyFill="1" applyBorder="1"/>
    <xf numFmtId="1" fontId="71" fillId="25" borderId="0" xfId="158" applyNumberFormat="1" applyFont="1" applyFill="1" applyBorder="1" applyAlignment="1">
      <alignment horizontal="right"/>
    </xf>
    <xf numFmtId="1" fontId="71" fillId="25" borderId="0" xfId="158" applyNumberFormat="1" applyFont="1" applyFill="1" applyBorder="1" applyAlignment="1">
      <alignment horizontal="center"/>
    </xf>
    <xf numFmtId="2" fontId="71" fillId="25" borderId="0" xfId="258" applyNumberFormat="1" applyFont="1" applyFill="1" applyAlignment="1">
      <alignment horizontal="right"/>
    </xf>
    <xf numFmtId="2" fontId="71" fillId="25" borderId="0" xfId="258" applyNumberFormat="1" applyFont="1" applyFill="1" applyAlignment="1">
      <alignment horizontal="center"/>
    </xf>
    <xf numFmtId="41" fontId="71" fillId="25" borderId="0" xfId="0" applyNumberFormat="1" applyFont="1" applyFill="1" applyAlignment="1">
      <alignment horizontal="right"/>
    </xf>
    <xf numFmtId="169" fontId="71" fillId="0" borderId="38" xfId="0" applyNumberFormat="1" applyFont="1" applyFill="1" applyBorder="1"/>
    <xf numFmtId="169" fontId="71" fillId="25" borderId="0" xfId="0" applyNumberFormat="1" applyFont="1" applyFill="1" applyAlignment="1">
      <alignment horizontal="right"/>
    </xf>
    <xf numFmtId="208" fontId="71" fillId="25" borderId="0" xfId="158" applyNumberFormat="1" applyFont="1" applyFill="1" applyBorder="1"/>
    <xf numFmtId="204" fontId="71" fillId="0" borderId="38" xfId="0" applyNumberFormat="1" applyFont="1" applyFill="1" applyBorder="1"/>
    <xf numFmtId="204" fontId="71" fillId="25" borderId="0" xfId="0" applyNumberFormat="1" applyFont="1" applyFill="1" applyAlignment="1">
      <alignment horizontal="right"/>
    </xf>
    <xf numFmtId="43" fontId="71" fillId="0" borderId="38" xfId="0" applyNumberFormat="1" applyFont="1" applyFill="1" applyBorder="1"/>
    <xf numFmtId="43" fontId="71" fillId="25" borderId="0" xfId="0" applyNumberFormat="1" applyFont="1" applyFill="1" applyAlignment="1">
      <alignment horizontal="right"/>
    </xf>
    <xf numFmtId="3" fontId="70" fillId="25" borderId="0" xfId="158" applyFont="1" applyFill="1" applyBorder="1"/>
    <xf numFmtId="208" fontId="70" fillId="25" borderId="0" xfId="158" applyNumberFormat="1" applyFont="1" applyFill="1" applyBorder="1"/>
    <xf numFmtId="0" fontId="71" fillId="25" borderId="0" xfId="0" applyFont="1" applyFill="1" applyAlignment="1">
      <alignment horizontal="right"/>
    </xf>
    <xf numFmtId="41" fontId="70" fillId="25" borderId="0" xfId="0" applyNumberFormat="1" applyFont="1" applyFill="1" applyAlignment="1">
      <alignment horizontal="right"/>
    </xf>
    <xf numFmtId="208" fontId="70" fillId="41" borderId="0" xfId="0" applyNumberFormat="1" applyFont="1" applyFill="1"/>
    <xf numFmtId="195" fontId="71" fillId="25" borderId="0" xfId="158" applyNumberFormat="1" applyFont="1" applyFill="1" applyBorder="1"/>
    <xf numFmtId="208" fontId="71" fillId="25" borderId="0" xfId="0" applyNumberFormat="1" applyFont="1" applyFill="1"/>
    <xf numFmtId="3" fontId="70" fillId="25" borderId="0" xfId="0" applyNumberFormat="1" applyFont="1" applyFill="1"/>
    <xf numFmtId="203" fontId="70" fillId="42" borderId="0" xfId="0" applyNumberFormat="1" applyFont="1" applyFill="1"/>
    <xf numFmtId="3" fontId="71" fillId="25" borderId="0" xfId="0" applyNumberFormat="1" applyFont="1" applyFill="1" applyAlignment="1">
      <alignment horizontal="right"/>
    </xf>
    <xf numFmtId="9" fontId="79" fillId="41" borderId="11" xfId="0" applyNumberFormat="1" applyFont="1" applyFill="1" applyBorder="1" applyAlignment="1">
      <alignment horizontal="right"/>
    </xf>
    <xf numFmtId="0" fontId="71" fillId="25" borderId="0" xfId="0" applyFont="1" applyFill="1" applyAlignment="1">
      <alignment horizontal="left"/>
    </xf>
    <xf numFmtId="0" fontId="70" fillId="25" borderId="19" xfId="0" applyFont="1" applyFill="1" applyBorder="1"/>
    <xf numFmtId="1" fontId="70" fillId="25" borderId="5" xfId="0" applyNumberFormat="1" applyFont="1" applyFill="1" applyBorder="1" applyAlignment="1">
      <alignment horizontal="right"/>
    </xf>
    <xf numFmtId="0" fontId="71" fillId="25" borderId="5" xfId="0" applyFont="1" applyFill="1" applyBorder="1"/>
    <xf numFmtId="0" fontId="70" fillId="25" borderId="5" xfId="0" applyFont="1" applyFill="1" applyBorder="1"/>
    <xf numFmtId="0" fontId="71" fillId="25" borderId="5" xfId="0" applyFont="1" applyFill="1" applyBorder="1" applyAlignment="1">
      <alignment horizontal="right"/>
    </xf>
    <xf numFmtId="0" fontId="71" fillId="25" borderId="20" xfId="0" applyFont="1" applyFill="1" applyBorder="1" applyAlignment="1">
      <alignment horizontal="right"/>
    </xf>
    <xf numFmtId="0" fontId="71" fillId="25" borderId="21" xfId="0" applyFont="1" applyFill="1" applyBorder="1"/>
    <xf numFmtId="208" fontId="71" fillId="41" borderId="0" xfId="0" applyNumberFormat="1" applyFont="1" applyFill="1"/>
    <xf numFmtId="37" fontId="71" fillId="41" borderId="0" xfId="0" applyNumberFormat="1" applyFont="1" applyFill="1"/>
    <xf numFmtId="0" fontId="71" fillId="41" borderId="0" xfId="0" applyFont="1" applyFill="1"/>
    <xf numFmtId="0" fontId="71" fillId="25" borderId="22" xfId="0" applyFont="1" applyFill="1" applyBorder="1"/>
    <xf numFmtId="37" fontId="71" fillId="25" borderId="0" xfId="0" applyNumberFormat="1" applyFont="1" applyFill="1"/>
    <xf numFmtId="9" fontId="71" fillId="41" borderId="0" xfId="0" applyNumberFormat="1" applyFont="1" applyFill="1"/>
    <xf numFmtId="9" fontId="71" fillId="41" borderId="0" xfId="269" applyFont="1" applyFill="1" applyBorder="1" applyAlignment="1">
      <alignment vertical="center"/>
    </xf>
    <xf numFmtId="9" fontId="71" fillId="41" borderId="0" xfId="269" applyFont="1" applyFill="1" applyBorder="1"/>
    <xf numFmtId="208" fontId="69" fillId="25" borderId="0" xfId="158" applyNumberFormat="1" applyFont="1" applyFill="1" applyBorder="1"/>
    <xf numFmtId="169" fontId="89" fillId="41" borderId="0" xfId="0" applyNumberFormat="1" applyFont="1" applyFill="1"/>
    <xf numFmtId="169" fontId="90" fillId="41" borderId="0" xfId="0" applyNumberFormat="1" applyFont="1" applyFill="1"/>
    <xf numFmtId="169" fontId="70" fillId="41" borderId="0" xfId="269" applyNumberFormat="1" applyFont="1" applyFill="1" applyBorder="1"/>
    <xf numFmtId="169" fontId="71" fillId="41" borderId="22" xfId="269" applyNumberFormat="1" applyFont="1" applyFill="1" applyBorder="1"/>
    <xf numFmtId="0" fontId="70" fillId="41" borderId="0" xfId="0" applyFont="1" applyFill="1" applyAlignment="1">
      <alignment horizontal="left" vertical="top"/>
    </xf>
    <xf numFmtId="169" fontId="90" fillId="35" borderId="23" xfId="0" applyNumberFormat="1" applyFont="1" applyFill="1" applyBorder="1"/>
    <xf numFmtId="169" fontId="79" fillId="35" borderId="24" xfId="0" applyNumberFormat="1" applyFont="1" applyFill="1" applyBorder="1"/>
    <xf numFmtId="169" fontId="70" fillId="0" borderId="9" xfId="269" applyNumberFormat="1" applyFont="1" applyFill="1" applyBorder="1"/>
    <xf numFmtId="204" fontId="71" fillId="41" borderId="0" xfId="0" applyNumberFormat="1" applyFont="1" applyFill="1"/>
    <xf numFmtId="2" fontId="71" fillId="25" borderId="0" xfId="0" applyNumberFormat="1" applyFont="1" applyFill="1"/>
    <xf numFmtId="0" fontId="70" fillId="25" borderId="21" xfId="0" applyFont="1" applyFill="1" applyBorder="1"/>
    <xf numFmtId="9" fontId="74" fillId="0" borderId="22" xfId="0" applyNumberFormat="1" applyFont="1" applyFill="1" applyBorder="1"/>
    <xf numFmtId="41" fontId="71" fillId="25" borderId="22" xfId="0" applyNumberFormat="1" applyFont="1" applyFill="1" applyBorder="1"/>
    <xf numFmtId="208" fontId="71" fillId="25" borderId="0" xfId="269" applyNumberFormat="1" applyFont="1" applyFill="1" applyBorder="1"/>
    <xf numFmtId="195" fontId="71" fillId="41" borderId="0" xfId="158" applyNumberFormat="1" applyFont="1" applyFill="1" applyBorder="1"/>
    <xf numFmtId="208" fontId="71" fillId="41" borderId="0" xfId="158" applyNumberFormat="1" applyFont="1" applyFill="1" applyBorder="1"/>
    <xf numFmtId="195" fontId="71" fillId="25" borderId="0" xfId="0" applyNumberFormat="1" applyFont="1" applyFill="1"/>
    <xf numFmtId="208" fontId="82" fillId="41" borderId="0" xfId="158" applyNumberFormat="1" applyFont="1" applyFill="1" applyBorder="1"/>
    <xf numFmtId="169" fontId="71" fillId="41" borderId="0" xfId="269" applyNumberFormat="1" applyFont="1" applyFill="1" applyBorder="1"/>
    <xf numFmtId="0" fontId="71" fillId="25" borderId="25" xfId="0" applyFont="1" applyFill="1" applyBorder="1"/>
    <xf numFmtId="169" fontId="71" fillId="41" borderId="15" xfId="269" applyNumberFormat="1" applyFont="1" applyFill="1" applyBorder="1"/>
    <xf numFmtId="0" fontId="71" fillId="41" borderId="15" xfId="0" applyFont="1" applyFill="1" applyBorder="1"/>
    <xf numFmtId="0" fontId="71" fillId="25" borderId="15" xfId="0" applyFont="1" applyFill="1" applyBorder="1"/>
    <xf numFmtId="0" fontId="71" fillId="41" borderId="26" xfId="0" applyFont="1" applyFill="1" applyBorder="1"/>
    <xf numFmtId="43" fontId="71" fillId="25" borderId="0" xfId="0" applyNumberFormat="1" applyFont="1" applyFill="1"/>
    <xf numFmtId="0" fontId="70" fillId="25" borderId="27" xfId="0" applyFont="1" applyFill="1" applyBorder="1"/>
    <xf numFmtId="0" fontId="71" fillId="25" borderId="28" xfId="0" applyFont="1" applyFill="1" applyBorder="1"/>
    <xf numFmtId="0" fontId="71" fillId="25" borderId="29" xfId="0" applyFont="1" applyFill="1" applyBorder="1"/>
    <xf numFmtId="0" fontId="70" fillId="25" borderId="30" xfId="0" applyFont="1" applyFill="1" applyBorder="1"/>
    <xf numFmtId="0" fontId="71" fillId="25" borderId="31" xfId="0" applyFont="1" applyFill="1" applyBorder="1"/>
    <xf numFmtId="0" fontId="71" fillId="25" borderId="30" xfId="0" applyFont="1" applyFill="1" applyBorder="1"/>
    <xf numFmtId="41" fontId="71" fillId="25" borderId="0" xfId="158" applyNumberFormat="1" applyFont="1" applyFill="1" applyBorder="1"/>
    <xf numFmtId="41" fontId="70" fillId="25" borderId="0" xfId="158" applyNumberFormat="1" applyFont="1" applyFill="1" applyBorder="1"/>
    <xf numFmtId="0" fontId="71" fillId="25" borderId="30" xfId="258" applyFont="1" applyFill="1" applyBorder="1"/>
    <xf numFmtId="4" fontId="71" fillId="25" borderId="0" xfId="158" applyNumberFormat="1" applyFont="1" applyFill="1" applyBorder="1"/>
    <xf numFmtId="164" fontId="71" fillId="25" borderId="0" xfId="182" applyFont="1" applyFill="1" applyBorder="1"/>
    <xf numFmtId="0" fontId="71" fillId="25" borderId="32" xfId="0" applyFont="1" applyFill="1" applyBorder="1"/>
    <xf numFmtId="0" fontId="71" fillId="25" borderId="33" xfId="0" applyFont="1" applyFill="1" applyBorder="1"/>
    <xf numFmtId="0" fontId="71" fillId="25" borderId="34" xfId="0" applyFont="1" applyFill="1" applyBorder="1"/>
    <xf numFmtId="208" fontId="70" fillId="25" borderId="0" xfId="0" applyNumberFormat="1" applyFont="1" applyFill="1"/>
    <xf numFmtId="208" fontId="70" fillId="25" borderId="5" xfId="158" applyNumberFormat="1" applyFont="1" applyFill="1" applyBorder="1"/>
    <xf numFmtId="208" fontId="71" fillId="25" borderId="15" xfId="158" applyNumberFormat="1" applyFont="1" applyFill="1" applyBorder="1"/>
    <xf numFmtId="208" fontId="71" fillId="0" borderId="38" xfId="0" applyNumberFormat="1" applyFont="1" applyFill="1" applyBorder="1"/>
    <xf numFmtId="208" fontId="71" fillId="0" borderId="38" xfId="158" applyNumberFormat="1" applyFont="1" applyFill="1" applyBorder="1"/>
    <xf numFmtId="208" fontId="70" fillId="0" borderId="38" xfId="0" applyNumberFormat="1" applyFont="1" applyFill="1" applyBorder="1"/>
    <xf numFmtId="208" fontId="71" fillId="41" borderId="0" xfId="0" applyNumberFormat="1" applyFont="1" applyFill="1" applyAlignment="1">
      <alignment vertical="center"/>
    </xf>
    <xf numFmtId="208" fontId="71" fillId="25" borderId="22" xfId="0" applyNumberFormat="1" applyFont="1" applyFill="1" applyBorder="1"/>
    <xf numFmtId="208" fontId="71" fillId="25" borderId="0" xfId="0" applyNumberFormat="1" applyFont="1" applyFill="1" applyAlignment="1">
      <alignment vertical="center"/>
    </xf>
    <xf numFmtId="0" fontId="71" fillId="0" borderId="0" xfId="0" quotePrefix="1" applyFont="1" applyAlignment="1">
      <alignment horizontal="left" indent="1"/>
    </xf>
    <xf numFmtId="0" fontId="76" fillId="0" borderId="0" xfId="0" applyFont="1" applyFill="1"/>
    <xf numFmtId="3" fontId="82" fillId="0" borderId="0" xfId="260" applyFont="1"/>
    <xf numFmtId="208" fontId="69" fillId="37" borderId="0" xfId="158" applyNumberFormat="1" applyFont="1" applyFill="1" applyBorder="1"/>
    <xf numFmtId="169" fontId="69" fillId="0" borderId="0" xfId="0" applyNumberFormat="1" applyFont="1" applyFill="1"/>
    <xf numFmtId="38" fontId="70" fillId="0" borderId="0" xfId="158" applyNumberFormat="1" applyFont="1" applyFill="1" applyBorder="1" applyAlignment="1">
      <alignment horizontal="left"/>
    </xf>
    <xf numFmtId="3" fontId="69" fillId="37" borderId="0" xfId="0" applyNumberFormat="1" applyFont="1" applyFill="1"/>
    <xf numFmtId="0" fontId="71" fillId="0" borderId="5" xfId="0" applyFont="1" applyBorder="1"/>
    <xf numFmtId="175" fontId="71" fillId="0" borderId="0" xfId="158" applyNumberFormat="1" applyFont="1" applyFill="1" applyBorder="1" applyAlignment="1">
      <alignment horizontal="left" indent="1"/>
    </xf>
    <xf numFmtId="9" fontId="70" fillId="0" borderId="5" xfId="269" applyFont="1" applyFill="1" applyBorder="1"/>
    <xf numFmtId="0" fontId="91" fillId="0" borderId="0" xfId="0" applyFont="1" applyFill="1"/>
    <xf numFmtId="9" fontId="70" fillId="0" borderId="5" xfId="0" applyNumberFormat="1" applyFont="1" applyBorder="1"/>
    <xf numFmtId="3" fontId="82" fillId="0" borderId="0" xfId="158" applyFont="1" applyFill="1" applyBorder="1"/>
    <xf numFmtId="176" fontId="70" fillId="0" borderId="5" xfId="260" applyNumberFormat="1" applyFont="1" applyBorder="1" applyAlignment="1">
      <alignment horizontal="left"/>
    </xf>
    <xf numFmtId="208" fontId="70" fillId="0" borderId="5" xfId="158" applyNumberFormat="1" applyFont="1" applyFill="1" applyBorder="1" applyAlignment="1">
      <alignment horizontal="right"/>
    </xf>
    <xf numFmtId="209" fontId="71" fillId="0" borderId="0" xfId="0" applyNumberFormat="1" applyFont="1" applyFill="1"/>
    <xf numFmtId="211" fontId="71" fillId="25" borderId="0" xfId="158" applyNumberFormat="1" applyFont="1" applyFill="1" applyBorder="1"/>
    <xf numFmtId="0" fontId="71" fillId="0" borderId="0" xfId="0" quotePrefix="1" applyFont="1" applyFill="1" applyAlignment="1">
      <alignment horizontal="left" indent="1"/>
    </xf>
    <xf numFmtId="3" fontId="71" fillId="25" borderId="0" xfId="158" applyFont="1" applyFill="1" applyBorder="1" applyAlignment="1">
      <alignment horizontal="right"/>
    </xf>
    <xf numFmtId="195" fontId="70" fillId="25" borderId="0" xfId="158" applyNumberFormat="1" applyFont="1" applyFill="1" applyBorder="1"/>
    <xf numFmtId="169" fontId="90" fillId="35" borderId="35" xfId="0" applyNumberFormat="1" applyFont="1" applyFill="1" applyBorder="1"/>
    <xf numFmtId="10" fontId="79" fillId="35" borderId="11" xfId="0" applyNumberFormat="1" applyFont="1" applyFill="1" applyBorder="1"/>
    <xf numFmtId="195" fontId="71" fillId="0" borderId="0" xfId="260" applyNumberFormat="1" applyFont="1"/>
    <xf numFmtId="3" fontId="70" fillId="0" borderId="0" xfId="260" applyFont="1"/>
    <xf numFmtId="208" fontId="92" fillId="0" borderId="0" xfId="260" applyNumberFormat="1" applyFont="1"/>
    <xf numFmtId="208" fontId="70" fillId="0" borderId="0" xfId="260" applyNumberFormat="1" applyFont="1"/>
    <xf numFmtId="208" fontId="92" fillId="0" borderId="0" xfId="158" applyNumberFormat="1" applyFont="1" applyFill="1" applyBorder="1"/>
    <xf numFmtId="3" fontId="70" fillId="0" borderId="0" xfId="260" applyFont="1" applyAlignment="1">
      <alignment horizontal="left" indent="1"/>
    </xf>
    <xf numFmtId="3" fontId="71" fillId="0" borderId="0" xfId="260" applyFont="1" applyAlignment="1">
      <alignment horizontal="left" indent="1"/>
    </xf>
    <xf numFmtId="208" fontId="79" fillId="0" borderId="0" xfId="158" applyNumberFormat="1" applyFont="1" applyFill="1" applyBorder="1"/>
    <xf numFmtId="10" fontId="70" fillId="25" borderId="0" xfId="269" applyNumberFormat="1" applyFont="1" applyFill="1" applyBorder="1" applyAlignment="1">
      <alignment horizontal="center"/>
    </xf>
    <xf numFmtId="3" fontId="70" fillId="25" borderId="0" xfId="0" applyNumberFormat="1" applyFont="1" applyFill="1" applyAlignment="1">
      <alignment horizontal="center"/>
    </xf>
    <xf numFmtId="9" fontId="82" fillId="0" borderId="0" xfId="269" applyFont="1" applyFill="1" applyBorder="1"/>
    <xf numFmtId="211" fontId="71" fillId="0" borderId="0" xfId="269" applyNumberFormat="1" applyFont="1" applyFill="1" applyBorder="1"/>
    <xf numFmtId="38" fontId="70" fillId="36" borderId="0" xfId="158" applyNumberFormat="1" applyFont="1" applyFill="1" applyBorder="1"/>
    <xf numFmtId="38" fontId="71" fillId="36" borderId="0" xfId="158" applyNumberFormat="1" applyFont="1" applyFill="1" applyBorder="1"/>
    <xf numFmtId="38" fontId="7" fillId="36" borderId="0" xfId="211" applyNumberFormat="1" applyFill="1" applyBorder="1" applyAlignment="1" applyProtection="1"/>
    <xf numFmtId="9" fontId="70" fillId="0" borderId="0" xfId="158" applyNumberFormat="1" applyFont="1" applyFill="1" applyBorder="1"/>
    <xf numFmtId="9" fontId="71" fillId="25" borderId="0" xfId="0" applyNumberFormat="1" applyFont="1" applyFill="1" applyAlignment="1">
      <alignment horizontal="right"/>
    </xf>
    <xf numFmtId="38" fontId="71" fillId="0" borderId="0" xfId="158" quotePrefix="1" applyNumberFormat="1" applyFont="1" applyFill="1" applyBorder="1"/>
    <xf numFmtId="38" fontId="70" fillId="36" borderId="0" xfId="158" applyNumberFormat="1" applyFont="1" applyFill="1" applyBorder="1" applyAlignment="1">
      <alignment horizontal="center"/>
    </xf>
    <xf numFmtId="203" fontId="71" fillId="40" borderId="0" xfId="0" applyNumberFormat="1" applyFont="1" applyFill="1"/>
    <xf numFmtId="9" fontId="71" fillId="25" borderId="0" xfId="0" applyNumberFormat="1" applyFont="1" applyFill="1"/>
    <xf numFmtId="4" fontId="71" fillId="0" borderId="0" xfId="158" applyNumberFormat="1" applyFont="1"/>
    <xf numFmtId="14" fontId="71" fillId="0" borderId="0" xfId="0" applyNumberFormat="1" applyFont="1"/>
    <xf numFmtId="208" fontId="70" fillId="34" borderId="0" xfId="0" applyNumberFormat="1" applyFont="1" applyFill="1" applyAlignment="1">
      <alignment horizontal="right"/>
    </xf>
    <xf numFmtId="9" fontId="70" fillId="0" borderId="0" xfId="269" applyFont="1" applyBorder="1"/>
    <xf numFmtId="9" fontId="71" fillId="0" borderId="0" xfId="269" applyFont="1"/>
    <xf numFmtId="9" fontId="71" fillId="25" borderId="0" xfId="269" applyFont="1" applyFill="1" applyBorder="1" applyAlignment="1">
      <alignment horizontal="right"/>
    </xf>
    <xf numFmtId="9" fontId="71" fillId="36" borderId="0" xfId="269" applyFont="1" applyFill="1"/>
    <xf numFmtId="169" fontId="70" fillId="0" borderId="0" xfId="269" applyNumberFormat="1" applyFont="1" applyFill="1" applyBorder="1" applyAlignment="1">
      <alignment horizontal="right"/>
    </xf>
    <xf numFmtId="208" fontId="69" fillId="43" borderId="0" xfId="0" applyNumberFormat="1" applyFont="1" applyFill="1"/>
    <xf numFmtId="169" fontId="71" fillId="0" borderId="0" xfId="269" applyNumberFormat="1" applyFont="1" applyFill="1"/>
    <xf numFmtId="4" fontId="71" fillId="34" borderId="0" xfId="158" applyNumberFormat="1" applyFont="1" applyFill="1" applyBorder="1"/>
    <xf numFmtId="213" fontId="71" fillId="0" borderId="0" xfId="0" applyNumberFormat="1" applyFont="1" applyFill="1"/>
    <xf numFmtId="169" fontId="74" fillId="43" borderId="0" xfId="0" applyNumberFormat="1" applyFont="1" applyFill="1"/>
    <xf numFmtId="195" fontId="82" fillId="0" borderId="0" xfId="158" applyNumberFormat="1" applyFont="1" applyFill="1" applyBorder="1"/>
    <xf numFmtId="9" fontId="82" fillId="31" borderId="0" xfId="269" applyFont="1" applyFill="1" applyBorder="1"/>
    <xf numFmtId="3" fontId="70" fillId="0" borderId="36" xfId="158" applyFont="1" applyFill="1" applyBorder="1"/>
    <xf numFmtId="3" fontId="70" fillId="0" borderId="37" xfId="158" applyFont="1" applyFill="1" applyBorder="1"/>
    <xf numFmtId="9" fontId="73" fillId="0" borderId="0" xfId="158" applyNumberFormat="1" applyFont="1" applyFill="1" applyBorder="1"/>
    <xf numFmtId="37" fontId="70" fillId="0" borderId="0" xfId="158" applyNumberFormat="1" applyFont="1" applyFill="1" applyBorder="1"/>
    <xf numFmtId="39" fontId="71" fillId="0" borderId="0" xfId="158" applyNumberFormat="1" applyFont="1" applyFill="1" applyBorder="1"/>
    <xf numFmtId="212" fontId="71" fillId="0" borderId="0" xfId="158" applyNumberFormat="1" applyFont="1" applyFill="1" applyBorder="1"/>
    <xf numFmtId="10" fontId="71" fillId="0" borderId="0" xfId="158" applyNumberFormat="1" applyFont="1" applyBorder="1"/>
    <xf numFmtId="0" fontId="71" fillId="0" borderId="0" xfId="260" applyNumberFormat="1" applyFont="1"/>
    <xf numFmtId="208" fontId="108" fillId="0" borderId="0" xfId="158" applyNumberFormat="1" applyFont="1"/>
    <xf numFmtId="9" fontId="70" fillId="34" borderId="0" xfId="269" applyFont="1" applyFill="1" applyAlignment="1">
      <alignment horizontal="right"/>
    </xf>
    <xf numFmtId="208" fontId="71" fillId="39" borderId="38" xfId="0" applyNumberFormat="1" applyFont="1" applyFill="1" applyBorder="1"/>
    <xf numFmtId="38" fontId="70" fillId="39" borderId="0" xfId="158" applyNumberFormat="1" applyFont="1" applyFill="1" applyBorder="1"/>
    <xf numFmtId="9" fontId="81" fillId="0" borderId="0" xfId="158" applyNumberFormat="1" applyFont="1" applyFill="1" applyBorder="1"/>
    <xf numFmtId="208" fontId="69" fillId="35" borderId="0" xfId="0" applyNumberFormat="1" applyFont="1" applyFill="1"/>
    <xf numFmtId="208" fontId="69" fillId="39" borderId="0" xfId="158" applyNumberFormat="1" applyFont="1" applyFill="1" applyBorder="1"/>
    <xf numFmtId="208" fontId="71" fillId="39" borderId="0" xfId="158" applyNumberFormat="1" applyFont="1" applyFill="1" applyBorder="1"/>
    <xf numFmtId="9" fontId="71" fillId="25" borderId="0" xfId="269" applyFont="1" applyFill="1"/>
    <xf numFmtId="208" fontId="79" fillId="0" borderId="5" xfId="158" applyNumberFormat="1" applyFont="1" applyFill="1" applyBorder="1"/>
    <xf numFmtId="208" fontId="69" fillId="0" borderId="0" xfId="158" applyNumberFormat="1" applyFont="1" applyFill="1" applyBorder="1" applyAlignment="1">
      <alignment horizontal="right"/>
    </xf>
    <xf numFmtId="208" fontId="79" fillId="0" borderId="5" xfId="0" applyNumberFormat="1" applyFont="1" applyBorder="1"/>
    <xf numFmtId="208" fontId="79" fillId="0" borderId="0" xfId="0" applyNumberFormat="1" applyFont="1" applyFill="1"/>
    <xf numFmtId="210" fontId="79" fillId="0" borderId="0" xfId="0" applyNumberFormat="1" applyFont="1" applyFill="1"/>
    <xf numFmtId="179" fontId="69" fillId="0" borderId="0" xfId="158" applyNumberFormat="1" applyFont="1" applyFill="1" applyBorder="1"/>
    <xf numFmtId="208" fontId="79" fillId="0" borderId="5" xfId="0" applyNumberFormat="1" applyFont="1" applyFill="1" applyBorder="1"/>
    <xf numFmtId="37" fontId="79" fillId="0" borderId="0" xfId="158" applyNumberFormat="1" applyFont="1" applyBorder="1"/>
    <xf numFmtId="212" fontId="69" fillId="0" borderId="0" xfId="158" applyNumberFormat="1" applyFont="1" applyBorder="1"/>
    <xf numFmtId="208" fontId="76" fillId="0" borderId="5" xfId="0" applyNumberFormat="1" applyFont="1" applyBorder="1"/>
    <xf numFmtId="169" fontId="74" fillId="37" borderId="0" xfId="269" applyNumberFormat="1" applyFont="1" applyFill="1" applyBorder="1"/>
    <xf numFmtId="9" fontId="80" fillId="37" borderId="0" xfId="269" applyFont="1" applyFill="1"/>
    <xf numFmtId="41" fontId="70" fillId="25" borderId="0" xfId="0" applyNumberFormat="1" applyFont="1" applyFill="1"/>
    <xf numFmtId="209" fontId="69" fillId="0" borderId="0" xfId="158" applyNumberFormat="1" applyFont="1" applyBorder="1"/>
    <xf numFmtId="37" fontId="71" fillId="35" borderId="0" xfId="158" applyNumberFormat="1" applyFont="1" applyFill="1" applyBorder="1"/>
    <xf numFmtId="9" fontId="71" fillId="0" borderId="0" xfId="260" applyNumberFormat="1" applyFont="1"/>
    <xf numFmtId="231" fontId="71" fillId="0" borderId="0" xfId="158" applyNumberFormat="1" applyFont="1" applyFill="1" applyBorder="1"/>
    <xf numFmtId="0" fontId="71" fillId="0" borderId="0" xfId="158" applyNumberFormat="1" applyFont="1" applyFill="1" applyBorder="1"/>
    <xf numFmtId="232" fontId="71" fillId="0" borderId="0" xfId="158" applyNumberFormat="1" applyFont="1" applyFill="1" applyBorder="1"/>
    <xf numFmtId="0" fontId="70" fillId="0" borderId="0" xfId="0" applyFont="1" applyAlignment="1">
      <alignment horizontal="center"/>
    </xf>
  </cellXfs>
  <cellStyles count="321">
    <cellStyle name="—" xfId="1" xr:uid="{00000000-0005-0000-0000-000000000000}"/>
    <cellStyle name="(1,000)" xfId="2" xr:uid="{00000000-0005-0000-0000-000001000000}"/>
    <cellStyle name="(1,000)x" xfId="3" xr:uid="{00000000-0005-0000-0000-000002000000}"/>
    <cellStyle name="?? [0]_VERA" xfId="4" xr:uid="{00000000-0005-0000-0000-000003000000}"/>
    <cellStyle name="?????_VERA" xfId="5" xr:uid="{00000000-0005-0000-0000-000004000000}"/>
    <cellStyle name="??_VERA" xfId="6" xr:uid="{00000000-0005-0000-0000-000005000000}"/>
    <cellStyle name="—_Crib sheet" xfId="7" xr:uid="{00000000-0005-0000-0000-000006000000}"/>
    <cellStyle name="—_Crib sheet_DATANG" xfId="8" xr:uid="{00000000-0005-0000-0000-000007000000}"/>
    <cellStyle name="—_Crib sheet_DATANG 2" xfId="9" xr:uid="{00000000-0005-0000-0000-000008000000}"/>
    <cellStyle name="—_Crib sheet_DCF ANALYSIS" xfId="10" xr:uid="{00000000-0005-0000-0000-000009000000}"/>
    <cellStyle name="—_Crib sheet_DCF ANALYSIS 2" xfId="11" xr:uid="{00000000-0005-0000-0000-00000A000000}"/>
    <cellStyle name="—_Crib sheet_DCF ANALYSIS_CL&amp;P" xfId="12" xr:uid="{00000000-0005-0000-0000-00000B000000}"/>
    <cellStyle name="—_Crib sheet_DCF ANALYSIS_CL&amp;P 2" xfId="13" xr:uid="{00000000-0005-0000-0000-00000C000000}"/>
    <cellStyle name="—_Crib sheet_HKG" xfId="14" xr:uid="{00000000-0005-0000-0000-00000D000000}"/>
    <cellStyle name="—_Crib sheet_MERB" xfId="15" xr:uid="{00000000-0005-0000-0000-00000E000000}"/>
    <cellStyle name="—_Crib sheet_Valuation (2)" xfId="16" xr:uid="{00000000-0005-0000-0000-00000F000000}"/>
    <cellStyle name="—_DCF ANALYSIS" xfId="17" xr:uid="{00000000-0005-0000-0000-000010000000}"/>
    <cellStyle name="—_KEPCO" xfId="18" xr:uid="{00000000-0005-0000-0000-000011000000}"/>
    <cellStyle name="—_MERB" xfId="19" xr:uid="{00000000-0005-0000-0000-000012000000}"/>
    <cellStyle name="—_Performance" xfId="20" xr:uid="{00000000-0005-0000-0000-000013000000}"/>
    <cellStyle name="—_Performance_DATANG" xfId="21" xr:uid="{00000000-0005-0000-0000-000014000000}"/>
    <cellStyle name="—_Performance_DATANG 2" xfId="22" xr:uid="{00000000-0005-0000-0000-000015000000}"/>
    <cellStyle name="—_Performance_DCF ANALYSIS" xfId="23" xr:uid="{00000000-0005-0000-0000-000016000000}"/>
    <cellStyle name="—_Performance_DCF ANALYSIS 2" xfId="24" xr:uid="{00000000-0005-0000-0000-000017000000}"/>
    <cellStyle name="—_Performance_DCF ANALYSIS_CL&amp;P" xfId="25" xr:uid="{00000000-0005-0000-0000-000018000000}"/>
    <cellStyle name="—_Performance_DCF ANALYSIS_CL&amp;P 2" xfId="26" xr:uid="{00000000-0005-0000-0000-000019000000}"/>
    <cellStyle name="—_Performance_HKG" xfId="27" xr:uid="{00000000-0005-0000-0000-00001A000000}"/>
    <cellStyle name="—_Performance_MERB" xfId="28" xr:uid="{00000000-0005-0000-0000-00001B000000}"/>
    <cellStyle name="—_Performance_Valuation (2)" xfId="29" xr:uid="{00000000-0005-0000-0000-00001C000000}"/>
    <cellStyle name="—_Results" xfId="30" xr:uid="{00000000-0005-0000-0000-00001D000000}"/>
    <cellStyle name="—_Results_BS" xfId="31" xr:uid="{00000000-0005-0000-0000-00001E000000}"/>
    <cellStyle name="—_Results_BS 2" xfId="32" xr:uid="{00000000-0005-0000-0000-00001F000000}"/>
    <cellStyle name="—_Results_CPI2" xfId="33" xr:uid="{00000000-0005-0000-0000-000020000000}"/>
    <cellStyle name="—_Results_CPI2 2" xfId="34" xr:uid="{00000000-0005-0000-0000-000021000000}"/>
    <cellStyle name="—_Results_CRPower1" xfId="35" xr:uid="{00000000-0005-0000-0000-000022000000}"/>
    <cellStyle name="—_Results_CRPower1 2" xfId="36" xr:uid="{00000000-0005-0000-0000-000023000000}"/>
    <cellStyle name="—_Results_Datang2" xfId="37" xr:uid="{00000000-0005-0000-0000-000024000000}"/>
    <cellStyle name="—_Results_Datang21" xfId="38" xr:uid="{00000000-0005-0000-0000-000025000000}"/>
    <cellStyle name="—_Results_DCF" xfId="39" xr:uid="{00000000-0005-0000-0000-000026000000}"/>
    <cellStyle name="—_Results_HKG" xfId="40" xr:uid="{00000000-0005-0000-0000-000027000000}"/>
    <cellStyle name="—_Results_KEPCO" xfId="41" xr:uid="{00000000-0005-0000-0000-000028000000}"/>
    <cellStyle name="—_Results_MERB" xfId="42" xr:uid="{00000000-0005-0000-0000-000029000000}"/>
    <cellStyle name="—_Results_SIPD" xfId="43" xr:uid="{00000000-0005-0000-0000-00002A000000}"/>
    <cellStyle name="—_Results_SIPD 2" xfId="44" xr:uid="{00000000-0005-0000-0000-00002B000000}"/>
    <cellStyle name="—_Results_SIPD16" xfId="45" xr:uid="{00000000-0005-0000-0000-00002C000000}"/>
    <cellStyle name="—_Results_SIPD16 2" xfId="46" xr:uid="{00000000-0005-0000-0000-00002D000000}"/>
    <cellStyle name="—_Results_SIPD19" xfId="47" xr:uid="{00000000-0005-0000-0000-00002E000000}"/>
    <cellStyle name="—_Results_SIPD19 2" xfId="48" xr:uid="{00000000-0005-0000-0000-00002F000000}"/>
    <cellStyle name="—_Results_SIPD20" xfId="49" xr:uid="{00000000-0005-0000-0000-000030000000}"/>
    <cellStyle name="—_Results_SIPD20 2" xfId="50" xr:uid="{00000000-0005-0000-0000-000031000000}"/>
    <cellStyle name="—_Results_SIPD20a" xfId="51" xr:uid="{00000000-0005-0000-0000-000032000000}"/>
    <cellStyle name="—_Results_SIPD20a 2" xfId="52" xr:uid="{00000000-0005-0000-0000-000033000000}"/>
    <cellStyle name="—_Valuation (2)" xfId="53" xr:uid="{00000000-0005-0000-0000-000034000000}"/>
    <cellStyle name="=C:\WINNT\SYSTEM32\COMMAND.COM" xfId="54" xr:uid="{00000000-0005-0000-0000-000035000000}"/>
    <cellStyle name="1,000" xfId="55" xr:uid="{00000000-0005-0000-0000-000036000000}"/>
    <cellStyle name="1,000x" xfId="56" xr:uid="{00000000-0005-0000-0000-000037000000}"/>
    <cellStyle name="20% - Accent1 2" xfId="57" xr:uid="{00000000-0005-0000-0000-000038000000}"/>
    <cellStyle name="20% - Accent1 3" xfId="58" xr:uid="{00000000-0005-0000-0000-000039000000}"/>
    <cellStyle name="20% - Accent2 2" xfId="59" xr:uid="{00000000-0005-0000-0000-00003A000000}"/>
    <cellStyle name="20% - Accent2 3" xfId="60" xr:uid="{00000000-0005-0000-0000-00003B000000}"/>
    <cellStyle name="20% - Accent3 2" xfId="61" xr:uid="{00000000-0005-0000-0000-00003C000000}"/>
    <cellStyle name="20% - Accent3 3" xfId="62" xr:uid="{00000000-0005-0000-0000-00003D000000}"/>
    <cellStyle name="20% - Accent4 2" xfId="63" xr:uid="{00000000-0005-0000-0000-00003E000000}"/>
    <cellStyle name="20% - Accent4 3" xfId="64" xr:uid="{00000000-0005-0000-0000-00003F000000}"/>
    <cellStyle name="20% - Accent5 2" xfId="65" xr:uid="{00000000-0005-0000-0000-000040000000}"/>
    <cellStyle name="20% - Accent5 3" xfId="66" xr:uid="{00000000-0005-0000-0000-000041000000}"/>
    <cellStyle name="20% - Accent6 2" xfId="67" xr:uid="{00000000-0005-0000-0000-000042000000}"/>
    <cellStyle name="20% - Accent6 3" xfId="68" xr:uid="{00000000-0005-0000-0000-000043000000}"/>
    <cellStyle name="20% - Ênfase1" xfId="69" xr:uid="{00000000-0005-0000-0000-000044000000}"/>
    <cellStyle name="20% - Ênfase2" xfId="70" xr:uid="{00000000-0005-0000-0000-000045000000}"/>
    <cellStyle name="20% - Ênfase3" xfId="71" xr:uid="{00000000-0005-0000-0000-000046000000}"/>
    <cellStyle name="20% - Ênfase4" xfId="72" xr:uid="{00000000-0005-0000-0000-000047000000}"/>
    <cellStyle name="20% - Ênfase5" xfId="73" xr:uid="{00000000-0005-0000-0000-000048000000}"/>
    <cellStyle name="20% - Ênfase6" xfId="74" xr:uid="{00000000-0005-0000-0000-000049000000}"/>
    <cellStyle name="20% - Énfasis1" xfId="75" xr:uid="{00000000-0005-0000-0000-00004A000000}"/>
    <cellStyle name="20% - Énfasis2" xfId="76" xr:uid="{00000000-0005-0000-0000-00004B000000}"/>
    <cellStyle name="20% - Énfasis3" xfId="77" xr:uid="{00000000-0005-0000-0000-00004C000000}"/>
    <cellStyle name="20% - Énfasis4" xfId="78" xr:uid="{00000000-0005-0000-0000-00004D000000}"/>
    <cellStyle name="20% - Énfasis5" xfId="79" xr:uid="{00000000-0005-0000-0000-00004E000000}"/>
    <cellStyle name="20% - Énfasis6" xfId="80" xr:uid="{00000000-0005-0000-0000-00004F000000}"/>
    <cellStyle name="40% - Accent1 2" xfId="81" xr:uid="{00000000-0005-0000-0000-000050000000}"/>
    <cellStyle name="40% - Accent1 3" xfId="82" xr:uid="{00000000-0005-0000-0000-000051000000}"/>
    <cellStyle name="40% - Accent2 2" xfId="83" xr:uid="{00000000-0005-0000-0000-000052000000}"/>
    <cellStyle name="40% - Accent2 3" xfId="84" xr:uid="{00000000-0005-0000-0000-000053000000}"/>
    <cellStyle name="40% - Accent3 2" xfId="85" xr:uid="{00000000-0005-0000-0000-000054000000}"/>
    <cellStyle name="40% - Accent3 3" xfId="86" xr:uid="{00000000-0005-0000-0000-000055000000}"/>
    <cellStyle name="40% - Accent4 2" xfId="87" xr:uid="{00000000-0005-0000-0000-000056000000}"/>
    <cellStyle name="40% - Accent4 3" xfId="88" xr:uid="{00000000-0005-0000-0000-000057000000}"/>
    <cellStyle name="40% - Accent5 2" xfId="89" xr:uid="{00000000-0005-0000-0000-000058000000}"/>
    <cellStyle name="40% - Accent5 3" xfId="90" xr:uid="{00000000-0005-0000-0000-000059000000}"/>
    <cellStyle name="40% - Accent6 2" xfId="91" xr:uid="{00000000-0005-0000-0000-00005A000000}"/>
    <cellStyle name="40% - Accent6 3" xfId="92" xr:uid="{00000000-0005-0000-0000-00005B000000}"/>
    <cellStyle name="40% - Ênfase1" xfId="93" xr:uid="{00000000-0005-0000-0000-00005C000000}"/>
    <cellStyle name="40% - Ênfase2" xfId="94" xr:uid="{00000000-0005-0000-0000-00005D000000}"/>
    <cellStyle name="40% - Ênfase3" xfId="95" xr:uid="{00000000-0005-0000-0000-00005E000000}"/>
    <cellStyle name="40% - Ênfase4" xfId="96" xr:uid="{00000000-0005-0000-0000-00005F000000}"/>
    <cellStyle name="40% - Ênfase5" xfId="97" xr:uid="{00000000-0005-0000-0000-000060000000}"/>
    <cellStyle name="40% - Ênfase6" xfId="98" xr:uid="{00000000-0005-0000-0000-000061000000}"/>
    <cellStyle name="40% - Énfasis1" xfId="99" xr:uid="{00000000-0005-0000-0000-000062000000}"/>
    <cellStyle name="40% - Énfasis2" xfId="100" xr:uid="{00000000-0005-0000-0000-000063000000}"/>
    <cellStyle name="40% - Énfasis3" xfId="101" xr:uid="{00000000-0005-0000-0000-000064000000}"/>
    <cellStyle name="40% - Énfasis4" xfId="102" xr:uid="{00000000-0005-0000-0000-000065000000}"/>
    <cellStyle name="40% - Énfasis5" xfId="103" xr:uid="{00000000-0005-0000-0000-000066000000}"/>
    <cellStyle name="40% - Énfasis6" xfId="104" xr:uid="{00000000-0005-0000-0000-000067000000}"/>
    <cellStyle name="60% - Accent1 2" xfId="105" xr:uid="{00000000-0005-0000-0000-000068000000}"/>
    <cellStyle name="60% - Accent1 3" xfId="106" xr:uid="{00000000-0005-0000-0000-000069000000}"/>
    <cellStyle name="60% - Accent2 2" xfId="107" xr:uid="{00000000-0005-0000-0000-00006A000000}"/>
    <cellStyle name="60% - Accent2 3" xfId="108" xr:uid="{00000000-0005-0000-0000-00006B000000}"/>
    <cellStyle name="60% - Accent3 2" xfId="109" xr:uid="{00000000-0005-0000-0000-00006C000000}"/>
    <cellStyle name="60% - Accent3 3" xfId="110" xr:uid="{00000000-0005-0000-0000-00006D000000}"/>
    <cellStyle name="60% - Accent4 2" xfId="111" xr:uid="{00000000-0005-0000-0000-00006E000000}"/>
    <cellStyle name="60% - Accent4 3" xfId="112" xr:uid="{00000000-0005-0000-0000-00006F000000}"/>
    <cellStyle name="60% - Accent5 2" xfId="113" xr:uid="{00000000-0005-0000-0000-000070000000}"/>
    <cellStyle name="60% - Accent5 3" xfId="114" xr:uid="{00000000-0005-0000-0000-000071000000}"/>
    <cellStyle name="60% - Accent6 2" xfId="115" xr:uid="{00000000-0005-0000-0000-000072000000}"/>
    <cellStyle name="60% - Accent6 3" xfId="116" xr:uid="{00000000-0005-0000-0000-000073000000}"/>
    <cellStyle name="60% - Ênfase2" xfId="117" xr:uid="{00000000-0005-0000-0000-000074000000}"/>
    <cellStyle name="60% - Ênfase3" xfId="118" xr:uid="{00000000-0005-0000-0000-000075000000}"/>
    <cellStyle name="60% - Ênfase4" xfId="119" xr:uid="{00000000-0005-0000-0000-000076000000}"/>
    <cellStyle name="60% - Ênfase5" xfId="120" xr:uid="{00000000-0005-0000-0000-000077000000}"/>
    <cellStyle name="60% - Ênfase6" xfId="121" xr:uid="{00000000-0005-0000-0000-000078000000}"/>
    <cellStyle name="60% - Énfasis1" xfId="122" xr:uid="{00000000-0005-0000-0000-000079000000}"/>
    <cellStyle name="60% - Énfasis2" xfId="123" xr:uid="{00000000-0005-0000-0000-00007A000000}"/>
    <cellStyle name="60% - Énfasis3" xfId="124" xr:uid="{00000000-0005-0000-0000-00007B000000}"/>
    <cellStyle name="60% - Énfasis4" xfId="125" xr:uid="{00000000-0005-0000-0000-00007C000000}"/>
    <cellStyle name="60% - Énfasis5" xfId="126" xr:uid="{00000000-0005-0000-0000-00007D000000}"/>
    <cellStyle name="60% - Énfasis6" xfId="127" xr:uid="{00000000-0005-0000-0000-00007E000000}"/>
    <cellStyle name="Accent1 2" xfId="128" xr:uid="{00000000-0005-0000-0000-00007F000000}"/>
    <cellStyle name="Accent1 3" xfId="129" xr:uid="{00000000-0005-0000-0000-000080000000}"/>
    <cellStyle name="Accent3 2" xfId="130" xr:uid="{00000000-0005-0000-0000-000081000000}"/>
    <cellStyle name="Accent3 3" xfId="131" xr:uid="{00000000-0005-0000-0000-000082000000}"/>
    <cellStyle name="Accent4 2" xfId="132" xr:uid="{00000000-0005-0000-0000-000083000000}"/>
    <cellStyle name="Accent4 3" xfId="133" xr:uid="{00000000-0005-0000-0000-000084000000}"/>
    <cellStyle name="Accent5 2" xfId="134" xr:uid="{00000000-0005-0000-0000-000085000000}"/>
    <cellStyle name="Accent5 3" xfId="135" xr:uid="{00000000-0005-0000-0000-000086000000}"/>
    <cellStyle name="Availability" xfId="136" xr:uid="{00000000-0005-0000-0000-000087000000}"/>
    <cellStyle name="Availability 2" xfId="137" xr:uid="{00000000-0005-0000-0000-000088000000}"/>
    <cellStyle name="Bad" xfId="310" builtinId="27" hidden="1"/>
    <cellStyle name="Black Text" xfId="138" xr:uid="{00000000-0005-0000-0000-00008A000000}"/>
    <cellStyle name="Black Text (No Wrap)" xfId="139" xr:uid="{00000000-0005-0000-0000-00008B000000}"/>
    <cellStyle name="Black Text_Argentina" xfId="140" xr:uid="{00000000-0005-0000-0000-00008C000000}"/>
    <cellStyle name="Blue Text" xfId="141" xr:uid="{00000000-0005-0000-0000-00008D000000}"/>
    <cellStyle name="Blue Text - Ariel 10" xfId="142" xr:uid="{00000000-0005-0000-0000-00008E000000}"/>
    <cellStyle name="Blue Text - Ariel 10 2" xfId="143" xr:uid="{00000000-0005-0000-0000-00008F000000}"/>
    <cellStyle name="Blue Text_Argentina" xfId="144" xr:uid="{00000000-0005-0000-0000-000090000000}"/>
    <cellStyle name="Bol-Data" xfId="145" xr:uid="{00000000-0005-0000-0000-000091000000}"/>
    <cellStyle name="bolet" xfId="146" xr:uid="{00000000-0005-0000-0000-000092000000}"/>
    <cellStyle name="Boletim" xfId="147" xr:uid="{00000000-0005-0000-0000-000093000000}"/>
    <cellStyle name="Bom" xfId="148" xr:uid="{00000000-0005-0000-0000-000094000000}"/>
    <cellStyle name="Buena" xfId="149" xr:uid="{00000000-0005-0000-0000-000095000000}"/>
    <cellStyle name="Calculation" xfId="314" builtinId="22" hidden="1"/>
    <cellStyle name="Cálculo" xfId="150" xr:uid="{00000000-0005-0000-0000-000097000000}"/>
    <cellStyle name="Cálculo 2" xfId="151" xr:uid="{00000000-0005-0000-0000-000098000000}"/>
    <cellStyle name="Celda de comprobación" xfId="152" xr:uid="{00000000-0005-0000-0000-000099000000}"/>
    <cellStyle name="Celda vinculada" xfId="153" xr:uid="{00000000-0005-0000-0000-00009A000000}"/>
    <cellStyle name="Célula de Verificação" xfId="154" xr:uid="{00000000-0005-0000-0000-00009B000000}"/>
    <cellStyle name="Célula Vinculada" xfId="155" xr:uid="{00000000-0005-0000-0000-00009C000000}"/>
    <cellStyle name="Check Cell" xfId="316" builtinId="23" hidden="1"/>
    <cellStyle name="CLEAR" xfId="156" xr:uid="{00000000-0005-0000-0000-00009E000000}"/>
    <cellStyle name="ColHeading" xfId="157" xr:uid="{00000000-0005-0000-0000-00009F000000}"/>
    <cellStyle name="Comma" xfId="158" builtinId="3"/>
    <cellStyle name="Comma  - Style1" xfId="159" xr:uid="{00000000-0005-0000-0000-0000A1000000}"/>
    <cellStyle name="Comma  - Style1 2" xfId="160" xr:uid="{00000000-0005-0000-0000-0000A2000000}"/>
    <cellStyle name="Comma  - Style2" xfId="161" xr:uid="{00000000-0005-0000-0000-0000A3000000}"/>
    <cellStyle name="Comma  - Style2 2" xfId="162" xr:uid="{00000000-0005-0000-0000-0000A4000000}"/>
    <cellStyle name="Comma  - Style3" xfId="163" xr:uid="{00000000-0005-0000-0000-0000A5000000}"/>
    <cellStyle name="Comma  - Style3 2" xfId="164" xr:uid="{00000000-0005-0000-0000-0000A6000000}"/>
    <cellStyle name="Comma  - Style4" xfId="165" xr:uid="{00000000-0005-0000-0000-0000A7000000}"/>
    <cellStyle name="Comma  - Style4 2" xfId="166" xr:uid="{00000000-0005-0000-0000-0000A8000000}"/>
    <cellStyle name="Comma  - Style5" xfId="167" xr:uid="{00000000-0005-0000-0000-0000A9000000}"/>
    <cellStyle name="Comma  - Style5 2" xfId="168" xr:uid="{00000000-0005-0000-0000-0000AA000000}"/>
    <cellStyle name="Comma  - Style6" xfId="169" xr:uid="{00000000-0005-0000-0000-0000AB000000}"/>
    <cellStyle name="Comma  - Style6 2" xfId="170" xr:uid="{00000000-0005-0000-0000-0000AC000000}"/>
    <cellStyle name="Comma  - Style7" xfId="171" xr:uid="{00000000-0005-0000-0000-0000AD000000}"/>
    <cellStyle name="Comma  - Style7 2" xfId="172" xr:uid="{00000000-0005-0000-0000-0000AE000000}"/>
    <cellStyle name="Comma  - Style8" xfId="173" xr:uid="{00000000-0005-0000-0000-0000AF000000}"/>
    <cellStyle name="Comma 2" xfId="174" xr:uid="{00000000-0005-0000-0000-0000B0000000}"/>
    <cellStyle name="Comma 2 2" xfId="175" xr:uid="{00000000-0005-0000-0000-0000B1000000}"/>
    <cellStyle name="Comma 3" xfId="176" xr:uid="{00000000-0005-0000-0000-0000B2000000}"/>
    <cellStyle name="Comma 4" xfId="177" xr:uid="{00000000-0005-0000-0000-0000B3000000}"/>
    <cellStyle name="Comma_Input" xfId="178" xr:uid="{00000000-0005-0000-0000-0000B4000000}"/>
    <cellStyle name="Comma0" xfId="179" xr:uid="{00000000-0005-0000-0000-0000B5000000}"/>
    <cellStyle name="Company" xfId="180" xr:uid="{00000000-0005-0000-0000-0000B6000000}"/>
    <cellStyle name="CurRatio" xfId="181" xr:uid="{00000000-0005-0000-0000-0000B7000000}"/>
    <cellStyle name="Currency" xfId="182" builtinId="4"/>
    <cellStyle name="Currency0" xfId="183" xr:uid="{00000000-0005-0000-0000-0000B9000000}"/>
    <cellStyle name="CUS.Work.Area" xfId="184" xr:uid="{00000000-0005-0000-0000-0000BA000000}"/>
    <cellStyle name="Date, mmm-yy" xfId="185" xr:uid="{00000000-0005-0000-0000-0000BB000000}"/>
    <cellStyle name="Date, mmm-yy 2" xfId="186" xr:uid="{00000000-0005-0000-0000-0000BC000000}"/>
    <cellStyle name="e" xfId="187" xr:uid="{00000000-0005-0000-0000-0000BD000000}"/>
    <cellStyle name="En miles" xfId="188" xr:uid="{00000000-0005-0000-0000-0000BE000000}"/>
    <cellStyle name="En millones" xfId="189" xr:uid="{00000000-0005-0000-0000-0000BF000000}"/>
    <cellStyle name="Encabezado 4" xfId="190" xr:uid="{00000000-0005-0000-0000-0000C0000000}"/>
    <cellStyle name="Ênfase2" xfId="191" xr:uid="{00000000-0005-0000-0000-0000C1000000}"/>
    <cellStyle name="Énfasis1" xfId="192" xr:uid="{00000000-0005-0000-0000-0000C2000000}"/>
    <cellStyle name="Énfasis2" xfId="193" xr:uid="{00000000-0005-0000-0000-0000C3000000}"/>
    <cellStyle name="Énfasis3" xfId="194" xr:uid="{00000000-0005-0000-0000-0000C4000000}"/>
    <cellStyle name="Énfasis4" xfId="195" xr:uid="{00000000-0005-0000-0000-0000C5000000}"/>
    <cellStyle name="Énfasis6" xfId="196" xr:uid="{00000000-0005-0000-0000-0000C6000000}"/>
    <cellStyle name="Entrada" xfId="197" xr:uid="{00000000-0005-0000-0000-0000C7000000}"/>
    <cellStyle name="Entrada 2" xfId="198" xr:uid="{00000000-0005-0000-0000-0000C8000000}"/>
    <cellStyle name="Explanatory Text" xfId="319" builtinId="53" hidden="1"/>
    <cellStyle name="F2" xfId="199" xr:uid="{00000000-0005-0000-0000-0000CA000000}"/>
    <cellStyle name="F3" xfId="200" xr:uid="{00000000-0005-0000-0000-0000CB000000}"/>
    <cellStyle name="F4" xfId="201" xr:uid="{00000000-0005-0000-0000-0000CC000000}"/>
    <cellStyle name="F5" xfId="202" xr:uid="{00000000-0005-0000-0000-0000CD000000}"/>
    <cellStyle name="F6" xfId="203" xr:uid="{00000000-0005-0000-0000-0000CE000000}"/>
    <cellStyle name="F7" xfId="204" xr:uid="{00000000-0005-0000-0000-0000CF000000}"/>
    <cellStyle name="F8" xfId="205" xr:uid="{00000000-0005-0000-0000-0000D0000000}"/>
    <cellStyle name="facha" xfId="206" xr:uid="{00000000-0005-0000-0000-0000D1000000}"/>
    <cellStyle name="Fraction Change" xfId="207" xr:uid="{00000000-0005-0000-0000-0000D2000000}"/>
    <cellStyle name="Fractions" xfId="208" xr:uid="{00000000-0005-0000-0000-0000D3000000}"/>
    <cellStyle name="Good" xfId="309" builtinId="26" hidden="1"/>
    <cellStyle name="Growth Rates/Margins" xfId="209" xr:uid="{00000000-0005-0000-0000-0000D5000000}"/>
    <cellStyle name="Heading 1" xfId="305" builtinId="16" hidden="1"/>
    <cellStyle name="Heading 2" xfId="306" builtinId="17" hidden="1"/>
    <cellStyle name="Heading 3" xfId="307" builtinId="18" hidden="1"/>
    <cellStyle name="Heading 4" xfId="308" builtinId="19" hidden="1"/>
    <cellStyle name="Hipervínculo" xfId="210" xr:uid="{00000000-0005-0000-0000-0000DA000000}"/>
    <cellStyle name="Hyperlink" xfId="211" builtinId="8"/>
    <cellStyle name="Hyperlink 2" xfId="212" xr:uid="{00000000-0005-0000-0000-0000DC000000}"/>
    <cellStyle name="Hyperlink seguido" xfId="213" xr:uid="{00000000-0005-0000-0000-0000DD000000}"/>
    <cellStyle name="í â› [0.00]_Sheet1" xfId="214" xr:uid="{00000000-0005-0000-0000-0000DE000000}"/>
    <cellStyle name="Incorrecto" xfId="215" xr:uid="{00000000-0005-0000-0000-0000DF000000}"/>
    <cellStyle name="Incorreto" xfId="216" xr:uid="{00000000-0005-0000-0000-0000E0000000}"/>
    <cellStyle name="Input" xfId="312" builtinId="20" hidden="1"/>
    <cellStyle name="Input Box" xfId="217" xr:uid="{00000000-0005-0000-0000-0000E2000000}"/>
    <cellStyle name="Integer" xfId="218" xr:uid="{00000000-0005-0000-0000-0000E3000000}"/>
    <cellStyle name="Item" xfId="219" xr:uid="{00000000-0005-0000-0000-0000E4000000}"/>
    <cellStyle name="ItemTypeClass" xfId="220" xr:uid="{00000000-0005-0000-0000-0000E5000000}"/>
    <cellStyle name="ItemTypeClass 2" xfId="221" xr:uid="{00000000-0005-0000-0000-0000E6000000}"/>
    <cellStyle name="jo[" xfId="222" xr:uid="{00000000-0005-0000-0000-0000E7000000}"/>
    <cellStyle name="Linked Cell" xfId="315" builtinId="24" hidden="1"/>
    <cellStyle name="Millares [0]_19 02 01" xfId="223" xr:uid="{00000000-0005-0000-0000-0000E9000000}"/>
    <cellStyle name="Millares [2]" xfId="224" xr:uid="{00000000-0005-0000-0000-0000EA000000}"/>
    <cellStyle name="Millares_19 02 01" xfId="225" xr:uid="{00000000-0005-0000-0000-0000EB000000}"/>
    <cellStyle name="Moeda [0]_alocação por fontes" xfId="226" xr:uid="{00000000-0005-0000-0000-0000EC000000}"/>
    <cellStyle name="Moeda_alocação por fontes" xfId="227" xr:uid="{00000000-0005-0000-0000-0000ED000000}"/>
    <cellStyle name="Moneda [0]_19 02 01" xfId="228" xr:uid="{00000000-0005-0000-0000-0000EE000000}"/>
    <cellStyle name="Moneda_19 02 01" xfId="229" xr:uid="{00000000-0005-0000-0000-0000EF000000}"/>
    <cellStyle name="Neutra" xfId="230" xr:uid="{00000000-0005-0000-0000-0000F0000000}"/>
    <cellStyle name="Neutral" xfId="311" builtinId="28" hidden="1"/>
    <cellStyle name="No-definido" xfId="231" xr:uid="{00000000-0005-0000-0000-0000F2000000}"/>
    <cellStyle name="Normal" xfId="0" builtinId="0"/>
    <cellStyle name="Normal - Style1" xfId="232" xr:uid="{00000000-0005-0000-0000-0000F4000000}"/>
    <cellStyle name="Normal - Style1 2" xfId="233" xr:uid="{00000000-0005-0000-0000-0000F5000000}"/>
    <cellStyle name="Normal 10" xfId="234" xr:uid="{00000000-0005-0000-0000-0000F6000000}"/>
    <cellStyle name="Normal 11" xfId="235" xr:uid="{00000000-0005-0000-0000-0000F7000000}"/>
    <cellStyle name="Normal 12" xfId="236" xr:uid="{00000000-0005-0000-0000-0000F8000000}"/>
    <cellStyle name="Normal 13" xfId="237" xr:uid="{00000000-0005-0000-0000-0000F9000000}"/>
    <cellStyle name="Normal 14" xfId="238" xr:uid="{00000000-0005-0000-0000-0000FA000000}"/>
    <cellStyle name="Normal 15" xfId="239" xr:uid="{00000000-0005-0000-0000-0000FB000000}"/>
    <cellStyle name="Normal 16" xfId="240" xr:uid="{00000000-0005-0000-0000-0000FC000000}"/>
    <cellStyle name="Normal 17" xfId="241" xr:uid="{00000000-0005-0000-0000-0000FD000000}"/>
    <cellStyle name="Normal 18" xfId="242" xr:uid="{00000000-0005-0000-0000-0000FE000000}"/>
    <cellStyle name="Normal 19" xfId="243" xr:uid="{00000000-0005-0000-0000-0000FF000000}"/>
    <cellStyle name="Normal 2" xfId="244" xr:uid="{00000000-0005-0000-0000-000000010000}"/>
    <cellStyle name="Normal 2 2" xfId="245" xr:uid="{00000000-0005-0000-0000-000001010000}"/>
    <cellStyle name="Normal 2 3" xfId="246" xr:uid="{00000000-0005-0000-0000-000002010000}"/>
    <cellStyle name="Normal 20" xfId="247" xr:uid="{00000000-0005-0000-0000-000003010000}"/>
    <cellStyle name="Normal 21" xfId="248" xr:uid="{00000000-0005-0000-0000-000004010000}"/>
    <cellStyle name="Normal 22" xfId="249" xr:uid="{00000000-0005-0000-0000-000005010000}"/>
    <cellStyle name="Normal 3" xfId="250" xr:uid="{00000000-0005-0000-0000-000006010000}"/>
    <cellStyle name="Normal 3 2" xfId="251" xr:uid="{00000000-0005-0000-0000-000007010000}"/>
    <cellStyle name="Normal 4" xfId="252" xr:uid="{00000000-0005-0000-0000-000008010000}"/>
    <cellStyle name="Normal 5" xfId="253" xr:uid="{00000000-0005-0000-0000-000009010000}"/>
    <cellStyle name="Normal 6" xfId="254" xr:uid="{00000000-0005-0000-0000-00000A010000}"/>
    <cellStyle name="Normal 7" xfId="255" xr:uid="{00000000-0005-0000-0000-00000B010000}"/>
    <cellStyle name="Normal 8" xfId="256" xr:uid="{00000000-0005-0000-0000-00000C010000}"/>
    <cellStyle name="Normal 9" xfId="257" xr:uid="{00000000-0005-0000-0000-00000D010000}"/>
    <cellStyle name="Normal_DCF ANALYSIS" xfId="258" xr:uid="{00000000-0005-0000-0000-000010010000}"/>
    <cellStyle name="Normal_Final" xfId="259" xr:uid="{00000000-0005-0000-0000-000011010000}"/>
    <cellStyle name="Normal_Input" xfId="260" xr:uid="{00000000-0005-0000-0000-000012010000}"/>
    <cellStyle name="Normal_new_euroweekly" xfId="261" xr:uid="{00000000-0005-0000-0000-000013010000}"/>
    <cellStyle name="Nota" xfId="262" xr:uid="{00000000-0005-0000-0000-000014010000}"/>
    <cellStyle name="Nota 2" xfId="263" xr:uid="{00000000-0005-0000-0000-000015010000}"/>
    <cellStyle name="Notas" xfId="264" xr:uid="{00000000-0005-0000-0000-000016010000}"/>
    <cellStyle name="Notas 2" xfId="265" xr:uid="{00000000-0005-0000-0000-000017010000}"/>
    <cellStyle name="Note" xfId="318" builtinId="10" hidden="1"/>
    <cellStyle name="Notes" xfId="266" xr:uid="{00000000-0005-0000-0000-000019010000}"/>
    <cellStyle name="Nulos" xfId="267" xr:uid="{00000000-0005-0000-0000-00001A010000}"/>
    <cellStyle name="Oficio" xfId="268" xr:uid="{00000000-0005-0000-0000-00001B010000}"/>
    <cellStyle name="Output" xfId="313" builtinId="21" hidden="1"/>
    <cellStyle name="Percent" xfId="269" builtinId="5"/>
    <cellStyle name="Percent 2" xfId="270" xr:uid="{00000000-0005-0000-0000-00001E010000}"/>
    <cellStyle name="Percent 2 2" xfId="271" xr:uid="{00000000-0005-0000-0000-00001F010000}"/>
    <cellStyle name="Percent 8" xfId="272" xr:uid="{00000000-0005-0000-0000-000020010000}"/>
    <cellStyle name="PercentChange" xfId="273" xr:uid="{00000000-0005-0000-0000-000021010000}"/>
    <cellStyle name="Porcentagem_Cenário Básico" xfId="274" xr:uid="{00000000-0005-0000-0000-000022010000}"/>
    <cellStyle name="Porcentual_mov_dolar" xfId="275" xr:uid="{00000000-0005-0000-0000-000023010000}"/>
    <cellStyle name="Ratio" xfId="276" xr:uid="{00000000-0005-0000-0000-000024010000}"/>
    <cellStyle name="RatioX" xfId="277" xr:uid="{00000000-0005-0000-0000-000025010000}"/>
    <cellStyle name="Red Text" xfId="278" xr:uid="{00000000-0005-0000-0000-000026010000}"/>
    <cellStyle name="Saída" xfId="279" xr:uid="{00000000-0005-0000-0000-000027010000}"/>
    <cellStyle name="Saída 2" xfId="280" xr:uid="{00000000-0005-0000-0000-000028010000}"/>
    <cellStyle name="Salida" xfId="281" xr:uid="{00000000-0005-0000-0000-000029010000}"/>
    <cellStyle name="Salida 2" xfId="282" xr:uid="{00000000-0005-0000-0000-00002A010000}"/>
    <cellStyle name="ScripFactor" xfId="283" xr:uid="{00000000-0005-0000-0000-00002B010000}"/>
    <cellStyle name="ScripFactor 2" xfId="284" xr:uid="{00000000-0005-0000-0000-00002C010000}"/>
    <cellStyle name="SectionHeading" xfId="285" xr:uid="{00000000-0005-0000-0000-00002D010000}"/>
    <cellStyle name="SectionHeading 2" xfId="286" xr:uid="{00000000-0005-0000-0000-00002E010000}"/>
    <cellStyle name="Sep. milhar [0]" xfId="287" xr:uid="{00000000-0005-0000-0000-00002F010000}"/>
    <cellStyle name="Separador de milhares [0]_ANALISE_backup 14_08_1345" xfId="288" xr:uid="{00000000-0005-0000-0000-000030010000}"/>
    <cellStyle name="Separador de milhares_ANALISE_backup 14_08_1345" xfId="289" xr:uid="{00000000-0005-0000-0000-000031010000}"/>
    <cellStyle name="Shading" xfId="290" xr:uid="{00000000-0005-0000-0000-000032010000}"/>
    <cellStyle name="Standard" xfId="291" xr:uid="{00000000-0005-0000-0000-000033010000}"/>
    <cellStyle name="Style 1" xfId="292" xr:uid="{00000000-0005-0000-0000-000034010000}"/>
    <cellStyle name="Texto de advertencia" xfId="293" xr:uid="{00000000-0005-0000-0000-000035010000}"/>
    <cellStyle name="Texto de Aviso" xfId="294" xr:uid="{00000000-0005-0000-0000-000036010000}"/>
    <cellStyle name="Texto explicativo" xfId="295" xr:uid="{00000000-0005-0000-0000-000037010000}"/>
    <cellStyle name="Title" xfId="304" builtinId="15" hidden="1"/>
    <cellStyle name="Titles" xfId="296" xr:uid="{00000000-0005-0000-0000-000039010000}"/>
    <cellStyle name="Título" xfId="297" xr:uid="{00000000-0005-0000-0000-00003A010000}"/>
    <cellStyle name="Título 1" xfId="298" xr:uid="{00000000-0005-0000-0000-00003B010000}"/>
    <cellStyle name="Título 2" xfId="299" xr:uid="{00000000-0005-0000-0000-00003C010000}"/>
    <cellStyle name="Título 3" xfId="300" xr:uid="{00000000-0005-0000-0000-00003D010000}"/>
    <cellStyle name="Título 4" xfId="301" xr:uid="{00000000-0005-0000-0000-00003E010000}"/>
    <cellStyle name="Total" xfId="320" builtinId="25" hidden="1"/>
    <cellStyle name="vaca" xfId="302" xr:uid="{00000000-0005-0000-0000-000040010000}"/>
    <cellStyle name="Warning Text" xfId="317" builtinId="11" hidden="1"/>
    <cellStyle name="Yellow" xfId="303" xr:uid="{00000000-0005-0000-0000-00004201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000080"/>
      <rgbColor rgb="007979FF"/>
      <rgbColor rgb="00D9D9FF"/>
      <rgbColor rgb="001A1AFF"/>
      <rgbColor rgb="00808080"/>
      <rgbColor rgb="00D9D9D9"/>
      <rgbColor rgb="00262626"/>
      <rgbColor rgb="004C4C4C"/>
      <rgbColor rgb="00000080"/>
      <rgbColor rgb="007979FF"/>
      <rgbColor rgb="00D9D9FF"/>
      <rgbColor rgb="001A1AFF"/>
      <rgbColor rgb="00808080"/>
      <rgbColor rgb="00D9D9D9"/>
      <rgbColor rgb="00262626"/>
      <rgbColor rgb="004C4C4C"/>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FFFCC"/>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extLst>
              <c:ext xmlns:c16="http://schemas.microsoft.com/office/drawing/2014/chart" uri="{C3380CC4-5D6E-409C-BE32-E72D297353CC}">
                <c16:uniqueId val="{00000000-0719-4478-9EB7-8A33E49DCAC1}"/>
              </c:ext>
            </c:extLst>
          </c:dPt>
          <c:dPt>
            <c:idx val="1"/>
            <c:bubble3D val="0"/>
            <c:extLst>
              <c:ext xmlns:c16="http://schemas.microsoft.com/office/drawing/2014/chart" uri="{C3380CC4-5D6E-409C-BE32-E72D297353CC}">
                <c16:uniqueId val="{00000001-0719-4478-9EB7-8A33E49DCAC1}"/>
              </c:ext>
            </c:extLst>
          </c:dPt>
          <c:dPt>
            <c:idx val="2"/>
            <c:bubble3D val="0"/>
            <c:extLst>
              <c:ext xmlns:c16="http://schemas.microsoft.com/office/drawing/2014/chart" uri="{C3380CC4-5D6E-409C-BE32-E72D297353CC}">
                <c16:uniqueId val="{00000002-0719-4478-9EB7-8A33E49DCAC1}"/>
              </c:ext>
            </c:extLst>
          </c:dPt>
          <c:dLbls>
            <c:dLbl>
              <c:idx val="0"/>
              <c:layout>
                <c:manualLayout>
                  <c:x val="8.1682585253854481E-2"/>
                  <c:y val="4.9524125939953707E-2"/>
                </c:manualLayout>
              </c:layout>
              <c:spPr/>
              <c:txPr>
                <a:bodyPr/>
                <a:lstStyle/>
                <a:p>
                  <a:pPr>
                    <a:defRPr sz="800" b="0" i="0" u="none" strike="noStrike" baseline="0">
                      <a:solidFill>
                        <a:srgbClr val="000000"/>
                      </a:solidFill>
                      <a:latin typeface="Calibri"/>
                      <a:ea typeface="Calibri"/>
                      <a:cs typeface="Calibri"/>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0-0719-4478-9EB7-8A33E49DCAC1}"/>
                </c:ext>
              </c:extLst>
            </c:dLbl>
            <c:dLbl>
              <c:idx val="1"/>
              <c:layout>
                <c:manualLayout>
                  <c:x val="-0.21100658531250985"/>
                  <c:y val="-8.0675105485232074E-2"/>
                </c:manualLayout>
              </c:layout>
              <c:spPr/>
              <c:txPr>
                <a:bodyPr/>
                <a:lstStyle/>
                <a:p>
                  <a:pPr>
                    <a:defRPr sz="800" b="0" i="0" u="none" strike="noStrike" baseline="0">
                      <a:solidFill>
                        <a:srgbClr val="000000"/>
                      </a:solidFill>
                      <a:latin typeface="Calibri"/>
                      <a:ea typeface="Calibri"/>
                      <a:cs typeface="Calibri"/>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0719-4478-9EB7-8A33E49DCAC1}"/>
                </c:ext>
              </c:extLst>
            </c:dLbl>
            <c:dLbl>
              <c:idx val="2"/>
              <c:layout>
                <c:manualLayout>
                  <c:x val="-0.10114025402140234"/>
                  <c:y val="7.7355836849507739E-2"/>
                </c:manualLayout>
              </c:layout>
              <c:spPr/>
              <c:txPr>
                <a:bodyPr/>
                <a:lstStyle/>
                <a:p>
                  <a:pPr>
                    <a:defRPr sz="800" b="0" i="0" u="none" strike="noStrike" baseline="0">
                      <a:solidFill>
                        <a:srgbClr val="000000"/>
                      </a:solidFill>
                      <a:latin typeface="Calibri"/>
                      <a:ea typeface="Calibri"/>
                      <a:cs typeface="Calibri"/>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0719-4478-9EB7-8A33E49DCAC1}"/>
                </c:ext>
              </c:extLst>
            </c:dLbl>
            <c:spPr>
              <a:noFill/>
              <a:ln w="25400">
                <a:noFill/>
              </a:ln>
            </c:spPr>
            <c:txPr>
              <a:bodyPr wrap="square" lIns="38100" tIns="19050" rIns="38100" bIns="19050" anchor="ctr">
                <a:spAutoFit/>
              </a:bodyPr>
              <a:lstStyle/>
              <a:p>
                <a:pPr>
                  <a:defRPr sz="800" b="0" i="0" u="none" strike="noStrike" baseline="0">
                    <a:solidFill>
                      <a:srgbClr val="000000"/>
                    </a:solidFill>
                    <a:latin typeface="Calibri"/>
                    <a:ea typeface="Calibri"/>
                    <a:cs typeface="Calibri"/>
                  </a:defRPr>
                </a:pPr>
                <a:endParaRPr lang="en-US"/>
              </a:p>
            </c:txPr>
            <c:dLblPos val="bestFit"/>
            <c:showLegendKey val="0"/>
            <c:showVal val="1"/>
            <c:showCatName val="1"/>
            <c:showSerName val="0"/>
            <c:showPercent val="0"/>
            <c:showBubbleSize val="0"/>
            <c:separator>
</c:separator>
            <c:showLeaderLines val="1"/>
            <c:extLst>
              <c:ext xmlns:c15="http://schemas.microsoft.com/office/drawing/2012/chart" uri="{CE6537A1-D6FC-4f65-9D91-7224C49458BB}"/>
            </c:extLst>
          </c:dLbls>
          <c:cat>
            <c:strRef>
              <c:f>DCF!$Y$77:$Y$79</c:f>
              <c:strCache>
                <c:ptCount val="3"/>
                <c:pt idx="0">
                  <c:v>Australia</c:v>
                </c:pt>
                <c:pt idx="1">
                  <c:v>Hong Kong</c:v>
                </c:pt>
                <c:pt idx="2">
                  <c:v>Others</c:v>
                </c:pt>
              </c:strCache>
            </c:strRef>
          </c:cat>
          <c:val>
            <c:numRef>
              <c:f>DCF!$AA$77:$AA$79</c:f>
              <c:numCache>
                <c:formatCode>0%</c:formatCode>
                <c:ptCount val="3"/>
                <c:pt idx="0">
                  <c:v>5.5236505186102694E-2</c:v>
                </c:pt>
                <c:pt idx="1">
                  <c:v>1.175428875883874</c:v>
                </c:pt>
                <c:pt idx="2">
                  <c:v>-0.23066538106997694</c:v>
                </c:pt>
              </c:numCache>
            </c:numRef>
          </c:val>
          <c:extLst>
            <c:ext xmlns:c16="http://schemas.microsoft.com/office/drawing/2014/chart" uri="{C3380CC4-5D6E-409C-BE32-E72D297353CC}">
              <c16:uniqueId val="{00000003-0719-4478-9EB7-8A33E49DCAC1}"/>
            </c:ext>
          </c:extLst>
        </c:ser>
        <c:dLbls>
          <c:showLegendKey val="0"/>
          <c:showVal val="0"/>
          <c:showCatName val="0"/>
          <c:showSerName val="0"/>
          <c:showPercent val="0"/>
          <c:showBubbleSize val="0"/>
          <c:showLeaderLines val="1"/>
        </c:dLbls>
        <c:firstSliceAng val="0"/>
      </c:pieChart>
      <c:spPr>
        <a:noFill/>
        <a:ln w="25400">
          <a:noFill/>
        </a:ln>
      </c:spPr>
    </c:plotArea>
    <c:plotVisOnly val="1"/>
    <c:dispBlanksAs val="gap"/>
    <c:showDLblsOverMax val="0"/>
  </c:chart>
  <c:spPr>
    <a:ln>
      <a:noFill/>
    </a:ln>
  </c:spPr>
  <c:txPr>
    <a:bodyPr/>
    <a:lstStyle/>
    <a:p>
      <a:pPr>
        <a:defRPr sz="800" b="0" i="0" u="none" strike="noStrike" baseline="0">
          <a:solidFill>
            <a:srgbClr val="000000"/>
          </a:solidFill>
          <a:latin typeface="Calibri"/>
          <a:ea typeface="Calibri"/>
          <a:cs typeface="Calibri"/>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Final!$AQ$48</c:f>
              <c:strCache>
                <c:ptCount val="1"/>
                <c:pt idx="0">
                  <c:v> New UBSe </c:v>
                </c:pt>
              </c:strCache>
            </c:strRef>
          </c:tx>
          <c:spPr>
            <a:solidFill>
              <a:srgbClr val="4D3C2F"/>
            </a:solidFill>
            <a:ln>
              <a:solidFill>
                <a:srgbClr val="4D3C2F"/>
              </a:solidFill>
            </a:ln>
            <a:effectLst/>
          </c:spPr>
          <c:invertIfNegative val="0"/>
          <c:cat>
            <c:numRef>
              <c:f>Final!$AR$47:$AX$47</c:f>
              <c:numCache>
                <c:formatCode>General</c:formatCode>
                <c:ptCount val="7"/>
                <c:pt idx="0">
                  <c:v>2022</c:v>
                </c:pt>
                <c:pt idx="1">
                  <c:v>2023</c:v>
                </c:pt>
                <c:pt idx="2">
                  <c:v>2024</c:v>
                </c:pt>
                <c:pt idx="3" formatCode="0&quot;E&quot;\ \ \ ">
                  <c:v>2025</c:v>
                </c:pt>
                <c:pt idx="4" formatCode="0&quot;E&quot;\ \ \ ">
                  <c:v>2026</c:v>
                </c:pt>
                <c:pt idx="5" formatCode="0&quot;E&quot;\ \ \ ">
                  <c:v>2027</c:v>
                </c:pt>
                <c:pt idx="6" formatCode="0&quot;E&quot;\ \ \ ">
                  <c:v>2028</c:v>
                </c:pt>
              </c:numCache>
            </c:numRef>
          </c:cat>
          <c:val>
            <c:numRef>
              <c:f>Final!$AR$48:$AX$48</c:f>
              <c:numCache>
                <c:formatCode>_(* #,##0.00_);_(* \(#,##0.00\);_(* "-"_);_(@_)</c:formatCode>
                <c:ptCount val="7"/>
                <c:pt idx="0">
                  <c:v>3.100001279660896</c:v>
                </c:pt>
                <c:pt idx="1">
                  <c:v>3.100001279660896</c:v>
                </c:pt>
                <c:pt idx="2">
                  <c:v>3.1498736189404251</c:v>
                </c:pt>
                <c:pt idx="3">
                  <c:v>3.1498736189404251</c:v>
                </c:pt>
                <c:pt idx="4">
                  <c:v>3.2443698275086379</c:v>
                </c:pt>
                <c:pt idx="5">
                  <c:v>3.3417009223338972</c:v>
                </c:pt>
                <c:pt idx="6">
                  <c:v>3.4419519500039142</c:v>
                </c:pt>
              </c:numCache>
            </c:numRef>
          </c:val>
          <c:extLst>
            <c:ext xmlns:c16="http://schemas.microsoft.com/office/drawing/2014/chart" uri="{C3380CC4-5D6E-409C-BE32-E72D297353CC}">
              <c16:uniqueId val="{00000000-7A00-4B8E-A547-94F773531782}"/>
            </c:ext>
          </c:extLst>
        </c:ser>
        <c:ser>
          <c:idx val="1"/>
          <c:order val="1"/>
          <c:tx>
            <c:strRef>
              <c:f>Final!$AQ$49</c:f>
              <c:strCache>
                <c:ptCount val="1"/>
                <c:pt idx="0">
                  <c:v> Old UBSe </c:v>
                </c:pt>
              </c:strCache>
            </c:strRef>
          </c:tx>
          <c:spPr>
            <a:solidFill>
              <a:srgbClr val="CFBD9B"/>
            </a:solidFill>
            <a:ln>
              <a:solidFill>
                <a:srgbClr val="CFBD9B"/>
              </a:solidFill>
            </a:ln>
            <a:effectLst/>
          </c:spPr>
          <c:invertIfNegative val="0"/>
          <c:cat>
            <c:numRef>
              <c:f>Final!$AR$47:$AX$47</c:f>
              <c:numCache>
                <c:formatCode>General</c:formatCode>
                <c:ptCount val="7"/>
                <c:pt idx="0">
                  <c:v>2022</c:v>
                </c:pt>
                <c:pt idx="1">
                  <c:v>2023</c:v>
                </c:pt>
                <c:pt idx="2">
                  <c:v>2024</c:v>
                </c:pt>
                <c:pt idx="3" formatCode="0&quot;E&quot;\ \ \ ">
                  <c:v>2025</c:v>
                </c:pt>
                <c:pt idx="4" formatCode="0&quot;E&quot;\ \ \ ">
                  <c:v>2026</c:v>
                </c:pt>
                <c:pt idx="5" formatCode="0&quot;E&quot;\ \ \ ">
                  <c:v>2027</c:v>
                </c:pt>
                <c:pt idx="6" formatCode="0&quot;E&quot;\ \ \ ">
                  <c:v>2028</c:v>
                </c:pt>
              </c:numCache>
            </c:numRef>
          </c:cat>
          <c:val>
            <c:numRef>
              <c:f>Final!$AR$49:$AX$49</c:f>
              <c:numCache>
                <c:formatCode>_(* #,##0.00_);_(* \(#,##0.00\);_(* "-"_);_(@_)</c:formatCode>
                <c:ptCount val="7"/>
                <c:pt idx="3">
                  <c:v>3.2443698275086379</c:v>
                </c:pt>
                <c:pt idx="4">
                  <c:v>3.3417009223338972</c:v>
                </c:pt>
                <c:pt idx="5">
                  <c:v>3.4419519500039142</c:v>
                </c:pt>
                <c:pt idx="6">
                  <c:v>3.5452105085040317</c:v>
                </c:pt>
              </c:numCache>
            </c:numRef>
          </c:val>
          <c:extLst>
            <c:ext xmlns:c16="http://schemas.microsoft.com/office/drawing/2014/chart" uri="{C3380CC4-5D6E-409C-BE32-E72D297353CC}">
              <c16:uniqueId val="{00000001-7A00-4B8E-A547-94F773531782}"/>
            </c:ext>
          </c:extLst>
        </c:ser>
        <c:dLbls>
          <c:showLegendKey val="0"/>
          <c:showVal val="0"/>
          <c:showCatName val="0"/>
          <c:showSerName val="0"/>
          <c:showPercent val="0"/>
          <c:showBubbleSize val="0"/>
        </c:dLbls>
        <c:gapWidth val="219"/>
        <c:overlap val="-27"/>
        <c:axId val="1686440815"/>
        <c:axId val="1686441295"/>
      </c:barChart>
      <c:catAx>
        <c:axId val="1686440815"/>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Frutiger 45 Light"/>
                <a:ea typeface="Frutiger 45 Light"/>
                <a:cs typeface="Frutiger 45 Light"/>
              </a:defRPr>
            </a:pPr>
            <a:endParaRPr lang="en-US"/>
          </a:p>
        </c:txPr>
        <c:crossAx val="1686441295"/>
        <c:crosses val="autoZero"/>
        <c:auto val="1"/>
        <c:lblAlgn val="ctr"/>
        <c:lblOffset val="100"/>
        <c:noMultiLvlLbl val="0"/>
      </c:catAx>
      <c:valAx>
        <c:axId val="1686441295"/>
        <c:scaling>
          <c:orientation val="minMax"/>
        </c:scaling>
        <c:delete val="0"/>
        <c:axPos val="l"/>
        <c:majorGridlines>
          <c:spPr>
            <a:ln w="9525"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Frutiger 45 Light"/>
                <a:ea typeface="Frutiger 45 Light"/>
                <a:cs typeface="Frutiger 45 Light"/>
              </a:defRPr>
            </a:pPr>
            <a:endParaRPr lang="en-US"/>
          </a:p>
        </c:txPr>
        <c:crossAx val="16864408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Frutiger 45 Light" panose="020B0603020202020204" pitchFamily="34" charset="0"/>
              <a:ea typeface="+mn-ea"/>
              <a:cs typeface="+mn-cs"/>
            </a:defRPr>
          </a:pPr>
          <a:endParaRPr lang="en-US"/>
        </a:p>
      </c:txPr>
    </c:legend>
    <c:plotVisOnly val="1"/>
    <c:dispBlanksAs val="gap"/>
    <c:showDLblsOverMax val="0"/>
  </c:chart>
  <c:spPr>
    <a:solidFill>
      <a:sysClr val="window" lastClr="FFFFFF"/>
    </a:solidFill>
    <a:ln w="25400"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sz="1000">
          <a:latin typeface="Frutiger 45 Light" panose="020B0603020202020204" pitchFamily="34" charset="0"/>
        </a:defRPr>
      </a:pPr>
      <a:endParaRPr lang="en-US"/>
    </a:p>
  </c:txPr>
  <c:printSettings>
    <c:headerFooter/>
    <c:pageMargins b="0.75" l="0.7" r="0.7" t="0.75" header="0.3" footer="0.3"/>
    <c:pageSetup orientation="landscape"/>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extLst>
              <c:ext xmlns:c16="http://schemas.microsoft.com/office/drawing/2014/chart" uri="{C3380CC4-5D6E-409C-BE32-E72D297353CC}">
                <c16:uniqueId val="{00000000-1400-47F9-B4B6-67E4D4E30584}"/>
              </c:ext>
            </c:extLst>
          </c:dPt>
          <c:dPt>
            <c:idx val="1"/>
            <c:bubble3D val="0"/>
            <c:extLst>
              <c:ext xmlns:c16="http://schemas.microsoft.com/office/drawing/2014/chart" uri="{C3380CC4-5D6E-409C-BE32-E72D297353CC}">
                <c16:uniqueId val="{00000001-1400-47F9-B4B6-67E4D4E30584}"/>
              </c:ext>
            </c:extLst>
          </c:dPt>
          <c:dPt>
            <c:idx val="2"/>
            <c:bubble3D val="0"/>
            <c:extLst>
              <c:ext xmlns:c16="http://schemas.microsoft.com/office/drawing/2014/chart" uri="{C3380CC4-5D6E-409C-BE32-E72D297353CC}">
                <c16:uniqueId val="{00000002-1400-47F9-B4B6-67E4D4E30584}"/>
              </c:ext>
            </c:extLst>
          </c:dPt>
          <c:dPt>
            <c:idx val="3"/>
            <c:bubble3D val="0"/>
            <c:extLst>
              <c:ext xmlns:c16="http://schemas.microsoft.com/office/drawing/2014/chart" uri="{C3380CC4-5D6E-409C-BE32-E72D297353CC}">
                <c16:uniqueId val="{00000003-1400-47F9-B4B6-67E4D4E30584}"/>
              </c:ext>
            </c:extLst>
          </c:dPt>
          <c:dPt>
            <c:idx val="4"/>
            <c:bubble3D val="0"/>
            <c:extLst>
              <c:ext xmlns:c16="http://schemas.microsoft.com/office/drawing/2014/chart" uri="{C3380CC4-5D6E-409C-BE32-E72D297353CC}">
                <c16:uniqueId val="{00000004-1400-47F9-B4B6-67E4D4E30584}"/>
              </c:ext>
            </c:extLst>
          </c:dPt>
          <c:dPt>
            <c:idx val="5"/>
            <c:bubble3D val="0"/>
            <c:extLst>
              <c:ext xmlns:c16="http://schemas.microsoft.com/office/drawing/2014/chart" uri="{C3380CC4-5D6E-409C-BE32-E72D297353CC}">
                <c16:uniqueId val="{00000005-1400-47F9-B4B6-67E4D4E30584}"/>
              </c:ext>
            </c:extLst>
          </c:dPt>
          <c:dLbls>
            <c:dLbl>
              <c:idx val="1"/>
              <c:layout>
                <c:manualLayout>
                  <c:x val="-1.4602283148341397E-2"/>
                  <c:y val="8.0716662738239951E-4"/>
                </c:manualLayout>
              </c:layout>
              <c:spPr/>
              <c:txPr>
                <a:bodyPr/>
                <a:lstStyle/>
                <a:p>
                  <a:pPr>
                    <a:defRPr sz="1000" b="0" i="0" u="none" strike="noStrike" baseline="0">
                      <a:solidFill>
                        <a:srgbClr val="000000"/>
                      </a:solidFill>
                      <a:latin typeface="Calibri"/>
                      <a:ea typeface="Calibri"/>
                      <a:cs typeface="Calibri"/>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1400-47F9-B4B6-67E4D4E30584}"/>
                </c:ext>
              </c:extLst>
            </c:dLbl>
            <c:dLbl>
              <c:idx val="2"/>
              <c:layout>
                <c:manualLayout>
                  <c:x val="-4.4001391392341015E-2"/>
                  <c:y val="9.127927523911171E-2"/>
                </c:manualLayout>
              </c:layout>
              <c:spPr/>
              <c:txPr>
                <a:bodyPr/>
                <a:lstStyle/>
                <a:p>
                  <a:pPr>
                    <a:defRPr sz="1000" b="0" i="0" u="none" strike="noStrike" baseline="0">
                      <a:solidFill>
                        <a:srgbClr val="000000"/>
                      </a:solidFill>
                      <a:latin typeface="Calibri"/>
                      <a:ea typeface="Calibri"/>
                      <a:cs typeface="Calibri"/>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1400-47F9-B4B6-67E4D4E30584}"/>
                </c:ext>
              </c:extLst>
            </c:dLbl>
            <c:dLbl>
              <c:idx val="3"/>
              <c:layout>
                <c:manualLayout>
                  <c:x val="-0.16134762672738198"/>
                  <c:y val="0.12319516747604027"/>
                </c:manualLayout>
              </c:layout>
              <c:spPr/>
              <c:txPr>
                <a:bodyPr/>
                <a:lstStyle/>
                <a:p>
                  <a:pPr>
                    <a:defRPr sz="1000" b="0" i="0" u="none" strike="noStrike" baseline="0">
                      <a:solidFill>
                        <a:srgbClr val="000000"/>
                      </a:solidFill>
                      <a:latin typeface="Calibri"/>
                      <a:ea typeface="Calibri"/>
                      <a:cs typeface="Calibri"/>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1400-47F9-B4B6-67E4D4E30584}"/>
                </c:ext>
              </c:extLst>
            </c:dLbl>
            <c:dLbl>
              <c:idx val="4"/>
              <c:layout>
                <c:manualLayout>
                  <c:x val="-0.20136229959206906"/>
                  <c:y val="8.4085987522610518E-3"/>
                </c:manualLayout>
              </c:layout>
              <c:spPr/>
              <c:txPr>
                <a:bodyPr/>
                <a:lstStyle/>
                <a:p>
                  <a:pPr>
                    <a:defRPr sz="1000" b="0" i="0" u="none" strike="noStrike" baseline="0">
                      <a:solidFill>
                        <a:srgbClr val="000000"/>
                      </a:solidFill>
                      <a:latin typeface="Calibri"/>
                      <a:ea typeface="Calibri"/>
                      <a:cs typeface="Calibri"/>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1400-47F9-B4B6-67E4D4E30584}"/>
                </c:ext>
              </c:extLst>
            </c:dLbl>
            <c:dLbl>
              <c:idx val="5"/>
              <c:layout>
                <c:manualLayout>
                  <c:x val="5.4528918824905924E-2"/>
                  <c:y val="9.3428875025122803E-4"/>
                </c:manualLayout>
              </c:layout>
              <c:spPr/>
              <c:txPr>
                <a:bodyPr/>
                <a:lstStyle/>
                <a:p>
                  <a:pPr>
                    <a:defRPr sz="1000" b="0" i="0" u="none" strike="noStrike" baseline="0">
                      <a:solidFill>
                        <a:srgbClr val="000000"/>
                      </a:solidFill>
                      <a:latin typeface="Calibri"/>
                      <a:ea typeface="Calibri"/>
                      <a:cs typeface="Calibri"/>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1400-47F9-B4B6-67E4D4E30584}"/>
                </c:ext>
              </c:extLst>
            </c:dLbl>
            <c:dLbl>
              <c:idx val="6"/>
              <c:layout>
                <c:manualLayout>
                  <c:x val="0.13931164026183473"/>
                  <c:y val="9.3428875025122803E-4"/>
                </c:manualLayout>
              </c:layout>
              <c:spPr/>
              <c:txPr>
                <a:bodyPr/>
                <a:lstStyle/>
                <a:p>
                  <a:pPr>
                    <a:defRPr sz="1000" b="0" i="0" u="none" strike="noStrike" baseline="0">
                      <a:solidFill>
                        <a:srgbClr val="000000"/>
                      </a:solidFill>
                      <a:latin typeface="Calibri"/>
                      <a:ea typeface="Calibri"/>
                      <a:cs typeface="Calibri"/>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1400-47F9-B4B6-67E4D4E30584}"/>
                </c:ext>
              </c:extLst>
            </c:dLbl>
            <c:spPr>
              <a:noFill/>
              <a:ln w="25400">
                <a:noFill/>
              </a:ln>
            </c:spPr>
            <c:txPr>
              <a:bodyPr wrap="square" lIns="38100" tIns="19050" rIns="38100" bIns="19050" anchor="ctr">
                <a:spAutoFit/>
              </a:bodyPr>
              <a:lstStyle/>
              <a:p>
                <a:pPr>
                  <a:defRPr sz="1000" b="0" i="0" u="none" strike="noStrike" baseline="0">
                    <a:solidFill>
                      <a:srgbClr val="000000"/>
                    </a:solidFill>
                    <a:latin typeface="Calibri"/>
                    <a:ea typeface="Calibri"/>
                    <a:cs typeface="Calibri"/>
                  </a:defRPr>
                </a:pPr>
                <a:endParaRPr lang="en-US"/>
              </a:p>
            </c:txPr>
            <c:dLblPos val="bestFit"/>
            <c:showLegendKey val="0"/>
            <c:showVal val="0"/>
            <c:showCatName val="1"/>
            <c:showSerName val="0"/>
            <c:showPercent val="1"/>
            <c:showBubbleSize val="0"/>
            <c:showLeaderLines val="1"/>
            <c:extLst>
              <c:ext xmlns:c15="http://schemas.microsoft.com/office/drawing/2012/chart" uri="{CE6537A1-D6FC-4f65-9D91-7224C49458BB}"/>
            </c:extLst>
          </c:dLbls>
          <c:cat>
            <c:strRef>
              <c:f>Driver!$A$51:$A$57</c:f>
              <c:strCache>
                <c:ptCount val="6"/>
                <c:pt idx="0">
                  <c:v>Hong Kong</c:v>
                </c:pt>
                <c:pt idx="1">
                  <c:v>Australia</c:v>
                </c:pt>
                <c:pt idx="2">
                  <c:v>China</c:v>
                </c:pt>
                <c:pt idx="3">
                  <c:v>India</c:v>
                </c:pt>
                <c:pt idx="4">
                  <c:v>SEA and Taiwan</c:v>
                </c:pt>
                <c:pt idx="5">
                  <c:v>Others</c:v>
                </c:pt>
              </c:strCache>
            </c:strRef>
          </c:cat>
          <c:val>
            <c:numRef>
              <c:f>Driver!$AI$51:$AI$57</c:f>
              <c:numCache>
                <c:formatCode>#,##0_);\(#,##0\);\-\-_)</c:formatCode>
                <c:ptCount val="6"/>
                <c:pt idx="0">
                  <c:v>9535.5924378722939</c:v>
                </c:pt>
                <c:pt idx="1">
                  <c:v>439.38760373839585</c:v>
                </c:pt>
                <c:pt idx="2">
                  <c:v>1831.8860643915914</c:v>
                </c:pt>
                <c:pt idx="3">
                  <c:v>246.30544958325683</c:v>
                </c:pt>
                <c:pt idx="4">
                  <c:v>126.53462827120723</c:v>
                </c:pt>
                <c:pt idx="5">
                  <c:v>-1065.02</c:v>
                </c:pt>
              </c:numCache>
            </c:numRef>
          </c:val>
          <c:extLst>
            <c:ext xmlns:c16="http://schemas.microsoft.com/office/drawing/2014/chart" uri="{C3380CC4-5D6E-409C-BE32-E72D297353CC}">
              <c16:uniqueId val="{00000007-1400-47F9-B4B6-67E4D4E30584}"/>
            </c:ext>
          </c:extLst>
        </c:ser>
        <c:dLbls>
          <c:showLegendKey val="0"/>
          <c:showVal val="0"/>
          <c:showCatName val="0"/>
          <c:showSerName val="0"/>
          <c:showPercent val="0"/>
          <c:showBubbleSize val="0"/>
          <c:showLeaderLines val="1"/>
        </c:dLbls>
        <c:firstSliceAng val="0"/>
      </c:pieChart>
      <c:spPr>
        <a:noFill/>
        <a:ln w="25400">
          <a:noFill/>
        </a:ln>
      </c:spPr>
    </c:plotArea>
    <c:plotVisOnly val="1"/>
    <c:dispBlanksAs val="gap"/>
    <c:showDLblsOverMax val="0"/>
  </c:chart>
  <c:spPr>
    <a:ln>
      <a:noFill/>
    </a:ln>
  </c:spPr>
  <c:txPr>
    <a:bodyPr/>
    <a:lstStyle/>
    <a:p>
      <a:pPr>
        <a:defRPr sz="1000" b="0" i="0" u="none" strike="noStrike" baseline="0">
          <a:solidFill>
            <a:srgbClr val="000000"/>
          </a:solidFill>
          <a:latin typeface="Calibri"/>
          <a:ea typeface="Calibri"/>
          <a:cs typeface="Calibri"/>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2052841115497007E-2"/>
          <c:y val="0.11086874595357198"/>
          <c:w val="0.85382075693178661"/>
          <c:h val="0.73299179601815379"/>
        </c:manualLayout>
      </c:layout>
      <c:barChart>
        <c:barDir val="col"/>
        <c:grouping val="clustered"/>
        <c:varyColors val="0"/>
        <c:ser>
          <c:idx val="0"/>
          <c:order val="0"/>
          <c:tx>
            <c:strRef>
              <c:f>Aus!$AT$52</c:f>
              <c:strCache>
                <c:ptCount val="1"/>
                <c:pt idx="0">
                  <c:v>Retail unit EBIT</c:v>
                </c:pt>
              </c:strCache>
            </c:strRef>
          </c:tx>
          <c:invertIfNegative val="0"/>
          <c:cat>
            <c:numRef>
              <c:f>Aus!$AU$51:$BB$51</c:f>
              <c:numCache>
                <c:formatCode>0_);\(0\)</c:formatCode>
                <c:ptCount val="8"/>
                <c:pt idx="0">
                  <c:v>2013</c:v>
                </c:pt>
                <c:pt idx="1">
                  <c:v>2014</c:v>
                </c:pt>
                <c:pt idx="2">
                  <c:v>2015</c:v>
                </c:pt>
                <c:pt idx="3">
                  <c:v>2016</c:v>
                </c:pt>
                <c:pt idx="4">
                  <c:v>2017</c:v>
                </c:pt>
                <c:pt idx="5">
                  <c:v>2018</c:v>
                </c:pt>
                <c:pt idx="6">
                  <c:v>2019</c:v>
                </c:pt>
                <c:pt idx="7">
                  <c:v>2020</c:v>
                </c:pt>
              </c:numCache>
            </c:numRef>
          </c:cat>
          <c:val>
            <c:numRef>
              <c:f>Aus!$AU$52:$BB$52</c:f>
              <c:numCache>
                <c:formatCode>#,##0.00_);\(#,##0.00\)</c:formatCode>
                <c:ptCount val="8"/>
                <c:pt idx="0">
                  <c:v>3.1939488630617855E-3</c:v>
                </c:pt>
                <c:pt idx="1">
                  <c:v>7.5788685264818944E-3</c:v>
                </c:pt>
                <c:pt idx="2">
                  <c:v>2.1352976447605108E-2</c:v>
                </c:pt>
                <c:pt idx="3">
                  <c:v>2.5361347389581641E-2</c:v>
                </c:pt>
                <c:pt idx="4">
                  <c:v>2.6385312752436406E-2</c:v>
                </c:pt>
                <c:pt idx="5">
                  <c:v>1.3802918362060861E-2</c:v>
                </c:pt>
                <c:pt idx="6">
                  <c:v>6.7731703870423559E-3</c:v>
                </c:pt>
                <c:pt idx="7">
                  <c:v>2.797372334920065E-3</c:v>
                </c:pt>
              </c:numCache>
            </c:numRef>
          </c:val>
          <c:extLst>
            <c:ext xmlns:c16="http://schemas.microsoft.com/office/drawing/2014/chart" uri="{C3380CC4-5D6E-409C-BE32-E72D297353CC}">
              <c16:uniqueId val="{00000000-2E62-4549-82C1-17013632A1ED}"/>
            </c:ext>
          </c:extLst>
        </c:ser>
        <c:ser>
          <c:idx val="1"/>
          <c:order val="1"/>
          <c:tx>
            <c:strRef>
              <c:f>Aus!$AT$53</c:f>
              <c:strCache>
                <c:ptCount val="1"/>
                <c:pt idx="0">
                  <c:v>Wholesale unit EBIT</c:v>
                </c:pt>
              </c:strCache>
            </c:strRef>
          </c:tx>
          <c:invertIfNegative val="0"/>
          <c:cat>
            <c:numRef>
              <c:f>Aus!$AU$51:$BB$51</c:f>
              <c:numCache>
                <c:formatCode>0_);\(0\)</c:formatCode>
                <c:ptCount val="8"/>
                <c:pt idx="0">
                  <c:v>2013</c:v>
                </c:pt>
                <c:pt idx="1">
                  <c:v>2014</c:v>
                </c:pt>
                <c:pt idx="2">
                  <c:v>2015</c:v>
                </c:pt>
                <c:pt idx="3">
                  <c:v>2016</c:v>
                </c:pt>
                <c:pt idx="4">
                  <c:v>2017</c:v>
                </c:pt>
                <c:pt idx="5">
                  <c:v>2018</c:v>
                </c:pt>
                <c:pt idx="6">
                  <c:v>2019</c:v>
                </c:pt>
                <c:pt idx="7">
                  <c:v>2020</c:v>
                </c:pt>
              </c:numCache>
            </c:numRef>
          </c:cat>
          <c:val>
            <c:numRef>
              <c:f>Aus!$AU$53:$BB$53</c:f>
              <c:numCache>
                <c:formatCode>#,##0.000_);\(#,##0.000\)</c:formatCode>
                <c:ptCount val="8"/>
                <c:pt idx="0">
                  <c:v>2.5819995094516549E-2</c:v>
                </c:pt>
                <c:pt idx="1">
                  <c:v>1.5649333772867442E-2</c:v>
                </c:pt>
                <c:pt idx="2">
                  <c:v>9.3250854908885124E-3</c:v>
                </c:pt>
                <c:pt idx="3">
                  <c:v>1.2977659850267437E-2</c:v>
                </c:pt>
                <c:pt idx="4">
                  <c:v>2.4970133031802715E-2</c:v>
                </c:pt>
                <c:pt idx="5">
                  <c:v>4.826213520996616E-2</c:v>
                </c:pt>
                <c:pt idx="6">
                  <c:v>4.1147387692039655E-2</c:v>
                </c:pt>
                <c:pt idx="7">
                  <c:v>3.9933440531694259E-2</c:v>
                </c:pt>
              </c:numCache>
            </c:numRef>
          </c:val>
          <c:extLst>
            <c:ext xmlns:c16="http://schemas.microsoft.com/office/drawing/2014/chart" uri="{C3380CC4-5D6E-409C-BE32-E72D297353CC}">
              <c16:uniqueId val="{00000001-2E62-4549-82C1-17013632A1ED}"/>
            </c:ext>
          </c:extLst>
        </c:ser>
        <c:dLbls>
          <c:showLegendKey val="0"/>
          <c:showVal val="0"/>
          <c:showCatName val="0"/>
          <c:showSerName val="0"/>
          <c:showPercent val="0"/>
          <c:showBubbleSize val="0"/>
        </c:dLbls>
        <c:gapWidth val="60"/>
        <c:axId val="517376415"/>
        <c:axId val="1"/>
      </c:barChart>
      <c:lineChart>
        <c:grouping val="standard"/>
        <c:varyColors val="0"/>
        <c:ser>
          <c:idx val="2"/>
          <c:order val="2"/>
          <c:tx>
            <c:strRef>
              <c:f>Aus!$AT$54</c:f>
              <c:strCache>
                <c:ptCount val="1"/>
                <c:pt idx="0">
                  <c:v>Power plants utilization rate (rhs)</c:v>
                </c:pt>
              </c:strCache>
            </c:strRef>
          </c:tx>
          <c:cat>
            <c:numRef>
              <c:f>Aus!$AU$51:$BB$51</c:f>
              <c:numCache>
                <c:formatCode>0_);\(0\)</c:formatCode>
                <c:ptCount val="8"/>
                <c:pt idx="0">
                  <c:v>2013</c:v>
                </c:pt>
                <c:pt idx="1">
                  <c:v>2014</c:v>
                </c:pt>
                <c:pt idx="2">
                  <c:v>2015</c:v>
                </c:pt>
                <c:pt idx="3">
                  <c:v>2016</c:v>
                </c:pt>
                <c:pt idx="4">
                  <c:v>2017</c:v>
                </c:pt>
                <c:pt idx="5">
                  <c:v>2018</c:v>
                </c:pt>
                <c:pt idx="6">
                  <c:v>2019</c:v>
                </c:pt>
                <c:pt idx="7">
                  <c:v>2020</c:v>
                </c:pt>
              </c:numCache>
            </c:numRef>
          </c:cat>
          <c:val>
            <c:numRef>
              <c:f>Aus!$AU$54:$BB$54</c:f>
              <c:numCache>
                <c:formatCode>0%</c:formatCode>
                <c:ptCount val="8"/>
                <c:pt idx="0">
                  <c:v>0.40122906307866091</c:v>
                </c:pt>
                <c:pt idx="1">
                  <c:v>0.6844897032575199</c:v>
                </c:pt>
                <c:pt idx="2">
                  <c:v>0.57762109284541796</c:v>
                </c:pt>
                <c:pt idx="3">
                  <c:v>0.53465902175823876</c:v>
                </c:pt>
                <c:pt idx="4">
                  <c:v>0.49178635976902124</c:v>
                </c:pt>
                <c:pt idx="5">
                  <c:v>0.45224859846658533</c:v>
                </c:pt>
                <c:pt idx="6">
                  <c:v>0.35383527469552029</c:v>
                </c:pt>
                <c:pt idx="7">
                  <c:v>0.3387649597467518</c:v>
                </c:pt>
              </c:numCache>
            </c:numRef>
          </c:val>
          <c:smooth val="0"/>
          <c:extLst>
            <c:ext xmlns:c16="http://schemas.microsoft.com/office/drawing/2014/chart" uri="{C3380CC4-5D6E-409C-BE32-E72D297353CC}">
              <c16:uniqueId val="{00000002-2E62-4549-82C1-17013632A1ED}"/>
            </c:ext>
          </c:extLst>
        </c:ser>
        <c:dLbls>
          <c:showLegendKey val="0"/>
          <c:showVal val="0"/>
          <c:showCatName val="0"/>
          <c:showSerName val="0"/>
          <c:showPercent val="0"/>
          <c:showBubbleSize val="0"/>
        </c:dLbls>
        <c:marker val="1"/>
        <c:smooth val="0"/>
        <c:axId val="3"/>
        <c:axId val="4"/>
      </c:lineChart>
      <c:catAx>
        <c:axId val="517376415"/>
        <c:scaling>
          <c:orientation val="minMax"/>
        </c:scaling>
        <c:delete val="0"/>
        <c:axPos val="b"/>
        <c:numFmt formatCode="0_);\(0\)" sourceLinked="1"/>
        <c:majorTickMark val="out"/>
        <c:minorTickMark val="none"/>
        <c:tickLblPos val="nextTo"/>
        <c:txPr>
          <a:bodyPr rot="0" vert="horz"/>
          <a:lstStyle/>
          <a:p>
            <a:pPr>
              <a:defRPr sz="8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title>
          <c:tx>
            <c:rich>
              <a:bodyPr rot="0" vert="horz"/>
              <a:lstStyle/>
              <a:p>
                <a:pPr algn="ctr">
                  <a:defRPr sz="800" b="0" i="0" u="none" strike="noStrike" baseline="0">
                    <a:solidFill>
                      <a:srgbClr val="000000"/>
                    </a:solidFill>
                    <a:latin typeface="Calibri"/>
                    <a:ea typeface="Calibri"/>
                    <a:cs typeface="Calibri"/>
                  </a:defRPr>
                </a:pPr>
                <a:r>
                  <a:rPr lang="en-US"/>
                  <a:t>AUD/MWh</a:t>
                </a:r>
              </a:p>
            </c:rich>
          </c:tx>
          <c:layout>
            <c:manualLayout>
              <c:xMode val="edge"/>
              <c:yMode val="edge"/>
              <c:x val="0"/>
              <c:y val="3.7632025219367689E-4"/>
            </c:manualLayout>
          </c:layout>
          <c:overlay val="0"/>
        </c:title>
        <c:numFmt formatCode="#,##0.00_);\(#,##0.00\)" sourceLinked="1"/>
        <c:majorTickMark val="out"/>
        <c:minorTickMark val="none"/>
        <c:tickLblPos val="nextTo"/>
        <c:spPr>
          <a:ln>
            <a:noFill/>
          </a:ln>
        </c:spPr>
        <c:txPr>
          <a:bodyPr rot="0" vert="horz"/>
          <a:lstStyle/>
          <a:p>
            <a:pPr>
              <a:defRPr sz="800" b="0" i="0" u="none" strike="noStrike" baseline="0">
                <a:solidFill>
                  <a:srgbClr val="000000"/>
                </a:solidFill>
                <a:latin typeface="Calibri"/>
                <a:ea typeface="Calibri"/>
                <a:cs typeface="Calibri"/>
              </a:defRPr>
            </a:pPr>
            <a:endParaRPr lang="en-US"/>
          </a:p>
        </c:txPr>
        <c:crossAx val="517376415"/>
        <c:crosses val="autoZero"/>
        <c:crossBetween val="between"/>
      </c:valAx>
      <c:catAx>
        <c:axId val="3"/>
        <c:scaling>
          <c:orientation val="minMax"/>
        </c:scaling>
        <c:delete val="1"/>
        <c:axPos val="b"/>
        <c:numFmt formatCode="0_);\(0\)" sourceLinked="1"/>
        <c:majorTickMark val="out"/>
        <c:minorTickMark val="none"/>
        <c:tickLblPos val="nextTo"/>
        <c:crossAx val="4"/>
        <c:crosses val="autoZero"/>
        <c:auto val="1"/>
        <c:lblAlgn val="ctr"/>
        <c:lblOffset val="100"/>
        <c:noMultiLvlLbl val="0"/>
      </c:catAx>
      <c:valAx>
        <c:axId val="4"/>
        <c:scaling>
          <c:orientation val="minMax"/>
        </c:scaling>
        <c:delete val="0"/>
        <c:axPos val="r"/>
        <c:numFmt formatCode="0%" sourceLinked="1"/>
        <c:majorTickMark val="out"/>
        <c:minorTickMark val="none"/>
        <c:tickLblPos val="nextTo"/>
        <c:spPr>
          <a:ln>
            <a:noFill/>
          </a:ln>
        </c:spPr>
        <c:txPr>
          <a:bodyPr rot="0" vert="horz"/>
          <a:lstStyle/>
          <a:p>
            <a:pPr>
              <a:defRPr sz="800" b="0" i="0" u="none" strike="noStrike" baseline="0">
                <a:solidFill>
                  <a:srgbClr val="000000"/>
                </a:solidFill>
                <a:latin typeface="Calibri"/>
                <a:ea typeface="Calibri"/>
                <a:cs typeface="Calibri"/>
              </a:defRPr>
            </a:pPr>
            <a:endParaRPr lang="en-US"/>
          </a:p>
        </c:txPr>
        <c:crossAx val="3"/>
        <c:crosses val="max"/>
        <c:crossBetween val="between"/>
      </c:valAx>
    </c:plotArea>
    <c:legend>
      <c:legendPos val="b"/>
      <c:layout>
        <c:manualLayout>
          <c:xMode val="edge"/>
          <c:yMode val="edge"/>
          <c:x val="4.5538531510276017E-4"/>
          <c:y val="0.92997684940856928"/>
          <c:w val="0.98563859120498032"/>
          <c:h val="7.0023150591430716E-2"/>
        </c:manualLayout>
      </c:layout>
      <c:overlay val="0"/>
      <c:txPr>
        <a:bodyPr/>
        <a:lstStyle/>
        <a:p>
          <a:pPr>
            <a:defRPr sz="280" b="0" i="0" u="none" strike="noStrike" baseline="0">
              <a:solidFill>
                <a:srgbClr val="000000"/>
              </a:solidFill>
              <a:latin typeface="Calibri"/>
              <a:ea typeface="Calibri"/>
              <a:cs typeface="Calibri"/>
            </a:defRPr>
          </a:pPr>
          <a:endParaRPr lang="en-US"/>
        </a:p>
      </c:txPr>
    </c:legend>
    <c:plotVisOnly val="1"/>
    <c:dispBlanksAs val="gap"/>
    <c:showDLblsOverMax val="0"/>
  </c:chart>
  <c:spPr>
    <a:ln>
      <a:noFill/>
    </a:ln>
  </c:spPr>
  <c:txPr>
    <a:bodyPr/>
    <a:lstStyle/>
    <a:p>
      <a:pPr>
        <a:defRPr sz="800" b="0" i="0" u="none" strike="noStrike" baseline="0">
          <a:solidFill>
            <a:srgbClr val="000000"/>
          </a:solidFill>
          <a:latin typeface="Calibri"/>
          <a:ea typeface="Calibri"/>
          <a:cs typeface="Calibri"/>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8266185476815395E-2"/>
          <c:y val="0.10695610965296004"/>
          <c:w val="0.89117825896762903"/>
          <c:h val="0.77706401283172932"/>
        </c:manualLayout>
      </c:layout>
      <c:barChart>
        <c:barDir val="col"/>
        <c:grouping val="clustered"/>
        <c:varyColors val="0"/>
        <c:ser>
          <c:idx val="0"/>
          <c:order val="0"/>
          <c:invertIfNegative val="0"/>
          <c:cat>
            <c:numRef>
              <c:f>Aus!$Y$1:$AD$1</c:f>
              <c:numCache>
                <c:formatCode>0_);\(0\)</c:formatCode>
                <c:ptCount val="2"/>
                <c:pt idx="0">
                  <c:v>2019</c:v>
                </c:pt>
                <c:pt idx="1">
                  <c:v>2020</c:v>
                </c:pt>
              </c:numCache>
            </c:numRef>
          </c:cat>
          <c:val>
            <c:numRef>
              <c:f>Aus!$Y$101:$AD$101</c:f>
              <c:numCache>
                <c:formatCode>#,##0_);\(#,##0\)</c:formatCode>
                <c:ptCount val="2"/>
                <c:pt idx="0">
                  <c:v>80</c:v>
                </c:pt>
                <c:pt idx="1">
                  <c:v>80</c:v>
                </c:pt>
              </c:numCache>
            </c:numRef>
          </c:val>
          <c:extLst>
            <c:ext xmlns:c16="http://schemas.microsoft.com/office/drawing/2014/chart" uri="{C3380CC4-5D6E-409C-BE32-E72D297353CC}">
              <c16:uniqueId val="{00000000-0505-47B8-8BAC-B740F5D41D06}"/>
            </c:ext>
          </c:extLst>
        </c:ser>
        <c:dLbls>
          <c:showLegendKey val="0"/>
          <c:showVal val="0"/>
          <c:showCatName val="0"/>
          <c:showSerName val="0"/>
          <c:showPercent val="0"/>
          <c:showBubbleSize val="0"/>
        </c:dLbls>
        <c:gapWidth val="80"/>
        <c:axId val="517379199"/>
        <c:axId val="1"/>
      </c:barChart>
      <c:catAx>
        <c:axId val="517379199"/>
        <c:scaling>
          <c:orientation val="minMax"/>
        </c:scaling>
        <c:delete val="0"/>
        <c:axPos val="b"/>
        <c:numFmt formatCode="0_);\(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max val="90"/>
        </c:scaling>
        <c:delete val="0"/>
        <c:axPos val="l"/>
        <c:majorGridlines/>
        <c:title>
          <c:tx>
            <c:rich>
              <a:bodyPr rot="0" vert="horz"/>
              <a:lstStyle/>
              <a:p>
                <a:pPr algn="ctr">
                  <a:defRPr sz="1000" b="1" i="0" u="none" strike="noStrike" baseline="0">
                    <a:solidFill>
                      <a:srgbClr val="000000"/>
                    </a:solidFill>
                    <a:latin typeface="Calibri"/>
                    <a:ea typeface="Calibri"/>
                    <a:cs typeface="Calibri"/>
                  </a:defRPr>
                </a:pPr>
                <a:r>
                  <a:rPr lang="en-US"/>
                  <a:t>AUD/MWh</a:t>
                </a:r>
              </a:p>
            </c:rich>
          </c:tx>
          <c:layout>
            <c:manualLayout>
              <c:xMode val="edge"/>
              <c:yMode val="edge"/>
              <c:x val="0"/>
              <c:y val="1.9581109408303827E-3"/>
            </c:manualLayout>
          </c:layout>
          <c:overlay val="0"/>
        </c:title>
        <c:numFmt formatCode="#,##0_);\(#,##0\)" sourceLinked="1"/>
        <c:majorTickMark val="out"/>
        <c:minorTickMark val="none"/>
        <c:tickLblPos val="nextTo"/>
        <c:spPr>
          <a:ln>
            <a:noFill/>
          </a:ln>
        </c:spPr>
        <c:txPr>
          <a:bodyPr rot="0" vert="horz"/>
          <a:lstStyle/>
          <a:p>
            <a:pPr>
              <a:defRPr sz="1000" b="0" i="0" u="none" strike="noStrike" baseline="0">
                <a:solidFill>
                  <a:srgbClr val="000000"/>
                </a:solidFill>
                <a:latin typeface="Calibri"/>
                <a:ea typeface="Calibri"/>
                <a:cs typeface="Calibri"/>
              </a:defRPr>
            </a:pPr>
            <a:endParaRPr lang="en-US"/>
          </a:p>
        </c:txPr>
        <c:crossAx val="517379199"/>
        <c:crosses val="autoZero"/>
        <c:crossBetween val="between"/>
      </c:valAx>
    </c:plotArea>
    <c:plotVisOnly val="1"/>
    <c:dispBlanksAs val="gap"/>
    <c:showDLblsOverMax val="0"/>
  </c:chart>
  <c:spPr>
    <a:ln>
      <a:noFill/>
    </a:ln>
  </c:spPr>
  <c:txPr>
    <a:bodyPr/>
    <a:lstStyle/>
    <a:p>
      <a:pPr>
        <a:defRPr sz="1000" b="0" i="0" u="none" strike="noStrike" baseline="0">
          <a:solidFill>
            <a:srgbClr val="000000"/>
          </a:solidFill>
          <a:latin typeface="Calibri"/>
          <a:ea typeface="Calibri"/>
          <a:cs typeface="Calibri"/>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6.0586528507977952E-2"/>
          <c:y val="4.250963688843519E-2"/>
          <c:w val="0.91748077965830876"/>
          <c:h val="0.81530849800810501"/>
        </c:manualLayout>
      </c:layout>
      <c:lineChart>
        <c:grouping val="standard"/>
        <c:varyColors val="0"/>
        <c:ser>
          <c:idx val="0"/>
          <c:order val="0"/>
          <c:tx>
            <c:strRef>
              <c:f>Aus!$AQ$23</c:f>
              <c:strCache>
                <c:ptCount val="1"/>
                <c:pt idx="0">
                  <c:v>Base</c:v>
                </c:pt>
              </c:strCache>
            </c:strRef>
          </c:tx>
          <c:spPr>
            <a:ln w="38100"/>
          </c:spPr>
          <c:marker>
            <c:spPr>
              <a:ln w="38100"/>
            </c:spPr>
          </c:marker>
          <c:cat>
            <c:numRef>
              <c:f>Aus!$AR$21:$BC$21</c:f>
              <c:numCache>
                <c:formatCode>0_);\(0\)</c:formatCode>
                <c:ptCount val="12"/>
                <c:pt idx="0">
                  <c:v>2011</c:v>
                </c:pt>
                <c:pt idx="1">
                  <c:v>2012</c:v>
                </c:pt>
                <c:pt idx="2">
                  <c:v>2013</c:v>
                </c:pt>
                <c:pt idx="3">
                  <c:v>2014</c:v>
                </c:pt>
                <c:pt idx="4">
                  <c:v>2015</c:v>
                </c:pt>
                <c:pt idx="5">
                  <c:v>2016</c:v>
                </c:pt>
                <c:pt idx="6">
                  <c:v>2017</c:v>
                </c:pt>
                <c:pt idx="7">
                  <c:v>2018</c:v>
                </c:pt>
                <c:pt idx="8">
                  <c:v>2019</c:v>
                </c:pt>
                <c:pt idx="9">
                  <c:v>2020</c:v>
                </c:pt>
                <c:pt idx="10">
                  <c:v>2021</c:v>
                </c:pt>
                <c:pt idx="11">
                  <c:v>2022</c:v>
                </c:pt>
              </c:numCache>
            </c:numRef>
          </c:cat>
          <c:val>
            <c:numRef>
              <c:f>Aus!$U$94:$AF$94</c:f>
              <c:numCache>
                <c:formatCode>0.0%</c:formatCode>
                <c:ptCount val="4"/>
                <c:pt idx="0">
                  <c:v>7.0499257191734568E-2</c:v>
                </c:pt>
                <c:pt idx="1">
                  <c:v>6.5047534736923138E-2</c:v>
                </c:pt>
                <c:pt idx="2">
                  <c:v>-3.3164182682702682E-3</c:v>
                </c:pt>
                <c:pt idx="3">
                  <c:v>-0.22763419483101391</c:v>
                </c:pt>
              </c:numCache>
            </c:numRef>
          </c:val>
          <c:smooth val="0"/>
          <c:extLst>
            <c:ext xmlns:c16="http://schemas.microsoft.com/office/drawing/2014/chart" uri="{C3380CC4-5D6E-409C-BE32-E72D297353CC}">
              <c16:uniqueId val="{00000000-5E33-42E7-9B10-89739CCBD84D}"/>
            </c:ext>
          </c:extLst>
        </c:ser>
        <c:ser>
          <c:idx val="1"/>
          <c:order val="1"/>
          <c:tx>
            <c:strRef>
              <c:f>Aus!$AQ$22</c:f>
              <c:strCache>
                <c:ptCount val="1"/>
                <c:pt idx="0">
                  <c:v>High scenario</c:v>
                </c:pt>
              </c:strCache>
            </c:strRef>
          </c:tx>
          <c:spPr>
            <a:ln w="38100">
              <a:prstDash val="dashDot"/>
            </a:ln>
          </c:spPr>
          <c:marker>
            <c:symbol val="none"/>
          </c:marker>
          <c:dPt>
            <c:idx val="0"/>
            <c:bubble3D val="0"/>
            <c:spPr>
              <a:ln w="38100">
                <a:solidFill>
                  <a:schemeClr val="tx1"/>
                </a:solidFill>
                <a:prstDash val="dashDot"/>
              </a:ln>
            </c:spPr>
            <c:extLst>
              <c:ext xmlns:c16="http://schemas.microsoft.com/office/drawing/2014/chart" uri="{C3380CC4-5D6E-409C-BE32-E72D297353CC}">
                <c16:uniqueId val="{00000002-5E33-42E7-9B10-89739CCBD84D}"/>
              </c:ext>
            </c:extLst>
          </c:dPt>
          <c:dPt>
            <c:idx val="1"/>
            <c:bubble3D val="0"/>
            <c:spPr>
              <a:ln w="38100">
                <a:solidFill>
                  <a:schemeClr val="tx1"/>
                </a:solidFill>
                <a:prstDash val="dashDot"/>
              </a:ln>
            </c:spPr>
            <c:extLst>
              <c:ext xmlns:c16="http://schemas.microsoft.com/office/drawing/2014/chart" uri="{C3380CC4-5D6E-409C-BE32-E72D297353CC}">
                <c16:uniqueId val="{00000004-5E33-42E7-9B10-89739CCBD84D}"/>
              </c:ext>
            </c:extLst>
          </c:dPt>
          <c:dPt>
            <c:idx val="2"/>
            <c:bubble3D val="0"/>
            <c:spPr>
              <a:ln w="38100">
                <a:solidFill>
                  <a:schemeClr val="tx1"/>
                </a:solidFill>
                <a:prstDash val="dashDot"/>
              </a:ln>
            </c:spPr>
            <c:extLst>
              <c:ext xmlns:c16="http://schemas.microsoft.com/office/drawing/2014/chart" uri="{C3380CC4-5D6E-409C-BE32-E72D297353CC}">
                <c16:uniqueId val="{00000006-5E33-42E7-9B10-89739CCBD84D}"/>
              </c:ext>
            </c:extLst>
          </c:dPt>
          <c:dPt>
            <c:idx val="3"/>
            <c:bubble3D val="0"/>
            <c:spPr>
              <a:ln w="38100">
                <a:solidFill>
                  <a:schemeClr val="tx1"/>
                </a:solidFill>
                <a:prstDash val="dashDot"/>
              </a:ln>
            </c:spPr>
            <c:extLst>
              <c:ext xmlns:c16="http://schemas.microsoft.com/office/drawing/2014/chart" uri="{C3380CC4-5D6E-409C-BE32-E72D297353CC}">
                <c16:uniqueId val="{00000008-5E33-42E7-9B10-89739CCBD84D}"/>
              </c:ext>
            </c:extLst>
          </c:dPt>
          <c:dPt>
            <c:idx val="4"/>
            <c:bubble3D val="0"/>
            <c:spPr>
              <a:ln w="38100">
                <a:solidFill>
                  <a:schemeClr val="tx1"/>
                </a:solidFill>
                <a:prstDash val="dashDot"/>
              </a:ln>
            </c:spPr>
            <c:extLst>
              <c:ext xmlns:c16="http://schemas.microsoft.com/office/drawing/2014/chart" uri="{C3380CC4-5D6E-409C-BE32-E72D297353CC}">
                <c16:uniqueId val="{0000000A-5E33-42E7-9B10-89739CCBD84D}"/>
              </c:ext>
            </c:extLst>
          </c:dPt>
          <c:dPt>
            <c:idx val="5"/>
            <c:bubble3D val="0"/>
            <c:spPr>
              <a:ln w="38100">
                <a:solidFill>
                  <a:schemeClr val="tx1"/>
                </a:solidFill>
                <a:prstDash val="dashDot"/>
              </a:ln>
            </c:spPr>
            <c:extLst>
              <c:ext xmlns:c16="http://schemas.microsoft.com/office/drawing/2014/chart" uri="{C3380CC4-5D6E-409C-BE32-E72D297353CC}">
                <c16:uniqueId val="{0000000C-5E33-42E7-9B10-89739CCBD84D}"/>
              </c:ext>
            </c:extLst>
          </c:dPt>
          <c:cat>
            <c:numRef>
              <c:f>Aus!$AR$21:$BC$21</c:f>
              <c:numCache>
                <c:formatCode>0_);\(0\)</c:formatCode>
                <c:ptCount val="12"/>
                <c:pt idx="0">
                  <c:v>2011</c:v>
                </c:pt>
                <c:pt idx="1">
                  <c:v>2012</c:v>
                </c:pt>
                <c:pt idx="2">
                  <c:v>2013</c:v>
                </c:pt>
                <c:pt idx="3">
                  <c:v>2014</c:v>
                </c:pt>
                <c:pt idx="4">
                  <c:v>2015</c:v>
                </c:pt>
                <c:pt idx="5">
                  <c:v>2016</c:v>
                </c:pt>
                <c:pt idx="6">
                  <c:v>2017</c:v>
                </c:pt>
                <c:pt idx="7">
                  <c:v>2018</c:v>
                </c:pt>
                <c:pt idx="8">
                  <c:v>2019</c:v>
                </c:pt>
                <c:pt idx="9">
                  <c:v>2020</c:v>
                </c:pt>
                <c:pt idx="10">
                  <c:v>2021</c:v>
                </c:pt>
                <c:pt idx="11">
                  <c:v>2022</c:v>
                </c:pt>
              </c:numCache>
            </c:numRef>
          </c:cat>
          <c:val>
            <c:numRef>
              <c:f>Aus!$AR$22:$BC$22</c:f>
              <c:numCache>
                <c:formatCode>0.0%</c:formatCode>
                <c:ptCount val="12"/>
                <c:pt idx="5">
                  <c:v>7.1442370851203585E-2</c:v>
                </c:pt>
                <c:pt idx="6">
                  <c:v>0.1611937336242002</c:v>
                </c:pt>
                <c:pt idx="7">
                  <c:v>0.19965208302756771</c:v>
                </c:pt>
                <c:pt idx="8">
                  <c:v>0.19447084621141439</c:v>
                </c:pt>
                <c:pt idx="9">
                  <c:v>0.18986053469994035</c:v>
                </c:pt>
                <c:pt idx="10">
                  <c:v>0.18571594510961728</c:v>
                </c:pt>
                <c:pt idx="11">
                  <c:v>0.18204933292869752</c:v>
                </c:pt>
              </c:numCache>
            </c:numRef>
          </c:val>
          <c:smooth val="0"/>
          <c:extLst>
            <c:ext xmlns:c16="http://schemas.microsoft.com/office/drawing/2014/chart" uri="{C3380CC4-5D6E-409C-BE32-E72D297353CC}">
              <c16:uniqueId val="{0000000D-5E33-42E7-9B10-89739CCBD84D}"/>
            </c:ext>
          </c:extLst>
        </c:ser>
        <c:ser>
          <c:idx val="2"/>
          <c:order val="2"/>
          <c:tx>
            <c:strRef>
              <c:f>Aus!$AQ$24</c:f>
              <c:strCache>
                <c:ptCount val="1"/>
                <c:pt idx="0">
                  <c:v>Low scenario</c:v>
                </c:pt>
              </c:strCache>
            </c:strRef>
          </c:tx>
          <c:spPr>
            <a:ln w="38100">
              <a:prstDash val="dashDot"/>
            </a:ln>
          </c:spPr>
          <c:marker>
            <c:symbol val="none"/>
          </c:marker>
          <c:dPt>
            <c:idx val="1"/>
            <c:bubble3D val="0"/>
            <c:spPr>
              <a:ln w="38100">
                <a:solidFill>
                  <a:schemeClr val="tx1"/>
                </a:solidFill>
                <a:prstDash val="dashDot"/>
              </a:ln>
            </c:spPr>
            <c:extLst>
              <c:ext xmlns:c16="http://schemas.microsoft.com/office/drawing/2014/chart" uri="{C3380CC4-5D6E-409C-BE32-E72D297353CC}">
                <c16:uniqueId val="{0000000F-5E33-42E7-9B10-89739CCBD84D}"/>
              </c:ext>
            </c:extLst>
          </c:dPt>
          <c:dPt>
            <c:idx val="2"/>
            <c:bubble3D val="0"/>
            <c:spPr>
              <a:ln w="38100">
                <a:solidFill>
                  <a:schemeClr val="tx1"/>
                </a:solidFill>
                <a:prstDash val="dashDot"/>
              </a:ln>
            </c:spPr>
            <c:extLst>
              <c:ext xmlns:c16="http://schemas.microsoft.com/office/drawing/2014/chart" uri="{C3380CC4-5D6E-409C-BE32-E72D297353CC}">
                <c16:uniqueId val="{00000011-5E33-42E7-9B10-89739CCBD84D}"/>
              </c:ext>
            </c:extLst>
          </c:dPt>
          <c:dPt>
            <c:idx val="3"/>
            <c:bubble3D val="0"/>
            <c:spPr>
              <a:ln w="38100">
                <a:solidFill>
                  <a:schemeClr val="tx1"/>
                </a:solidFill>
                <a:prstDash val="dashDot"/>
              </a:ln>
            </c:spPr>
            <c:extLst>
              <c:ext xmlns:c16="http://schemas.microsoft.com/office/drawing/2014/chart" uri="{C3380CC4-5D6E-409C-BE32-E72D297353CC}">
                <c16:uniqueId val="{00000013-5E33-42E7-9B10-89739CCBD84D}"/>
              </c:ext>
            </c:extLst>
          </c:dPt>
          <c:dPt>
            <c:idx val="4"/>
            <c:bubble3D val="0"/>
            <c:spPr>
              <a:ln w="38100">
                <a:solidFill>
                  <a:schemeClr val="tx1"/>
                </a:solidFill>
                <a:prstDash val="dashDot"/>
              </a:ln>
            </c:spPr>
            <c:extLst>
              <c:ext xmlns:c16="http://schemas.microsoft.com/office/drawing/2014/chart" uri="{C3380CC4-5D6E-409C-BE32-E72D297353CC}">
                <c16:uniqueId val="{00000015-5E33-42E7-9B10-89739CCBD84D}"/>
              </c:ext>
            </c:extLst>
          </c:dPt>
          <c:dPt>
            <c:idx val="5"/>
            <c:bubble3D val="0"/>
            <c:spPr>
              <a:ln w="38100">
                <a:solidFill>
                  <a:schemeClr val="tx1"/>
                </a:solidFill>
                <a:prstDash val="dashDot"/>
              </a:ln>
            </c:spPr>
            <c:extLst>
              <c:ext xmlns:c16="http://schemas.microsoft.com/office/drawing/2014/chart" uri="{C3380CC4-5D6E-409C-BE32-E72D297353CC}">
                <c16:uniqueId val="{00000017-5E33-42E7-9B10-89739CCBD84D}"/>
              </c:ext>
            </c:extLst>
          </c:dPt>
          <c:cat>
            <c:numRef>
              <c:f>Aus!$AR$21:$BC$21</c:f>
              <c:numCache>
                <c:formatCode>0_);\(0\)</c:formatCode>
                <c:ptCount val="12"/>
                <c:pt idx="0">
                  <c:v>2011</c:v>
                </c:pt>
                <c:pt idx="1">
                  <c:v>2012</c:v>
                </c:pt>
                <c:pt idx="2">
                  <c:v>2013</c:v>
                </c:pt>
                <c:pt idx="3">
                  <c:v>2014</c:v>
                </c:pt>
                <c:pt idx="4">
                  <c:v>2015</c:v>
                </c:pt>
                <c:pt idx="5">
                  <c:v>2016</c:v>
                </c:pt>
                <c:pt idx="6">
                  <c:v>2017</c:v>
                </c:pt>
                <c:pt idx="7">
                  <c:v>2018</c:v>
                </c:pt>
                <c:pt idx="8">
                  <c:v>2019</c:v>
                </c:pt>
                <c:pt idx="9">
                  <c:v>2020</c:v>
                </c:pt>
                <c:pt idx="10">
                  <c:v>2021</c:v>
                </c:pt>
                <c:pt idx="11">
                  <c:v>2022</c:v>
                </c:pt>
              </c:numCache>
            </c:numRef>
          </c:cat>
          <c:val>
            <c:numRef>
              <c:f>Aus!$AR$24:$BC$24</c:f>
              <c:numCache>
                <c:formatCode>0.0%</c:formatCode>
                <c:ptCount val="12"/>
                <c:pt idx="5">
                  <c:v>7.1442370851203585E-2</c:v>
                </c:pt>
                <c:pt idx="6">
                  <c:v>7.7455054019055641E-2</c:v>
                </c:pt>
                <c:pt idx="7">
                  <c:v>5.5339408885739218E-2</c:v>
                </c:pt>
                <c:pt idx="8">
                  <c:v>1.7523302996966344E-2</c:v>
                </c:pt>
                <c:pt idx="9">
                  <c:v>1.6417771151077936E-2</c:v>
                </c:pt>
                <c:pt idx="10">
                  <c:v>1.5414998472210353E-2</c:v>
                </c:pt>
                <c:pt idx="11">
                  <c:v>1.4507849901142346E-2</c:v>
                </c:pt>
              </c:numCache>
            </c:numRef>
          </c:val>
          <c:smooth val="0"/>
          <c:extLst>
            <c:ext xmlns:c16="http://schemas.microsoft.com/office/drawing/2014/chart" uri="{C3380CC4-5D6E-409C-BE32-E72D297353CC}">
              <c16:uniqueId val="{00000018-5E33-42E7-9B10-89739CCBD84D}"/>
            </c:ext>
          </c:extLst>
        </c:ser>
        <c:dLbls>
          <c:showLegendKey val="0"/>
          <c:showVal val="0"/>
          <c:showCatName val="0"/>
          <c:showSerName val="0"/>
          <c:showPercent val="0"/>
          <c:showBubbleSize val="0"/>
        </c:dLbls>
        <c:marker val="1"/>
        <c:smooth val="0"/>
        <c:axId val="517375951"/>
        <c:axId val="1"/>
      </c:lineChart>
      <c:catAx>
        <c:axId val="517375951"/>
        <c:scaling>
          <c:orientation val="minMax"/>
        </c:scaling>
        <c:delete val="0"/>
        <c:axPos val="b"/>
        <c:numFmt formatCode="0_);\(0\)" sourceLinked="1"/>
        <c:majorTickMark val="out"/>
        <c:minorTickMark val="none"/>
        <c:tickLblPos val="nextTo"/>
        <c:txPr>
          <a:bodyPr rot="0" vert="horz"/>
          <a:lstStyle/>
          <a:p>
            <a:pPr>
              <a:defRPr sz="8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max val="0.22000000000000003"/>
          <c:min val="0"/>
        </c:scaling>
        <c:delete val="0"/>
        <c:axPos val="l"/>
        <c:numFmt formatCode="0%" sourceLinked="0"/>
        <c:majorTickMark val="out"/>
        <c:minorTickMark val="none"/>
        <c:tickLblPos val="nextTo"/>
        <c:spPr>
          <a:ln>
            <a:noFill/>
          </a:ln>
        </c:spPr>
        <c:txPr>
          <a:bodyPr rot="0" vert="horz"/>
          <a:lstStyle/>
          <a:p>
            <a:pPr>
              <a:defRPr sz="800" b="0" i="0" u="none" strike="noStrike" baseline="0">
                <a:solidFill>
                  <a:srgbClr val="000000"/>
                </a:solidFill>
                <a:latin typeface="Calibri"/>
                <a:ea typeface="Calibri"/>
                <a:cs typeface="Calibri"/>
              </a:defRPr>
            </a:pPr>
            <a:endParaRPr lang="en-US"/>
          </a:p>
        </c:txPr>
        <c:crossAx val="517375951"/>
        <c:crosses val="autoZero"/>
        <c:crossBetween val="between"/>
        <c:majorUnit val="2.0000000000000004E-2"/>
      </c:valAx>
    </c:plotArea>
    <c:legend>
      <c:legendPos val="b"/>
      <c:layout>
        <c:manualLayout>
          <c:xMode val="edge"/>
          <c:yMode val="edge"/>
          <c:x val="0.25262053658083738"/>
          <c:y val="0.93076364061734629"/>
          <c:w val="0.55982057709024313"/>
          <c:h val="6.9236359382653712E-2"/>
        </c:manualLayout>
      </c:layout>
      <c:overlay val="0"/>
      <c:txPr>
        <a:bodyPr/>
        <a:lstStyle/>
        <a:p>
          <a:pPr>
            <a:defRPr sz="280" b="0" i="0" u="none" strike="noStrike" baseline="0">
              <a:solidFill>
                <a:srgbClr val="000000"/>
              </a:solidFill>
              <a:latin typeface="Calibri"/>
              <a:ea typeface="Calibri"/>
              <a:cs typeface="Calibri"/>
            </a:defRPr>
          </a:pPr>
          <a:endParaRPr lang="en-US"/>
        </a:p>
      </c:txPr>
    </c:legend>
    <c:plotVisOnly val="1"/>
    <c:dispBlanksAs val="gap"/>
    <c:showDLblsOverMax val="0"/>
  </c:chart>
  <c:spPr>
    <a:ln>
      <a:noFill/>
    </a:ln>
  </c:spPr>
  <c:txPr>
    <a:bodyPr/>
    <a:lstStyle/>
    <a:p>
      <a:pPr>
        <a:defRPr sz="800" b="0" i="0" u="none" strike="noStrike" baseline="0">
          <a:solidFill>
            <a:srgbClr val="000000"/>
          </a:solidFill>
          <a:latin typeface="Calibri"/>
          <a:ea typeface="Calibri"/>
          <a:cs typeface="Calibri"/>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20</xdr:col>
      <xdr:colOff>508000</xdr:colOff>
      <xdr:row>2</xdr:row>
      <xdr:rowOff>112936</xdr:rowOff>
    </xdr:to>
    <xdr:sp macro="" textlink="">
      <xdr:nvSpPr>
        <xdr:cNvPr id="2" name="TextBox 1">
          <a:extLst>
            <a:ext uri="{FF2B5EF4-FFF2-40B4-BE49-F238E27FC236}">
              <a16:creationId xmlns:a16="http://schemas.microsoft.com/office/drawing/2014/main" id="{D6F826D8-331B-AC88-5EE1-8BDCA7BF90A0}"/>
            </a:ext>
          </a:extLst>
        </xdr:cNvPr>
        <xdr:cNvSpPr txBox="1"/>
      </xdr:nvSpPr>
      <xdr:spPr>
        <a:xfrm>
          <a:off x="0" y="0"/>
          <a:ext cx="12700000" cy="4367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r>
            <a:rPr lang="en-US" sz="1100">
              <a:latin typeface="Calibri" panose="020F0502020204030204" pitchFamily="34" charset="0"/>
            </a:rPr>
            <a:t>This material, including the spreadsheet and any values appearing in it, (this ‘Material’) is produced by UBS AG or an affiliate thereof (UBS AG together with its subsidiaries, branches and affiliates, including former Credit Suisse AG and its subsidiaries, branches and affiliates are referred to herein as ‘UBS’) as part of its UBS Global Research function and is provided to you solely for general background information.</a:t>
          </a:r>
        </a:p>
      </xdr:txBody>
    </xdr:sp>
    <xdr:clientData/>
  </xdr:twoCellAnchor>
  <xdr:twoCellAnchor>
    <xdr:from>
      <xdr:col>0</xdr:col>
      <xdr:colOff>0</xdr:colOff>
      <xdr:row>2</xdr:row>
      <xdr:rowOff>112936</xdr:rowOff>
    </xdr:from>
    <xdr:to>
      <xdr:col>20</xdr:col>
      <xdr:colOff>508000</xdr:colOff>
      <xdr:row>116</xdr:row>
      <xdr:rowOff>1842</xdr:rowOff>
    </xdr:to>
    <xdr:sp macro="" textlink="">
      <xdr:nvSpPr>
        <xdr:cNvPr id="3" name="TextBox 2">
          <a:extLst>
            <a:ext uri="{FF2B5EF4-FFF2-40B4-BE49-F238E27FC236}">
              <a16:creationId xmlns:a16="http://schemas.microsoft.com/office/drawing/2014/main" id="{373303E4-D729-FCEA-E869-95598EB19311}"/>
            </a:ext>
          </a:extLst>
        </xdr:cNvPr>
        <xdr:cNvSpPr txBox="1"/>
      </xdr:nvSpPr>
      <xdr:spPr>
        <a:xfrm>
          <a:off x="0" y="436786"/>
          <a:ext cx="12700000" cy="1834835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r>
            <a:rPr lang="en-US" sz="1100">
              <a:latin typeface="Calibri" panose="020F0502020204030204" pitchFamily="34" charset="0"/>
            </a:rPr>
            <a:t>This document is a general communication and is educational in nature. UBS has no regard to the specific investment objectives, financial situation or particular needs of any specific recipient. By providing this document, none of UBS or its representatives has any responsibility or authority to provide or have provided investment advice in a fiduciary capacity or otherwise. None of UBS or its representatives is suggesting that the recipient or any other person take a specific course of action or any action at all. In no circumstances may this Material be used for any of the following purposes:(i) valuation or accounting purposes;(ii) trading purposes;(iii) to determine the amounts due or payable, the price or the value of any financial instrument or financial contract; or(iv) to measure the performance of any financial instrument.By receiving this Material you (i) will be deemed to represent and warrant to UBS that you will not use this Material for any of the above purposes or otherwise rely upon this Material, (ii) acknowledge and agree with the intended purpose described above and (iii) further disclaim any expectation or belief that the Material constitutes investment advice to the recipient or otherwise purports to meet the investment objectives of the recipient. Nothing in this Material should be construed as a solicitation or an offer to buy or sell any securities or related financial instruments. Past performance is not necessarily a guide to future performance. The value of any investment or income may go down as well as up, and you may not get back the full (or any) amount invested.In certain circumstances (including for example, if you are an academic or a member of the media) you may receive this Material otherwise than in the capacity of a client of UBS and you understand and agree that (i) the Material is provided to you for information purposes only; (ii) for the purposes of receiving it you are not intended to be and will not be treated as a “client” of UBS for any legal or regulatory purpose; (iii) the Material must not be relied on or acted upon for any purpose; and (iv) such content is subject to the relevant disclaimers that follow.Should any user of this Material wish to trade any of the securities contained herein, they must consult their usual representative or trading contact. Prior to making any investment or financial decisions, any recipient of this document or the Information should take steps to understand the risk and return of the investment and seek individualized advice from his or her personal financial, legal, tax and other professional advisors that takes into account all the particular facts and circumstances of his or her investment objectives.The values generated by this Material do not represent the values or prices at which UBS would be willing to purchase, sell, enter into, assign, terminate or settle transactions in relevant securities. The methodology used in this Material relies on models, empirical data and assumptions, and as such, no representation or warranty, either expressed or implied, is provided as to the accuracy or appropriateness of our methodology and the Material. Any statements contained in this Material attributed to a third party represent UBS's interpretation of the data, information and/or opinions provided by that third party either publicly or through a subscription service, and such use and interpretation have not been reviewed by the third party.UBS has policies and procedures, which include, without limitation, independence policies and permanent information barriers, that are intended, and upon which UBS relies, to manage potential conflicts of interest and control the flow of information within divisions of UBS and among its subsidiaries, branches and affiliates. For further information on the ways in which UBS manages conflicts and maintains independence of its research products, historical performance information and certain additional disclosures concerning UBS Global Research recommendations, please visit https://www.ubs.com/disclosures .UBS Global Research will initiate, update and cease coverage solely at the discretion of UBS Global Research Management, which will also have sole discretion on the timing and frequency of any published research product. The analysis contained in this document is based on numerous assumptions. All material information in relation to published research reports, such as valuation methodology, risk statements, underlying assumptions (including sensitivity analysis of those assumptions), ratings history etc. as required by the Market Abuse Regulation, can be found on NEO. Different assumptions could result in materially different results.The analyst(s) responsible for the preparation of this document may interact with trading desk personnel, sales personnel and other parties for the purpose of gathering, applying and interpreting market information. UBS relies on information barriers to control the flow of information contained in one or more areas within UBS into other areas, units, groups or affiliates of UBS. The compensation of the analyst who prepared this document is determined exclusively by UBS Global Research management and senior management (not including investment banking). Analyst compensation is not based on investment banking revenues; however, compensation may relate to the revenues of UBS and/or its divisions as a whole, of which investment banking, sales and trading are a part, and UBS's subsidiaries, branches and affiliates as a whole.UBS accepts no liability for any loss arising from the direct or indirect use of this Material. UBS and its affiliates and employees may have long or short positions, trade as principal and buy and sell in instruments or derivatives identified herein.United Kingdom: This material is distributed by UBS AG, London Branch to persons who are eligible counterparties or professional clients. UBS AG, London Branch is authorised by the Prudential Regulation Authority and subject to regulation by the Financial Conduct Authority and limited regulation by the Prudential Regulation Authority. Europe: Except as otherwise specified herein, these materials are distributed by UBS Europe SE, a subsidiary of UBS AG, to persons who are eligible counterparties or professional clients (as detailed in the Bundesanstalt fur Finanzdienstleistungsaufsicht (BaFin) Rules and according to MIFID) and are only available to such persons. The information does not apply to, and should not be relied upon by, retail clients. UBS Europe SE is authorised by the European Central Bank (ECB) and regulated by the BaFin and the ECB. Germany, Luxembourg, the Netherlands, Belgium and Ireland: Where an analyst of UBS Europe SE has contributed to this document, the document is also deemed to have been prepared by UBS Europe SE. In all cases it is distributed by UBS Europe SE and UBS AG, London Branch. Turkey: Distributed by UBS AG, London Branch. No information in this document is provided for the purpose of offering, marketing and sale by any means of any capital market instruments and services in the Republic of Turkey. Therefore, this document may not be considered as an offer made or to be made to residents of the Republic of Turkey. UBS AG, London Branch is not licensed by the Turkish Capital Market Board under the provisions of the Capital Market Law (Law No. 6362). Accordingly, neither this document nor any other offering material related to the instruments/services may be utilized in connection with providing any capital market services to persons within the Republic of Turkey without the prior approval of the Capital Market Board. However, according to article 15 (d) (ii) of the Decree No. 32, there is no restriction on the purchase or sale of the securities abroad by residents of the Republic of Turkey. Poland: Distributed by UBS Europe SE (spolka z ograniczona odpowiedzialnoscia) Oddzial w Polsce. Where an analyst of UBS Europe SE (spolka z ograniczona odpowiedzialnoscia) Oddzial w Polsce has contributed to this document, the document is also deemed to have been prepared by UBS Europe SE (spolka z ograniczona odpowiedzialnoscia) Oddzial w Polsce. Russia: Prepared and distributed by UBS Bank (OOO). “Should not be construed as an individual Investment Recommendation for the purpose of the Russian Law" - Federal Law #39-FZ ON THE SECURITIES MARKET Articles 6.1-6.2.Switzerland: Distributed by UBS AG to persons who are institutional investors only. UBS AG is regulated by the Swiss Financial Market Supervisory Authority (FINMA). Italy: Prepared by UBS Europe SE and distributed by UBS Europe SE and UBS Europe SE, Italy Branch. Where an analyst of UBS Europe SE, Italy Branch has contributed to this document, the document is also deemed to have been prepared by UBS Europe SE, Italy Branch. France: Prepared by UBS Europe SE and distributed by UBS Europe SE and UBS Europe SE, France Branch. Where an analyst of UBS Europe SE, France Branch has contributed to this document, the document is also deemed to have been prepared by UBS Europe SE, France Branch. Spain: Prepared by UBS Europe SE and distributed by UBS Europe SE and UBS Europe SE, Spain Branch. Where an analyst of UBS Europe SE, Spain Branch has contributed to this document, the document is also deemed to have been prepared by UBS Europe SE, Spain Branch. Sweden: Prepared by UBS Europe SE and distributed by UBS Europe SE and UBS Europe SE, Sweden Branch. Where an analyst of UBS Europe SE, Sweden Branch has contributed to this document, the document is also deemed to have been prepared by UBS Europe SE, Sweden Branch.South Africa: Distributed by UBS South Africa (Pty) Limited (Registration No. 1995/011140/07), an authorised user of the JSE and an authorised Financial Services Provider (FSP 7328). Saudi Arabia: This document has been issued by UBS AG (and/or any of its subsidiaries, branches or affiliates), a public company limited by shares, incorporated in Switzerland with its registered offices at Aeschenvorstadt 1, CH-4051 Basel and Bahnhofstrasse 45, CH-8001 Zurich. This publication has been approved by UBS Saudi Arabia (a subsidiary of UBS AG), a Saudi closed joint stock company incorporated in the Kingdom of Saudi Arabia under commercial register number 1010257812 having its registered office at Tatweer Towers, P.O. Box 75724, Riyadh 11588, Kingdom of Saudi Arabia. UBS Saudi Arabia is authorized and regulated by the Capital Market Authority to conduct securities business under license number 08113-37. UAE / Dubai: The information distributed by UBS AG Dubai Branch is only intended for Professional Clients and/or Market Counterparties, as classified under the DFSA rulebook. No other person should act upon this material/communication. The information is not for further distribution within the United Arab Emirates. UBS AG Dubai Branch is regulated by the DFSA in the DIFC. UBS is not licensed to provide banking services in the UAE by the Central Bank of the UAE, nor is it licensed by the UAE Securities and Commodities Authority.  Israel: This Material is distributed by UBS AG, London Branch. UBS Securities Israel Ltd is a licensed Investment Marketer that is supervised by the Israel Securities Authority (ISA). UBS AG, London Branch and its affiliates incorporated outside Israel are not licensed under the Israeli Advisory Law. UBS may engage among others in issuance of Financial Assets or in distribution of Financial Assets of other issuers for fees or other benefits. UBS AG, London Branch and its affiliates may prefer various Financial Assets to which they have or may have an Affiliation (as such term is defined under the Israeli Advisory Law). Nothing in this Material should be considered as investment advice under the Israeli Advisory Law. This Material is being issued only to and/or is directed only at persons who are Eligible Clients within the meaning of the Israeli Advisory Law, and this Material must not be furnished to, relied on or acted upon by any other persons. United States: Distributed to US persons by either UBS Securities LLC or by UBS Financial Services Inc., subsidiaries of UBS AG; or by a group, subsidiary or affiliate of UBS AG that is not registered as a US broker-dealer (a ‘non-US affiliate’) to major US institutional investors only. UBS Securities LLC or UBS Financial Services Inc. accepts responsibility for the content of a report prepared by another non-US affiliate when distributed to US persons by UBS Securities LLC or UBS Financial Services Inc. All transactions by a US person in the securities mentioned in this report must be effected through UBS Securities LLC or UBS Financial Services Inc., and not through a non-US affiliate. UBS Securities LLC is not acting as a municipal advisor to any municipal entity or obligated person within the meaning of Section 15B of the Securities Exchange Act (the "Municipal Advisor Rule"), and the opinions or views contained herein are not intended to be, and do not constitute, advice within the meaning of the Municipal Advisor Rule. Canada: Distributed by UBS Securities Canada Inc., a registered investment dealer in Canada and a Member-Canadian Investor Protection Fund, or by another affiliate of UBS AG that is registered to conduct business in Canada or is otherwise exempt from registration. Brazil: Except as otherwise specified herein, this Material is prepared by UBS Brasil Corretora de Câmbio, Títulos e Valores Mobiliários S.A. (UBS Brasil CCTVM) to persons who are eligible investors residing in Brazil, which are considered to be Professional Investors (Investidores Profissionais), as designated by the applicable regulation, mainly the CVM Resolution No. 30 from the 11th of May 2021 (determines the duty to verify the suitability of products, services and transactions with regards to the client´s profile). UBS Brasil CCTVM is a subsidiary of UBS BB Servicos de Assessoria Financeira e Participacoes S.A. (“UBS BB”). UBS BB is an association between UBS AG and Banco do Brasil (through its subsidiary BB – Banco de Investimentos S.A.), of which UBS AG is the majority owner and which provides investment banking services and coverage in Brazil, Argentina, Chile, Paraguay, Peru and Uruguay. UBS Brasil CCTVM is regulated by the Comissao de Valores Mobiliarios (CVM) and by the Central Bank of Brazil. Ombudsman: 0800-940-0266/ https://www.ubs.com/br/pt/ubsbb-investment-bank/ombudsman.html. UBS may hold relevant financial and commercial interest in relation to the company subject to this Research report. Hong Kong: Distributed by UBS Securities Asia Limited. Please contact local licensed persons of UBS Securities Asia Limited in respect of any matters arising from, or in connection with the analysis or document.Singapore: Distributed by UBS Securities Pte. Ltd. [Co. Reg. No.: 198500648C] or UBS AG, Singapore Branch. Please contact UBS Securities Pte. Ltd., an exempt financial adviser under the Singapore Financial Advisers Act (Cap. 110); or UBS AG, Singapore Branch, an exempt financial adviser under the Singapore Financial Advisers Act (Cap. 110) and a wholesale bank licensed under the Singapore Banking Act (Cap. 19) regulated by the Monetary Authority of Singapore, in respect of any matters arising from, or in connection with, the analysis or document. The recipients of this document represent and warrant that they are accredited and institutional investors as defined in the Securities and Futures Act (Cap. 289). Japan: Distributed by UBS Securities Japan Co., Ltd. to professional investors (except as otherwise permitted). Where this report has been prepared by UBS Securities Japan Co., Ltd., UBS Securities Japan Co., Ltd. is the author, publisher and distributor of the report. Distributed by UBS AG, Tokyo Branch to Professional Investors (except as otherwise permitted) in relation to foreign exchange and other banking businesses when relevant. Australia: Clients of UBS AG: Distributed by UBS AG (ABN 47 088 129 613 and holder of Australian Financial Services License No. 231087). For all other recipients: Distributed by UBS Securities Australia Ltd (ABN 62 008 586 481 and holder of Australian Financial Services License No. 231098). This document contains general information and/or general advice only and does not constitute personal financial product advice. As such, the Information in this document has been prepared without taking into account any investor’s objectives, financial situation or needs, and investors should, before acting on the Information, consider the appropriateness of the Information, having regard to their objectives, financial situation and needs. If the Information contained in this document relates to the acquisition, or potential acquisition of a particular financial product by a ‘Retail’ client as defined by section 761G of the Corporations Act 2001 where a Product Disclosure Statement would be required, the retail client should obtain and consider the Product Disclosure Statement relating to the product before making any decision about whether to acquire the product. New Zealand: Distributed by UBS New Zealand Ltd. UBS New Zealand Ltd is not a registered bank in New Zealand. You are being provided with this publication or material because you have indicated to UBS that you are a “wholesale client” within the meaning of section 5C of the Financial Advisers Act 2008 of New Zealand (Permitted Client). This publication or material is not intended for clients who are not Permitted Clients (non-permitted Clients). If you are a non-permitted Client you must not rely on this publication or material. If despite this warning you nevertheless rely on this publication or material, you hereby (i) acknowledge that you may not rely on the content of this publication or material and that any recommendations or opinions in such this publication or material are not made or provided to you, and (ii) to the maximum extent permitted by law (a) indemnify UBS and its associates or related entities (and their respective Directors, officers, agents and Advisors) (each a ‘Relevant Person’) for any loss, damage, liability or claim any of them may incur or suffer as a result of, or in connection with, your unauthorised reliance on this publication or material and (b) waive any rights or remedies you may have against any Relevant Person for (or in respect of) any loss, damage, liability or claim you may incur or suffer as a result of, or in connection with, your unauthorised reliance on this publication or material. Korea: Distributed in Korea by UBS Securities Pte. Ltd., Seoul Branch. This report may have been edited or contributed to from time to time by affiliates of UBS Securities Pte. Ltd., Seoul Branch. This material is intended for professional/institutional clients only and not for distribution to any retail clients. Malaysia: This material is authorized to be distributed in Malaysia by UBS Securities Malaysia Sdn. Bhd (Capital Markets Services License No.: CMSL/A0063/2007). This material is intended for professional/institutional clients only and not for distribution to any retail clients. India: Distributed by UBS Securities India Private Ltd. (Corporate Identity Number U67120MH1996PTC097299) 2/F, 3 North Avenue, Maker Maxity, Bandra Kurla Complex, Bandra (East), Mumbai (India) 400051. Phone: +912261556000. It provides brokerage services bearing SEBI Registration Number: INZ000259830; Merchant Banking services bearing SEBI Registration Number: INM000013101; and Research Analyst services bearing SEBI Registration Number: INH000001204. Name of Compliance Officer Mr. Parameshwaran Shivaramakrishnan, Phone: +912261556151, Email: parameshwaran.s@ubs.com, Name of Grievance Officer Parameshwaran Shivaramakrishnan, Phone : +912261556151, Email: ol-ubs-sec-compliance@ubs.com Registration granted by SEBI, and certification from NISM in no way guarantee performance of the intermediary or provide any assurance of returns to investors. UBS may have debt holdings or positions in the subject Indian company/companies. UBS may have financial interests (e.g. loan/derivative products, rights to or interests in investments, etc.) in the subject Indian company / companies from time to time. Within the past 12 months, UBS may have received compensation for non-investment banking securities-related services and/or non-securities services from the subject Indian company/companies. The subject company/companies may have been a client/clients of UBS during the 12 months preceding the date of distribution of the research report with respect to investment banking and/or non-investment banking securities-related services and/or non-securities services. With regard to information on associates, please refer to the Annual Report at: https://www.ubs.com/global/en/about_ubs/investor_relations/annualreporting.htmlTaiwan: Except as otherwise specified herein, this material may not be distributed in Taiwan. Information and material on securities/instruments that are traded in a Taiwan organized exchange is deemed to be issued and distributed by UBS Securities Pte. LTD., Taipei Branch, which is licensed and regulated by Taiwan Financial Supervisory Commission. Save for securities/instruments that are traded in a Taiwan organized exchange, this material should not constitute "recommendation" to clients or recipients in Taiwan for the covered companies or any companies mentioned in this document. No portion of the document may be reproduced or quoted by the press or any other person without authorisation from UBS. Indonesia: This report is being distributed by PT UBS Sekuritas Indonesia and is delivered by its licensed employee(s), including marketing/sales person, to its client. PT UBS Sekuritas Indonesia, having its registered office at Sequis Tower Level 22 unit 22-1,Jl.Jend. Sudirman, kav.71, SCBD lot 11B, Jakarta 12190, Indonesia, is a subsidiary company of UBS AG and licensed under Capital Market Law no. 8 year 1995, a holder of broker-dealer and underwriter licenses issued by the Capital Market and Financial Institution Supervisory Agency (now Otoritas Jasa Keuangan/OJK). PT UBS Sekuritas Indonesia is also a member of Indonesia Stock Exchange and supervised by Otoritas Jasa Keuangan (OJK). Neither this report nor any copy hereof may be distributed in Indonesia or to any Indonesian citizens except in compliance with applicable Indonesian capital market laws and regulations. This report is not an offer of securities in Indonesia and may not be distributed within the territory of the Republic of Indonesia or to Indonesian citizens in circumstance which constitutes an offering within the meaning of Indonesian capital market laws and regulations.The disclosures contained in research documents produced by UBS AG, London Branch or UBS Europe SE shall be governed by and construed in accordance with English law.</a:t>
          </a:r>
        </a:p>
      </xdr:txBody>
    </xdr:sp>
    <xdr:clientData/>
  </xdr:twoCellAnchor>
  <xdr:twoCellAnchor>
    <xdr:from>
      <xdr:col>0</xdr:col>
      <xdr:colOff>0</xdr:colOff>
      <xdr:row>116</xdr:row>
      <xdr:rowOff>1842</xdr:rowOff>
    </xdr:from>
    <xdr:to>
      <xdr:col>20</xdr:col>
      <xdr:colOff>508000</xdr:colOff>
      <xdr:row>119</xdr:row>
      <xdr:rowOff>125080</xdr:rowOff>
    </xdr:to>
    <xdr:sp macro="" textlink="">
      <xdr:nvSpPr>
        <xdr:cNvPr id="4" name="TextBox 3">
          <a:extLst>
            <a:ext uri="{FF2B5EF4-FFF2-40B4-BE49-F238E27FC236}">
              <a16:creationId xmlns:a16="http://schemas.microsoft.com/office/drawing/2014/main" id="{C9D2A942-35CE-77C9-572E-3100AAC36D2E}"/>
            </a:ext>
          </a:extLst>
        </xdr:cNvPr>
        <xdr:cNvSpPr txBox="1"/>
      </xdr:nvSpPr>
      <xdr:spPr>
        <a:xfrm>
          <a:off x="0" y="18785142"/>
          <a:ext cx="12700000" cy="60901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r>
            <a:rPr lang="en-US" sz="1100">
              <a:latin typeface="Calibri" panose="020F0502020204030204" pitchFamily="34" charset="0"/>
            </a:rPr>
            <a:t>UBS specifically prohibits the redistribution of this document in whole or in part without the written permission of UBS and in any event UBS accepts no liability whatsoever for any redistribution of this document or its contents or the actions of third parties in this respect. Images may depict objects or elements that are protected by third party copyright, trademarks and other intellectual property rights. © UBS 2025. The key symbol and UBS are among the registered and unregistered trademarks of UBS. All rights reserved.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23</xdr:col>
      <xdr:colOff>95250</xdr:colOff>
      <xdr:row>80</xdr:row>
      <xdr:rowOff>133350</xdr:rowOff>
    </xdr:from>
    <xdr:to>
      <xdr:col>28</xdr:col>
      <xdr:colOff>257175</xdr:colOff>
      <xdr:row>94</xdr:row>
      <xdr:rowOff>0</xdr:rowOff>
    </xdr:to>
    <xdr:graphicFrame macro="">
      <xdr:nvGraphicFramePr>
        <xdr:cNvPr id="4898937" name="Chart 2">
          <a:extLst>
            <a:ext uri="{FF2B5EF4-FFF2-40B4-BE49-F238E27FC236}">
              <a16:creationId xmlns:a16="http://schemas.microsoft.com/office/drawing/2014/main" id="{A999EC36-D30E-DF2B-3DF8-6EC5EAD75E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66675</xdr:colOff>
      <xdr:row>0</xdr:row>
      <xdr:rowOff>57150</xdr:rowOff>
    </xdr:from>
    <xdr:to>
      <xdr:col>0</xdr:col>
      <xdr:colOff>714375</xdr:colOff>
      <xdr:row>1</xdr:row>
      <xdr:rowOff>152400</xdr:rowOff>
    </xdr:to>
    <xdr:pic>
      <xdr:nvPicPr>
        <xdr:cNvPr id="4901130" name="CoverLogo">
          <a:extLst>
            <a:ext uri="{FF2B5EF4-FFF2-40B4-BE49-F238E27FC236}">
              <a16:creationId xmlns:a16="http://schemas.microsoft.com/office/drawing/2014/main" id="{BC73047F-86C6-39E5-5295-F9B467338DB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6675" y="57150"/>
          <a:ext cx="647700" cy="2667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17145">
              <a:solidFill>
                <a:srgbClr xmlns:mc="http://schemas.openxmlformats.org/markup-compatibility/2006" val="969696" mc:Ignorable="a14" a14:legacySpreadsheetColorIndex="55"/>
              </a:solidFill>
              <a:miter lim="800000"/>
              <a:headEnd/>
              <a:tailEnd/>
            </a14:hiddenLine>
          </a:ext>
        </a:extLst>
      </xdr:spPr>
    </xdr:pic>
    <xdr:clientData/>
  </xdr:twoCellAnchor>
  <xdr:twoCellAnchor editAs="absolute">
    <xdr:from>
      <xdr:col>41</xdr:col>
      <xdr:colOff>528060</xdr:colOff>
      <xdr:row>27</xdr:row>
      <xdr:rowOff>27842</xdr:rowOff>
    </xdr:from>
    <xdr:to>
      <xdr:col>50</xdr:col>
      <xdr:colOff>98632</xdr:colOff>
      <xdr:row>44</xdr:row>
      <xdr:rowOff>69117</xdr:rowOff>
    </xdr:to>
    <xdr:graphicFrame macro="">
      <xdr:nvGraphicFramePr>
        <xdr:cNvPr id="3" name="DPS">
          <a:extLst>
            <a:ext uri="{FF2B5EF4-FFF2-40B4-BE49-F238E27FC236}">
              <a16:creationId xmlns:a16="http://schemas.microsoft.com/office/drawing/2014/main" id="{A2F9597D-0415-4A42-B6B0-551EFFE982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40</xdr:col>
      <xdr:colOff>466725</xdr:colOff>
      <xdr:row>39</xdr:row>
      <xdr:rowOff>85725</xdr:rowOff>
    </xdr:from>
    <xdr:to>
      <xdr:col>47</xdr:col>
      <xdr:colOff>123825</xdr:colOff>
      <xdr:row>60</xdr:row>
      <xdr:rowOff>152400</xdr:rowOff>
    </xdr:to>
    <xdr:graphicFrame macro="">
      <xdr:nvGraphicFramePr>
        <xdr:cNvPr id="433739" name="Chart 1">
          <a:extLst>
            <a:ext uri="{FF2B5EF4-FFF2-40B4-BE49-F238E27FC236}">
              <a16:creationId xmlns:a16="http://schemas.microsoft.com/office/drawing/2014/main" id="{18FA36A5-8F77-AB85-F68B-403D8CE87F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42</xdr:col>
      <xdr:colOff>171450</xdr:colOff>
      <xdr:row>55</xdr:row>
      <xdr:rowOff>104775</xdr:rowOff>
    </xdr:from>
    <xdr:to>
      <xdr:col>49</xdr:col>
      <xdr:colOff>85725</xdr:colOff>
      <xdr:row>78</xdr:row>
      <xdr:rowOff>95250</xdr:rowOff>
    </xdr:to>
    <xdr:graphicFrame macro="">
      <xdr:nvGraphicFramePr>
        <xdr:cNvPr id="3772248" name="Chart 1">
          <a:extLst>
            <a:ext uri="{FF2B5EF4-FFF2-40B4-BE49-F238E27FC236}">
              <a16:creationId xmlns:a16="http://schemas.microsoft.com/office/drawing/2014/main" id="{4E597966-980E-4290-8EFB-DEA06E6471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45</xdr:col>
      <xdr:colOff>542925</xdr:colOff>
      <xdr:row>83</xdr:row>
      <xdr:rowOff>95250</xdr:rowOff>
    </xdr:from>
    <xdr:to>
      <xdr:col>53</xdr:col>
      <xdr:colOff>276225</xdr:colOff>
      <xdr:row>101</xdr:row>
      <xdr:rowOff>19050</xdr:rowOff>
    </xdr:to>
    <xdr:graphicFrame macro="">
      <xdr:nvGraphicFramePr>
        <xdr:cNvPr id="3772249" name="Chart 112">
          <a:extLst>
            <a:ext uri="{FF2B5EF4-FFF2-40B4-BE49-F238E27FC236}">
              <a16:creationId xmlns:a16="http://schemas.microsoft.com/office/drawing/2014/main" id="{9C23959D-0B3F-BE02-B8A1-F0895D7BF2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55</xdr:col>
      <xdr:colOff>446942</xdr:colOff>
      <xdr:row>13</xdr:row>
      <xdr:rowOff>28575</xdr:rowOff>
    </xdr:from>
    <xdr:to>
      <xdr:col>65</xdr:col>
      <xdr:colOff>276957</xdr:colOff>
      <xdr:row>34</xdr:row>
      <xdr:rowOff>47625</xdr:rowOff>
    </xdr:to>
    <xdr:graphicFrame macro="">
      <xdr:nvGraphicFramePr>
        <xdr:cNvPr id="3772250" name="Chart 100">
          <a:extLst>
            <a:ext uri="{FF2B5EF4-FFF2-40B4-BE49-F238E27FC236}">
              <a16:creationId xmlns:a16="http://schemas.microsoft.com/office/drawing/2014/main" id="{ECE437E4-6F27-2F2A-9353-34EA959007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printerSettings" Target="../printerSettings/printerSettings7.bin"/><Relationship Id="rId1" Type="http://schemas.openxmlformats.org/officeDocument/2006/relationships/hyperlink" Target="https://www.google.com/url?sa=t&amp;rct=j&amp;q=&amp;esrc=s&amp;source=web&amp;cd=1&amp;ved=2ahUKEwi649Oeo-PjAhWHPXAKHcpyCBUQFjAAegQIABAC&amp;url=https%3A%2F%2Fwww.clpgroup.com%2Fen%2FMedia-Resources-site%2FCurrent%2520Releases%2F20180703_en.pdf&amp;usg=AOvVaw3JugD4oY5Ns32PMBU-Giat" TargetMode="External"/><Relationship Id="rId4" Type="http://schemas.openxmlformats.org/officeDocument/2006/relationships/comments" Target="../comments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5.xml"/><Relationship Id="rId1" Type="http://schemas.openxmlformats.org/officeDocument/2006/relationships/printerSettings" Target="../printerSettings/printerSettings9.bin"/><Relationship Id="rId4" Type="http://schemas.openxmlformats.org/officeDocument/2006/relationships/comments" Target="../comments9.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A03B6-574E-482A-BC3C-C0B9D8976E86}">
  <dimension ref="A1"/>
  <sheetViews>
    <sheetView tabSelected="1" workbookViewId="0"/>
  </sheetViews>
  <sheetFormatPr defaultRowHeight="12.7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pageSetUpPr fitToPage="1"/>
  </sheetPr>
  <dimension ref="A1:AA135"/>
  <sheetViews>
    <sheetView showOutlineSymbols="0" zoomScale="130" zoomScaleNormal="130" workbookViewId="0">
      <selection activeCell="V34" sqref="V34"/>
    </sheetView>
  </sheetViews>
  <sheetFormatPr defaultColWidth="9.140625" defaultRowHeight="12.75" outlineLevelRow="1"/>
  <cols>
    <col min="1" max="1" width="46.140625" style="285" customWidth="1"/>
    <col min="2" max="17" width="10.85546875" style="285" customWidth="1"/>
    <col min="18" max="18" width="38.85546875" style="285" bestFit="1" customWidth="1"/>
    <col min="19" max="19" width="10.140625" style="285" bestFit="1" customWidth="1"/>
    <col min="20" max="20" width="12.42578125" style="285" customWidth="1"/>
    <col min="21" max="21" width="10.42578125" style="285" customWidth="1"/>
    <col min="22" max="22" width="10.7109375" style="285" customWidth="1"/>
    <col min="23" max="23" width="15.28515625" style="285" bestFit="1" customWidth="1"/>
    <col min="24" max="24" width="12.140625" style="285" customWidth="1"/>
    <col min="25" max="16384" width="9.140625" style="285"/>
  </cols>
  <sheetData>
    <row r="1" spans="1:26">
      <c r="B1" s="486"/>
      <c r="D1" s="286"/>
      <c r="E1" s="286"/>
      <c r="F1" s="286"/>
      <c r="G1" s="286"/>
      <c r="H1" s="286"/>
      <c r="I1" s="286"/>
      <c r="J1" s="286"/>
      <c r="K1" s="286"/>
      <c r="L1" s="286"/>
      <c r="M1" s="286"/>
      <c r="N1" s="286"/>
      <c r="O1" s="286"/>
      <c r="P1" s="286"/>
    </row>
    <row r="2" spans="1:26">
      <c r="A2" s="287" t="s">
        <v>78</v>
      </c>
    </row>
    <row r="3" spans="1:26">
      <c r="A3" s="288" t="s">
        <v>79</v>
      </c>
      <c r="B3" s="289">
        <v>3.7199999999999997E-2</v>
      </c>
      <c r="D3" s="290" t="s">
        <v>495</v>
      </c>
      <c r="E3" s="440">
        <f>S37</f>
        <v>70</v>
      </c>
      <c r="F3" s="441"/>
      <c r="R3" s="291" t="s">
        <v>31</v>
      </c>
    </row>
    <row r="4" spans="1:26">
      <c r="A4" s="288" t="s">
        <v>356</v>
      </c>
      <c r="B4" s="292">
        <v>0.05</v>
      </c>
      <c r="D4" s="285" t="s">
        <v>754</v>
      </c>
      <c r="E4" s="285">
        <v>67.25</v>
      </c>
      <c r="R4" s="285" t="s">
        <v>72</v>
      </c>
      <c r="S4" s="293">
        <f>B11</f>
        <v>5.7727500000000001E-2</v>
      </c>
    </row>
    <row r="5" spans="1:26">
      <c r="A5" s="288" t="s">
        <v>80</v>
      </c>
      <c r="B5" s="294">
        <v>0.56000000000000005</v>
      </c>
      <c r="D5" s="285" t="s">
        <v>755</v>
      </c>
      <c r="E5" s="473">
        <f>E3/E4-1</f>
        <v>4.0892193308550207E-2</v>
      </c>
      <c r="R5" s="285" t="s">
        <v>11</v>
      </c>
      <c r="S5" s="293">
        <f>+B13</f>
        <v>7.6554646823070796E-2</v>
      </c>
    </row>
    <row r="6" spans="1:26">
      <c r="A6" s="288" t="s">
        <v>81</v>
      </c>
      <c r="B6" s="295">
        <f>B3+B4*B5</f>
        <v>6.5200000000000008E-2</v>
      </c>
      <c r="R6" s="285" t="s">
        <v>8</v>
      </c>
      <c r="S6" s="293">
        <f>B12</f>
        <v>0.02</v>
      </c>
    </row>
    <row r="7" spans="1:26">
      <c r="A7" s="288" t="s">
        <v>24</v>
      </c>
      <c r="B7" s="289">
        <v>0.03</v>
      </c>
      <c r="V7" s="296" t="s">
        <v>344</v>
      </c>
    </row>
    <row r="8" spans="1:26">
      <c r="A8" s="288" t="s">
        <v>82</v>
      </c>
      <c r="B8" s="297">
        <v>0.25</v>
      </c>
      <c r="R8" s="285" t="s">
        <v>12</v>
      </c>
      <c r="S8" s="298">
        <f>(S5-S6)/(S5*(S4-S6))</f>
        <v>19.581173231970659</v>
      </c>
      <c r="V8" s="299">
        <f>+S8-S23</f>
        <v>0</v>
      </c>
    </row>
    <row r="9" spans="1:26">
      <c r="A9" s="288" t="s">
        <v>83</v>
      </c>
      <c r="B9" s="295">
        <f>B7*(1-B8)</f>
        <v>2.2499999999999999E-2</v>
      </c>
    </row>
    <row r="10" spans="1:26">
      <c r="A10" s="288" t="s">
        <v>84</v>
      </c>
      <c r="B10" s="300">
        <v>0.17499999999999999</v>
      </c>
      <c r="R10" s="291" t="s">
        <v>736</v>
      </c>
    </row>
    <row r="11" spans="1:26">
      <c r="A11" s="288" t="s">
        <v>85</v>
      </c>
      <c r="B11" s="301">
        <f>B6*(1-B10)+B9*B10</f>
        <v>5.7727500000000001E-2</v>
      </c>
      <c r="R11" s="285" t="s">
        <v>22</v>
      </c>
      <c r="S11" s="393">
        <f>Final!AN15</f>
        <v>17826.027729207613</v>
      </c>
      <c r="U11" s="302"/>
      <c r="V11" s="286"/>
    </row>
    <row r="12" spans="1:26">
      <c r="A12" s="288" t="s">
        <v>86</v>
      </c>
      <c r="B12" s="300">
        <v>0.02</v>
      </c>
      <c r="R12" s="285" t="s">
        <v>13</v>
      </c>
      <c r="S12" s="303">
        <f>-Final!AN23/(Final!AN22-Final!AN18-Final!AN19)</f>
        <v>0.23602864850327926</v>
      </c>
      <c r="U12" s="304"/>
      <c r="V12" s="304"/>
      <c r="W12" s="304"/>
      <c r="X12" s="304"/>
      <c r="Y12" s="304"/>
      <c r="Z12" s="304"/>
    </row>
    <row r="13" spans="1:26">
      <c r="A13" s="285" t="s">
        <v>395</v>
      </c>
      <c r="B13" s="305">
        <f>S21</f>
        <v>7.6554646823070796E-2</v>
      </c>
      <c r="C13" s="302"/>
      <c r="D13" s="302"/>
      <c r="R13" s="285" t="s">
        <v>14</v>
      </c>
      <c r="S13" s="393">
        <f>+S11*(1-S12)</f>
        <v>13618.574496100762</v>
      </c>
      <c r="U13" s="306"/>
      <c r="V13" s="295"/>
    </row>
    <row r="14" spans="1:26">
      <c r="R14" s="285" t="s">
        <v>731</v>
      </c>
      <c r="S14" s="393">
        <f>+N77</f>
        <v>172489.59554175945</v>
      </c>
      <c r="U14" s="286"/>
    </row>
    <row r="15" spans="1:26">
      <c r="R15" s="285" t="s">
        <v>732</v>
      </c>
      <c r="S15" s="393">
        <f>+O77</f>
        <v>175013.69983300759</v>
      </c>
      <c r="U15" s="302"/>
    </row>
    <row r="16" spans="1:26">
      <c r="A16" s="291" t="s">
        <v>32</v>
      </c>
      <c r="R16" s="285" t="s">
        <v>15</v>
      </c>
      <c r="S16" s="393">
        <f>AVERAGE(S14:S15)</f>
        <v>173751.64768738352</v>
      </c>
      <c r="U16" s="302"/>
    </row>
    <row r="17" spans="1:21">
      <c r="B17" s="307"/>
      <c r="C17" s="307"/>
      <c r="D17" s="307"/>
      <c r="E17" s="307"/>
      <c r="F17" s="307"/>
      <c r="G17" s="307"/>
      <c r="H17" s="307"/>
      <c r="I17" s="307"/>
      <c r="J17" s="307"/>
      <c r="K17" s="307"/>
      <c r="L17" s="307"/>
      <c r="M17" s="307"/>
      <c r="N17" s="307"/>
      <c r="O17" s="307"/>
      <c r="P17" s="307"/>
      <c r="R17" s="285" t="s">
        <v>16</v>
      </c>
      <c r="S17" s="303">
        <f>S13/S16</f>
        <v>7.8379541589173873E-2</v>
      </c>
      <c r="U17" s="302"/>
    </row>
    <row r="18" spans="1:21">
      <c r="A18" s="287" t="s">
        <v>90</v>
      </c>
      <c r="B18" s="308">
        <f>Final!AA2</f>
        <v>2017</v>
      </c>
      <c r="C18" s="308">
        <f>Final!AB2</f>
        <v>2018</v>
      </c>
      <c r="D18" s="308">
        <f>Final!AC2</f>
        <v>2019</v>
      </c>
      <c r="E18" s="308">
        <f>Final!AD2</f>
        <v>2020</v>
      </c>
      <c r="F18" s="308">
        <f>Final!AE2</f>
        <v>2021</v>
      </c>
      <c r="G18" s="308">
        <f>Final!AF2</f>
        <v>2022</v>
      </c>
      <c r="H18" s="308">
        <f>Final!AG2</f>
        <v>2023</v>
      </c>
      <c r="I18" s="308">
        <f>Final!AH2</f>
        <v>2024</v>
      </c>
      <c r="J18" s="308" t="str">
        <f>Final!AI2</f>
        <v>2025E</v>
      </c>
      <c r="K18" s="308" t="str">
        <f>Final!AJ2</f>
        <v>2026E</v>
      </c>
      <c r="L18" s="308" t="str">
        <f>Final!AK2</f>
        <v>2027E</v>
      </c>
      <c r="M18" s="308" t="str">
        <f>Final!AL2</f>
        <v>2028E</v>
      </c>
      <c r="N18" s="308" t="str">
        <f>Final!AM2</f>
        <v>2029E</v>
      </c>
      <c r="O18" s="308" t="str">
        <f>Final!AN2</f>
        <v>2030E</v>
      </c>
      <c r="P18" s="309"/>
      <c r="S18" s="310"/>
      <c r="T18" s="295"/>
    </row>
    <row r="19" spans="1:21">
      <c r="A19" s="288" t="s">
        <v>87</v>
      </c>
      <c r="B19" s="311">
        <v>0</v>
      </c>
      <c r="C19" s="311">
        <v>0</v>
      </c>
      <c r="D19" s="311">
        <v>0</v>
      </c>
      <c r="E19" s="311">
        <v>0</v>
      </c>
      <c r="F19" s="311">
        <v>0</v>
      </c>
      <c r="G19" s="311">
        <v>0</v>
      </c>
      <c r="H19" s="311">
        <v>0</v>
      </c>
      <c r="I19" s="311">
        <v>0</v>
      </c>
      <c r="J19" s="311">
        <v>0</v>
      </c>
      <c r="K19" s="311">
        <v>0</v>
      </c>
      <c r="L19" s="311">
        <f t="shared" ref="L19:O19" si="0">K19+1</f>
        <v>1</v>
      </c>
      <c r="M19" s="311">
        <f>L19+1</f>
        <v>2</v>
      </c>
      <c r="N19" s="311">
        <f t="shared" si="0"/>
        <v>3</v>
      </c>
      <c r="O19" s="311">
        <f t="shared" si="0"/>
        <v>4</v>
      </c>
      <c r="P19" s="312"/>
      <c r="R19" s="291" t="s">
        <v>33</v>
      </c>
      <c r="S19" s="310"/>
    </row>
    <row r="20" spans="1:21">
      <c r="A20" s="288" t="s">
        <v>88</v>
      </c>
      <c r="B20" s="313">
        <f t="shared" ref="B20:J20" si="1">1/((1+$B11)^B19)</f>
        <v>1</v>
      </c>
      <c r="C20" s="313">
        <f t="shared" si="1"/>
        <v>1</v>
      </c>
      <c r="D20" s="313">
        <f t="shared" si="1"/>
        <v>1</v>
      </c>
      <c r="E20" s="313">
        <f t="shared" si="1"/>
        <v>1</v>
      </c>
      <c r="F20" s="313">
        <f t="shared" si="1"/>
        <v>1</v>
      </c>
      <c r="G20" s="313">
        <f t="shared" si="1"/>
        <v>1</v>
      </c>
      <c r="H20" s="313">
        <f t="shared" si="1"/>
        <v>1</v>
      </c>
      <c r="I20" s="313">
        <f t="shared" si="1"/>
        <v>1</v>
      </c>
      <c r="J20" s="313">
        <f t="shared" si="1"/>
        <v>1</v>
      </c>
      <c r="K20" s="313">
        <f>1/((1+$B11)^K19)</f>
        <v>1</v>
      </c>
      <c r="L20" s="313">
        <f>1/((1+$B11)^L19)</f>
        <v>0.9454230886499595</v>
      </c>
      <c r="M20" s="313">
        <f>1/((1+$B11)^M19)</f>
        <v>0.89382481655242918</v>
      </c>
      <c r="N20" s="313">
        <f>1/((1+$B11)^N19)</f>
        <v>0.84504261877698106</v>
      </c>
      <c r="O20" s="313">
        <f>1/((1+$B11)^O19)</f>
        <v>0.79892280268498372</v>
      </c>
      <c r="P20" s="314"/>
      <c r="R20" s="285" t="s">
        <v>42</v>
      </c>
      <c r="S20" s="393">
        <f>+AVERAGE(N77:O77)*(1+$B$12)</f>
        <v>177226.68064113118</v>
      </c>
      <c r="T20" s="315"/>
      <c r="U20" s="304"/>
    </row>
    <row r="21" spans="1:21">
      <c r="R21" s="285" t="s">
        <v>394</v>
      </c>
      <c r="S21" s="316">
        <f>+S22/S20</f>
        <v>7.6554646823070796E-2</v>
      </c>
      <c r="T21" s="317"/>
    </row>
    <row r="22" spans="1:21">
      <c r="A22" s="288" t="s">
        <v>331</v>
      </c>
      <c r="B22" s="318">
        <f>Final!AA121</f>
        <v>22638</v>
      </c>
      <c r="C22" s="318">
        <f>Final!AB121</f>
        <v>22061</v>
      </c>
      <c r="D22" s="318">
        <f>Final!AC121</f>
        <v>19563</v>
      </c>
      <c r="E22" s="318">
        <f>Final!AD121</f>
        <v>20681</v>
      </c>
      <c r="F22" s="318">
        <f>Final!AE121</f>
        <v>16485</v>
      </c>
      <c r="G22" s="318">
        <f>Final!AF121</f>
        <v>10880</v>
      </c>
      <c r="H22" s="318">
        <f>Final!AG121</f>
        <v>21970</v>
      </c>
      <c r="I22" s="318">
        <f>Final!AH121</f>
        <v>21375</v>
      </c>
      <c r="J22" s="318">
        <f>Final!AI121</f>
        <v>20059.062494174235</v>
      </c>
      <c r="K22" s="318">
        <f>Final!AJ121</f>
        <v>20688.621581267547</v>
      </c>
      <c r="L22" s="318">
        <f>Final!AK121</f>
        <v>21213.386733444811</v>
      </c>
      <c r="M22" s="318">
        <f>Final!AL121</f>
        <v>21613.024096184115</v>
      </c>
      <c r="N22" s="318">
        <f>Final!AM121</f>
        <v>22005.374104402534</v>
      </c>
      <c r="O22" s="318">
        <f>Final!AN121</f>
        <v>22182.255479790612</v>
      </c>
      <c r="P22" s="306"/>
      <c r="R22" s="285" t="s">
        <v>20</v>
      </c>
      <c r="S22" s="393">
        <f>+SUM(S65:U65)</f>
        <v>13567.525944106956</v>
      </c>
      <c r="T22" s="315"/>
    </row>
    <row r="23" spans="1:21">
      <c r="A23" s="288" t="s">
        <v>92</v>
      </c>
      <c r="B23" s="318">
        <f>-Final!AA119</f>
        <v>1634</v>
      </c>
      <c r="C23" s="318">
        <f>-Final!AB119</f>
        <v>1704</v>
      </c>
      <c r="D23" s="318">
        <f>-Final!AC119</f>
        <v>1606</v>
      </c>
      <c r="E23" s="318">
        <f>-Final!AD119</f>
        <v>1682</v>
      </c>
      <c r="F23" s="318">
        <f>-Final!AE119</f>
        <v>1471</v>
      </c>
      <c r="G23" s="318">
        <f>-Final!AF119</f>
        <v>1701</v>
      </c>
      <c r="H23" s="318">
        <f>-Final!AG119</f>
        <v>1408</v>
      </c>
      <c r="I23" s="318">
        <f>-Final!AH119</f>
        <v>1556</v>
      </c>
      <c r="J23" s="318">
        <f>-Final!AI119</f>
        <v>1913.858812169583</v>
      </c>
      <c r="K23" s="318">
        <f>-Final!AJ119</f>
        <v>1824.1634507138988</v>
      </c>
      <c r="L23" s="318">
        <f>-Final!AK119</f>
        <v>1858.2521392119243</v>
      </c>
      <c r="M23" s="318">
        <f>-Final!AL119</f>
        <v>1882.3671797957927</v>
      </c>
      <c r="N23" s="318">
        <f>-Final!AM119</f>
        <v>1882.3671797957927</v>
      </c>
      <c r="O23" s="318">
        <f>-Final!AN119</f>
        <v>1882.3671797957927</v>
      </c>
      <c r="P23" s="306"/>
      <c r="R23" s="285" t="s">
        <v>396</v>
      </c>
      <c r="S23" s="319">
        <f>+S24/S22</f>
        <v>19.581173231970659</v>
      </c>
      <c r="T23" s="320"/>
    </row>
    <row r="24" spans="1:21">
      <c r="A24" s="288" t="s">
        <v>358</v>
      </c>
      <c r="B24" s="318">
        <f t="shared" ref="B24:J24" si="2">-$B$8*B23</f>
        <v>-408.5</v>
      </c>
      <c r="C24" s="318">
        <f t="shared" si="2"/>
        <v>-426</v>
      </c>
      <c r="D24" s="318">
        <f t="shared" si="2"/>
        <v>-401.5</v>
      </c>
      <c r="E24" s="318">
        <f t="shared" si="2"/>
        <v>-420.5</v>
      </c>
      <c r="F24" s="318">
        <f t="shared" si="2"/>
        <v>-367.75</v>
      </c>
      <c r="G24" s="318">
        <f t="shared" si="2"/>
        <v>-425.25</v>
      </c>
      <c r="H24" s="318">
        <f t="shared" si="2"/>
        <v>-352</v>
      </c>
      <c r="I24" s="318">
        <f t="shared" si="2"/>
        <v>-389</v>
      </c>
      <c r="J24" s="318">
        <f t="shared" si="2"/>
        <v>-478.46470304239574</v>
      </c>
      <c r="K24" s="318">
        <f>-$B$8*K23</f>
        <v>-456.0408626784747</v>
      </c>
      <c r="L24" s="318">
        <f>-$B$8*L23</f>
        <v>-464.56303480298106</v>
      </c>
      <c r="M24" s="318">
        <f>-$B$8*M23</f>
        <v>-470.59179494894818</v>
      </c>
      <c r="N24" s="318">
        <f>-$B$8*N23</f>
        <v>-470.59179494894818</v>
      </c>
      <c r="O24" s="318">
        <f>-$B$8*O23</f>
        <v>-470.59179494894818</v>
      </c>
      <c r="P24" s="306"/>
      <c r="R24" s="285" t="s">
        <v>18</v>
      </c>
      <c r="S24" s="393">
        <f>+SUM(S67:U67)</f>
        <v>265668.07584081456</v>
      </c>
      <c r="T24" s="315"/>
    </row>
    <row r="25" spans="1:21">
      <c r="A25" s="288" t="s">
        <v>138</v>
      </c>
      <c r="B25" s="318">
        <f>Final!AA126</f>
        <v>1737</v>
      </c>
      <c r="C25" s="318">
        <f>Final!AB126</f>
        <v>1467</v>
      </c>
      <c r="D25" s="318">
        <f>Final!AC126</f>
        <v>2119</v>
      </c>
      <c r="E25" s="318">
        <f>Final!AD126</f>
        <v>2333</v>
      </c>
      <c r="F25" s="318">
        <f>Final!AE126</f>
        <v>2571</v>
      </c>
      <c r="G25" s="318">
        <f>Final!AF126</f>
        <v>2340</v>
      </c>
      <c r="H25" s="318">
        <f>Final!AG126</f>
        <v>2372</v>
      </c>
      <c r="I25" s="17">
        <f>Final!AH126</f>
        <v>2444</v>
      </c>
      <c r="J25" s="17">
        <f>Final!AI126</f>
        <v>911.47842548069241</v>
      </c>
      <c r="K25" s="17">
        <f>Final!AJ126</f>
        <v>753.27470419357905</v>
      </c>
      <c r="L25" s="17">
        <f>Final!AK126</f>
        <v>787.5031730958849</v>
      </c>
      <c r="M25" s="17">
        <f>Final!AL126</f>
        <v>787.5031730958849</v>
      </c>
      <c r="N25" s="17">
        <f>Final!AM126</f>
        <v>787.5031730958849</v>
      </c>
      <c r="O25" s="17">
        <f>Final!AN126</f>
        <v>787.5031730958849</v>
      </c>
      <c r="P25" s="306"/>
      <c r="R25" s="285" t="s">
        <v>19</v>
      </c>
      <c r="S25" s="321">
        <f>O20</f>
        <v>0.79892280268498372</v>
      </c>
      <c r="T25" s="322"/>
    </row>
    <row r="26" spans="1:21">
      <c r="A26" s="288" t="s">
        <v>359</v>
      </c>
      <c r="B26" s="318">
        <f>Final!AA125+Final!AA128</f>
        <v>-8235</v>
      </c>
      <c r="C26" s="318">
        <f>Final!AB125+Final!AB128</f>
        <v>-1584</v>
      </c>
      <c r="D26" s="318">
        <f>Final!AC125+Final!AC128</f>
        <v>3663</v>
      </c>
      <c r="E26" s="318">
        <f>Final!AD125+Final!AD128</f>
        <v>-1199</v>
      </c>
      <c r="F26" s="318">
        <f>Final!AE125+Final!AE128</f>
        <v>376</v>
      </c>
      <c r="G26" s="318">
        <f>Final!AF125+Final!AF128</f>
        <v>-731</v>
      </c>
      <c r="H26" s="318">
        <f>Final!AG125+Final!AG128</f>
        <v>1359</v>
      </c>
      <c r="I26" s="318">
        <f>Final!AH125+Final!AH128</f>
        <v>-7</v>
      </c>
      <c r="J26" s="318">
        <f>Final!AI125+Final!AI128</f>
        <v>-11</v>
      </c>
      <c r="K26" s="318">
        <f>Final!AJ125+Final!AJ128</f>
        <v>-11</v>
      </c>
      <c r="L26" s="318">
        <f>Final!AK125+Final!AK128</f>
        <v>-11</v>
      </c>
      <c r="M26" s="318">
        <f>Final!AL125+Final!AL128</f>
        <v>-11</v>
      </c>
      <c r="N26" s="318">
        <f>Final!AM125+Final!AM128</f>
        <v>-11</v>
      </c>
      <c r="O26" s="318">
        <f>Final!AN125+Final!AN128</f>
        <v>-11</v>
      </c>
      <c r="P26" s="306"/>
      <c r="R26" s="285" t="s">
        <v>91</v>
      </c>
      <c r="S26" s="393">
        <f>S24*S25</f>
        <v>212248.28373467037</v>
      </c>
      <c r="T26" s="315"/>
    </row>
    <row r="27" spans="1:21">
      <c r="A27" s="288" t="s">
        <v>93</v>
      </c>
      <c r="B27" s="318">
        <f>Final!AA124</f>
        <v>-10237</v>
      </c>
      <c r="C27" s="318">
        <f>Final!AB124</f>
        <v>-11142</v>
      </c>
      <c r="D27" s="318">
        <f>Final!AC124</f>
        <v>-11606</v>
      </c>
      <c r="E27" s="318">
        <f>Final!AD124</f>
        <v>-11215</v>
      </c>
      <c r="F27" s="318">
        <f>Final!AE124</f>
        <v>-13659</v>
      </c>
      <c r="G27" s="318">
        <f>Final!AF124</f>
        <v>-15746</v>
      </c>
      <c r="H27" s="318">
        <f>Final!AG124</f>
        <v>-13203</v>
      </c>
      <c r="I27" s="318">
        <f>Final!AH124</f>
        <v>-16111</v>
      </c>
      <c r="J27" s="318">
        <f>Final!AI124</f>
        <v>-14140</v>
      </c>
      <c r="K27" s="318">
        <f>Final!AJ124</f>
        <v>-13428</v>
      </c>
      <c r="L27" s="318">
        <f>Final!AK124</f>
        <v>-12858.4</v>
      </c>
      <c r="M27" s="318">
        <f>Final!AL124</f>
        <v>-12164.720000000001</v>
      </c>
      <c r="N27" s="318">
        <f>Final!AM124</f>
        <v>-12231.097600000001</v>
      </c>
      <c r="O27" s="318">
        <f>Final!AN124</f>
        <v>-12093.79968</v>
      </c>
      <c r="P27" s="306"/>
      <c r="R27" s="285" t="s">
        <v>27</v>
      </c>
      <c r="S27" s="467">
        <f>S42+S43</f>
        <v>14473.556003883808</v>
      </c>
      <c r="T27" s="315"/>
    </row>
    <row r="28" spans="1:21">
      <c r="A28" s="288" t="s">
        <v>334</v>
      </c>
      <c r="B28" s="318">
        <f>Final!AA127</f>
        <v>0</v>
      </c>
      <c r="C28" s="318">
        <f>Final!AB127</f>
        <v>0</v>
      </c>
      <c r="D28" s="318">
        <f>Final!AC127</f>
        <v>0</v>
      </c>
      <c r="E28" s="318">
        <f>Final!AD127</f>
        <v>0</v>
      </c>
      <c r="F28" s="318">
        <f>Final!AE127</f>
        <v>-1110</v>
      </c>
      <c r="G28" s="318">
        <f>Final!AF127</f>
        <v>-1245</v>
      </c>
      <c r="H28" s="318">
        <f>Final!AG127</f>
        <v>0</v>
      </c>
      <c r="I28" s="318">
        <f>Final!AH127</f>
        <v>-2542</v>
      </c>
      <c r="J28" s="318">
        <f>Final!AI127</f>
        <v>0</v>
      </c>
      <c r="K28" s="318">
        <f>Final!AJ127</f>
        <v>0</v>
      </c>
      <c r="L28" s="318">
        <f>Final!AK127</f>
        <v>0</v>
      </c>
      <c r="M28" s="318">
        <f>Final!AL127</f>
        <v>0</v>
      </c>
      <c r="N28" s="318">
        <f>Final!AM127</f>
        <v>0</v>
      </c>
      <c r="O28" s="318">
        <f>Final!AN127</f>
        <v>0</v>
      </c>
      <c r="P28" s="306"/>
      <c r="R28" s="285" t="s">
        <v>764</v>
      </c>
      <c r="S28" s="393">
        <f>SUM(L30:O30)</f>
        <v>40268.845483295263</v>
      </c>
      <c r="T28" s="315"/>
    </row>
    <row r="29" spans="1:21">
      <c r="A29" s="287" t="s">
        <v>94</v>
      </c>
      <c r="B29" s="324">
        <f t="shared" ref="B29:J29" si="3">SUM(B22:B28)</f>
        <v>7128.5</v>
      </c>
      <c r="C29" s="324">
        <f t="shared" si="3"/>
        <v>12080</v>
      </c>
      <c r="D29" s="324">
        <f t="shared" si="3"/>
        <v>14943.5</v>
      </c>
      <c r="E29" s="324">
        <f t="shared" si="3"/>
        <v>11861.5</v>
      </c>
      <c r="F29" s="324">
        <f t="shared" si="3"/>
        <v>5766.25</v>
      </c>
      <c r="G29" s="324">
        <f t="shared" si="3"/>
        <v>-3226.25</v>
      </c>
      <c r="H29" s="324">
        <f t="shared" si="3"/>
        <v>13554</v>
      </c>
      <c r="I29" s="324">
        <f t="shared" si="3"/>
        <v>6326</v>
      </c>
      <c r="J29" s="324">
        <f t="shared" si="3"/>
        <v>8254.9350287821144</v>
      </c>
      <c r="K29" s="324">
        <f>SUM(K22:K28)</f>
        <v>9371.0188734965523</v>
      </c>
      <c r="L29" s="324">
        <f>SUM(L22:L28)</f>
        <v>10525.179010949638</v>
      </c>
      <c r="M29" s="324">
        <f>SUM(M22:M28)</f>
        <v>11636.582654126843</v>
      </c>
      <c r="N29" s="324">
        <f>SUM(N22:N28)</f>
        <v>11962.555062345262</v>
      </c>
      <c r="O29" s="324">
        <f>SUM(O22:O28)</f>
        <v>12276.734357733341</v>
      </c>
      <c r="P29" s="323"/>
      <c r="S29" s="310"/>
      <c r="T29" s="325"/>
    </row>
    <row r="30" spans="1:21">
      <c r="A30" s="287" t="s">
        <v>95</v>
      </c>
      <c r="B30" s="324">
        <f t="shared" ref="B30:J30" si="4">B29*B20</f>
        <v>7128.5</v>
      </c>
      <c r="C30" s="324">
        <f t="shared" si="4"/>
        <v>12080</v>
      </c>
      <c r="D30" s="324">
        <f t="shared" si="4"/>
        <v>14943.5</v>
      </c>
      <c r="E30" s="324">
        <f t="shared" si="4"/>
        <v>11861.5</v>
      </c>
      <c r="F30" s="324">
        <f t="shared" si="4"/>
        <v>5766.25</v>
      </c>
      <c r="G30" s="324">
        <f t="shared" si="4"/>
        <v>-3226.25</v>
      </c>
      <c r="H30" s="324">
        <f t="shared" si="4"/>
        <v>13554</v>
      </c>
      <c r="I30" s="324">
        <f t="shared" si="4"/>
        <v>6326</v>
      </c>
      <c r="J30" s="324">
        <f t="shared" si="4"/>
        <v>8254.9350287821144</v>
      </c>
      <c r="K30" s="324">
        <f>K29*K20</f>
        <v>9371.0188734965523</v>
      </c>
      <c r="L30" s="324">
        <f>L29*L20</f>
        <v>9950.7472491257322</v>
      </c>
      <c r="M30" s="324">
        <f>M29*M20</f>
        <v>10401.066356122104</v>
      </c>
      <c r="N30" s="324">
        <f>N29*N20</f>
        <v>10108.868857148072</v>
      </c>
      <c r="O30" s="324">
        <f>O29*O20</f>
        <v>9808.1630208993538</v>
      </c>
      <c r="P30" s="323"/>
      <c r="R30" s="291" t="s">
        <v>372</v>
      </c>
      <c r="S30" s="395">
        <f>SUM(S26:S28)</f>
        <v>266990.68522184942</v>
      </c>
      <c r="T30" s="326"/>
    </row>
    <row r="31" spans="1:21">
      <c r="R31" s="288" t="s">
        <v>360</v>
      </c>
      <c r="S31" s="393">
        <f>Final!AI57+Final!AI58</f>
        <v>3646.1279126505469</v>
      </c>
      <c r="T31" s="315"/>
    </row>
    <row r="32" spans="1:21">
      <c r="A32" s="291" t="s">
        <v>366</v>
      </c>
      <c r="B32" s="302"/>
      <c r="C32" s="302"/>
      <c r="D32" s="302"/>
      <c r="E32" s="302"/>
      <c r="F32" s="302"/>
      <c r="G32" s="302"/>
      <c r="H32" s="302"/>
      <c r="I32" s="302"/>
      <c r="J32" s="302"/>
      <c r="K32" s="302"/>
      <c r="L32" s="302"/>
      <c r="M32" s="302"/>
      <c r="N32" s="302"/>
      <c r="O32" s="302"/>
      <c r="R32" s="288" t="s">
        <v>5</v>
      </c>
      <c r="S32" s="393">
        <f>-(Final!AI86+Final!AI77)</f>
        <v>0</v>
      </c>
      <c r="T32" s="315"/>
    </row>
    <row r="33" spans="1:26">
      <c r="A33" s="291" t="s">
        <v>403</v>
      </c>
      <c r="B33" s="327">
        <f>+SUM(SOC!AA4:AA8,SOC!AA11)</f>
        <v>17629</v>
      </c>
      <c r="C33" s="327">
        <f>+SUM(SOC!AB4:AB8,SOC!AB11)</f>
        <v>17776</v>
      </c>
      <c r="D33" s="327">
        <f>+SUM(SOC!AC4:AC8,SOC!AC11)</f>
        <v>16616</v>
      </c>
      <c r="E33" s="327">
        <f>+SUM(SOC!AD4:AD8,SOC!AD11)</f>
        <v>17222</v>
      </c>
      <c r="F33" s="327">
        <f>+SUM(SOC!AE4:AE8,SOC!AE11)</f>
        <v>18737</v>
      </c>
      <c r="G33" s="327">
        <f>+SUM(SOC!AF4:AF8,SOC!AF11)</f>
        <v>18242</v>
      </c>
      <c r="H33" s="327">
        <f>+SUM(SOC!AG4:AG8,SOC!AG11)</f>
        <v>18223</v>
      </c>
      <c r="I33" s="327">
        <f>+SUM(SOC!AH4:AH8,SOC!AH11)</f>
        <v>19640</v>
      </c>
      <c r="J33" s="327">
        <f>+SUM(SOC!AI4:AI8,SOC!AI11)</f>
        <v>20496.159680255201</v>
      </c>
      <c r="K33" s="327">
        <f>+SUM(SOC!AJ4:AJ8,SOC!AJ11)</f>
        <v>21514.781959585169</v>
      </c>
      <c r="L33" s="327">
        <f>+SUM(SOC!AK4:AK8,SOC!AK11)</f>
        <v>22587.519954427185</v>
      </c>
      <c r="M33" s="327">
        <f>+SUM(SOC!AL4:AL8,SOC!AL11)</f>
        <v>23717.388602791427</v>
      </c>
      <c r="N33" s="327">
        <f>+SUM(SOC!AM4:AM8,SOC!AM11)</f>
        <v>24907.566078891276</v>
      </c>
      <c r="O33" s="327">
        <f>+SUM(SOC!AN4:AN8,SOC!AN11)</f>
        <v>26161.402614375165</v>
      </c>
      <c r="P33" s="302"/>
      <c r="R33" s="288" t="s">
        <v>96</v>
      </c>
      <c r="S33" s="393">
        <f>-(Final!AI76+Final!AI85+Final!AI91+Final!AI79+Final!AI82+Final!AI89)</f>
        <v>-83790.99526767667</v>
      </c>
      <c r="T33" s="315"/>
    </row>
    <row r="34" spans="1:26">
      <c r="A34" s="285" t="s">
        <v>406</v>
      </c>
      <c r="B34" s="329">
        <f>+SOC!AA14</f>
        <v>-1989</v>
      </c>
      <c r="C34" s="329">
        <f>+SOC!AB14</f>
        <v>-2001</v>
      </c>
      <c r="D34" s="329">
        <f>+SOC!AC14</f>
        <v>-1853</v>
      </c>
      <c r="E34" s="329">
        <f>+SOC!AD14</f>
        <v>-1904</v>
      </c>
      <c r="F34" s="329">
        <f>+SOC!AE14</f>
        <v>-2100</v>
      </c>
      <c r="G34" s="329">
        <f>+SOC!AF14</f>
        <v>-1924</v>
      </c>
      <c r="H34" s="329">
        <f>+SOC!AG14</f>
        <v>-1933</v>
      </c>
      <c r="I34" s="329">
        <f>+SOC!AH14</f>
        <v>-2112</v>
      </c>
      <c r="J34" s="329">
        <f>+SOC!AI14</f>
        <v>-2300.7957319419015</v>
      </c>
      <c r="K34" s="329">
        <f>+SOC!AJ14</f>
        <v>-2476.8893123850289</v>
      </c>
      <c r="L34" s="329">
        <f>+SOC!AK14</f>
        <v>-2621.6439487551834</v>
      </c>
      <c r="M34" s="329">
        <f>+SOC!AL14</f>
        <v>-2779.5057926931518</v>
      </c>
      <c r="N34" s="329">
        <f>+SOC!AM14</f>
        <v>-2952.5743016173114</v>
      </c>
      <c r="O34" s="329">
        <f>+SOC!AN14</f>
        <v>-3135.8382965032952</v>
      </c>
      <c r="P34" s="302"/>
      <c r="R34" s="288" t="s">
        <v>361</v>
      </c>
      <c r="S34" s="393">
        <f>-(Final!AI90+Final!AI81+Final!AI87-Final!AI61)</f>
        <v>-3238.6586788611066</v>
      </c>
      <c r="T34" s="315"/>
    </row>
    <row r="35" spans="1:26">
      <c r="A35" s="285" t="s">
        <v>404</v>
      </c>
      <c r="B35" s="329">
        <f>-Driver!AA84</f>
        <v>-8068</v>
      </c>
      <c r="C35" s="329">
        <f>-Driver!AB84</f>
        <v>-8922</v>
      </c>
      <c r="D35" s="329">
        <f>-Driver!AC84</f>
        <v>-9097</v>
      </c>
      <c r="E35" s="329">
        <f>-Driver!AD84</f>
        <v>-8882</v>
      </c>
      <c r="F35" s="329">
        <f>-Driver!AE84</f>
        <v>-11222</v>
      </c>
      <c r="G35" s="329">
        <f>-Driver!AF84</f>
        <v>-12573</v>
      </c>
      <c r="H35" s="329">
        <f>-Driver!AG84</f>
        <v>-11670</v>
      </c>
      <c r="I35" s="329">
        <f>-Driver!AH84</f>
        <v>-10818</v>
      </c>
      <c r="J35" s="329">
        <f>-Driver!AI84</f>
        <v>-10580</v>
      </c>
      <c r="K35" s="329">
        <f>-Driver!AJ84</f>
        <v>-10580</v>
      </c>
      <c r="L35" s="329">
        <f>-Driver!AK84</f>
        <v>-10580</v>
      </c>
      <c r="M35" s="329">
        <f>-Driver!AL84</f>
        <v>-10342</v>
      </c>
      <c r="N35" s="329">
        <f>-Driver!AM84</f>
        <v>-10580</v>
      </c>
      <c r="O35" s="329">
        <f>-Driver!AN84</f>
        <v>-10580</v>
      </c>
      <c r="P35" s="302"/>
      <c r="R35" s="285" t="s">
        <v>398</v>
      </c>
      <c r="S35" s="393">
        <f>-Final!AI97</f>
        <v>-6063</v>
      </c>
      <c r="T35" s="447"/>
      <c r="U35" s="304"/>
      <c r="V35" s="306"/>
    </row>
    <row r="36" spans="1:26">
      <c r="A36" s="285" t="s">
        <v>385</v>
      </c>
      <c r="B36" s="329">
        <f>+SUM(Final!AA110:AA116)</f>
        <v>-1291</v>
      </c>
      <c r="C36" s="329">
        <f>+SUM(Final!AB110:AB116)</f>
        <v>-985</v>
      </c>
      <c r="D36" s="329">
        <f>+SUM(Final!AC110:AC116)</f>
        <v>1046</v>
      </c>
      <c r="E36" s="329">
        <f>+SUM(Final!AD110:AD116)</f>
        <v>376</v>
      </c>
      <c r="F36" s="329">
        <f>+SUM(Final!AE110:AE116)</f>
        <v>57</v>
      </c>
      <c r="G36" s="329">
        <f>+SUM(Final!AF110:AF116)</f>
        <v>-2413</v>
      </c>
      <c r="H36" s="329">
        <f>+SUM(Final!AG110:AG116)</f>
        <v>3128</v>
      </c>
      <c r="I36" s="329">
        <f>+SUM(Final!AH110:AH116)</f>
        <v>675</v>
      </c>
      <c r="J36" s="329">
        <f>+SUM(Final!AI110:AI116)</f>
        <v>779.20068467506007</v>
      </c>
      <c r="K36" s="329">
        <f>+SUM(Final!AJ110:AJ116)</f>
        <v>585.45100398348438</v>
      </c>
      <c r="L36" s="329">
        <f>+SUM(Final!AK110:AK116)</f>
        <v>485.13790668337799</v>
      </c>
      <c r="M36" s="329">
        <f>+SUM(Final!AL110:AL116)</f>
        <v>445.0205128512539</v>
      </c>
      <c r="N36" s="329">
        <f>+SUM(Final!AM110:AM116)</f>
        <v>464.56681889410788</v>
      </c>
      <c r="O36" s="329">
        <f>+SUM(Final!AN110:AN116)</f>
        <v>268.33863941485652</v>
      </c>
      <c r="P36" s="302"/>
      <c r="R36" s="291" t="s">
        <v>97</v>
      </c>
      <c r="S36" s="390">
        <f>SUM(S30:S35)</f>
        <v>177544.15918796218</v>
      </c>
      <c r="T36" s="326"/>
      <c r="V36" s="417"/>
    </row>
    <row r="37" spans="1:26">
      <c r="A37" s="291" t="s">
        <v>367</v>
      </c>
      <c r="B37" s="327">
        <f t="shared" ref="B37:J37" si="5">SUM(B33:B36)</f>
        <v>6281</v>
      </c>
      <c r="C37" s="327">
        <f t="shared" si="5"/>
        <v>5868</v>
      </c>
      <c r="D37" s="327">
        <f t="shared" si="5"/>
        <v>6712</v>
      </c>
      <c r="E37" s="327">
        <f t="shared" si="5"/>
        <v>6812</v>
      </c>
      <c r="F37" s="327">
        <f t="shared" si="5"/>
        <v>5472</v>
      </c>
      <c r="G37" s="327">
        <f t="shared" si="5"/>
        <v>1332</v>
      </c>
      <c r="H37" s="327">
        <f t="shared" si="5"/>
        <v>7748</v>
      </c>
      <c r="I37" s="327">
        <f t="shared" si="5"/>
        <v>7385</v>
      </c>
      <c r="J37" s="327">
        <f t="shared" si="5"/>
        <v>8394.5646329883602</v>
      </c>
      <c r="K37" s="327">
        <f>SUM(K33:K36)</f>
        <v>9043.3436511836244</v>
      </c>
      <c r="L37" s="327">
        <f>SUM(L33:L36)</f>
        <v>9871.0139123553799</v>
      </c>
      <c r="M37" s="327">
        <f>SUM(M33:M36)</f>
        <v>11040.903322949529</v>
      </c>
      <c r="N37" s="327">
        <f>SUM(N33:N36)</f>
        <v>11839.558596168072</v>
      </c>
      <c r="O37" s="327">
        <f>SUM(O33:O36)</f>
        <v>12713.902957286728</v>
      </c>
      <c r="P37" s="330"/>
      <c r="R37" s="291" t="s">
        <v>21</v>
      </c>
      <c r="S37" s="331">
        <f>ROUND(S36/Final!AI52,0)</f>
        <v>70</v>
      </c>
      <c r="T37" s="437">
        <f>S37/86-1</f>
        <v>-0.18604651162790697</v>
      </c>
      <c r="U37" s="304">
        <f>S37/58-1</f>
        <v>0.2068965517241379</v>
      </c>
      <c r="V37" s="328"/>
    </row>
    <row r="38" spans="1:26">
      <c r="A38" s="291" t="s">
        <v>95</v>
      </c>
      <c r="B38" s="324">
        <f t="shared" ref="B38:J38" si="6">B37*B20</f>
        <v>6281</v>
      </c>
      <c r="C38" s="324">
        <f t="shared" si="6"/>
        <v>5868</v>
      </c>
      <c r="D38" s="324">
        <f t="shared" si="6"/>
        <v>6712</v>
      </c>
      <c r="E38" s="324">
        <f t="shared" si="6"/>
        <v>6812</v>
      </c>
      <c r="F38" s="324">
        <f t="shared" si="6"/>
        <v>5472</v>
      </c>
      <c r="G38" s="324">
        <f t="shared" si="6"/>
        <v>1332</v>
      </c>
      <c r="H38" s="324">
        <f t="shared" si="6"/>
        <v>7748</v>
      </c>
      <c r="I38" s="324">
        <f t="shared" si="6"/>
        <v>7385</v>
      </c>
      <c r="J38" s="324">
        <f t="shared" si="6"/>
        <v>8394.5646329883602</v>
      </c>
      <c r="K38" s="324">
        <f>K37*K20</f>
        <v>9043.3436511836244</v>
      </c>
      <c r="L38" s="324">
        <f>L37*L20</f>
        <v>9332.2844611257442</v>
      </c>
      <c r="M38" s="324">
        <f>M37*M20</f>
        <v>9868.6333872084688</v>
      </c>
      <c r="N38" s="324">
        <f>N37*N20</f>
        <v>10004.931601269385</v>
      </c>
      <c r="O38" s="324">
        <f>O37*O20</f>
        <v>10157.426983700416</v>
      </c>
      <c r="P38" s="306"/>
      <c r="R38" s="291" t="s">
        <v>382</v>
      </c>
      <c r="T38" s="325"/>
      <c r="U38" s="328"/>
      <c r="V38" s="328"/>
    </row>
    <row r="39" spans="1:26">
      <c r="B39" s="329"/>
      <c r="C39" s="329"/>
      <c r="D39" s="329"/>
      <c r="E39" s="329"/>
      <c r="F39" s="329"/>
      <c r="G39" s="329"/>
      <c r="H39" s="329"/>
      <c r="I39" s="329"/>
      <c r="J39" s="329"/>
      <c r="K39" s="329"/>
      <c r="L39" s="329"/>
      <c r="M39" s="329"/>
      <c r="N39" s="329"/>
      <c r="O39" s="329"/>
      <c r="P39" s="302"/>
      <c r="R39" s="285" t="s">
        <v>729</v>
      </c>
      <c r="S39" s="329">
        <f>+O25</f>
        <v>787.5031730958849</v>
      </c>
      <c r="T39" s="332"/>
    </row>
    <row r="40" spans="1:26">
      <c r="A40" s="285" t="s">
        <v>387</v>
      </c>
      <c r="B40" s="329">
        <f t="shared" ref="B40:J40" si="7">+B29-B37-B58-B25</f>
        <v>-3066.5</v>
      </c>
      <c r="C40" s="329">
        <f t="shared" si="7"/>
        <v>450</v>
      </c>
      <c r="D40" s="329">
        <f t="shared" si="7"/>
        <v>3946.5</v>
      </c>
      <c r="E40" s="329">
        <f t="shared" si="7"/>
        <v>1884.5</v>
      </c>
      <c r="F40" s="329">
        <f t="shared" si="7"/>
        <v>-1925.75</v>
      </c>
      <c r="G40" s="329">
        <f t="shared" si="7"/>
        <v>327.75</v>
      </c>
      <c r="H40" s="329">
        <f t="shared" si="7"/>
        <v>2051</v>
      </c>
      <c r="I40" s="329">
        <f t="shared" si="7"/>
        <v>-5916</v>
      </c>
      <c r="J40" s="329">
        <f t="shared" si="7"/>
        <v>-2693.3820582055973</v>
      </c>
      <c r="K40" s="329">
        <f>+K29-K37-K58-K25</f>
        <v>-2497.0356500019807</v>
      </c>
      <c r="L40" s="329">
        <f>+L29-L37-L58-L25</f>
        <v>-2517.1303545677124</v>
      </c>
      <c r="M40" s="329">
        <f>+M29-M37-M58-M25</f>
        <v>-2712.728524356849</v>
      </c>
      <c r="N40" s="329">
        <f>+N29-N37-N58-N25</f>
        <v>-3262.8880810652295</v>
      </c>
      <c r="O40" s="329">
        <f>+O29-O37-O58-O25</f>
        <v>-3858.8765288518166</v>
      </c>
      <c r="P40" s="330"/>
      <c r="R40" s="285" t="s">
        <v>23</v>
      </c>
      <c r="S40" s="420">
        <v>0</v>
      </c>
      <c r="T40" s="333"/>
    </row>
    <row r="41" spans="1:26">
      <c r="A41" s="285" t="s">
        <v>386</v>
      </c>
      <c r="B41" s="329">
        <f t="shared" ref="B41:J41" si="8">+-(B27-B57-B35)</f>
        <v>-893</v>
      </c>
      <c r="C41" s="329">
        <f t="shared" si="8"/>
        <v>-1</v>
      </c>
      <c r="D41" s="329">
        <f t="shared" si="8"/>
        <v>615</v>
      </c>
      <c r="E41" s="329">
        <f t="shared" si="8"/>
        <v>-1316</v>
      </c>
      <c r="F41" s="329">
        <f t="shared" si="8"/>
        <v>-229</v>
      </c>
      <c r="G41" s="329">
        <f t="shared" si="8"/>
        <v>838</v>
      </c>
      <c r="H41" s="329">
        <f t="shared" si="8"/>
        <v>-1529</v>
      </c>
      <c r="I41" s="329">
        <f t="shared" si="8"/>
        <v>3198</v>
      </c>
      <c r="J41" s="329">
        <f t="shared" si="8"/>
        <v>1884</v>
      </c>
      <c r="K41" s="329">
        <f>+-(K27-K57-K35)</f>
        <v>1507.2000000000007</v>
      </c>
      <c r="L41" s="329">
        <f>+-(L27-L57-L35)</f>
        <v>1205.7600000000002</v>
      </c>
      <c r="M41" s="329">
        <f>+-(M27-M57-M35)</f>
        <v>964.60800000000017</v>
      </c>
      <c r="N41" s="329">
        <f>+-(N27-N57-N35)</f>
        <v>964.60800000000017</v>
      </c>
      <c r="O41" s="329">
        <f>+-(O27-O57-O35)</f>
        <v>964.60800000000017</v>
      </c>
      <c r="P41" s="323"/>
      <c r="R41" s="285" t="s">
        <v>452</v>
      </c>
      <c r="S41" s="329">
        <f>S39*(1+S40)/(S4-S40)</f>
        <v>13641.733542867521</v>
      </c>
      <c r="T41" s="315"/>
    </row>
    <row r="42" spans="1:26">
      <c r="A42" s="285" t="s">
        <v>388</v>
      </c>
      <c r="B42" s="329">
        <f>-(Driver!AA109+Driver!AA110+Driver!AA111)</f>
        <v>854</v>
      </c>
      <c r="C42" s="329">
        <f>-(Driver!AB109+Driver!AB110+Driver!AB111)</f>
        <v>768</v>
      </c>
      <c r="D42" s="329">
        <f>-(Driver!AC109+Driver!AC110+Driver!AC111)</f>
        <v>706</v>
      </c>
      <c r="E42" s="329">
        <f>-(Driver!AD109+Driver!AD110+Driver!AD111)</f>
        <v>677</v>
      </c>
      <c r="F42" s="329">
        <f>-(Driver!AE109+Driver!AE110+Driver!AE111)</f>
        <v>633</v>
      </c>
      <c r="G42" s="329">
        <f>-(Driver!AF109+Driver!AF110+Driver!AF111)</f>
        <v>688</v>
      </c>
      <c r="H42" s="329">
        <f>-(Driver!AG109+Driver!AG110+Driver!AG111)</f>
        <v>189</v>
      </c>
      <c r="I42" s="329">
        <f>-(Driver!AH109+Driver!AH110+Driver!AH111)</f>
        <v>162</v>
      </c>
      <c r="J42" s="329">
        <f>-(Driver!AI109+Driver!AI110+Driver!AI111)</f>
        <v>152.28065150514297</v>
      </c>
      <c r="K42" s="329">
        <f>-(Driver!AJ109+Driver!AJ110+Driver!AJ111)</f>
        <v>150.55301946750399</v>
      </c>
      <c r="L42" s="329">
        <f>-(Driver!AK109+Driver!AK110+Driver!AK111)</f>
        <v>154.75086121634428</v>
      </c>
      <c r="M42" s="329">
        <f>-(Driver!AL109+Driver!AL110+Driver!AL111)</f>
        <v>154.75086121634428</v>
      </c>
      <c r="N42" s="329">
        <f>-(Driver!AM109+Driver!AM110+Driver!AM111)</f>
        <v>154.75086121634428</v>
      </c>
      <c r="O42" s="329">
        <f>-(Driver!AN109+Driver!AN110+Driver!AN111)</f>
        <v>154.75086121634428</v>
      </c>
      <c r="R42" s="285" t="s">
        <v>453</v>
      </c>
      <c r="S42" s="329">
        <f>+S41*O20</f>
        <v>10898.691995549472</v>
      </c>
      <c r="T42" s="315"/>
    </row>
    <row r="43" spans="1:26">
      <c r="A43" s="291" t="s">
        <v>389</v>
      </c>
      <c r="B43" s="324">
        <f t="shared" ref="B43:J43" si="9">+SUM(B40:B42)</f>
        <v>-3105.5</v>
      </c>
      <c r="C43" s="324">
        <f t="shared" si="9"/>
        <v>1217</v>
      </c>
      <c r="D43" s="324">
        <f t="shared" si="9"/>
        <v>5267.5</v>
      </c>
      <c r="E43" s="324">
        <f t="shared" si="9"/>
        <v>1245.5</v>
      </c>
      <c r="F43" s="324">
        <f t="shared" si="9"/>
        <v>-1521.75</v>
      </c>
      <c r="G43" s="324">
        <f t="shared" si="9"/>
        <v>1853.75</v>
      </c>
      <c r="H43" s="324">
        <f t="shared" si="9"/>
        <v>711</v>
      </c>
      <c r="I43" s="324">
        <f t="shared" si="9"/>
        <v>-2556</v>
      </c>
      <c r="J43" s="324">
        <f t="shared" si="9"/>
        <v>-657.10140670045439</v>
      </c>
      <c r="K43" s="324">
        <f>+SUM(K40:K42)</f>
        <v>-839.28263053447597</v>
      </c>
      <c r="L43" s="324">
        <f>+SUM(L40:L42)</f>
        <v>-1156.619493351368</v>
      </c>
      <c r="M43" s="324">
        <f>+SUM(M40:M42)</f>
        <v>-1593.3696631405046</v>
      </c>
      <c r="N43" s="324">
        <f>+SUM(N40:N42)</f>
        <v>-2143.5292198488851</v>
      </c>
      <c r="O43" s="324">
        <f>+SUM(O40:O42)</f>
        <v>-2739.5176676354722</v>
      </c>
      <c r="R43" s="285" t="s">
        <v>381</v>
      </c>
      <c r="S43" s="329">
        <f>Driver!AN104*(1+S40)/(B11-S40)*S25</f>
        <v>3574.8640083343362</v>
      </c>
      <c r="T43" s="332"/>
    </row>
    <row r="44" spans="1:26">
      <c r="P44" s="302"/>
      <c r="T44" s="302"/>
    </row>
    <row r="45" spans="1:26">
      <c r="A45" s="291" t="s">
        <v>675</v>
      </c>
      <c r="P45" s="302"/>
      <c r="R45" s="291"/>
      <c r="S45" s="429" t="s">
        <v>685</v>
      </c>
      <c r="T45" s="430" t="s">
        <v>686</v>
      </c>
    </row>
    <row r="46" spans="1:26">
      <c r="A46" s="285" t="s">
        <v>739</v>
      </c>
      <c r="B46" s="306">
        <f>SOC!AC40</f>
        <v>2707</v>
      </c>
      <c r="C46" s="329"/>
      <c r="D46" s="329"/>
      <c r="E46" s="329"/>
      <c r="F46" s="329"/>
      <c r="G46" s="329"/>
      <c r="H46" s="329"/>
      <c r="I46" s="329"/>
      <c r="J46" s="329"/>
      <c r="K46" s="329"/>
      <c r="L46" s="329"/>
      <c r="M46" s="329"/>
      <c r="N46" s="329"/>
      <c r="O46" s="329"/>
      <c r="P46" s="302"/>
      <c r="R46" s="334">
        <v>2023</v>
      </c>
      <c r="S46" s="295">
        <f>+Final!AG48/$S$37</f>
        <v>4.4285732566584225E-2</v>
      </c>
      <c r="T46" s="328">
        <f>$S$36/Final!AG31</f>
        <v>14.491034866794172</v>
      </c>
      <c r="Z46" s="328"/>
    </row>
    <row r="47" spans="1:26">
      <c r="A47" s="285" t="s">
        <v>740</v>
      </c>
      <c r="B47" s="306">
        <v>16</v>
      </c>
      <c r="C47" s="329"/>
      <c r="D47" s="329"/>
      <c r="E47" s="329"/>
      <c r="F47" s="329"/>
      <c r="G47" s="329"/>
      <c r="H47" s="329"/>
      <c r="I47" s="329"/>
      <c r="J47" s="329"/>
      <c r="K47" s="329"/>
      <c r="L47" s="329"/>
      <c r="M47" s="329"/>
      <c r="N47" s="329"/>
      <c r="O47" s="329"/>
      <c r="P47" s="302"/>
      <c r="R47" s="334">
        <v>2024</v>
      </c>
      <c r="S47" s="295">
        <f>+Final!AH48/$S$37</f>
        <v>4.4998194556291789E-2</v>
      </c>
      <c r="T47" s="328">
        <f>$S$36/Final!AH31</f>
        <v>15.242458721494007</v>
      </c>
    </row>
    <row r="48" spans="1:26">
      <c r="A48" s="285" t="s">
        <v>676</v>
      </c>
      <c r="B48" s="306">
        <f>B46*B47</f>
        <v>43312</v>
      </c>
      <c r="P48" s="302"/>
      <c r="R48" s="334">
        <v>2025</v>
      </c>
      <c r="S48" s="295">
        <f>+Final!AI48/$S$37</f>
        <v>4.4998194556291789E-2</v>
      </c>
      <c r="T48" s="328">
        <f>$S$36/Final!AI31</f>
        <v>15.973834641038437</v>
      </c>
      <c r="U48" s="328"/>
      <c r="V48" s="328"/>
      <c r="W48" s="328"/>
    </row>
    <row r="49" spans="1:23">
      <c r="G49" s="285">
        <f>37/4.3</f>
        <v>8.6046511627906987</v>
      </c>
      <c r="P49" s="302"/>
      <c r="R49" s="334">
        <v>2026</v>
      </c>
      <c r="S49" s="295">
        <f>+Final!AJ48/$S$37</f>
        <v>4.634814039298054E-2</v>
      </c>
      <c r="T49" s="328">
        <f>$S$36/Final!AJ31</f>
        <v>15.022378923813394</v>
      </c>
    </row>
    <row r="50" spans="1:23">
      <c r="P50" s="302"/>
      <c r="R50" s="334">
        <v>2027</v>
      </c>
      <c r="S50" s="295">
        <f>+Final!AK48/$S$37</f>
        <v>4.7738584604769957E-2</v>
      </c>
      <c r="T50" s="328">
        <f>$S$36/Final!AK31</f>
        <v>14.509022465048076</v>
      </c>
    </row>
    <row r="51" spans="1:23">
      <c r="P51" s="302"/>
      <c r="R51" s="334">
        <v>2028</v>
      </c>
      <c r="S51" s="295">
        <f>+Final!AL48/$S$37</f>
        <v>4.917074214291306E-2</v>
      </c>
      <c r="T51" s="328">
        <f>$S$36/Final!AL31</f>
        <v>14.135557906559312</v>
      </c>
    </row>
    <row r="52" spans="1:23">
      <c r="A52" s="291"/>
      <c r="D52" s="302"/>
      <c r="E52" s="302"/>
      <c r="F52" s="302"/>
      <c r="G52" s="302"/>
      <c r="H52" s="302"/>
      <c r="I52" s="302"/>
      <c r="J52" s="302"/>
      <c r="K52" s="302"/>
      <c r="L52" s="302"/>
      <c r="M52" s="302"/>
      <c r="N52" s="302"/>
      <c r="O52" s="302"/>
    </row>
    <row r="53" spans="1:23">
      <c r="A53" s="335" t="s">
        <v>237</v>
      </c>
      <c r="B53" s="336">
        <f t="shared" ref="B53:J53" si="10">B18</f>
        <v>2017</v>
      </c>
      <c r="C53" s="336">
        <f t="shared" si="10"/>
        <v>2018</v>
      </c>
      <c r="D53" s="336">
        <f t="shared" si="10"/>
        <v>2019</v>
      </c>
      <c r="E53" s="336">
        <f t="shared" si="10"/>
        <v>2020</v>
      </c>
      <c r="F53" s="336">
        <f t="shared" si="10"/>
        <v>2021</v>
      </c>
      <c r="G53" s="336">
        <f t="shared" si="10"/>
        <v>2022</v>
      </c>
      <c r="H53" s="336">
        <f t="shared" si="10"/>
        <v>2023</v>
      </c>
      <c r="I53" s="336">
        <f t="shared" si="10"/>
        <v>2024</v>
      </c>
      <c r="J53" s="336" t="str">
        <f t="shared" si="10"/>
        <v>2025E</v>
      </c>
      <c r="K53" s="336" t="str">
        <f>K18</f>
        <v>2026E</v>
      </c>
      <c r="L53" s="336" t="str">
        <f>L18</f>
        <v>2027E</v>
      </c>
      <c r="M53" s="336" t="str">
        <f>M18</f>
        <v>2028E</v>
      </c>
      <c r="N53" s="336" t="str">
        <f>N18</f>
        <v>2029E</v>
      </c>
      <c r="O53" s="336" t="str">
        <f>O18</f>
        <v>2030E</v>
      </c>
      <c r="P53" s="336"/>
      <c r="Q53" s="337"/>
      <c r="R53" s="338" t="s">
        <v>730</v>
      </c>
      <c r="S53" s="339" t="s">
        <v>237</v>
      </c>
      <c r="T53" s="339" t="s">
        <v>687</v>
      </c>
      <c r="U53" s="339" t="s">
        <v>346</v>
      </c>
      <c r="V53" s="340" t="s">
        <v>390</v>
      </c>
    </row>
    <row r="54" spans="1:23">
      <c r="A54" s="341" t="s">
        <v>106</v>
      </c>
      <c r="B54" s="342">
        <f>+Aus!AA23</f>
        <v>3904</v>
      </c>
      <c r="C54" s="342">
        <f>+Aus!AB23</f>
        <v>4835</v>
      </c>
      <c r="D54" s="342">
        <f>+Aus!AC23</f>
        <v>2160</v>
      </c>
      <c r="E54" s="342">
        <f>+Aus!AD23</f>
        <v>2481</v>
      </c>
      <c r="F54" s="342">
        <f>+Aus!AE23</f>
        <v>-12</v>
      </c>
      <c r="G54" s="342">
        <f>+Aus!AF23</f>
        <v>-7259</v>
      </c>
      <c r="H54" s="342">
        <f>+Aus!AG23</f>
        <v>2164</v>
      </c>
      <c r="I54" s="342">
        <f>+Aus!AH23</f>
        <v>1850</v>
      </c>
      <c r="J54" s="342">
        <f>+Aus!AI23</f>
        <v>810.420633456931</v>
      </c>
      <c r="K54" s="342">
        <f>+Aus!AJ23</f>
        <v>971.14523860728195</v>
      </c>
      <c r="L54" s="342">
        <f>+Aus!AK23</f>
        <v>1126.1529794177695</v>
      </c>
      <c r="M54" s="342">
        <f>+Aus!AL23</f>
        <v>1185.3690365774173</v>
      </c>
      <c r="N54" s="342">
        <f>+Aus!AM23</f>
        <v>1240.637356593089</v>
      </c>
      <c r="O54" s="342">
        <f>+Aus!AN23</f>
        <v>1292.2211219410488</v>
      </c>
      <c r="P54" s="343"/>
      <c r="Q54" s="344"/>
      <c r="R54" s="344" t="s">
        <v>106</v>
      </c>
      <c r="S54" s="342">
        <f>+O54</f>
        <v>1292.2211219410488</v>
      </c>
      <c r="T54" s="396">
        <f>+O33+SOC!AN10</f>
        <v>19503.177604695244</v>
      </c>
      <c r="U54" s="342">
        <f>+S11-SUM(S54:T54)</f>
        <v>-2969.3709974286794</v>
      </c>
      <c r="V54" s="397"/>
    </row>
    <row r="55" spans="1:23">
      <c r="A55" s="341" t="s">
        <v>349</v>
      </c>
      <c r="B55" s="329">
        <f>+Aus!AA13</f>
        <v>-1335</v>
      </c>
      <c r="C55" s="329">
        <f>+Aus!AB13</f>
        <v>-1681</v>
      </c>
      <c r="D55" s="329">
        <f>+Aus!AC13</f>
        <v>-1900</v>
      </c>
      <c r="E55" s="329">
        <f>+Aus!AD13</f>
        <v>-2000</v>
      </c>
      <c r="F55" s="329">
        <f>+Aus!AE13</f>
        <v>-2327</v>
      </c>
      <c r="G55" s="329">
        <f>+Aus!AF13</f>
        <v>-2368</v>
      </c>
      <c r="H55" s="329">
        <f>+Aus!AG13</f>
        <v>-2281</v>
      </c>
      <c r="I55" s="329">
        <f>+Aus!AH13</f>
        <v>-2658</v>
      </c>
      <c r="J55" s="329">
        <f>+Aus!AI13</f>
        <v>-2507.8533950617284</v>
      </c>
      <c r="K55" s="329">
        <f>+Aus!AJ13</f>
        <v>-2441.0909295140477</v>
      </c>
      <c r="L55" s="329">
        <f>+Aus!AK13</f>
        <v>-2330.2793006483162</v>
      </c>
      <c r="M55" s="329">
        <f>+Aus!AL13</f>
        <v>-2193.6476458608613</v>
      </c>
      <c r="N55" s="329">
        <f>+Aus!AM13</f>
        <v>-2044.2336175534458</v>
      </c>
      <c r="O55" s="329">
        <f>+Aus!AN13</f>
        <v>-1891.1753142614969</v>
      </c>
      <c r="P55" s="346"/>
      <c r="R55" s="285" t="s">
        <v>13</v>
      </c>
      <c r="S55" s="347">
        <f>Aus!AN28</f>
        <v>5.894886363636364E-2</v>
      </c>
      <c r="T55" s="348">
        <v>0.16500000000000001</v>
      </c>
      <c r="U55" s="349">
        <f>1-U56/U54</f>
        <v>-0.30755805267096448</v>
      </c>
      <c r="V55" s="345"/>
    </row>
    <row r="56" spans="1:23">
      <c r="A56" s="341" t="s">
        <v>105</v>
      </c>
      <c r="B56" s="329">
        <f t="shared" ref="B56:J56" si="11">+B54-B55</f>
        <v>5239</v>
      </c>
      <c r="C56" s="329">
        <f t="shared" si="11"/>
        <v>6516</v>
      </c>
      <c r="D56" s="329">
        <f t="shared" si="11"/>
        <v>4060</v>
      </c>
      <c r="E56" s="329">
        <f t="shared" si="11"/>
        <v>4481</v>
      </c>
      <c r="F56" s="329">
        <f t="shared" si="11"/>
        <v>2315</v>
      </c>
      <c r="G56" s="329">
        <f t="shared" si="11"/>
        <v>-4891</v>
      </c>
      <c r="H56" s="329">
        <f t="shared" si="11"/>
        <v>4445</v>
      </c>
      <c r="I56" s="329">
        <f t="shared" si="11"/>
        <v>4508</v>
      </c>
      <c r="J56" s="329">
        <f t="shared" si="11"/>
        <v>3318.2740285186592</v>
      </c>
      <c r="K56" s="329">
        <f>+K54-K55</f>
        <v>3412.2361681213297</v>
      </c>
      <c r="L56" s="329">
        <f>+L54-L55</f>
        <v>3456.4322800660857</v>
      </c>
      <c r="M56" s="329">
        <f>+M54-M55</f>
        <v>3379.0166824382786</v>
      </c>
      <c r="N56" s="329">
        <f>+N54-N55</f>
        <v>3284.8709741465345</v>
      </c>
      <c r="O56" s="329">
        <f>+O54-O55</f>
        <v>3183.3964362025454</v>
      </c>
      <c r="P56" s="346"/>
      <c r="R56" s="285" t="s">
        <v>14</v>
      </c>
      <c r="S56" s="366">
        <f>+S54*(1-S55)</f>
        <v>1216.0461552357169</v>
      </c>
      <c r="T56" s="396">
        <f>+T54*(1-T55)</f>
        <v>16285.153299920528</v>
      </c>
      <c r="U56" s="396">
        <f>+S13-SUM(S56:T56)</f>
        <v>-3882.6249590554835</v>
      </c>
      <c r="V56" s="397"/>
      <c r="W56" s="296" t="s">
        <v>289</v>
      </c>
    </row>
    <row r="57" spans="1:23">
      <c r="A57" s="341" t="s">
        <v>186</v>
      </c>
      <c r="B57" s="329">
        <f>-Driver!AA85</f>
        <v>-3062</v>
      </c>
      <c r="C57" s="329">
        <f>-Driver!AB85</f>
        <v>-2221</v>
      </c>
      <c r="D57" s="329">
        <f>-Driver!AC85</f>
        <v>-1894</v>
      </c>
      <c r="E57" s="329">
        <f>-Driver!AD85</f>
        <v>-3649</v>
      </c>
      <c r="F57" s="329">
        <f>-Driver!AE85</f>
        <v>-2666</v>
      </c>
      <c r="G57" s="329">
        <f>-Driver!AF85</f>
        <v>-2335</v>
      </c>
      <c r="H57" s="329">
        <f>-Driver!AG85</f>
        <v>-3062</v>
      </c>
      <c r="I57" s="329">
        <f>-Driver!AH85</f>
        <v>-2095</v>
      </c>
      <c r="J57" s="329">
        <f>-Driver!AI85</f>
        <v>-1676</v>
      </c>
      <c r="K57" s="329">
        <f>-Driver!AJ85</f>
        <v>-1340.8000000000002</v>
      </c>
      <c r="L57" s="329">
        <f>-Driver!AK85</f>
        <v>-1072.6400000000001</v>
      </c>
      <c r="M57" s="329">
        <f>-Driver!AL85</f>
        <v>-858.11200000000008</v>
      </c>
      <c r="N57" s="329">
        <f>-Driver!AM85</f>
        <v>-686.48960000000011</v>
      </c>
      <c r="O57" s="329">
        <f>-Driver!AN85</f>
        <v>-549.19168000000013</v>
      </c>
      <c r="P57" s="302"/>
      <c r="R57" s="285" t="s">
        <v>731</v>
      </c>
      <c r="S57" s="398">
        <f>+N79</f>
        <v>12062.936711361599</v>
      </c>
      <c r="T57" s="398">
        <f>+N78</f>
        <v>165067.86041286457</v>
      </c>
      <c r="U57" s="329">
        <f>+N80</f>
        <v>-4641.2015824667178</v>
      </c>
      <c r="V57" s="397"/>
      <c r="W57" s="299">
        <f>+S14-SUM(S57:U57)</f>
        <v>0</v>
      </c>
    </row>
    <row r="58" spans="1:23">
      <c r="A58" s="341" t="s">
        <v>370</v>
      </c>
      <c r="B58" s="329">
        <f t="shared" ref="B58:J58" si="12">+B56+B57</f>
        <v>2177</v>
      </c>
      <c r="C58" s="329">
        <f t="shared" si="12"/>
        <v>4295</v>
      </c>
      <c r="D58" s="329">
        <f t="shared" si="12"/>
        <v>2166</v>
      </c>
      <c r="E58" s="329">
        <f t="shared" si="12"/>
        <v>832</v>
      </c>
      <c r="F58" s="329">
        <f t="shared" si="12"/>
        <v>-351</v>
      </c>
      <c r="G58" s="329">
        <f t="shared" si="12"/>
        <v>-7226</v>
      </c>
      <c r="H58" s="329">
        <f t="shared" si="12"/>
        <v>1383</v>
      </c>
      <c r="I58" s="329">
        <f t="shared" si="12"/>
        <v>2413</v>
      </c>
      <c r="J58" s="329">
        <f t="shared" si="12"/>
        <v>1642.2740285186592</v>
      </c>
      <c r="K58" s="329">
        <f>+K56+K57</f>
        <v>2071.4361681213295</v>
      </c>
      <c r="L58" s="329">
        <f>+L56+L57</f>
        <v>2383.7922800660854</v>
      </c>
      <c r="M58" s="329">
        <f>+M56+M57</f>
        <v>2520.9046824382785</v>
      </c>
      <c r="N58" s="329">
        <f>+N56+N57</f>
        <v>2598.3813741465347</v>
      </c>
      <c r="O58" s="329">
        <f>+O56+O57</f>
        <v>2634.2047562025455</v>
      </c>
      <c r="P58" s="302"/>
      <c r="R58" s="285" t="s">
        <v>732</v>
      </c>
      <c r="S58" s="30">
        <f>+O79</f>
        <v>11145.953077100101</v>
      </c>
      <c r="T58" s="398">
        <f>+O78</f>
        <v>168989.63540318466</v>
      </c>
      <c r="U58" s="329">
        <f>+O80</f>
        <v>-5121.8886472771701</v>
      </c>
      <c r="V58" s="397"/>
      <c r="W58" s="299">
        <f>+S15-SUM(S58:U58)</f>
        <v>0</v>
      </c>
    </row>
    <row r="59" spans="1:23">
      <c r="A59" s="341" t="s">
        <v>371</v>
      </c>
      <c r="B59" s="329">
        <f t="shared" ref="B59:J59" si="13">+B58*B20</f>
        <v>2177</v>
      </c>
      <c r="C59" s="329">
        <f t="shared" si="13"/>
        <v>4295</v>
      </c>
      <c r="D59" s="329">
        <f t="shared" si="13"/>
        <v>2166</v>
      </c>
      <c r="E59" s="329">
        <f t="shared" si="13"/>
        <v>832</v>
      </c>
      <c r="F59" s="329">
        <f t="shared" si="13"/>
        <v>-351</v>
      </c>
      <c r="G59" s="329">
        <f t="shared" si="13"/>
        <v>-7226</v>
      </c>
      <c r="H59" s="329">
        <f t="shared" si="13"/>
        <v>1383</v>
      </c>
      <c r="I59" s="329">
        <f t="shared" si="13"/>
        <v>2413</v>
      </c>
      <c r="J59" s="329">
        <f t="shared" si="13"/>
        <v>1642.2740285186592</v>
      </c>
      <c r="K59" s="329">
        <f>+K58*K20</f>
        <v>2071.4361681213295</v>
      </c>
      <c r="L59" s="329">
        <f>+L58*L20</f>
        <v>2253.6922601200076</v>
      </c>
      <c r="M59" s="329">
        <f>+M58*M20</f>
        <v>2253.2471653265538</v>
      </c>
      <c r="N59" s="329">
        <f>+N58*N20</f>
        <v>2195.7430009901182</v>
      </c>
      <c r="O59" s="329">
        <f>+O58*O20</f>
        <v>2104.5262466714521</v>
      </c>
      <c r="P59" s="302"/>
      <c r="R59" s="285" t="s">
        <v>15</v>
      </c>
      <c r="S59" s="329">
        <f>AVERAGE(S57:S58)</f>
        <v>11604.44489423085</v>
      </c>
      <c r="T59" s="329">
        <f>AVERAGE(T57:T58)</f>
        <v>167028.74790802461</v>
      </c>
      <c r="U59" s="329">
        <f>+S16-SUM(S59:T59)</f>
        <v>-4881.5451148719294</v>
      </c>
      <c r="V59" s="397"/>
    </row>
    <row r="60" spans="1:23">
      <c r="A60" s="341"/>
      <c r="B60" s="329"/>
      <c r="C60" s="329"/>
      <c r="D60" s="329"/>
      <c r="E60" s="329"/>
      <c r="F60" s="329"/>
      <c r="G60" s="329"/>
      <c r="H60" s="329"/>
      <c r="I60" s="329"/>
      <c r="J60" s="329"/>
      <c r="K60" s="329"/>
      <c r="L60" s="329"/>
      <c r="M60" s="329"/>
      <c r="N60" s="329"/>
      <c r="O60" s="329"/>
      <c r="S60" s="295">
        <f>+S56/S59</f>
        <v>0.10479141107734281</v>
      </c>
      <c r="T60" s="295">
        <f>+T56/T59</f>
        <v>9.7499104219400876E-2</v>
      </c>
      <c r="U60" s="295">
        <f>+U56/U59</f>
        <v>0.79536803771961995</v>
      </c>
      <c r="V60" s="345"/>
    </row>
    <row r="61" spans="1:23">
      <c r="A61" s="341" t="s">
        <v>130</v>
      </c>
      <c r="B61" s="318">
        <v>44072</v>
      </c>
      <c r="C61" s="471">
        <f t="shared" ref="C61:J61" si="14">+B61-C57+C55</f>
        <v>44612</v>
      </c>
      <c r="D61" s="471">
        <f t="shared" si="14"/>
        <v>44606</v>
      </c>
      <c r="E61" s="471">
        <f t="shared" si="14"/>
        <v>46255</v>
      </c>
      <c r="F61" s="17">
        <v>37839</v>
      </c>
      <c r="G61" s="17">
        <v>41673</v>
      </c>
      <c r="H61" s="55">
        <f t="shared" si="14"/>
        <v>42454</v>
      </c>
      <c r="I61" s="55">
        <f t="shared" si="14"/>
        <v>41891</v>
      </c>
      <c r="J61" s="350">
        <f t="shared" si="14"/>
        <v>41059.146604938273</v>
      </c>
      <c r="K61" s="350">
        <f>+J61-K57+K55</f>
        <v>39958.855675424231</v>
      </c>
      <c r="L61" s="350">
        <f>+K61-L57+L55</f>
        <v>38701.216374775911</v>
      </c>
      <c r="M61" s="350">
        <f>+L61-M57+M55</f>
        <v>37365.680728915053</v>
      </c>
      <c r="N61" s="350">
        <f>+M61-N57+N55</f>
        <v>36007.93671136161</v>
      </c>
      <c r="O61" s="350">
        <f>+N61-O57+O55</f>
        <v>34665.953077100115</v>
      </c>
      <c r="P61" s="306"/>
      <c r="V61" s="345"/>
    </row>
    <row r="62" spans="1:23">
      <c r="A62" s="341" t="s">
        <v>223</v>
      </c>
      <c r="B62" s="318">
        <f>Aus!AA88</f>
        <v>11138</v>
      </c>
      <c r="C62" s="318">
        <f>Aus!AB88</f>
        <v>11922</v>
      </c>
      <c r="D62" s="318">
        <f>Aus!AC88</f>
        <v>11873</v>
      </c>
      <c r="E62" s="318">
        <f>Aus!AD88</f>
        <v>14917</v>
      </c>
      <c r="F62" s="318">
        <f>Aus!AE88</f>
        <v>14551</v>
      </c>
      <c r="G62" s="318">
        <f>Aus!AF88</f>
        <v>13628</v>
      </c>
      <c r="H62" s="318">
        <f>Aus!AG88</f>
        <v>14523</v>
      </c>
      <c r="I62" s="318">
        <f>Aus!AH88</f>
        <v>12693</v>
      </c>
      <c r="J62" s="318">
        <f>Aus!AI88</f>
        <v>12286.146604938273</v>
      </c>
      <c r="K62" s="318">
        <f>Aus!AJ88</f>
        <v>11610.855675424224</v>
      </c>
      <c r="L62" s="318">
        <f>Aus!AK88</f>
        <v>10778.216374775906</v>
      </c>
      <c r="M62" s="318">
        <f>Aus!AL88</f>
        <v>9867.6807289150438</v>
      </c>
      <c r="N62" s="318">
        <f>Aus!AM88</f>
        <v>8934.936711361599</v>
      </c>
      <c r="O62" s="318">
        <f>Aus!AN88</f>
        <v>8017.9530771001018</v>
      </c>
      <c r="P62" s="306"/>
      <c r="R62" s="344"/>
      <c r="S62" s="351"/>
      <c r="T62" s="352"/>
      <c r="U62" s="353"/>
      <c r="V62" s="354"/>
    </row>
    <row r="63" spans="1:23">
      <c r="A63" s="341" t="s">
        <v>0</v>
      </c>
      <c r="B63" s="318">
        <v>10742</v>
      </c>
      <c r="C63" s="471">
        <f t="shared" ref="C63:J63" si="15">+B63/B61*C61</f>
        <v>10873.61826102741</v>
      </c>
      <c r="D63" s="471">
        <f t="shared" si="15"/>
        <v>10872.155835904883</v>
      </c>
      <c r="E63" s="471">
        <f t="shared" si="15"/>
        <v>11274.079007079325</v>
      </c>
      <c r="F63" s="318">
        <v>11160</v>
      </c>
      <c r="G63" s="318">
        <v>20143</v>
      </c>
      <c r="H63" s="350">
        <f t="shared" si="15"/>
        <v>20520.503011542245</v>
      </c>
      <c r="I63" s="350">
        <f t="shared" si="15"/>
        <v>20248.372159431765</v>
      </c>
      <c r="J63" s="350">
        <f t="shared" si="15"/>
        <v>19846.288725632221</v>
      </c>
      <c r="K63" s="350">
        <f>+J63/J61*K61</f>
        <v>19314.453719916259</v>
      </c>
      <c r="L63" s="350">
        <f>+K63/K61*L61</f>
        <v>18706.563036909058</v>
      </c>
      <c r="M63" s="350">
        <f>+L63/L61*M61</f>
        <v>18061.020491026225</v>
      </c>
      <c r="N63" s="350">
        <f>+M63/M61*N61</f>
        <v>17404.743339259396</v>
      </c>
      <c r="O63" s="350">
        <f>+N63/N61*O61</f>
        <v>16756.084103184974</v>
      </c>
      <c r="P63" s="306"/>
      <c r="R63" s="285" t="s">
        <v>42</v>
      </c>
      <c r="S63" s="318">
        <f>S59*(1+$B$12)</f>
        <v>11836.533792115468</v>
      </c>
      <c r="T63" s="318">
        <f>T59*(1+$B$12)</f>
        <v>170369.3228661851</v>
      </c>
      <c r="U63" s="318">
        <f>U59*(1+$B$12)</f>
        <v>-4979.1760171693677</v>
      </c>
      <c r="V63" s="355" t="s">
        <v>397</v>
      </c>
    </row>
    <row r="64" spans="1:23">
      <c r="A64" s="285" t="s">
        <v>70</v>
      </c>
      <c r="B64" s="329">
        <f>+Aus!AA84</f>
        <v>234</v>
      </c>
      <c r="C64" s="329">
        <f>+Aus!AB84</f>
        <v>0</v>
      </c>
      <c r="D64" s="329">
        <f>+Aus!AC84</f>
        <v>0</v>
      </c>
      <c r="E64" s="329">
        <f>+Aus!AD84</f>
        <v>0</v>
      </c>
      <c r="F64" s="329">
        <f>+Aus!AE84</f>
        <v>0</v>
      </c>
      <c r="G64" s="329">
        <f>+Aus!AF84</f>
        <v>5127</v>
      </c>
      <c r="H64" s="329">
        <f>+Aus!AG84</f>
        <v>4655</v>
      </c>
      <c r="I64" s="329">
        <f>+Aus!AH84</f>
        <v>3558</v>
      </c>
      <c r="J64" s="329">
        <f>+Aus!AI84</f>
        <v>3557.6678962800001</v>
      </c>
      <c r="K64" s="329">
        <f>+Aus!AJ84</f>
        <v>3612.8351843999999</v>
      </c>
      <c r="L64" s="329">
        <f>+Aus!AK84</f>
        <v>3612.8351843999999</v>
      </c>
      <c r="M64" s="329">
        <f>+Aus!AL84</f>
        <v>3612.8351843999999</v>
      </c>
      <c r="N64" s="329">
        <f>+Aus!AM84</f>
        <v>3612.8351843999999</v>
      </c>
      <c r="O64" s="329">
        <f>+Aus!AN84</f>
        <v>3612.8351843999999</v>
      </c>
      <c r="P64" s="295"/>
      <c r="R64" s="285" t="s">
        <v>11</v>
      </c>
      <c r="S64" s="419">
        <v>0.02</v>
      </c>
      <c r="T64" s="356">
        <v>0.08</v>
      </c>
      <c r="U64" s="357">
        <v>0.06</v>
      </c>
      <c r="V64" s="358">
        <f>+SUMPRODUCT(S64:U64,S59:U59)/SUM(S59:U59)</f>
        <v>7.6554646823070796E-2</v>
      </c>
    </row>
    <row r="65" spans="1:27">
      <c r="B65" s="329"/>
      <c r="C65" s="329"/>
      <c r="D65" s="329"/>
      <c r="E65" s="329"/>
      <c r="F65" s="329"/>
      <c r="G65" s="329"/>
      <c r="H65" s="329"/>
      <c r="I65" s="329"/>
      <c r="J65" s="329"/>
      <c r="K65" s="329"/>
      <c r="L65" s="329"/>
      <c r="M65" s="329"/>
      <c r="N65" s="329"/>
      <c r="O65" s="329"/>
      <c r="R65" s="285" t="s">
        <v>20</v>
      </c>
      <c r="S65" s="329">
        <f>S63*S64</f>
        <v>236.73067584230935</v>
      </c>
      <c r="T65" s="329">
        <f>T63*T64</f>
        <v>13629.545829294808</v>
      </c>
      <c r="U65" s="329">
        <f>+U63*U64</f>
        <v>-298.75056103016203</v>
      </c>
      <c r="V65" s="345"/>
      <c r="W65" s="306"/>
      <c r="X65" s="306"/>
      <c r="Y65" s="306"/>
    </row>
    <row r="66" spans="1:27">
      <c r="A66" s="341" t="s">
        <v>7</v>
      </c>
      <c r="B66" s="295">
        <f>Aus!AA94</f>
        <v>9.140987547157213E-2</v>
      </c>
      <c r="C66" s="295">
        <f>Aus!AB94</f>
        <v>0.11462491755476099</v>
      </c>
      <c r="D66" s="295">
        <f>Aus!AC94</f>
        <v>7.0499257191734568E-2</v>
      </c>
      <c r="E66" s="295">
        <f>Aus!AD94</f>
        <v>6.5047534736923138E-2</v>
      </c>
      <c r="F66" s="295">
        <f>Aus!AE94</f>
        <v>-3.3164182682702682E-3</v>
      </c>
      <c r="G66" s="295">
        <f>Aus!AF94</f>
        <v>-0.22763419483101391</v>
      </c>
      <c r="H66" s="295">
        <f>Aus!AG94</f>
        <v>0.10740761078469058</v>
      </c>
      <c r="I66" s="295">
        <f>Aus!AH94</f>
        <v>8.3749446937614561E-2</v>
      </c>
      <c r="J66" s="295">
        <f>Aus!AI94</f>
        <v>2.8505477143809445E-2</v>
      </c>
      <c r="K66" s="295">
        <f>Aus!AJ94</f>
        <v>4.0075729718382053E-2</v>
      </c>
      <c r="L66" s="295">
        <f>Aus!AK94</f>
        <v>5.2573989817406838E-2</v>
      </c>
      <c r="M66" s="295">
        <f>Aus!AL94</f>
        <v>6.0545548354116463E-2</v>
      </c>
      <c r="N66" s="295">
        <f>Aus!AM94</f>
        <v>6.9538699521881048E-2</v>
      </c>
      <c r="O66" s="295">
        <f>Aus!AN94</f>
        <v>7.9614895754821363E-2</v>
      </c>
      <c r="R66" s="285" t="s">
        <v>17</v>
      </c>
      <c r="S66" s="359">
        <f>(S64-$B$12)/(S64*($S$4-$B$12))</f>
        <v>0</v>
      </c>
      <c r="T66" s="359">
        <f>(T64-$B$12)/(T64*($S$4-$B$12))</f>
        <v>19.879398316877609</v>
      </c>
      <c r="U66" s="359">
        <f>(U64-$B$12)/(U64*($S$4-$B$12))</f>
        <v>17.670576281668986</v>
      </c>
      <c r="V66" s="345"/>
    </row>
    <row r="67" spans="1:27">
      <c r="A67" s="341"/>
      <c r="B67" s="364"/>
      <c r="C67" s="364"/>
      <c r="D67" s="364"/>
      <c r="E67" s="364"/>
      <c r="F67" s="364"/>
      <c r="G67" s="364"/>
      <c r="H67" s="364"/>
      <c r="I67" s="364"/>
      <c r="J67" s="364"/>
      <c r="K67" s="364"/>
      <c r="L67" s="364"/>
      <c r="M67" s="364"/>
      <c r="N67" s="364"/>
      <c r="O67" s="364"/>
      <c r="R67" s="285" t="s">
        <v>18</v>
      </c>
      <c r="S67" s="329">
        <f>S65*S66</f>
        <v>0</v>
      </c>
      <c r="T67" s="329">
        <f>T65*T66</f>
        <v>270947.17041868943</v>
      </c>
      <c r="U67" s="329">
        <f>U65*U66</f>
        <v>-5279.0945778748837</v>
      </c>
      <c r="V67" s="345"/>
      <c r="W67" s="359"/>
    </row>
    <row r="68" spans="1:27">
      <c r="B68" s="329"/>
      <c r="C68" s="329"/>
      <c r="D68" s="329"/>
      <c r="E68" s="329"/>
      <c r="F68" s="329"/>
      <c r="G68" s="329"/>
      <c r="H68" s="329"/>
      <c r="I68" s="329"/>
      <c r="J68" s="329"/>
      <c r="K68" s="329"/>
      <c r="L68" s="329"/>
      <c r="M68" s="329"/>
      <c r="N68" s="329"/>
      <c r="O68" s="329"/>
      <c r="P68" s="302"/>
      <c r="R68" s="285" t="s">
        <v>19</v>
      </c>
      <c r="S68" s="360">
        <f>+S25</f>
        <v>0.79892280268498372</v>
      </c>
      <c r="T68" s="360">
        <f>+S68</f>
        <v>0.79892280268498372</v>
      </c>
      <c r="U68" s="360">
        <f>+T68</f>
        <v>0.79892280268498372</v>
      </c>
      <c r="V68" s="345"/>
    </row>
    <row r="69" spans="1:27">
      <c r="A69" s="361" t="s">
        <v>75</v>
      </c>
      <c r="B69" s="329">
        <f>+Final!AA75</f>
        <v>228151</v>
      </c>
      <c r="C69" s="329">
        <f>+Final!AB75</f>
        <v>230514</v>
      </c>
      <c r="D69" s="329">
        <f>+Final!AC75</f>
        <v>221623</v>
      </c>
      <c r="E69" s="329">
        <f>+Final!AD75</f>
        <v>234233</v>
      </c>
      <c r="F69" s="329">
        <f>+Final!AE75</f>
        <v>239809</v>
      </c>
      <c r="G69" s="329">
        <f>+Final!AF75</f>
        <v>236026</v>
      </c>
      <c r="H69" s="329">
        <f>+Final!AG75</f>
        <v>229051</v>
      </c>
      <c r="I69" s="329">
        <f>+Final!AH75</f>
        <v>233713</v>
      </c>
      <c r="J69" s="329">
        <f>+Final!AI75</f>
        <v>238572.93110668065</v>
      </c>
      <c r="K69" s="329">
        <f>+Final!AJ75</f>
        <v>245000.26397949387</v>
      </c>
      <c r="L69" s="329">
        <f>+Final!AK75</f>
        <v>251842.95461453911</v>
      </c>
      <c r="M69" s="329">
        <f>+Final!AL75</f>
        <v>258243.10971292364</v>
      </c>
      <c r="N69" s="329">
        <f>+Final!AM75</f>
        <v>265272.84841254505</v>
      </c>
      <c r="O69" s="329">
        <f>+Final!AN75</f>
        <v>273044.57106848265</v>
      </c>
      <c r="P69" s="302"/>
      <c r="Q69" s="304"/>
      <c r="R69" s="285" t="s">
        <v>384</v>
      </c>
      <c r="S69" s="318">
        <f>+S67*S68</f>
        <v>0</v>
      </c>
      <c r="T69" s="318">
        <f>+T67*T68</f>
        <v>216465.87277046527</v>
      </c>
      <c r="U69" s="318">
        <f>+S26-SUM(S69:T69)</f>
        <v>-4217.5890357948956</v>
      </c>
      <c r="V69" s="345"/>
    </row>
    <row r="70" spans="1:27">
      <c r="A70" s="341" t="s">
        <v>405</v>
      </c>
      <c r="B70" s="329">
        <f>ROAFNA!AA18</f>
        <v>109824</v>
      </c>
      <c r="C70" s="329">
        <f>ROAFNA!AB18</f>
        <v>113295</v>
      </c>
      <c r="D70" s="329">
        <f>ROAFNA!AC18</f>
        <v>117157</v>
      </c>
      <c r="E70" s="329">
        <f>ROAFNA!AD18</f>
        <v>120523</v>
      </c>
      <c r="F70" s="329">
        <f>ROAFNA!AE18</f>
        <v>125827</v>
      </c>
      <c r="G70" s="329">
        <f>ROAFNA!AF18</f>
        <v>132792</v>
      </c>
      <c r="H70" s="329">
        <f>ROAFNA!AG18</f>
        <v>138657</v>
      </c>
      <c r="I70" s="329">
        <f>ROAFNA!AH18</f>
        <v>143124</v>
      </c>
      <c r="J70" s="329">
        <f>ROAFNA!AI18</f>
        <v>147930.90889733518</v>
      </c>
      <c r="K70" s="329">
        <f>ROAFNA!AJ18</f>
        <v>152543.92492564401</v>
      </c>
      <c r="L70" s="329">
        <f>ROAFNA!AK18</f>
        <v>156970.86900382931</v>
      </c>
      <c r="M70" s="329">
        <f>ROAFNA!AL18</f>
        <v>160981.24658394465</v>
      </c>
      <c r="N70" s="329">
        <f>ROAFNA!AM18</f>
        <v>165067.86041286457</v>
      </c>
      <c r="O70" s="329">
        <f>ROAFNA!AN18</f>
        <v>168989.63540318466</v>
      </c>
      <c r="P70" s="302"/>
      <c r="S70" s="329"/>
      <c r="T70" s="329"/>
      <c r="U70" s="329"/>
      <c r="V70" s="345"/>
    </row>
    <row r="71" spans="1:27">
      <c r="A71" s="341" t="s">
        <v>237</v>
      </c>
      <c r="B71" s="329">
        <f t="shared" ref="B71:J71" si="16">+B61</f>
        <v>44072</v>
      </c>
      <c r="C71" s="329">
        <f t="shared" si="16"/>
        <v>44612</v>
      </c>
      <c r="D71" s="329">
        <f t="shared" si="16"/>
        <v>44606</v>
      </c>
      <c r="E71" s="329">
        <f t="shared" si="16"/>
        <v>46255</v>
      </c>
      <c r="F71" s="329">
        <f t="shared" si="16"/>
        <v>37839</v>
      </c>
      <c r="G71" s="329">
        <f t="shared" si="16"/>
        <v>41673</v>
      </c>
      <c r="H71" s="329">
        <f t="shared" si="16"/>
        <v>42454</v>
      </c>
      <c r="I71" s="329">
        <f t="shared" si="16"/>
        <v>41891</v>
      </c>
      <c r="J71" s="329">
        <f t="shared" si="16"/>
        <v>41059.146604938273</v>
      </c>
      <c r="K71" s="329">
        <f>+K61</f>
        <v>39958.855675424231</v>
      </c>
      <c r="L71" s="329">
        <f>+L61</f>
        <v>38701.216374775911</v>
      </c>
      <c r="M71" s="329">
        <f>+M61</f>
        <v>37365.680728915053</v>
      </c>
      <c r="N71" s="329">
        <f>+N61</f>
        <v>36007.93671136161</v>
      </c>
      <c r="O71" s="329">
        <f>+O61</f>
        <v>34665.953077100115</v>
      </c>
      <c r="P71" s="302"/>
      <c r="R71" s="285" t="s">
        <v>733</v>
      </c>
      <c r="S71" s="318">
        <f>SUM(I59:O59)*$V$72</f>
        <v>14933.918869748119</v>
      </c>
      <c r="T71" s="318">
        <f>SUM(I38:O38)*$V$72</f>
        <v>64186.184717476011</v>
      </c>
      <c r="U71" s="318">
        <f>+S28-SUM(S71:T71)</f>
        <v>-38851.258103928871</v>
      </c>
      <c r="V71" s="345"/>
    </row>
    <row r="72" spans="1:27">
      <c r="A72" s="341" t="s">
        <v>346</v>
      </c>
      <c r="B72" s="329">
        <f t="shared" ref="B72:J72" si="17">+B69-SUM(B70:B71)</f>
        <v>74255</v>
      </c>
      <c r="C72" s="329">
        <f t="shared" si="17"/>
        <v>72607</v>
      </c>
      <c r="D72" s="329">
        <f t="shared" si="17"/>
        <v>59860</v>
      </c>
      <c r="E72" s="329">
        <f t="shared" si="17"/>
        <v>67455</v>
      </c>
      <c r="F72" s="329">
        <f t="shared" si="17"/>
        <v>76143</v>
      </c>
      <c r="G72" s="329">
        <f t="shared" si="17"/>
        <v>61561</v>
      </c>
      <c r="H72" s="329">
        <f t="shared" si="17"/>
        <v>47940</v>
      </c>
      <c r="I72" s="329">
        <f t="shared" si="17"/>
        <v>48698</v>
      </c>
      <c r="J72" s="329">
        <f t="shared" si="17"/>
        <v>49582.875604407222</v>
      </c>
      <c r="K72" s="329">
        <f>+K69-SUM(K70:K71)</f>
        <v>52497.483378425648</v>
      </c>
      <c r="L72" s="329">
        <f>+L69-SUM(L70:L71)</f>
        <v>56170.869235933875</v>
      </c>
      <c r="M72" s="329">
        <f>+M69-SUM(M70:M71)</f>
        <v>59896.182400063932</v>
      </c>
      <c r="N72" s="329">
        <f>+N69-SUM(N70:N71)</f>
        <v>64197.051288318879</v>
      </c>
      <c r="O72" s="329">
        <f>+O69-SUM(O70:O71)</f>
        <v>69388.982588197861</v>
      </c>
      <c r="R72" s="285" t="s">
        <v>482</v>
      </c>
      <c r="S72" s="318">
        <v>0</v>
      </c>
      <c r="T72" s="318">
        <v>0</v>
      </c>
      <c r="U72" s="318">
        <f>+S27</f>
        <v>14473.556003883808</v>
      </c>
      <c r="V72" s="362">
        <v>1</v>
      </c>
    </row>
    <row r="73" spans="1:27">
      <c r="B73" s="329"/>
      <c r="C73" s="329"/>
      <c r="D73" s="329"/>
      <c r="E73" s="329"/>
      <c r="F73" s="329"/>
      <c r="G73" s="329"/>
      <c r="H73" s="329"/>
      <c r="I73" s="329"/>
      <c r="J73" s="329"/>
      <c r="K73" s="329"/>
      <c r="L73" s="329"/>
      <c r="M73" s="329"/>
      <c r="N73" s="329"/>
      <c r="O73" s="329"/>
      <c r="P73" s="302"/>
      <c r="S73" s="318"/>
      <c r="T73" s="329"/>
      <c r="U73" s="329"/>
      <c r="V73" s="345"/>
    </row>
    <row r="74" spans="1:27">
      <c r="B74" s="329"/>
      <c r="C74" s="329"/>
      <c r="D74" s="329"/>
      <c r="E74" s="329"/>
      <c r="F74" s="329"/>
      <c r="G74" s="329"/>
      <c r="H74" s="329"/>
      <c r="I74" s="329"/>
      <c r="J74" s="329"/>
      <c r="K74" s="329"/>
      <c r="L74" s="329"/>
      <c r="M74" s="329"/>
      <c r="N74" s="329"/>
      <c r="O74" s="329"/>
      <c r="R74" s="285" t="s">
        <v>372</v>
      </c>
      <c r="S74" s="329">
        <f>+S71+S69+S72</f>
        <v>14933.918869748119</v>
      </c>
      <c r="T74" s="329">
        <f>+T71+T69+T72</f>
        <v>280652.05748794129</v>
      </c>
      <c r="U74" s="329">
        <f>+U71+U69+U72</f>
        <v>-28595.291135839958</v>
      </c>
      <c r="V74" s="345"/>
      <c r="W74" s="296" t="s">
        <v>289</v>
      </c>
    </row>
    <row r="75" spans="1:27">
      <c r="A75" s="341" t="s">
        <v>74</v>
      </c>
      <c r="B75" s="329">
        <f>+B69-SUM(Final!AA65,Final!AA66,Final!AA67,Final!AA68)</f>
        <v>38048</v>
      </c>
      <c r="C75" s="329">
        <f>+C69-SUM(Final!AB65,Final!AB66,Final!AB67,Final!AB68)</f>
        <v>39443</v>
      </c>
      <c r="D75" s="329">
        <f>+D69-SUM(Final!AC65,Final!AC66,Final!AC67,Final!AC68)</f>
        <v>33140</v>
      </c>
      <c r="E75" s="329">
        <f>+E69-SUM(Final!AD65,Final!AD66,Final!AD67,Final!AD68)</f>
        <v>37961</v>
      </c>
      <c r="F75" s="329">
        <f>+F69-SUM(Final!AE65,Final!AE66,Final!AE67,Final!AE68)</f>
        <v>39540</v>
      </c>
      <c r="G75" s="329">
        <f>+G69-SUM(Final!AF65,Final!AF66,Final!AF67,Final!AF68)</f>
        <v>41888</v>
      </c>
      <c r="H75" s="329">
        <f>+H69-SUM(Final!AG65,Final!AG66,Final!AG67,Final!AG68)</f>
        <v>33520</v>
      </c>
      <c r="I75" s="329">
        <f>+I69-SUM(Final!AH65,Final!AH66,Final!AH67,Final!AH68)</f>
        <v>31879</v>
      </c>
      <c r="J75" s="329">
        <f>+J69-SUM(Final!AI65,Final!AI66,Final!AI67,Final!AI68)</f>
        <v>30548.924472582963</v>
      </c>
      <c r="K75" s="329">
        <f>+K69-SUM(Final!AJ65,Final!AJ66,Final!AJ67,Final!AJ68)</f>
        <v>31498.30340198506</v>
      </c>
      <c r="L75" s="329">
        <f>+L69-SUM(Final!AK65,Final!AK66,Final!AK67,Final!AK68)</f>
        <v>33589.561711083399</v>
      </c>
      <c r="M75" s="329">
        <f>+M69-SUM(Final!AL65,Final!AL66,Final!AL67,Final!AL68)</f>
        <v>36001.522340569994</v>
      </c>
      <c r="N75" s="329">
        <f>+N69-SUM(Final!AM65,Final!AM66,Final!AM67,Final!AM68)</f>
        <v>39001.400035241793</v>
      </c>
      <c r="O75" s="329">
        <f>+O69-SUM(Final!AN65,Final!AN66,Final!AN67,Final!AN68)</f>
        <v>42903.999576796516</v>
      </c>
      <c r="P75" s="291"/>
      <c r="R75" s="285" t="s">
        <v>369</v>
      </c>
      <c r="S75" s="329">
        <f>-G64</f>
        <v>-5127</v>
      </c>
      <c r="T75" s="329">
        <f>S32+S33+S34-S75+S31-U75</f>
        <v>-65898.526033887232</v>
      </c>
      <c r="U75" s="470">
        <f>-5573-6785</f>
        <v>-12358</v>
      </c>
      <c r="V75" s="363"/>
      <c r="W75" s="299">
        <f>SUM(S74:U74)-S30</f>
        <v>0</v>
      </c>
    </row>
    <row r="76" spans="1:27">
      <c r="A76" s="341"/>
      <c r="B76" s="329"/>
      <c r="C76" s="329"/>
      <c r="D76" s="329"/>
      <c r="E76" s="329"/>
      <c r="F76" s="329"/>
      <c r="G76" s="329"/>
      <c r="H76" s="329"/>
      <c r="I76" s="329"/>
      <c r="J76" s="329"/>
      <c r="K76" s="329"/>
      <c r="L76" s="329"/>
      <c r="M76" s="329"/>
      <c r="N76" s="329"/>
      <c r="O76" s="329"/>
      <c r="P76" s="306"/>
      <c r="R76" s="285" t="s">
        <v>400</v>
      </c>
      <c r="S76" s="329"/>
      <c r="T76" s="329">
        <f>+S35-U76</f>
        <v>-6063</v>
      </c>
      <c r="U76" s="329">
        <f>-Final!AC127</f>
        <v>0</v>
      </c>
      <c r="V76" s="345"/>
      <c r="Y76" s="285" t="s">
        <v>481</v>
      </c>
    </row>
    <row r="77" spans="1:27">
      <c r="A77" s="361" t="s">
        <v>393</v>
      </c>
      <c r="B77" s="329">
        <f>+Final!AA144</f>
        <v>155315</v>
      </c>
      <c r="C77" s="329">
        <f>+Final!AB144</f>
        <v>155861</v>
      </c>
      <c r="D77" s="329">
        <f>+Final!AC144</f>
        <v>148832</v>
      </c>
      <c r="E77" s="329">
        <f>+Final!AD144</f>
        <v>153626</v>
      </c>
      <c r="F77" s="329">
        <f>+Final!AE144</f>
        <v>160937</v>
      </c>
      <c r="G77" s="329">
        <f>+Final!AF144</f>
        <v>157840</v>
      </c>
      <c r="H77" s="329">
        <f>+Final!AG144</f>
        <v>148503</v>
      </c>
      <c r="I77" s="329">
        <f>+Final!AH144</f>
        <v>155964</v>
      </c>
      <c r="J77" s="329">
        <f>+Final!AI144</f>
        <v>160445.7191263015</v>
      </c>
      <c r="K77" s="329">
        <f>+Final!AJ144</f>
        <v>164304.61380796891</v>
      </c>
      <c r="L77" s="329">
        <f>+Final!AK144</f>
        <v>167518.59392483855</v>
      </c>
      <c r="M77" s="329">
        <f>+Final!AL144</f>
        <v>169992.65994720231</v>
      </c>
      <c r="N77" s="329">
        <f>+Final!AM144</f>
        <v>172489.59554175945</v>
      </c>
      <c r="O77" s="329">
        <f>+Final!AN144</f>
        <v>175013.69983300759</v>
      </c>
      <c r="P77" s="306"/>
      <c r="R77" s="291" t="s">
        <v>97</v>
      </c>
      <c r="S77" s="390">
        <f>+S74+S75+S76</f>
        <v>9806.9188697481186</v>
      </c>
      <c r="T77" s="390">
        <f>+T74+T75+T76</f>
        <v>208690.53145405406</v>
      </c>
      <c r="U77" s="390">
        <f>+U74+U75+U76</f>
        <v>-40953.291135839958</v>
      </c>
      <c r="V77" s="345"/>
      <c r="Y77" s="285" t="s">
        <v>237</v>
      </c>
      <c r="Z77" s="302">
        <f>S77</f>
        <v>9806.9188697481186</v>
      </c>
      <c r="AA77" s="347">
        <f>Z77/SUM($Z$77:$Z$79)</f>
        <v>5.5236505186102694E-2</v>
      </c>
    </row>
    <row r="78" spans="1:27">
      <c r="A78" s="341" t="s">
        <v>317</v>
      </c>
      <c r="B78" s="318">
        <f t="shared" ref="B78:J78" si="18">+B70</f>
        <v>109824</v>
      </c>
      <c r="C78" s="318">
        <f t="shared" si="18"/>
        <v>113295</v>
      </c>
      <c r="D78" s="318">
        <f t="shared" si="18"/>
        <v>117157</v>
      </c>
      <c r="E78" s="318">
        <f t="shared" si="18"/>
        <v>120523</v>
      </c>
      <c r="F78" s="318">
        <f t="shared" si="18"/>
        <v>125827</v>
      </c>
      <c r="G78" s="318">
        <f t="shared" si="18"/>
        <v>132792</v>
      </c>
      <c r="H78" s="318">
        <f t="shared" si="18"/>
        <v>138657</v>
      </c>
      <c r="I78" s="318">
        <f t="shared" si="18"/>
        <v>143124</v>
      </c>
      <c r="J78" s="318">
        <f t="shared" si="18"/>
        <v>147930.90889733518</v>
      </c>
      <c r="K78" s="318">
        <f>+K70</f>
        <v>152543.92492564401</v>
      </c>
      <c r="L78" s="318">
        <f>+L70</f>
        <v>156970.86900382931</v>
      </c>
      <c r="M78" s="318">
        <f>+M70</f>
        <v>160981.24658394465</v>
      </c>
      <c r="N78" s="318">
        <f>+N70</f>
        <v>165067.86041286457</v>
      </c>
      <c r="O78" s="318">
        <f>+O70</f>
        <v>168989.63540318466</v>
      </c>
      <c r="P78" s="306"/>
      <c r="R78" s="291" t="s">
        <v>21</v>
      </c>
      <c r="S78" s="418">
        <f>ROUND(2*S77/Final!AB52,0)/2</f>
        <v>4</v>
      </c>
      <c r="T78" s="418">
        <f>ROUND(2*T77/Final!AB52,0)/2</f>
        <v>82.5</v>
      </c>
      <c r="U78" s="418">
        <f>ROUND(2*U77/Final!AB52,0)/2</f>
        <v>-16</v>
      </c>
      <c r="V78" s="345"/>
      <c r="Y78" s="285" t="s">
        <v>317</v>
      </c>
      <c r="Z78" s="302">
        <f>T77</f>
        <v>208690.53145405406</v>
      </c>
      <c r="AA78" s="347">
        <f>Z78/SUM($Z$77:$Z$79)</f>
        <v>1.175428875883874</v>
      </c>
    </row>
    <row r="79" spans="1:27">
      <c r="A79" s="285" t="s">
        <v>237</v>
      </c>
      <c r="B79" s="318">
        <f>Aus!AA88+Aus!AA93</f>
        <v>29953</v>
      </c>
      <c r="C79" s="318">
        <f>Aus!AB88+Aus!AB93</f>
        <v>28807</v>
      </c>
      <c r="D79" s="318">
        <f>Aus!AC88+Aus!AC93</f>
        <v>22213</v>
      </c>
      <c r="E79" s="318">
        <f>Aus!AD88+Aus!AD93</f>
        <v>25981</v>
      </c>
      <c r="F79" s="318">
        <f>Aus!AE88+Aus!AE93</f>
        <v>25027</v>
      </c>
      <c r="G79" s="318">
        <f>Aus!AF88+Aus!AF93</f>
        <v>23138</v>
      </c>
      <c r="H79" s="318">
        <f>Aus!AG88+Aus!AG93</f>
        <v>18211</v>
      </c>
      <c r="I79" s="318">
        <f>Aus!AH88+Aus!AH93</f>
        <v>15821</v>
      </c>
      <c r="J79" s="318">
        <f>Aus!AI88+Aus!AI93</f>
        <v>15414.146604938273</v>
      </c>
      <c r="K79" s="318">
        <f>Aus!AJ88+Aus!AJ93</f>
        <v>14738.855675424224</v>
      </c>
      <c r="L79" s="318">
        <f>Aus!AK88+Aus!AK93</f>
        <v>13906.216374775906</v>
      </c>
      <c r="M79" s="318">
        <f>Aus!AL88+Aus!AL93</f>
        <v>12995.680728915044</v>
      </c>
      <c r="N79" s="318">
        <f>Aus!AM88+Aus!AM93</f>
        <v>12062.936711361599</v>
      </c>
      <c r="O79" s="318">
        <f>Aus!AN88+Aus!AN93</f>
        <v>11145.953077100101</v>
      </c>
      <c r="P79" s="306"/>
      <c r="R79" s="291"/>
      <c r="S79" s="304">
        <f>+S78/SUM($S$78:$U$78)</f>
        <v>5.6737588652482268E-2</v>
      </c>
      <c r="T79" s="304">
        <f>+T78/SUM($S$78:$U$78)</f>
        <v>1.1702127659574468</v>
      </c>
      <c r="U79" s="304">
        <f>+U78/SUM($S$78:$U$78)</f>
        <v>-0.22695035460992907</v>
      </c>
      <c r="V79" s="345"/>
      <c r="Y79" s="285" t="s">
        <v>346</v>
      </c>
      <c r="Z79" s="302">
        <f>U77</f>
        <v>-40953.291135839958</v>
      </c>
      <c r="AA79" s="347">
        <f>Z79/SUM($Z$77:$Z$79)</f>
        <v>-0.23066538106997694</v>
      </c>
    </row>
    <row r="80" spans="1:27">
      <c r="A80" s="341" t="s">
        <v>346</v>
      </c>
      <c r="B80" s="329">
        <f t="shared" ref="B80:J80" si="19">+B77-SUM(B78:B79)</f>
        <v>15538</v>
      </c>
      <c r="C80" s="329">
        <f t="shared" si="19"/>
        <v>13759</v>
      </c>
      <c r="D80" s="329">
        <f t="shared" si="19"/>
        <v>9462</v>
      </c>
      <c r="E80" s="329">
        <f t="shared" si="19"/>
        <v>7122</v>
      </c>
      <c r="F80" s="329">
        <f t="shared" si="19"/>
        <v>10083</v>
      </c>
      <c r="G80" s="329">
        <f t="shared" si="19"/>
        <v>1910</v>
      </c>
      <c r="H80" s="329">
        <f t="shared" si="19"/>
        <v>-8365</v>
      </c>
      <c r="I80" s="329">
        <f t="shared" si="19"/>
        <v>-2981</v>
      </c>
      <c r="J80" s="329">
        <f t="shared" si="19"/>
        <v>-2899.3363759719359</v>
      </c>
      <c r="K80" s="329">
        <f>+K77-SUM(K78:K79)</f>
        <v>-2978.1667930993135</v>
      </c>
      <c r="L80" s="329">
        <f>+L77-SUM(L78:L79)</f>
        <v>-3358.4914537666773</v>
      </c>
      <c r="M80" s="329">
        <f>+M77-SUM(M78:M79)</f>
        <v>-3984.2673656573752</v>
      </c>
      <c r="N80" s="329">
        <f>+N77-SUM(N78:N79)</f>
        <v>-4641.2015824667178</v>
      </c>
      <c r="O80" s="329">
        <f>+O77-SUM(O78:O79)</f>
        <v>-5121.8886472771701</v>
      </c>
      <c r="P80" s="306"/>
      <c r="S80" s="328">
        <f>+S77/7.8</f>
        <v>1257.2972909933485</v>
      </c>
      <c r="V80" s="345"/>
    </row>
    <row r="81" spans="1:24">
      <c r="A81" s="341"/>
      <c r="B81" s="364"/>
      <c r="C81" s="364"/>
      <c r="D81" s="364"/>
      <c r="E81" s="364"/>
      <c r="F81" s="364"/>
      <c r="G81" s="364"/>
      <c r="H81" s="364"/>
      <c r="I81" s="364"/>
      <c r="J81" s="364"/>
      <c r="K81" s="364"/>
      <c r="L81" s="364"/>
      <c r="M81" s="364"/>
      <c r="N81" s="364"/>
      <c r="O81" s="364"/>
      <c r="P81" s="306"/>
      <c r="R81" s="344"/>
      <c r="S81" s="365"/>
      <c r="T81" s="365"/>
      <c r="V81" s="345"/>
    </row>
    <row r="82" spans="1:24">
      <c r="A82" s="361" t="s">
        <v>454</v>
      </c>
      <c r="B82" s="324">
        <f>(Final!AA20-Final!AA19-Final!AA18)*(1+Final!AA23/(Final!AA22-Final!AA18-Final!AA19))</f>
        <v>15579.61017457556</v>
      </c>
      <c r="C82" s="324">
        <f>(Final!AB20-Final!AB19-Final!AB18)*(1+Final!AB23/(Final!AB22-Final!AB18-Final!AB19))</f>
        <v>13690.839742410304</v>
      </c>
      <c r="D82" s="324">
        <f>(Final!AC20-Final!AC19-Final!AC18)*(1+Final!AC23/(Final!AC22-Final!AC18-Final!AC19))</f>
        <v>3991.1820521619766</v>
      </c>
      <c r="E82" s="324">
        <f>(Final!AD20-Final!AD19-Final!AD18)*(1+Final!AD23/(Final!AD22-Final!AD18-Final!AD19))</f>
        <v>11322.442098774944</v>
      </c>
      <c r="F82" s="324">
        <f>(Final!AE20-Final!AE19-Final!AE18)*(1+Final!AE23/(Final!AE22-Final!AE18-Final!AE19))</f>
        <v>8796.3549920760706</v>
      </c>
      <c r="G82" s="324">
        <f>(Final!AF20-Final!AF19-Final!AF18)*(1+Final!AF23/(Final!AF22-Final!AF18-Final!AF19))</f>
        <v>1087.0758620689655</v>
      </c>
      <c r="H82" s="324">
        <f>(Final!AG20-Final!AG19-Final!AG18)*(1+Final!AG23/(Final!AG22-Final!AG18-Final!AG19))</f>
        <v>5596.855646569089</v>
      </c>
      <c r="I82" s="324">
        <f>(Final!AH20-Final!AH19-Final!AH18)*(1+Final!AH23/(Final!AH22-Final!AH18-Final!AH19))</f>
        <v>11639.932396771188</v>
      </c>
      <c r="J82" s="324">
        <f>(Final!AI20-Final!AI19-Final!AI18)*(1+Final!AI23/(Final!AI22-Final!AI18-Final!AI19))</f>
        <v>11543.654614103094</v>
      </c>
      <c r="K82" s="324">
        <f>(Final!AJ20-Final!AJ19-Final!AJ18)*(1+Final!AJ23/(Final!AJ22-Final!AJ18-Final!AJ19))</f>
        <v>12177.646314253367</v>
      </c>
      <c r="L82" s="324">
        <f>(Final!AK20-Final!AK19-Final!AK18)*(1+Final!AK23/(Final!AK22-Final!AK18-Final!AK19))</f>
        <v>12633.75662127818</v>
      </c>
      <c r="M82" s="324">
        <f>(Final!AL20-Final!AL19-Final!AL18)*(1+Final!AL23/(Final!AL22-Final!AL18-Final!AL19))</f>
        <v>12981.891196392031</v>
      </c>
      <c r="N82" s="324">
        <f>(Final!AM20-Final!AM19-Final!AM18)*(1+Final!AM23/(Final!AM22-Final!AM18-Final!AM19))</f>
        <v>13304.75926044611</v>
      </c>
      <c r="O82" s="324">
        <f>(Final!AN20-Final!AN19-Final!AN18)*(1+Final!AN23/(Final!AN22-Final!AN18-Final!AN19))</f>
        <v>13618.574496100759</v>
      </c>
      <c r="P82" s="306"/>
      <c r="R82" s="344" t="s">
        <v>756</v>
      </c>
      <c r="S82" s="365">
        <f>+S74/I56</f>
        <v>3.3127592878766898</v>
      </c>
      <c r="T82" s="365">
        <f>T74/I33</f>
        <v>14.289819627695586</v>
      </c>
      <c r="V82" s="345"/>
      <c r="W82" s="296" t="s">
        <v>289</v>
      </c>
    </row>
    <row r="83" spans="1:24">
      <c r="A83" s="341" t="s">
        <v>407</v>
      </c>
      <c r="B83" s="366">
        <f>+(B33+SOC!AA10)*(1-16.5%)</f>
        <v>10790.705</v>
      </c>
      <c r="C83" s="366">
        <f>+(C33+SOC!AB10)*(1-16.5%)</f>
        <v>10725.574999999999</v>
      </c>
      <c r="D83" s="366">
        <f>+(D33+SOC!AC10)*(1-16.5%)</f>
        <v>9905.6049999999996</v>
      </c>
      <c r="E83" s="366">
        <f>+(E33+SOC!AD10)*(1-16.5%)</f>
        <v>10196.184999999999</v>
      </c>
      <c r="F83" s="366">
        <f>+(F33+SOC!AE10)*(1-16.5%)</f>
        <v>11108.004999999999</v>
      </c>
      <c r="G83" s="366">
        <f>+(G33+SOC!AF10)*(1-16.5%)</f>
        <v>10795.715</v>
      </c>
      <c r="H83" s="366">
        <f>+(H33+SOC!AG10)*(1-16.5%)</f>
        <v>10723.904999999999</v>
      </c>
      <c r="I83" s="366">
        <f>+(I33+SOC!AH10)*(1-16.5%)</f>
        <v>11654.094999999999</v>
      </c>
      <c r="J83" s="366">
        <f>+(J33+SOC!AI10)*(1-16.5%)</f>
        <v>12293.762262287955</v>
      </c>
      <c r="K83" s="366">
        <f>+(K33+SOC!AJ10)*(1-16.5%)</f>
        <v>12982.411319891482</v>
      </c>
      <c r="L83" s="366">
        <f>+(L33+SOC!AK10)*(1-16.5%)</f>
        <v>13722.777467231419</v>
      </c>
      <c r="M83" s="366">
        <f>+(M33+SOC!AL10)*(1-16.5%)</f>
        <v>14517.114762727137</v>
      </c>
      <c r="N83" s="366">
        <f>+(N33+SOC!AM10)*(1-16.5%)</f>
        <v>15375.840223022353</v>
      </c>
      <c r="O83" s="366">
        <f>+(O33+SOC!AN10)*(1-16.5%)</f>
        <v>16285.153299920528</v>
      </c>
      <c r="P83" s="306"/>
      <c r="R83" s="344" t="s">
        <v>757</v>
      </c>
      <c r="S83" s="365">
        <f>+S74/J56</f>
        <v>4.5005080175415486</v>
      </c>
      <c r="T83" s="365">
        <f>+T74/J33</f>
        <v>13.692909396988403</v>
      </c>
      <c r="V83" s="363"/>
      <c r="W83" s="299">
        <f>+S36-SUM(S77:U77)</f>
        <v>0</v>
      </c>
      <c r="X83" s="286"/>
    </row>
    <row r="84" spans="1:24">
      <c r="A84" s="341" t="s">
        <v>237</v>
      </c>
      <c r="B84" s="366">
        <f>+B54*(1-Aus!AA28)</f>
        <v>2827.8179894179893</v>
      </c>
      <c r="C84" s="366">
        <f>+C54*(1-Aus!AB28)</f>
        <v>3318.4722510912488</v>
      </c>
      <c r="D84" s="366">
        <f>+D54*(1-Aus!AC28)</f>
        <v>1610.7428571428572</v>
      </c>
      <c r="E84" s="366">
        <f>+E54*(1-Aus!AD28)</f>
        <v>1752.1479314667781</v>
      </c>
      <c r="F84" s="366">
        <f>+F54*(1-Aus!AE28)</f>
        <v>-7.2173913043478262</v>
      </c>
      <c r="G84" s="366">
        <f>+G54*(1-Aus!AF28)</f>
        <v>-5050.6146631439888</v>
      </c>
      <c r="H84" s="366">
        <f>+H54*(1-Aus!AG28)</f>
        <v>2475.3122807017544</v>
      </c>
      <c r="I84" s="366">
        <f>+I54*(1-Aus!AH28)</f>
        <v>1740.9446022727273</v>
      </c>
      <c r="J84" s="366">
        <f>+J54*(1-Aus!AI28)</f>
        <v>762.64725804718296</v>
      </c>
      <c r="K84" s="366">
        <f>+K54*(1-Aus!AJ28)</f>
        <v>913.8973303655174</v>
      </c>
      <c r="L84" s="366">
        <f>+L54*(1-Aus!AK28)</f>
        <v>1059.7675410003867</v>
      </c>
      <c r="M84" s="366">
        <f>+M54*(1-Aus!AL28)</f>
        <v>1115.4928788814475</v>
      </c>
      <c r="N84" s="366">
        <f>+N54*(1-Aus!AM28)</f>
        <v>1167.5031942371043</v>
      </c>
      <c r="O84" s="366">
        <f>+O54*(1-Aus!AN28)</f>
        <v>1216.0461552357169</v>
      </c>
      <c r="R84" s="344" t="s">
        <v>758</v>
      </c>
      <c r="S84" s="365">
        <f>S77/Aus!AH29</f>
        <v>7.4014482035834854</v>
      </c>
      <c r="T84" s="365">
        <f>T$77/Driver!AH51</f>
        <v>23.943383599593169</v>
      </c>
      <c r="U84" s="365">
        <f>U77/SUM(Driver!AA53:AA57)</f>
        <v>-25.186525913800711</v>
      </c>
      <c r="V84" s="345"/>
      <c r="W84" s="367"/>
    </row>
    <row r="85" spans="1:24">
      <c r="A85" s="341" t="s">
        <v>346</v>
      </c>
      <c r="B85" s="366">
        <f t="shared" ref="B85:G85" si="20">B82-B83-B84</f>
        <v>1961.0871851575712</v>
      </c>
      <c r="C85" s="366">
        <f t="shared" si="20"/>
        <v>-353.20750868094365</v>
      </c>
      <c r="D85" s="366">
        <f t="shared" si="20"/>
        <v>-7525.1658049808802</v>
      </c>
      <c r="E85" s="366">
        <f t="shared" si="20"/>
        <v>-625.89083269183402</v>
      </c>
      <c r="F85" s="366">
        <f t="shared" si="20"/>
        <v>-2304.4326166195806</v>
      </c>
      <c r="G85" s="366">
        <f t="shared" si="20"/>
        <v>-4658.0244747870465</v>
      </c>
      <c r="H85" s="366">
        <f t="shared" ref="H85:O85" si="21">H82-H83-H84</f>
        <v>-7602.3616341326642</v>
      </c>
      <c r="I85" s="366">
        <f t="shared" si="21"/>
        <v>-1755.1072055015386</v>
      </c>
      <c r="J85" s="366">
        <f t="shared" si="21"/>
        <v>-1512.7549062320443</v>
      </c>
      <c r="K85" s="366">
        <f t="shared" si="21"/>
        <v>-1718.6623360036328</v>
      </c>
      <c r="L85" s="366">
        <f t="shared" si="21"/>
        <v>-2148.7883869536254</v>
      </c>
      <c r="M85" s="366">
        <f t="shared" si="21"/>
        <v>-2650.7164452165534</v>
      </c>
      <c r="N85" s="366">
        <f t="shared" si="21"/>
        <v>-3238.5841568133474</v>
      </c>
      <c r="O85" s="366">
        <f t="shared" si="21"/>
        <v>-3882.6249590554867</v>
      </c>
      <c r="P85" s="291"/>
      <c r="R85" s="344" t="s">
        <v>759</v>
      </c>
      <c r="S85" s="365">
        <f>S77/Aus!AI29</f>
        <v>22.319516495934185</v>
      </c>
      <c r="T85" s="365">
        <f>T$77/Driver!AI51</f>
        <v>21.885429019092999</v>
      </c>
      <c r="U85" s="365">
        <f>U77/SUM(Driver!AB53:AB57)</f>
        <v>-19.996724187421854</v>
      </c>
      <c r="V85" s="345"/>
    </row>
    <row r="86" spans="1:24">
      <c r="A86" s="341"/>
      <c r="B86" s="368">
        <f t="shared" ref="B86:J86" si="22">+B82-SUM(B83:B85)</f>
        <v>0</v>
      </c>
      <c r="C86" s="368">
        <f t="shared" si="22"/>
        <v>0</v>
      </c>
      <c r="D86" s="368">
        <f t="shared" si="22"/>
        <v>0</v>
      </c>
      <c r="E86" s="368">
        <f t="shared" si="22"/>
        <v>0</v>
      </c>
      <c r="F86" s="368">
        <f t="shared" si="22"/>
        <v>0</v>
      </c>
      <c r="G86" s="368">
        <f t="shared" si="22"/>
        <v>0</v>
      </c>
      <c r="H86" s="368">
        <f t="shared" si="22"/>
        <v>0</v>
      </c>
      <c r="I86" s="368">
        <f t="shared" si="22"/>
        <v>0</v>
      </c>
      <c r="J86" s="368">
        <f t="shared" si="22"/>
        <v>0</v>
      </c>
      <c r="K86" s="368">
        <f>+K82-SUM(K83:K85)</f>
        <v>0</v>
      </c>
      <c r="L86" s="368">
        <f>+L82-SUM(L83:L85)</f>
        <v>0</v>
      </c>
      <c r="M86" s="368">
        <f>+M82-SUM(M83:M85)</f>
        <v>0</v>
      </c>
      <c r="N86" s="368">
        <f>+N82-SUM(N83:N85)</f>
        <v>0</v>
      </c>
      <c r="O86" s="368">
        <f>+O82-SUM(O83:O85)</f>
        <v>0</v>
      </c>
      <c r="P86" s="295"/>
      <c r="R86" s="344" t="s">
        <v>760</v>
      </c>
      <c r="S86" s="365">
        <f>S77/Aus!AJ29</f>
        <v>16.603030944855885</v>
      </c>
      <c r="T86" s="365">
        <f>T$77/Driver!AJ51</f>
        <v>20.675352963730628</v>
      </c>
      <c r="U86" s="365">
        <f>U77/SUM(Driver!AC53:AC57)</f>
        <v>-19.708032307911434</v>
      </c>
      <c r="V86" s="345"/>
    </row>
    <row r="87" spans="1:24">
      <c r="A87" s="361" t="s">
        <v>391</v>
      </c>
      <c r="B87" s="390"/>
      <c r="C87" s="390"/>
      <c r="D87" s="390"/>
      <c r="E87" s="390"/>
      <c r="F87" s="390"/>
      <c r="G87" s="390"/>
      <c r="H87" s="390"/>
      <c r="I87" s="390"/>
      <c r="J87" s="390"/>
      <c r="K87" s="390"/>
      <c r="L87" s="390"/>
      <c r="M87" s="390"/>
      <c r="N87" s="390"/>
      <c r="O87" s="390"/>
      <c r="P87" s="295"/>
      <c r="R87" s="285" t="s">
        <v>765</v>
      </c>
      <c r="T87" s="385">
        <f>T74/ROAFNA!AI3</f>
        <v>1.8971833512002234</v>
      </c>
      <c r="V87" s="345"/>
    </row>
    <row r="88" spans="1:24">
      <c r="A88" s="341" t="s">
        <v>392</v>
      </c>
      <c r="B88" s="295">
        <f>B82/AVERAGE(B77:B77)</f>
        <v>0.10030975871342472</v>
      </c>
      <c r="C88" s="295">
        <f t="shared" ref="C88:J88" si="23">C82/AVERAGE(B77:C77)</f>
        <v>8.7994188127685322E-2</v>
      </c>
      <c r="D88" s="295">
        <f t="shared" si="23"/>
        <v>2.6198055433908733E-2</v>
      </c>
      <c r="E88" s="295">
        <f t="shared" si="23"/>
        <v>7.4869516420626628E-2</v>
      </c>
      <c r="F88" s="295">
        <f t="shared" si="23"/>
        <v>5.5927461221288395E-2</v>
      </c>
      <c r="G88" s="295">
        <f t="shared" si="23"/>
        <v>6.820290435438978E-3</v>
      </c>
      <c r="H88" s="295">
        <f t="shared" si="23"/>
        <v>3.6539797851226165E-2</v>
      </c>
      <c r="I88" s="295">
        <f t="shared" si="23"/>
        <v>7.6461044361268632E-2</v>
      </c>
      <c r="J88" s="295">
        <f t="shared" si="23"/>
        <v>7.2966498285693973E-2</v>
      </c>
      <c r="K88" s="295">
        <f>K82/AVERAGE(J77:K77)</f>
        <v>7.4996975086816173E-2</v>
      </c>
      <c r="L88" s="295">
        <f>L82/AVERAGE(K77:L77)</f>
        <v>7.6147516670691723E-2</v>
      </c>
      <c r="M88" s="295">
        <f>M82/AVERAGE(L77:M77)</f>
        <v>7.6927160487002877E-2</v>
      </c>
      <c r="N88" s="295">
        <f>N82/AVERAGE(M77:N77)</f>
        <v>7.769605021697204E-2</v>
      </c>
      <c r="O88" s="295">
        <f>O82/AVERAGE(N77:O77)</f>
        <v>7.8379541589173846E-2</v>
      </c>
      <c r="P88" s="295"/>
      <c r="V88" s="345"/>
    </row>
    <row r="89" spans="1:24">
      <c r="A89" s="341" t="s">
        <v>455</v>
      </c>
      <c r="B89" s="369">
        <f>B83/(AVERAGE(B78:B78))</f>
        <v>9.8254525422494174E-2</v>
      </c>
      <c r="C89" s="369">
        <f t="shared" ref="C89:J89" si="24">C83/(AVERAGE(B78:C78))</f>
        <v>9.6142193179424421E-2</v>
      </c>
      <c r="D89" s="369">
        <f t="shared" si="24"/>
        <v>8.5966752295488863E-2</v>
      </c>
      <c r="E89" s="369">
        <f t="shared" si="24"/>
        <v>8.5797584988219447E-2</v>
      </c>
      <c r="F89" s="369">
        <f t="shared" si="24"/>
        <v>9.0180677897300582E-2</v>
      </c>
      <c r="G89" s="369">
        <f t="shared" si="24"/>
        <v>8.3487408117733031E-2</v>
      </c>
      <c r="H89" s="369">
        <f t="shared" si="24"/>
        <v>7.9012300653161352E-2</v>
      </c>
      <c r="I89" s="369">
        <f t="shared" si="24"/>
        <v>8.2717394004563821E-2</v>
      </c>
      <c r="J89" s="369">
        <f t="shared" si="24"/>
        <v>8.4477271377163946E-2</v>
      </c>
      <c r="K89" s="369">
        <f>K83/(AVERAGE(J78:K78))</f>
        <v>8.6412636657217684E-2</v>
      </c>
      <c r="L89" s="369">
        <f>L83/(AVERAGE(K78:L78))</f>
        <v>8.8672837204403998E-2</v>
      </c>
      <c r="M89" s="369">
        <f>M83/(AVERAGE(L78:M78))</f>
        <v>9.1316358979970605E-2</v>
      </c>
      <c r="N89" s="369">
        <f>N83/(AVERAGE(M78:N78))</f>
        <v>9.4316100814671594E-2</v>
      </c>
      <c r="O89" s="369">
        <f>O83/(AVERAGE(N78:O78))</f>
        <v>9.7499104219400876E-2</v>
      </c>
      <c r="P89" s="295"/>
      <c r="T89" s="329"/>
      <c r="U89" s="329"/>
      <c r="V89" s="345"/>
    </row>
    <row r="90" spans="1:24">
      <c r="A90" s="341" t="s">
        <v>237</v>
      </c>
      <c r="B90" s="295">
        <f t="shared" ref="B90:J90" si="25">+B66</f>
        <v>9.140987547157213E-2</v>
      </c>
      <c r="C90" s="295">
        <f t="shared" si="25"/>
        <v>0.11462491755476099</v>
      </c>
      <c r="D90" s="295">
        <f t="shared" si="25"/>
        <v>7.0499257191734568E-2</v>
      </c>
      <c r="E90" s="295">
        <f t="shared" si="25"/>
        <v>6.5047534736923138E-2</v>
      </c>
      <c r="F90" s="295">
        <f t="shared" si="25"/>
        <v>-3.3164182682702682E-3</v>
      </c>
      <c r="G90" s="295">
        <f t="shared" si="25"/>
        <v>-0.22763419483101391</v>
      </c>
      <c r="H90" s="295">
        <f t="shared" si="25"/>
        <v>0.10740761078469058</v>
      </c>
      <c r="I90" s="295">
        <f t="shared" si="25"/>
        <v>8.3749446937614561E-2</v>
      </c>
      <c r="J90" s="295">
        <f t="shared" si="25"/>
        <v>2.8505477143809445E-2</v>
      </c>
      <c r="K90" s="295">
        <f>+K66</f>
        <v>4.0075729718382053E-2</v>
      </c>
      <c r="L90" s="295">
        <f>+L66</f>
        <v>5.2573989817406838E-2</v>
      </c>
      <c r="M90" s="295">
        <f>+M66</f>
        <v>6.0545548354116463E-2</v>
      </c>
      <c r="N90" s="295">
        <f>+N66</f>
        <v>6.9538699521881048E-2</v>
      </c>
      <c r="O90" s="295">
        <f>+O66</f>
        <v>7.9614895754821363E-2</v>
      </c>
      <c r="P90" s="295"/>
      <c r="V90" s="345"/>
    </row>
    <row r="91" spans="1:24">
      <c r="A91" s="370" t="s">
        <v>346</v>
      </c>
      <c r="B91" s="371">
        <f>+B85/AVERAGE(B80:B80)</f>
        <v>0.12621233010410421</v>
      </c>
      <c r="C91" s="371">
        <f t="shared" ref="C91:J91" si="26">+C85/AVERAGE(B80:C80)</f>
        <v>-2.4112196380581197E-2</v>
      </c>
      <c r="D91" s="371">
        <f t="shared" si="26"/>
        <v>-0.64813451659970545</v>
      </c>
      <c r="E91" s="371">
        <f t="shared" si="26"/>
        <v>-7.5481287107071152E-2</v>
      </c>
      <c r="F91" s="371">
        <f t="shared" si="26"/>
        <v>-0.2678794090810323</v>
      </c>
      <c r="G91" s="371">
        <f t="shared" si="26"/>
        <v>-0.77679054027967087</v>
      </c>
      <c r="H91" s="371">
        <f t="shared" si="26"/>
        <v>2.3554954714586103</v>
      </c>
      <c r="I91" s="371">
        <f t="shared" si="26"/>
        <v>0.3093790244141616</v>
      </c>
      <c r="J91" s="371">
        <f t="shared" si="26"/>
        <v>0.51451305146876314</v>
      </c>
      <c r="K91" s="371">
        <f>+K85/AVERAGE(J80:K80)</f>
        <v>0.58482736174354533</v>
      </c>
      <c r="L91" s="371">
        <f>+L85/AVERAGE(K80:L80)</f>
        <v>0.67820870346491591</v>
      </c>
      <c r="M91" s="371">
        <f>+M85/AVERAGE(L80:M80)</f>
        <v>0.72199469175115005</v>
      </c>
      <c r="N91" s="371">
        <f>+N85/AVERAGE(M80:N80)</f>
        <v>0.75093520741679554</v>
      </c>
      <c r="O91" s="371">
        <f>+O85/AVERAGE(N80:O80)</f>
        <v>0.79536803771961828</v>
      </c>
      <c r="P91" s="371"/>
      <c r="Q91" s="372"/>
      <c r="R91" s="373"/>
      <c r="S91" s="373"/>
      <c r="T91" s="373"/>
      <c r="U91" s="373"/>
      <c r="V91" s="374"/>
    </row>
    <row r="92" spans="1:24">
      <c r="P92" s="344"/>
      <c r="Q92" s="344"/>
      <c r="R92" s="344"/>
      <c r="S92" s="344"/>
      <c r="T92" s="344" t="s">
        <v>368</v>
      </c>
      <c r="U92" s="344"/>
      <c r="V92" s="344"/>
    </row>
    <row r="93" spans="1:24">
      <c r="A93" s="291" t="s">
        <v>363</v>
      </c>
      <c r="B93" s="304">
        <f>-Final!AA23/(Final!AA22-Final!AA18-Final!AA19)</f>
        <v>0.16677665126882235</v>
      </c>
      <c r="C93" s="304">
        <f>-Final!AB23/(Final!AB22-Final!AB18-Final!AB19)</f>
        <v>0.24618215271389143</v>
      </c>
      <c r="D93" s="304">
        <f>-Final!AC23/(Final!AC22-Final!AC18-Final!AC19)</f>
        <v>0.47820864790665751</v>
      </c>
      <c r="E93" s="304">
        <f>-Final!AD23/(Final!AD22-Final!AD18-Final!AD19)</f>
        <v>0.23060328222513291</v>
      </c>
      <c r="F93" s="304">
        <f>-Final!AE23/(Final!AE22-Final!AE18-Final!AE19)</f>
        <v>0.2076069730586371</v>
      </c>
      <c r="G93" s="304">
        <f>-Final!AF23/(Final!AF22-Final!AF18-Final!AF19)</f>
        <v>-0.11839080459770115</v>
      </c>
      <c r="H93" s="304">
        <f>-Final!AG23/(Final!AG22-Final!AG18-Final!AG19)</f>
        <v>0.39922116288438297</v>
      </c>
      <c r="I93" s="304">
        <f>-Final!AH23/(Final!AH22-Final!AH18-Final!AH19)</f>
        <v>0.21895374107420057</v>
      </c>
      <c r="J93" s="304">
        <f>-Final!AI23/(Final!AI22-Final!AI18-Final!AI19)</f>
        <v>0.2238638555801242</v>
      </c>
      <c r="K93" s="304">
        <f>-Final!AJ23/(Final!AJ22-Final!AJ18-Final!AJ19)</f>
        <v>0.22323147113243771</v>
      </c>
      <c r="L93" s="304">
        <f>-Final!AK23/(Final!AK22-Final!AK18-Final!AK19)</f>
        <v>0.22471931616477511</v>
      </c>
      <c r="M93" s="304">
        <f>-Final!AL23/(Final!AL22-Final!AL18-Final!AL19)</f>
        <v>0.22795966364253015</v>
      </c>
      <c r="N93" s="304">
        <f>-Final!AM23/(Final!AM22-Final!AM18-Final!AM19)</f>
        <v>0.2318163556739721</v>
      </c>
      <c r="O93" s="304">
        <f>-Final!AN23/(Final!AN22-Final!AN18-Final!AN19)</f>
        <v>0.23602864850327926</v>
      </c>
      <c r="P93" s="344"/>
      <c r="Q93" s="344"/>
      <c r="R93" s="344" t="s">
        <v>290</v>
      </c>
      <c r="S93" s="349">
        <f>S74/$S$30</f>
        <v>5.5934231777933156E-2</v>
      </c>
      <c r="T93" s="349">
        <f>T74/$S$30</f>
        <v>1.0511679733498578</v>
      </c>
      <c r="U93" s="349">
        <f>U74/$S$30</f>
        <v>-0.10710220512779087</v>
      </c>
      <c r="V93" s="344"/>
    </row>
    <row r="94" spans="1:24">
      <c r="A94" s="341"/>
      <c r="D94" s="375"/>
      <c r="E94" s="375"/>
      <c r="F94" s="375"/>
      <c r="G94" s="375"/>
      <c r="H94" s="375"/>
      <c r="I94" s="375"/>
      <c r="J94" s="375"/>
      <c r="K94" s="375"/>
      <c r="L94" s="375"/>
      <c r="M94" s="375"/>
      <c r="N94" s="375"/>
      <c r="O94" s="375"/>
      <c r="P94" s="344"/>
      <c r="Q94" s="344"/>
      <c r="R94" s="344"/>
      <c r="S94" s="344"/>
      <c r="T94" s="344"/>
      <c r="U94" s="344"/>
      <c r="V94" s="344"/>
    </row>
    <row r="95" spans="1:24">
      <c r="S95" s="295"/>
      <c r="T95" s="295"/>
      <c r="U95" s="295"/>
      <c r="V95" s="295"/>
    </row>
    <row r="96" spans="1:24" hidden="1" outlineLevel="1"/>
    <row r="97" spans="1:21" hidden="1" outlineLevel="1">
      <c r="A97" s="376" t="s">
        <v>151</v>
      </c>
      <c r="B97" s="377"/>
      <c r="C97" s="377"/>
      <c r="D97" s="377"/>
      <c r="E97" s="377"/>
      <c r="F97" s="377"/>
      <c r="G97" s="377"/>
      <c r="H97" s="377"/>
      <c r="I97" s="377"/>
      <c r="J97" s="377"/>
      <c r="K97" s="377"/>
      <c r="L97" s="377"/>
      <c r="M97" s="377"/>
      <c r="N97" s="377"/>
      <c r="O97" s="377"/>
      <c r="P97" s="377"/>
      <c r="Q97" s="377"/>
      <c r="R97" s="377"/>
      <c r="S97" s="377"/>
      <c r="T97" s="377"/>
      <c r="U97" s="378"/>
    </row>
    <row r="98" spans="1:21" hidden="1" outlineLevel="1">
      <c r="A98" s="379" t="s">
        <v>154</v>
      </c>
      <c r="B98" s="308">
        <f t="shared" ref="B98:J98" si="27">B53</f>
        <v>2017</v>
      </c>
      <c r="C98" s="308">
        <f t="shared" si="27"/>
        <v>2018</v>
      </c>
      <c r="D98" s="308">
        <f t="shared" si="27"/>
        <v>2019</v>
      </c>
      <c r="E98" s="308">
        <f t="shared" si="27"/>
        <v>2020</v>
      </c>
      <c r="F98" s="308">
        <f t="shared" si="27"/>
        <v>2021</v>
      </c>
      <c r="G98" s="308">
        <f t="shared" si="27"/>
        <v>2022</v>
      </c>
      <c r="H98" s="308">
        <f t="shared" si="27"/>
        <v>2023</v>
      </c>
      <c r="I98" s="308">
        <f t="shared" si="27"/>
        <v>2024</v>
      </c>
      <c r="J98" s="308" t="str">
        <f t="shared" si="27"/>
        <v>2025E</v>
      </c>
      <c r="K98" s="308" t="str">
        <f>K53</f>
        <v>2026E</v>
      </c>
      <c r="L98" s="308" t="str">
        <f>L53</f>
        <v>2027E</v>
      </c>
      <c r="M98" s="308" t="str">
        <f>M53</f>
        <v>2028E</v>
      </c>
      <c r="N98" s="308" t="str">
        <f>N53</f>
        <v>2029E</v>
      </c>
      <c r="O98" s="308" t="str">
        <f>O53</f>
        <v>2030E</v>
      </c>
      <c r="P98" s="308"/>
      <c r="U98" s="380"/>
    </row>
    <row r="99" spans="1:21" hidden="1" outlineLevel="1">
      <c r="A99" s="381" t="s">
        <v>291</v>
      </c>
      <c r="B99" s="318">
        <f>SOC!AA40</f>
        <v>3114</v>
      </c>
      <c r="C99" s="318">
        <f>SOC!AB40</f>
        <v>3021</v>
      </c>
      <c r="D99" s="318">
        <f>SOC!AC40</f>
        <v>2707</v>
      </c>
      <c r="E99" s="318">
        <f>SOC!AD40</f>
        <v>2824</v>
      </c>
      <c r="F99" s="318">
        <f>SOC!AE40</f>
        <v>2985</v>
      </c>
      <c r="G99" s="318">
        <f>SOC!AF40</f>
        <v>3177</v>
      </c>
      <c r="H99" s="318">
        <f>SOC!AG40</f>
        <v>3229</v>
      </c>
      <c r="I99" s="318">
        <f>SOC!AH40</f>
        <v>3115</v>
      </c>
      <c r="J99" s="318">
        <f>SOC!AI40</f>
        <v>3349.5542295569708</v>
      </c>
      <c r="K99" s="318">
        <f>SOC!AJ40</f>
        <v>3484.0253394729025</v>
      </c>
      <c r="L99" s="318">
        <f>SOC!AK40</f>
        <v>3531.459458966362</v>
      </c>
      <c r="M99" s="318">
        <f>SOC!AL40</f>
        <v>3572.2559231174541</v>
      </c>
      <c r="N99" s="318">
        <f>SOC!AM40</f>
        <v>3609.7018075770625</v>
      </c>
      <c r="O99" s="318">
        <f>SOC!AN40</f>
        <v>3642.8713078266396</v>
      </c>
      <c r="P99" s="382"/>
      <c r="U99" s="380"/>
    </row>
    <row r="100" spans="1:21" hidden="1" outlineLevel="1">
      <c r="A100" s="381" t="s">
        <v>143</v>
      </c>
      <c r="B100" s="318">
        <f>-SOC!AA9*SOC!AA37</f>
        <v>313.38625088589652</v>
      </c>
      <c r="C100" s="318">
        <f>-SOC!AB9*SOC!AB37</f>
        <v>315.43306426250132</v>
      </c>
      <c r="D100" s="318">
        <f>-SOC!AC9*SOC!AC37</f>
        <v>319.39268910604409</v>
      </c>
      <c r="E100" s="318">
        <f>-SOC!AD9*SOC!AD37</f>
        <v>320.75224019550797</v>
      </c>
      <c r="F100" s="318">
        <f>-SOC!AE9*SOC!AE37</f>
        <v>282.26249586229727</v>
      </c>
      <c r="G100" s="318">
        <f>-SOC!AF9*SOC!AF37</f>
        <v>269.92353440951575</v>
      </c>
      <c r="H100" s="318">
        <f>-SOC!AG9*SOC!AG37</f>
        <v>388.96304801670141</v>
      </c>
      <c r="I100" s="318">
        <f>-SOC!AH9*SOC!AH37</f>
        <v>454.12962387317378</v>
      </c>
      <c r="J100" s="318">
        <f>-SOC!AI9*SOC!AI37</f>
        <v>334.03402175940317</v>
      </c>
      <c r="K100" s="318">
        <f>-SOC!AJ9*SOC!AJ37</f>
        <v>259.45064704175729</v>
      </c>
      <c r="L100" s="318">
        <f>-SOC!AK9*SOC!AK37</f>
        <v>263.45870577142261</v>
      </c>
      <c r="M100" s="318">
        <f>-SOC!AL9*SOC!AL37</f>
        <v>263.19013513625526</v>
      </c>
      <c r="N100" s="318">
        <f>-SOC!AM9*SOC!AM37</f>
        <v>258.84368513625526</v>
      </c>
      <c r="O100" s="318">
        <f>-SOC!AN9*SOC!AN37</f>
        <v>254.49723513625528</v>
      </c>
      <c r="P100" s="382"/>
      <c r="U100" s="380"/>
    </row>
    <row r="101" spans="1:21" hidden="1" outlineLevel="1">
      <c r="A101" s="381" t="s">
        <v>142</v>
      </c>
      <c r="B101" s="318">
        <f>-SOC!AA15*B100</f>
        <v>-52.252934278820369</v>
      </c>
      <c r="C101" s="318">
        <f>-SOC!AB15*C100</f>
        <v>-53.268762054963723</v>
      </c>
      <c r="D101" s="318">
        <f>-SOC!AC15*D100</f>
        <v>-54.371580423840122</v>
      </c>
      <c r="E101" s="318">
        <f>-SOC!AD15*E100</f>
        <v>-54.358012045593874</v>
      </c>
      <c r="F101" s="318">
        <f>-SOC!AE15*F100</f>
        <v>-47.625842946394364</v>
      </c>
      <c r="G101" s="318">
        <f>-SOC!AF15*G100</f>
        <v>-42.817452403653085</v>
      </c>
      <c r="H101" s="318">
        <f>-SOC!AG15*H100</f>
        <v>-64.322488819940446</v>
      </c>
      <c r="I101" s="318">
        <f>-SOC!AH15*I100</f>
        <v>-76.424045069334099</v>
      </c>
      <c r="J101" s="318">
        <f>-SOC!AI15*J100</f>
        <v>-56.213534179749765</v>
      </c>
      <c r="K101" s="318">
        <f>-SOC!AJ15*K100</f>
        <v>-43.662132793003302</v>
      </c>
      <c r="L101" s="318">
        <f>-SOC!AK15*L100</f>
        <v>-44.336636381613111</v>
      </c>
      <c r="M101" s="318">
        <f>-SOC!AL15*M100</f>
        <v>-44.2914394747228</v>
      </c>
      <c r="N101" s="318">
        <f>-SOC!AM15*N100</f>
        <v>-43.559989084284553</v>
      </c>
      <c r="O101" s="318">
        <f>-SOC!AN15*O100</f>
        <v>-42.828538693846305</v>
      </c>
      <c r="P101" s="382"/>
      <c r="U101" s="380"/>
    </row>
    <row r="102" spans="1:21" hidden="1" outlineLevel="1">
      <c r="A102" s="379" t="s">
        <v>292</v>
      </c>
      <c r="B102" s="391">
        <f t="shared" ref="B102:J102" si="28">SUM(B99:B101)</f>
        <v>3375.1333166070763</v>
      </c>
      <c r="C102" s="391">
        <f t="shared" si="28"/>
        <v>3283.1643022075377</v>
      </c>
      <c r="D102" s="391">
        <f t="shared" si="28"/>
        <v>2972.0211086822042</v>
      </c>
      <c r="E102" s="391">
        <f t="shared" si="28"/>
        <v>3090.3942281499139</v>
      </c>
      <c r="F102" s="391">
        <f t="shared" si="28"/>
        <v>3219.6366529159031</v>
      </c>
      <c r="G102" s="391">
        <f t="shared" si="28"/>
        <v>3404.1060820058628</v>
      </c>
      <c r="H102" s="391">
        <f t="shared" si="28"/>
        <v>3553.6405591967609</v>
      </c>
      <c r="I102" s="391">
        <f t="shared" si="28"/>
        <v>3492.7055788038397</v>
      </c>
      <c r="J102" s="391">
        <f t="shared" si="28"/>
        <v>3627.374717136624</v>
      </c>
      <c r="K102" s="391">
        <f>SUM(K99:K101)</f>
        <v>3699.8138537216564</v>
      </c>
      <c r="L102" s="391">
        <f>SUM(L99:L101)</f>
        <v>3750.5815283561715</v>
      </c>
      <c r="M102" s="391">
        <f>SUM(M99:M101)</f>
        <v>3791.1546187789868</v>
      </c>
      <c r="N102" s="391">
        <f>SUM(N99:N101)</f>
        <v>3824.9855036290332</v>
      </c>
      <c r="O102" s="391">
        <f>SUM(O99:O101)</f>
        <v>3854.5400042690485</v>
      </c>
      <c r="P102" s="323"/>
      <c r="U102" s="380"/>
    </row>
    <row r="103" spans="1:21" hidden="1" outlineLevel="1">
      <c r="A103" s="381" t="s">
        <v>144</v>
      </c>
      <c r="B103" s="392">
        <f>-ROAFNA!AA56</f>
        <v>-3545</v>
      </c>
      <c r="C103" s="392">
        <f>-ROAFNA!AB56</f>
        <v>-4511</v>
      </c>
      <c r="D103" s="392">
        <f>-ROAFNA!AC56</f>
        <v>-4513</v>
      </c>
      <c r="E103" s="392">
        <f>-ROAFNA!AD56</f>
        <v>-4354</v>
      </c>
      <c r="F103" s="392">
        <f>-ROAFNA!AE56</f>
        <v>-6353</v>
      </c>
      <c r="G103" s="392">
        <f>-ROAFNA!AF56</f>
        <v>-6566</v>
      </c>
      <c r="H103" s="392">
        <f>-ROAFNA!AG56</f>
        <v>-4911</v>
      </c>
      <c r="I103" s="392">
        <f>-ROAFNA!AH56</f>
        <v>-2808</v>
      </c>
      <c r="J103" s="392">
        <f>-ROAFNA!AI56</f>
        <v>-5783.8716463142882</v>
      </c>
      <c r="K103" s="392">
        <f>-ROAFNA!AJ56</f>
        <v>-5783.8716463142882</v>
      </c>
      <c r="L103" s="392">
        <f>-ROAFNA!AK56</f>
        <v>-5783.8716463142882</v>
      </c>
      <c r="M103" s="392">
        <f>-ROAFNA!AL56</f>
        <v>-5653.7618682592029</v>
      </c>
      <c r="N103" s="392">
        <f>-ROAFNA!AM56</f>
        <v>-5653.7618682592029</v>
      </c>
      <c r="O103" s="392">
        <f>-ROAFNA!AN56</f>
        <v>-5653.7618682592029</v>
      </c>
      <c r="P103" s="382"/>
      <c r="U103" s="380"/>
    </row>
    <row r="104" spans="1:21" hidden="1" outlineLevel="1">
      <c r="A104" s="379" t="s">
        <v>293</v>
      </c>
      <c r="B104" s="324">
        <f t="shared" ref="B104:J104" si="29">SUM(B102:B103)</f>
        <v>-169.86668339292373</v>
      </c>
      <c r="C104" s="324">
        <f t="shared" si="29"/>
        <v>-1227.8356977924623</v>
      </c>
      <c r="D104" s="324">
        <f t="shared" si="29"/>
        <v>-1540.9788913177958</v>
      </c>
      <c r="E104" s="324">
        <f t="shared" si="29"/>
        <v>-1263.6057718500861</v>
      </c>
      <c r="F104" s="324">
        <f t="shared" si="29"/>
        <v>-3133.3633470840969</v>
      </c>
      <c r="G104" s="324">
        <f t="shared" si="29"/>
        <v>-3161.8939179941372</v>
      </c>
      <c r="H104" s="324">
        <f t="shared" si="29"/>
        <v>-1357.3594408032391</v>
      </c>
      <c r="I104" s="324">
        <f t="shared" si="29"/>
        <v>684.70557880383967</v>
      </c>
      <c r="J104" s="324">
        <f t="shared" si="29"/>
        <v>-2156.4969291776642</v>
      </c>
      <c r="K104" s="324">
        <f>SUM(K102:K103)</f>
        <v>-2084.0577925926318</v>
      </c>
      <c r="L104" s="324">
        <f>SUM(L102:L103)</f>
        <v>-2033.2901179581168</v>
      </c>
      <c r="M104" s="324">
        <f>SUM(M102:M103)</f>
        <v>-1862.6072494802161</v>
      </c>
      <c r="N104" s="324">
        <f>SUM(N102:N103)</f>
        <v>-1828.7763646301696</v>
      </c>
      <c r="O104" s="324">
        <f>SUM(O102:O103)</f>
        <v>-1799.2218639901544</v>
      </c>
      <c r="P104" s="383"/>
      <c r="U104" s="380"/>
    </row>
    <row r="105" spans="1:21" hidden="1" outlineLevel="1">
      <c r="A105" s="384" t="s">
        <v>88</v>
      </c>
      <c r="B105" s="415">
        <f t="shared" ref="B105:J105" si="30">+B20</f>
        <v>1</v>
      </c>
      <c r="C105" s="415">
        <f t="shared" si="30"/>
        <v>1</v>
      </c>
      <c r="D105" s="415">
        <f t="shared" si="30"/>
        <v>1</v>
      </c>
      <c r="E105" s="415">
        <f t="shared" si="30"/>
        <v>1</v>
      </c>
      <c r="F105" s="415">
        <f t="shared" si="30"/>
        <v>1</v>
      </c>
      <c r="G105" s="415">
        <f t="shared" si="30"/>
        <v>1</v>
      </c>
      <c r="H105" s="415">
        <f t="shared" si="30"/>
        <v>1</v>
      </c>
      <c r="I105" s="415">
        <f t="shared" si="30"/>
        <v>1</v>
      </c>
      <c r="J105" s="415">
        <f t="shared" si="30"/>
        <v>1</v>
      </c>
      <c r="K105" s="415">
        <f>+K20</f>
        <v>1</v>
      </c>
      <c r="L105" s="415">
        <f>+L20</f>
        <v>0.9454230886499595</v>
      </c>
      <c r="M105" s="415">
        <f>+M20</f>
        <v>0.89382481655242918</v>
      </c>
      <c r="N105" s="415">
        <f>+N20</f>
        <v>0.84504261877698106</v>
      </c>
      <c r="O105" s="415">
        <f>+O20</f>
        <v>0.79892280268498372</v>
      </c>
      <c r="P105" s="385"/>
      <c r="U105" s="380"/>
    </row>
    <row r="106" spans="1:21" hidden="1" outlineLevel="1">
      <c r="A106" s="379" t="s">
        <v>145</v>
      </c>
      <c r="B106" s="324">
        <f t="shared" ref="B106:J106" si="31">B104*B20</f>
        <v>-169.86668339292373</v>
      </c>
      <c r="C106" s="324">
        <f t="shared" si="31"/>
        <v>-1227.8356977924623</v>
      </c>
      <c r="D106" s="324">
        <f t="shared" si="31"/>
        <v>-1540.9788913177958</v>
      </c>
      <c r="E106" s="324">
        <f t="shared" si="31"/>
        <v>-1263.6057718500861</v>
      </c>
      <c r="F106" s="324">
        <f t="shared" si="31"/>
        <v>-3133.3633470840969</v>
      </c>
      <c r="G106" s="324">
        <f t="shared" si="31"/>
        <v>-3161.8939179941372</v>
      </c>
      <c r="H106" s="324">
        <f t="shared" si="31"/>
        <v>-1357.3594408032391</v>
      </c>
      <c r="I106" s="324">
        <f t="shared" si="31"/>
        <v>684.70557880383967</v>
      </c>
      <c r="J106" s="324">
        <f t="shared" si="31"/>
        <v>-2156.4969291776642</v>
      </c>
      <c r="K106" s="324">
        <f>K104*K20</f>
        <v>-2084.0577925926318</v>
      </c>
      <c r="L106" s="324">
        <f>L104*L20</f>
        <v>-1922.3194234414032</v>
      </c>
      <c r="M106" s="324">
        <f>M104*M20</f>
        <v>-1664.8445830758787</v>
      </c>
      <c r="N106" s="324">
        <f>N104*N20</f>
        <v>-1545.3939683245258</v>
      </c>
      <c r="O106" s="324">
        <f>O104*O20</f>
        <v>-1437.4393742311147</v>
      </c>
      <c r="P106" s="323"/>
      <c r="U106" s="380"/>
    </row>
    <row r="107" spans="1:21" hidden="1" outlineLevel="1">
      <c r="A107" s="381"/>
      <c r="B107" s="329"/>
      <c r="C107" s="329"/>
      <c r="D107" s="329"/>
      <c r="E107" s="329"/>
      <c r="F107" s="329"/>
      <c r="G107" s="329"/>
      <c r="H107" s="329"/>
      <c r="I107" s="329"/>
      <c r="J107" s="329"/>
      <c r="K107" s="329"/>
      <c r="L107" s="329"/>
      <c r="M107" s="329"/>
      <c r="N107" s="329"/>
      <c r="O107" s="329"/>
      <c r="T107" s="291"/>
      <c r="U107" s="380"/>
    </row>
    <row r="108" spans="1:21" hidden="1" outlineLevel="1">
      <c r="A108" s="291" t="s">
        <v>148</v>
      </c>
      <c r="B108" s="329"/>
      <c r="C108" s="329"/>
      <c r="D108" s="329"/>
      <c r="E108" s="329"/>
      <c r="F108" s="329"/>
      <c r="G108" s="329"/>
      <c r="H108" s="329"/>
      <c r="I108" s="329"/>
      <c r="J108" s="329"/>
      <c r="K108" s="329"/>
      <c r="L108" s="329"/>
      <c r="M108" s="329"/>
      <c r="N108" s="329"/>
      <c r="O108" s="329"/>
      <c r="U108" s="380"/>
    </row>
    <row r="109" spans="1:21" hidden="1" outlineLevel="1">
      <c r="A109" s="285" t="s">
        <v>459</v>
      </c>
      <c r="B109" s="329"/>
      <c r="C109" s="329"/>
      <c r="D109" s="329"/>
      <c r="E109" s="329"/>
      <c r="F109" s="329"/>
      <c r="G109" s="329"/>
      <c r="H109" s="329"/>
      <c r="I109" s="329"/>
      <c r="J109" s="329"/>
      <c r="K109" s="329"/>
      <c r="L109" s="329"/>
      <c r="M109" s="329"/>
      <c r="N109" s="329"/>
      <c r="O109" s="329"/>
      <c r="U109" s="380"/>
    </row>
    <row r="110" spans="1:21" hidden="1" outlineLevel="1">
      <c r="A110" s="285" t="s">
        <v>11</v>
      </c>
      <c r="U110" s="380"/>
    </row>
    <row r="111" spans="1:21" hidden="1" outlineLevel="1">
      <c r="A111" s="285" t="s">
        <v>460</v>
      </c>
      <c r="U111" s="380"/>
    </row>
    <row r="112" spans="1:21" hidden="1" outlineLevel="1">
      <c r="A112" s="285" t="s">
        <v>17</v>
      </c>
      <c r="U112" s="380"/>
    </row>
    <row r="113" spans="1:21" hidden="1" outlineLevel="1">
      <c r="A113" s="291" t="s">
        <v>18</v>
      </c>
      <c r="U113" s="380"/>
    </row>
    <row r="114" spans="1:21" hidden="1" outlineLevel="1">
      <c r="A114" s="285" t="s">
        <v>88</v>
      </c>
      <c r="U114" s="380"/>
    </row>
    <row r="115" spans="1:21" hidden="1" outlineLevel="1">
      <c r="A115" s="291" t="s">
        <v>146</v>
      </c>
      <c r="U115" s="380"/>
    </row>
    <row r="116" spans="1:21" hidden="1" outlineLevel="1">
      <c r="A116" s="381"/>
      <c r="U116" s="380"/>
    </row>
    <row r="117" spans="1:21" hidden="1" outlineLevel="1">
      <c r="A117" s="379" t="s">
        <v>152</v>
      </c>
      <c r="S117" s="382"/>
      <c r="U117" s="380"/>
    </row>
    <row r="118" spans="1:21" hidden="1" outlineLevel="1">
      <c r="A118" s="381" t="s">
        <v>147</v>
      </c>
      <c r="U118" s="380"/>
    </row>
    <row r="119" spans="1:21" hidden="1" outlineLevel="1">
      <c r="A119" s="381" t="s">
        <v>146</v>
      </c>
      <c r="U119" s="380"/>
    </row>
    <row r="120" spans="1:21" hidden="1" outlineLevel="1">
      <c r="A120" s="379" t="s">
        <v>372</v>
      </c>
      <c r="U120" s="380"/>
    </row>
    <row r="121" spans="1:21" hidden="1" outlineLevel="1">
      <c r="A121" s="381" t="s">
        <v>153</v>
      </c>
      <c r="U121" s="380"/>
    </row>
    <row r="122" spans="1:21" hidden="1" outlineLevel="1">
      <c r="A122" s="379" t="s">
        <v>150</v>
      </c>
      <c r="U122" s="380"/>
    </row>
    <row r="123" spans="1:21" hidden="1" outlineLevel="1">
      <c r="A123" s="381" t="s">
        <v>450</v>
      </c>
      <c r="U123" s="380"/>
    </row>
    <row r="124" spans="1:21" hidden="1" outlineLevel="1">
      <c r="A124" s="381" t="s">
        <v>451</v>
      </c>
      <c r="U124" s="380"/>
    </row>
    <row r="125" spans="1:21" hidden="1" outlineLevel="1">
      <c r="A125" s="381"/>
      <c r="U125" s="380"/>
    </row>
    <row r="126" spans="1:21" hidden="1" outlineLevel="1">
      <c r="A126" s="381"/>
      <c r="U126" s="380"/>
    </row>
    <row r="127" spans="1:21" hidden="1" outlineLevel="1">
      <c r="A127" s="381"/>
      <c r="U127" s="380"/>
    </row>
    <row r="128" spans="1:21" hidden="1" outlineLevel="1">
      <c r="A128" s="381" t="s">
        <v>380</v>
      </c>
      <c r="B128" s="295">
        <f t="shared" ref="B128:J128" si="32">+SUM(B99:B101)/B129</f>
        <v>9.7509339408333645E-2</v>
      </c>
      <c r="C128" s="295">
        <f t="shared" si="32"/>
        <v>9.1946332925949018E-2</v>
      </c>
      <c r="D128" s="295">
        <f t="shared" si="32"/>
        <v>8.0488936130725955E-2</v>
      </c>
      <c r="E128" s="295">
        <f t="shared" si="32"/>
        <v>8.1357293096504191E-2</v>
      </c>
      <c r="F128" s="295">
        <f t="shared" si="32"/>
        <v>8.1186825521783912E-2</v>
      </c>
      <c r="G128" s="295">
        <f t="shared" si="32"/>
        <v>8.1336169081390755E-2</v>
      </c>
      <c r="H128" s="295">
        <f t="shared" si="32"/>
        <v>8.1317541176004607E-2</v>
      </c>
      <c r="I128" s="295">
        <f t="shared" si="32"/>
        <v>7.7428715094916445E-2</v>
      </c>
      <c r="J128" s="295">
        <f t="shared" si="32"/>
        <v>7.7801153465020215E-2</v>
      </c>
      <c r="K128" s="295">
        <f>+SUM(K99:K101)/K129</f>
        <v>7.6955116060405657E-2</v>
      </c>
      <c r="L128" s="295">
        <f>+SUM(L99:L101)/L129</f>
        <v>7.5810975955241999E-2</v>
      </c>
      <c r="M128" s="295">
        <f>+SUM(M99:M101)/M129</f>
        <v>7.4722045268394627E-2</v>
      </c>
      <c r="N128" s="295">
        <f>+SUM(N99:N101)/N129</f>
        <v>7.3522423011169805E-2</v>
      </c>
      <c r="O128" s="295">
        <f>+SUM(O99:O101)/O129</f>
        <v>7.2371075743937419E-2</v>
      </c>
      <c r="U128" s="380"/>
    </row>
    <row r="129" spans="1:21" hidden="1" outlineLevel="1">
      <c r="A129" s="310" t="s">
        <v>379</v>
      </c>
      <c r="B129" s="393">
        <f>ROAFNA!AA47</f>
        <v>34613.436385547087</v>
      </c>
      <c r="C129" s="393">
        <f>ROAFNA!AB47</f>
        <v>35707.397975857348</v>
      </c>
      <c r="D129" s="393">
        <f>ROAFNA!AC47</f>
        <v>36924.591770665247</v>
      </c>
      <c r="E129" s="393">
        <f>ROAFNA!AD47</f>
        <v>37985.460313731899</v>
      </c>
      <c r="F129" s="393">
        <f>ROAFNA!AE47</f>
        <v>39657.131957352067</v>
      </c>
      <c r="G129" s="393">
        <f>ROAFNA!AF47</f>
        <v>41852.304091178332</v>
      </c>
      <c r="H129" s="393">
        <f>ROAFNA!AG47</f>
        <v>43700.787158642946</v>
      </c>
      <c r="I129" s="393">
        <f>ROAFNA!AH47</f>
        <v>45108.65993994975</v>
      </c>
      <c r="J129" s="393">
        <f>ROAFNA!AI47</f>
        <v>46623.662446952148</v>
      </c>
      <c r="K129" s="393">
        <f>ROAFNA!AJ47</f>
        <v>48077.555374193711</v>
      </c>
      <c r="L129" s="393">
        <f>ROAFNA!AK47</f>
        <v>49472.803655376701</v>
      </c>
      <c r="M129" s="393">
        <f>ROAFNA!AL47</f>
        <v>50736.76189083841</v>
      </c>
      <c r="N129" s="393">
        <f>ROAFNA!AM47</f>
        <v>52024.747648046461</v>
      </c>
      <c r="O129" s="393">
        <f>ROAFNA!AN47</f>
        <v>53260.780838841492</v>
      </c>
      <c r="U129" s="380"/>
    </row>
    <row r="130" spans="1:21" hidden="1" outlineLevel="1">
      <c r="A130" s="310" t="s">
        <v>294</v>
      </c>
      <c r="B130" s="394" t="e">
        <f>#REF!+ROAFNA!AA34-ROAFNA!Z34</f>
        <v>#REF!</v>
      </c>
      <c r="C130" s="394" t="e">
        <f>B130+ROAFNA!AB34-ROAFNA!AA34</f>
        <v>#REF!</v>
      </c>
      <c r="D130" s="394" t="e">
        <f>C130+ROAFNA!AC34-ROAFNA!AB34</f>
        <v>#REF!</v>
      </c>
      <c r="E130" s="394" t="e">
        <f>D130+ROAFNA!AD34-ROAFNA!AC34</f>
        <v>#REF!</v>
      </c>
      <c r="F130" s="394" t="e">
        <f>E130+ROAFNA!AE34-ROAFNA!AD34</f>
        <v>#REF!</v>
      </c>
      <c r="G130" s="394">
        <f t="shared" ref="G130:O130" si="33">G129</f>
        <v>41852.304091178332</v>
      </c>
      <c r="H130" s="394">
        <f t="shared" si="33"/>
        <v>43700.787158642946</v>
      </c>
      <c r="I130" s="394">
        <f t="shared" si="33"/>
        <v>45108.65993994975</v>
      </c>
      <c r="J130" s="394">
        <f t="shared" si="33"/>
        <v>46623.662446952148</v>
      </c>
      <c r="K130" s="394">
        <f t="shared" si="33"/>
        <v>48077.555374193711</v>
      </c>
      <c r="L130" s="394">
        <f t="shared" si="33"/>
        <v>49472.803655376701</v>
      </c>
      <c r="M130" s="394">
        <f t="shared" si="33"/>
        <v>50736.76189083841</v>
      </c>
      <c r="N130" s="394">
        <f t="shared" si="33"/>
        <v>52024.747648046461</v>
      </c>
      <c r="O130" s="394">
        <f t="shared" si="33"/>
        <v>53260.780838841492</v>
      </c>
      <c r="P130" s="306"/>
      <c r="U130" s="380"/>
    </row>
    <row r="131" spans="1:21" hidden="1" outlineLevel="1">
      <c r="A131" s="381"/>
      <c r="U131" s="380"/>
    </row>
    <row r="132" spans="1:21" hidden="1" outlineLevel="1">
      <c r="A132" s="381" t="s">
        <v>149</v>
      </c>
      <c r="S132" s="386"/>
      <c r="U132" s="380"/>
    </row>
    <row r="133" spans="1:21" ht="13.5" hidden="1" outlineLevel="1" thickBot="1">
      <c r="A133" s="387"/>
      <c r="B133" s="388"/>
      <c r="C133" s="388"/>
      <c r="D133" s="388"/>
      <c r="E133" s="388"/>
      <c r="F133" s="388"/>
      <c r="G133" s="388"/>
      <c r="H133" s="388"/>
      <c r="I133" s="388"/>
      <c r="J133" s="388"/>
      <c r="K133" s="388"/>
      <c r="L133" s="388"/>
      <c r="M133" s="388"/>
      <c r="N133" s="388"/>
      <c r="O133" s="388"/>
      <c r="P133" s="388"/>
      <c r="Q133" s="388"/>
      <c r="R133" s="388"/>
      <c r="S133" s="388"/>
      <c r="T133" s="388"/>
      <c r="U133" s="389"/>
    </row>
    <row r="134" spans="1:21" hidden="1" outlineLevel="1"/>
    <row r="135" spans="1:21" collapsed="1"/>
  </sheetData>
  <phoneticPr fontId="0" type="noConversion"/>
  <pageMargins left="0.74803149606299213" right="0.74803149606299213" top="0.51181102362204722" bottom="0.70866141732283472" header="0.51181102362204722" footer="0.51181102362204722"/>
  <pageSetup paperSize="9" orientation="landscape" r:id="rId1"/>
  <headerFooter alignWithMargins="0"/>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pageSetUpPr fitToPage="1"/>
  </sheetPr>
  <dimension ref="A1:AX297"/>
  <sheetViews>
    <sheetView showOutlineSymbols="0" zoomScale="145" zoomScaleNormal="145" workbookViewId="0">
      <pane xSplit="28" ySplit="2" topLeftCell="AC117" activePane="bottomRight" state="frozen"/>
      <selection pane="topRight" activeCell="AC1" sqref="AC1"/>
      <selection pane="bottomLeft" activeCell="A3" sqref="A3"/>
      <selection pane="bottomRight" activeCell="AH141" sqref="AH141"/>
    </sheetView>
  </sheetViews>
  <sheetFormatPr defaultColWidth="9.140625" defaultRowHeight="12.75" outlineLevelCol="6"/>
  <cols>
    <col min="1" max="1" width="38.5703125" style="12" bestFit="1" customWidth="1"/>
    <col min="2" max="2" width="10.28515625" style="11" hidden="1" customWidth="1" outlineLevel="6"/>
    <col min="3" max="4" width="10.28515625" style="12" hidden="1" customWidth="1" outlineLevel="6"/>
    <col min="5" max="6" width="9.140625" style="12" hidden="1" customWidth="1" outlineLevel="6"/>
    <col min="7" max="13" width="10.28515625" style="12" hidden="1" customWidth="1" outlineLevel="6"/>
    <col min="14" max="18" width="9.140625" style="12" hidden="1" customWidth="1" outlineLevel="6"/>
    <col min="19" max="19" width="9.5703125" style="12" hidden="1" customWidth="1" outlineLevel="6"/>
    <col min="20" max="25" width="9.42578125" style="12" hidden="1" customWidth="1" outlineLevel="5"/>
    <col min="26" max="27" width="9.42578125" style="14" hidden="1" customWidth="1" outlineLevel="5"/>
    <col min="28" max="28" width="9.42578125" style="14" hidden="1" customWidth="1" outlineLevel="2"/>
    <col min="29" max="29" width="9.42578125" style="14" customWidth="1" collapsed="1"/>
    <col min="30" max="40" width="9.42578125" style="14" customWidth="1"/>
    <col min="41" max="41" width="2.85546875" style="12" customWidth="1"/>
    <col min="42" max="16384" width="9.140625" style="12"/>
  </cols>
  <sheetData>
    <row r="1" spans="1:49" ht="13.5" thickBot="1">
      <c r="A1" s="283"/>
      <c r="I1" s="78" t="s">
        <v>348</v>
      </c>
      <c r="U1" s="13"/>
      <c r="AA1" s="411"/>
      <c r="AC1" s="457" t="s">
        <v>748</v>
      </c>
      <c r="AD1" s="458">
        <f>DCF!E3</f>
        <v>70</v>
      </c>
      <c r="AE1" s="411">
        <f>AE99</f>
        <v>0</v>
      </c>
      <c r="AF1" s="411">
        <f t="shared" ref="AF1:AN1" si="0">AF99</f>
        <v>0</v>
      </c>
      <c r="AG1" s="411">
        <f t="shared" si="0"/>
        <v>0</v>
      </c>
      <c r="AH1" s="411">
        <f t="shared" si="0"/>
        <v>0</v>
      </c>
      <c r="AI1" s="411">
        <f t="shared" si="0"/>
        <v>0</v>
      </c>
      <c r="AJ1" s="411">
        <f t="shared" si="0"/>
        <v>0</v>
      </c>
      <c r="AK1" s="411">
        <f t="shared" si="0"/>
        <v>0</v>
      </c>
      <c r="AL1" s="411">
        <f t="shared" si="0"/>
        <v>0</v>
      </c>
      <c r="AM1" s="411">
        <f t="shared" si="0"/>
        <v>0</v>
      </c>
      <c r="AN1" s="411">
        <f t="shared" si="0"/>
        <v>0</v>
      </c>
    </row>
    <row r="2" spans="1:49" ht="13.5" customHeight="1">
      <c r="A2" s="284"/>
      <c r="B2" s="15">
        <v>1992</v>
      </c>
      <c r="C2" s="15">
        <v>1993</v>
      </c>
      <c r="D2" s="15">
        <v>1994</v>
      </c>
      <c r="E2" s="15">
        <v>1995</v>
      </c>
      <c r="F2" s="15">
        <v>1996</v>
      </c>
      <c r="G2" s="15">
        <v>1997</v>
      </c>
      <c r="H2" s="15">
        <v>1998</v>
      </c>
      <c r="I2" s="15" t="s">
        <v>347</v>
      </c>
      <c r="J2" s="15">
        <v>2000</v>
      </c>
      <c r="K2" s="15">
        <v>2001</v>
      </c>
      <c r="L2" s="15">
        <v>2002</v>
      </c>
      <c r="M2" s="15">
        <v>2003</v>
      </c>
      <c r="N2" s="15">
        <v>2004</v>
      </c>
      <c r="O2" s="15">
        <v>2005</v>
      </c>
      <c r="P2" s="15">
        <v>2006</v>
      </c>
      <c r="Q2" s="15">
        <v>2007</v>
      </c>
      <c r="R2" s="15">
        <v>2008</v>
      </c>
      <c r="S2" s="15">
        <v>2009</v>
      </c>
      <c r="T2" s="15">
        <v>2010</v>
      </c>
      <c r="U2" s="15">
        <v>2011</v>
      </c>
      <c r="V2" s="15">
        <v>2012</v>
      </c>
      <c r="W2" s="15">
        <v>2013</v>
      </c>
      <c r="X2" s="15">
        <v>2014</v>
      </c>
      <c r="Y2" s="15">
        <v>2015</v>
      </c>
      <c r="Z2" s="15">
        <v>2016</v>
      </c>
      <c r="AA2" s="15">
        <v>2017</v>
      </c>
      <c r="AB2" s="15">
        <v>2018</v>
      </c>
      <c r="AC2" s="15">
        <v>2019</v>
      </c>
      <c r="AD2" s="15">
        <v>2020</v>
      </c>
      <c r="AE2" s="15">
        <v>2021</v>
      </c>
      <c r="AF2" s="15">
        <v>2022</v>
      </c>
      <c r="AG2" s="15">
        <v>2023</v>
      </c>
      <c r="AH2" s="15">
        <v>2024</v>
      </c>
      <c r="AI2" s="15" t="s">
        <v>691</v>
      </c>
      <c r="AJ2" s="15" t="s">
        <v>724</v>
      </c>
      <c r="AK2" s="15" t="s">
        <v>725</v>
      </c>
      <c r="AL2" s="15" t="s">
        <v>726</v>
      </c>
      <c r="AM2" s="15" t="s">
        <v>727</v>
      </c>
      <c r="AN2" s="15" t="s">
        <v>728</v>
      </c>
      <c r="AO2" s="15"/>
      <c r="AQ2" s="15"/>
      <c r="AR2" s="15"/>
      <c r="AS2" s="15"/>
      <c r="AT2" s="15"/>
      <c r="AU2" s="15"/>
      <c r="AV2" s="15"/>
      <c r="AW2" s="15"/>
    </row>
    <row r="3" spans="1:49" s="7" customFormat="1">
      <c r="A3" s="157" t="s">
        <v>318</v>
      </c>
      <c r="B3" s="156"/>
      <c r="C3" s="156"/>
      <c r="D3" s="156"/>
      <c r="E3" s="156"/>
      <c r="F3" s="156"/>
      <c r="G3" s="156"/>
      <c r="H3" s="156"/>
      <c r="I3" s="156"/>
      <c r="J3" s="156"/>
      <c r="K3" s="156"/>
      <c r="L3" s="156"/>
      <c r="M3" s="156"/>
      <c r="N3" s="156"/>
      <c r="O3" s="156"/>
      <c r="P3" s="156"/>
      <c r="Q3" s="156"/>
      <c r="R3" s="156"/>
      <c r="S3" s="156"/>
      <c r="T3" s="156"/>
      <c r="U3" s="156"/>
      <c r="V3" s="156"/>
      <c r="W3" s="156"/>
      <c r="X3" s="156"/>
      <c r="Y3" s="156"/>
      <c r="Z3" s="156"/>
      <c r="AA3" s="156"/>
      <c r="AB3" s="156"/>
      <c r="AC3" s="156"/>
      <c r="AD3" s="156"/>
      <c r="AE3" s="156"/>
      <c r="AF3" s="156"/>
      <c r="AG3" s="156"/>
      <c r="AH3" s="156"/>
      <c r="AI3" s="156"/>
      <c r="AJ3" s="156"/>
      <c r="AK3" s="156"/>
      <c r="AL3" s="156"/>
      <c r="AM3" s="156"/>
      <c r="AN3" s="156"/>
    </row>
    <row r="4" spans="1:49" s="16" customFormat="1">
      <c r="A4" s="16" t="s">
        <v>115</v>
      </c>
      <c r="B4" s="17">
        <f>Driver!B4+Driver!B5</f>
        <v>13229</v>
      </c>
      <c r="C4" s="17">
        <f>Driver!C4+Driver!C5</f>
        <v>14573</v>
      </c>
      <c r="D4" s="17">
        <f>Driver!D4+Driver!D5</f>
        <v>14903</v>
      </c>
      <c r="E4" s="17">
        <f>Driver!E4+Driver!E5</f>
        <v>16758</v>
      </c>
      <c r="F4" s="17">
        <f>Driver!F4+Driver!F5</f>
        <v>18295</v>
      </c>
      <c r="G4" s="17">
        <f>Driver!G4+Driver!G5</f>
        <v>20638</v>
      </c>
      <c r="H4" s="17">
        <f>Driver!H4+Driver!H5</f>
        <v>22547</v>
      </c>
      <c r="I4" s="17">
        <f>Driver!I4+Driver!I5</f>
        <v>28642</v>
      </c>
      <c r="J4" s="17">
        <f>Driver!J4+Driver!J5</f>
        <v>24224</v>
      </c>
      <c r="K4" s="17">
        <f>Driver!K4+Driver!K5</f>
        <v>24806</v>
      </c>
      <c r="L4" s="17">
        <f>Driver!L4+Driver!L5</f>
        <v>25844</v>
      </c>
      <c r="M4" s="17">
        <f>Driver!M4+Driver!M5</f>
        <v>25739</v>
      </c>
      <c r="N4" s="17">
        <f>Driver!N4+Driver!N5</f>
        <v>26773</v>
      </c>
      <c r="O4" s="17">
        <f>Driver!O4+Driver!O5</f>
        <v>28309</v>
      </c>
      <c r="P4" s="17">
        <f>Driver!P4+Driver!P5</f>
        <v>29293</v>
      </c>
      <c r="Q4" s="17">
        <f>Driver!Q4+Driver!Q5</f>
        <v>29684</v>
      </c>
      <c r="R4" s="17">
        <f>Driver!R4+Driver!R5</f>
        <v>30193</v>
      </c>
      <c r="S4" s="17">
        <f>Driver!S4+Driver!S5</f>
        <v>28294</v>
      </c>
      <c r="T4" s="17">
        <f>Driver!T4+Driver!T5</f>
        <v>29940</v>
      </c>
      <c r="U4" s="17">
        <f>Driver!U4+Driver!U5</f>
        <v>31514</v>
      </c>
      <c r="V4" s="17">
        <f>Driver!V4+Driver!V5</f>
        <v>33640</v>
      </c>
      <c r="W4" s="17">
        <f>Driver!W4+Driver!W5</f>
        <v>33825</v>
      </c>
      <c r="X4" s="17">
        <f>Driver!X4+Driver!X5</f>
        <v>35072</v>
      </c>
      <c r="Y4" s="17">
        <f>Driver!Y4+Driver!Y5</f>
        <v>38386</v>
      </c>
      <c r="Z4" s="17">
        <f>Driver!Z4+Driver!Z5</f>
        <v>37483</v>
      </c>
      <c r="AA4" s="17">
        <f>Driver!AA4+Driver!AA5</f>
        <v>39357</v>
      </c>
      <c r="AB4" s="17">
        <f>Driver!AB4+Driver!AB5</f>
        <v>40764</v>
      </c>
      <c r="AC4" s="17">
        <f>Driver!AC4+Driver!AC5</f>
        <v>41347</v>
      </c>
      <c r="AD4" s="17">
        <f>Driver!AD4+Driver!AD5</f>
        <v>42565</v>
      </c>
      <c r="AE4" s="17">
        <f>Driver!AE4+Driver!AE5</f>
        <v>46562</v>
      </c>
      <c r="AF4" s="17">
        <f>Driver!AF4+Driver!AF5</f>
        <v>51707</v>
      </c>
      <c r="AG4" s="17">
        <f>Driver!AG4+Driver!AG5</f>
        <v>50407</v>
      </c>
      <c r="AH4" s="17">
        <f>Driver!AH4+Driver!AH5</f>
        <v>51321</v>
      </c>
      <c r="AI4" s="17">
        <f>Driver!AI4+Driver!AI5</f>
        <v>51877.91833473814</v>
      </c>
      <c r="AJ4" s="17">
        <f>Driver!AJ4+Driver!AJ5</f>
        <v>53726.541792338488</v>
      </c>
      <c r="AK4" s="17">
        <f>Driver!AK4+Driver!AK5</f>
        <v>55568.721074288849</v>
      </c>
      <c r="AL4" s="17">
        <f>Driver!AL4+Driver!AL5</f>
        <v>57442.025848797828</v>
      </c>
      <c r="AM4" s="17">
        <f>Driver!AM4+Driver!AM5</f>
        <v>59351.544420713995</v>
      </c>
      <c r="AN4" s="17">
        <f>Driver!AN4+Driver!AN5</f>
        <v>61577.510771285124</v>
      </c>
      <c r="AO4" s="18"/>
      <c r="AP4" s="46"/>
      <c r="AQ4" s="464"/>
      <c r="AR4" s="18"/>
      <c r="AS4" s="18"/>
      <c r="AT4" s="18"/>
      <c r="AU4" s="18"/>
      <c r="AV4" s="18"/>
      <c r="AW4" s="18"/>
    </row>
    <row r="5" spans="1:49" s="16" customFormat="1">
      <c r="A5" s="16" t="s">
        <v>288</v>
      </c>
      <c r="B5" s="17">
        <f>SUM(Driver!B6:B9)</f>
        <v>0</v>
      </c>
      <c r="C5" s="17">
        <f>SUM(Driver!C6:C9)</f>
        <v>0</v>
      </c>
      <c r="D5" s="17">
        <f>SUM(Driver!D6:D9)</f>
        <v>0</v>
      </c>
      <c r="E5" s="17">
        <f>SUM(Driver!E6:E9)</f>
        <v>0</v>
      </c>
      <c r="F5" s="17">
        <f>SUM(Driver!F6:F9)</f>
        <v>0</v>
      </c>
      <c r="G5" s="17">
        <f>SUM(Driver!G6:G9)</f>
        <v>0</v>
      </c>
      <c r="H5" s="17">
        <f>SUM(Driver!H6:H9)</f>
        <v>0</v>
      </c>
      <c r="I5" s="17">
        <f>SUM(Driver!I6:I9)</f>
        <v>357</v>
      </c>
      <c r="J5" s="17">
        <f>SUM(Driver!J6:J9)</f>
        <v>588</v>
      </c>
      <c r="K5" s="17">
        <f>SUM(Driver!K6:K9)</f>
        <v>706</v>
      </c>
      <c r="L5" s="17">
        <f>SUM(Driver!L6:L9)</f>
        <v>0</v>
      </c>
      <c r="M5" s="17">
        <f>SUM(Driver!M6:M9)</f>
        <v>0</v>
      </c>
      <c r="N5" s="17">
        <f>SUM(Driver!N6:N9)</f>
        <v>2000</v>
      </c>
      <c r="O5" s="17">
        <f>SUM(Driver!O6:O9)</f>
        <v>9973</v>
      </c>
      <c r="P5" s="17">
        <f>SUM(Driver!P6:P9)</f>
        <v>16143</v>
      </c>
      <c r="Q5" s="17">
        <f>SUM(Driver!Q6:Q9)</f>
        <v>20879</v>
      </c>
      <c r="R5" s="17">
        <f>SUM(Driver!R6:R9)</f>
        <v>23822</v>
      </c>
      <c r="S5" s="17">
        <f>SUM(Driver!S6:S9)</f>
        <v>22175</v>
      </c>
      <c r="T5" s="17">
        <f>SUM(Driver!T6:T9)</f>
        <v>28124</v>
      </c>
      <c r="U5" s="17">
        <f>SUM(Driver!U6:U9)</f>
        <v>59906</v>
      </c>
      <c r="V5" s="17">
        <f>SUM(Driver!V6:V9)</f>
        <v>70983</v>
      </c>
      <c r="W5" s="17">
        <f>SUM(Driver!W6:W9)</f>
        <v>70352</v>
      </c>
      <c r="X5" s="17">
        <f>SUM(Driver!X6:X9)</f>
        <v>56633</v>
      </c>
      <c r="Y5" s="17">
        <f>SUM(Driver!Y6:Y9)</f>
        <v>41757</v>
      </c>
      <c r="Z5" s="17">
        <f>SUM(Driver!Z6:Z9)</f>
        <v>41459</v>
      </c>
      <c r="AA5" s="17">
        <f>SUM(Driver!AA6:AA9)</f>
        <v>52101</v>
      </c>
      <c r="AB5" s="17">
        <f>SUM(Driver!AB6:AB9)</f>
        <v>49793</v>
      </c>
      <c r="AC5" s="17">
        <f>SUM(Driver!AC6:AC9)</f>
        <v>45088</v>
      </c>
      <c r="AD5" s="17">
        <f>SUM(Driver!AD6:AD9)</f>
        <v>37687</v>
      </c>
      <c r="AE5" s="17">
        <f>SUM(Driver!AE6:AE9)</f>
        <v>38941</v>
      </c>
      <c r="AF5" s="17">
        <f>SUM(Driver!AF6:AF9)</f>
        <v>48873</v>
      </c>
      <c r="AG5" s="17">
        <f>SUM(Driver!AG6:AG9)</f>
        <v>35039</v>
      </c>
      <c r="AH5" s="17">
        <f>SUM(Driver!AH6:AH9)</f>
        <v>38901</v>
      </c>
      <c r="AI5" s="17">
        <f>SUM(Driver!AI6:AI9)</f>
        <v>37797.361911444248</v>
      </c>
      <c r="AJ5" s="17">
        <f>SUM(Driver!AJ6:AJ9)</f>
        <v>37962.473362132601</v>
      </c>
      <c r="AK5" s="17">
        <f>SUM(Driver!AK6:AK9)</f>
        <v>38046.445984467311</v>
      </c>
      <c r="AL5" s="17">
        <f>SUM(Driver!AL6:AL9)</f>
        <v>37984.443617182944</v>
      </c>
      <c r="AM5" s="17">
        <f>SUM(Driver!AM6:AM9)</f>
        <v>37890.083173025989</v>
      </c>
      <c r="AN5" s="17">
        <f>SUM(Driver!AN6:AN9)</f>
        <v>37787.31471110748</v>
      </c>
      <c r="AO5" s="18"/>
      <c r="AP5" s="46"/>
      <c r="AQ5" s="18"/>
      <c r="AR5" s="18"/>
      <c r="AS5" s="18"/>
      <c r="AT5" s="18"/>
      <c r="AU5" s="18"/>
      <c r="AV5" s="18"/>
      <c r="AW5" s="18"/>
    </row>
    <row r="6" spans="1:49" s="16" customFormat="1">
      <c r="A6" s="16" t="s">
        <v>295</v>
      </c>
      <c r="B6" s="17">
        <f t="shared" ref="B6:AC6" si="1">B7-SUM(B4:B5)</f>
        <v>173</v>
      </c>
      <c r="C6" s="17">
        <f t="shared" si="1"/>
        <v>172</v>
      </c>
      <c r="D6" s="17">
        <f t="shared" si="1"/>
        <v>442</v>
      </c>
      <c r="E6" s="17">
        <f t="shared" si="1"/>
        <v>202</v>
      </c>
      <c r="F6" s="17">
        <f t="shared" si="1"/>
        <v>239</v>
      </c>
      <c r="G6" s="17">
        <f t="shared" si="1"/>
        <v>262</v>
      </c>
      <c r="H6" s="17">
        <f t="shared" si="1"/>
        <v>322</v>
      </c>
      <c r="I6" s="17">
        <f t="shared" si="1"/>
        <v>36</v>
      </c>
      <c r="J6" s="17">
        <f t="shared" si="1"/>
        <v>-361</v>
      </c>
      <c r="K6" s="17">
        <f t="shared" si="1"/>
        <v>-513</v>
      </c>
      <c r="L6" s="17">
        <f t="shared" si="1"/>
        <v>290</v>
      </c>
      <c r="M6" s="17">
        <f t="shared" si="1"/>
        <v>2509</v>
      </c>
      <c r="N6" s="17">
        <f t="shared" si="1"/>
        <v>2011</v>
      </c>
      <c r="O6" s="17">
        <f t="shared" si="1"/>
        <v>302</v>
      </c>
      <c r="P6" s="17">
        <f t="shared" si="1"/>
        <v>266</v>
      </c>
      <c r="Q6" s="17">
        <f t="shared" si="1"/>
        <v>226</v>
      </c>
      <c r="R6" s="17">
        <f t="shared" si="1"/>
        <v>282</v>
      </c>
      <c r="S6" s="17">
        <f t="shared" si="1"/>
        <v>199</v>
      </c>
      <c r="T6" s="17">
        <f t="shared" si="1"/>
        <v>346</v>
      </c>
      <c r="U6" s="17">
        <f t="shared" si="1"/>
        <v>214</v>
      </c>
      <c r="V6" s="17">
        <f t="shared" si="1"/>
        <v>238</v>
      </c>
      <c r="W6" s="17">
        <f t="shared" si="1"/>
        <v>353</v>
      </c>
      <c r="X6" s="17">
        <f t="shared" si="1"/>
        <v>554</v>
      </c>
      <c r="Y6" s="17">
        <f t="shared" si="1"/>
        <v>557</v>
      </c>
      <c r="Z6" s="17">
        <f t="shared" si="1"/>
        <v>492</v>
      </c>
      <c r="AA6" s="17">
        <f t="shared" si="1"/>
        <v>615</v>
      </c>
      <c r="AB6" s="17">
        <f t="shared" si="1"/>
        <v>868</v>
      </c>
      <c r="AC6" s="17">
        <f t="shared" si="1"/>
        <v>-746</v>
      </c>
      <c r="AD6" s="17">
        <f>Driver!AD10</f>
        <v>-662</v>
      </c>
      <c r="AE6" s="17">
        <f>Driver!AE10</f>
        <v>-1544</v>
      </c>
      <c r="AF6" s="17">
        <f>Driver!AF10</f>
        <v>82</v>
      </c>
      <c r="AG6" s="17">
        <f>Driver!AG10</f>
        <v>1723</v>
      </c>
      <c r="AH6" s="17">
        <f>Driver!AH10</f>
        <v>742</v>
      </c>
      <c r="AI6" s="17">
        <f>Driver!AI10</f>
        <v>742</v>
      </c>
      <c r="AJ6" s="17">
        <f>Driver!AJ10</f>
        <v>742</v>
      </c>
      <c r="AK6" s="17">
        <f>Driver!AK10</f>
        <v>742</v>
      </c>
      <c r="AL6" s="17">
        <f>Driver!AL10</f>
        <v>742</v>
      </c>
      <c r="AM6" s="17">
        <f>Driver!AM10</f>
        <v>742</v>
      </c>
      <c r="AN6" s="17">
        <f>Driver!AN10</f>
        <v>742</v>
      </c>
      <c r="AO6" s="18"/>
      <c r="AP6" s="46"/>
      <c r="AQ6" s="18"/>
      <c r="AR6" s="18"/>
      <c r="AS6" s="18"/>
      <c r="AT6" s="18"/>
      <c r="AU6" s="18"/>
      <c r="AV6" s="18"/>
      <c r="AW6" s="18"/>
    </row>
    <row r="7" spans="1:49" s="19" customFormat="1">
      <c r="A7" s="25" t="s">
        <v>287</v>
      </c>
      <c r="B7" s="26">
        <v>13402</v>
      </c>
      <c r="C7" s="26">
        <v>14745</v>
      </c>
      <c r="D7" s="26">
        <v>15345</v>
      </c>
      <c r="E7" s="26">
        <v>16960</v>
      </c>
      <c r="F7" s="26">
        <v>18534</v>
      </c>
      <c r="G7" s="26">
        <v>20900</v>
      </c>
      <c r="H7" s="26">
        <v>22869</v>
      </c>
      <c r="I7" s="26">
        <v>29035</v>
      </c>
      <c r="J7" s="26">
        <v>24451</v>
      </c>
      <c r="K7" s="26">
        <v>24999</v>
      </c>
      <c r="L7" s="26">
        <v>26134</v>
      </c>
      <c r="M7" s="26">
        <v>28248</v>
      </c>
      <c r="N7" s="26">
        <v>30784</v>
      </c>
      <c r="O7" s="26">
        <v>38584</v>
      </c>
      <c r="P7" s="26">
        <v>45702</v>
      </c>
      <c r="Q7" s="26">
        <v>50789</v>
      </c>
      <c r="R7" s="26">
        <v>54297</v>
      </c>
      <c r="S7" s="26">
        <v>50668</v>
      </c>
      <c r="T7" s="26">
        <v>58410</v>
      </c>
      <c r="U7" s="26">
        <v>91634</v>
      </c>
      <c r="V7" s="26">
        <v>104861</v>
      </c>
      <c r="W7" s="26">
        <v>104530</v>
      </c>
      <c r="X7" s="26">
        <v>92259</v>
      </c>
      <c r="Y7" s="26">
        <v>80700</v>
      </c>
      <c r="Z7" s="26">
        <v>79434</v>
      </c>
      <c r="AA7" s="26">
        <v>92073</v>
      </c>
      <c r="AB7" s="26">
        <v>91425</v>
      </c>
      <c r="AC7" s="26">
        <v>85689</v>
      </c>
      <c r="AD7" s="26">
        <v>79590</v>
      </c>
      <c r="AE7" s="26">
        <v>83959</v>
      </c>
      <c r="AF7" s="26">
        <v>100662</v>
      </c>
      <c r="AG7" s="26">
        <v>87169</v>
      </c>
      <c r="AH7" s="26">
        <v>90964</v>
      </c>
      <c r="AI7" s="474">
        <f t="shared" ref="AI7:AN7" si="2">SUM(AI4:AI6)</f>
        <v>90417.280246182389</v>
      </c>
      <c r="AJ7" s="474">
        <f t="shared" si="2"/>
        <v>92431.015154471097</v>
      </c>
      <c r="AK7" s="474">
        <f t="shared" si="2"/>
        <v>94357.167058756168</v>
      </c>
      <c r="AL7" s="474">
        <f t="shared" si="2"/>
        <v>96168.469465980772</v>
      </c>
      <c r="AM7" s="474">
        <f t="shared" si="2"/>
        <v>97983.627593739977</v>
      </c>
      <c r="AN7" s="474">
        <f t="shared" si="2"/>
        <v>100106.8254823926</v>
      </c>
      <c r="AO7" s="18"/>
      <c r="AP7" s="46"/>
      <c r="AQ7" s="18"/>
      <c r="AR7" s="18"/>
      <c r="AS7" s="18"/>
      <c r="AT7" s="18"/>
      <c r="AU7" s="18"/>
      <c r="AV7" s="18"/>
      <c r="AW7" s="18"/>
    </row>
    <row r="8" spans="1:49" s="19" customFormat="1">
      <c r="B8" s="20"/>
      <c r="C8" s="20"/>
      <c r="D8" s="20"/>
      <c r="E8" s="20"/>
      <c r="F8" s="20"/>
      <c r="G8" s="20"/>
      <c r="H8" s="20"/>
      <c r="I8" s="20"/>
      <c r="J8" s="20"/>
      <c r="K8" s="20"/>
      <c r="L8" s="20"/>
      <c r="M8" s="20"/>
      <c r="N8" s="20"/>
      <c r="O8" s="20"/>
      <c r="P8" s="20"/>
      <c r="Q8" s="20"/>
      <c r="R8" s="20"/>
      <c r="S8" s="20"/>
      <c r="T8" s="20"/>
      <c r="U8" s="20"/>
      <c r="V8" s="20"/>
      <c r="W8" s="20"/>
      <c r="X8" s="20"/>
      <c r="Y8" s="20"/>
      <c r="Z8" s="20"/>
      <c r="AA8" s="20"/>
      <c r="AB8" s="20"/>
      <c r="AC8" s="20"/>
      <c r="AD8" s="436"/>
      <c r="AE8" s="20"/>
      <c r="AF8" s="20"/>
      <c r="AG8" s="20"/>
      <c r="AH8" s="20"/>
      <c r="AI8" s="20"/>
      <c r="AJ8" s="20"/>
      <c r="AK8" s="20"/>
      <c r="AL8" s="20"/>
      <c r="AM8" s="20"/>
      <c r="AN8" s="20"/>
      <c r="AO8" s="18"/>
      <c r="AP8" s="489"/>
      <c r="AQ8" s="18"/>
      <c r="AR8" s="18"/>
      <c r="AS8" s="18"/>
      <c r="AT8" s="18"/>
      <c r="AU8" s="18"/>
      <c r="AV8" s="18"/>
      <c r="AW8" s="18"/>
    </row>
    <row r="9" spans="1:49" s="16" customFormat="1">
      <c r="A9" s="21" t="s">
        <v>116</v>
      </c>
      <c r="B9" s="17">
        <f t="shared" ref="B9:X9" si="3">B14-B13-B12</f>
        <v>-9123</v>
      </c>
      <c r="C9" s="17">
        <f t="shared" si="3"/>
        <v>-9693</v>
      </c>
      <c r="D9" s="17">
        <f t="shared" si="3"/>
        <v>-11527</v>
      </c>
      <c r="E9" s="17">
        <f t="shared" si="3"/>
        <v>-13033</v>
      </c>
      <c r="F9" s="17">
        <f t="shared" si="3"/>
        <v>-14122</v>
      </c>
      <c r="G9" s="17">
        <f t="shared" si="3"/>
        <v>-15941</v>
      </c>
      <c r="H9" s="17">
        <f t="shared" si="3"/>
        <v>-15347</v>
      </c>
      <c r="I9" s="17">
        <f t="shared" si="3"/>
        <v>-19709</v>
      </c>
      <c r="J9" s="17">
        <f t="shared" si="3"/>
        <v>-16656</v>
      </c>
      <c r="K9" s="17">
        <f t="shared" si="3"/>
        <v>-17427</v>
      </c>
      <c r="L9" s="17">
        <f t="shared" si="3"/>
        <v>-17549</v>
      </c>
      <c r="M9" s="17">
        <f t="shared" si="3"/>
        <v>-19279</v>
      </c>
      <c r="N9" s="17">
        <f t="shared" si="3"/>
        <v>-20110</v>
      </c>
      <c r="O9" s="17">
        <f t="shared" si="3"/>
        <v>-26993</v>
      </c>
      <c r="P9" s="17">
        <f t="shared" si="3"/>
        <v>-28622</v>
      </c>
      <c r="Q9" s="17">
        <f t="shared" si="3"/>
        <v>-34957</v>
      </c>
      <c r="R9" s="17">
        <f t="shared" si="3"/>
        <v>-37662</v>
      </c>
      <c r="S9" s="17">
        <f t="shared" si="3"/>
        <v>-35548</v>
      </c>
      <c r="T9" s="17">
        <f t="shared" si="3"/>
        <v>-41348</v>
      </c>
      <c r="U9" s="17">
        <f t="shared" si="3"/>
        <v>-70108</v>
      </c>
      <c r="V9" s="17">
        <f t="shared" si="3"/>
        <v>-84739</v>
      </c>
      <c r="W9" s="17">
        <f>W14-W13-W12</f>
        <v>-88032</v>
      </c>
      <c r="X9" s="17">
        <f t="shared" si="3"/>
        <v>-70573</v>
      </c>
      <c r="Y9" s="17">
        <f t="shared" ref="Y9:AF9" si="4">Y14-Y13-Y12</f>
        <v>-51915</v>
      </c>
      <c r="Z9" s="17">
        <f t="shared" si="4"/>
        <v>-55379</v>
      </c>
      <c r="AA9" s="17">
        <f t="shared" si="4"/>
        <v>-66007</v>
      </c>
      <c r="AB9" s="17">
        <f t="shared" si="4"/>
        <v>-65258</v>
      </c>
      <c r="AC9" s="17">
        <f t="shared" si="4"/>
        <v>-63541</v>
      </c>
      <c r="AD9" s="17">
        <f t="shared" si="4"/>
        <v>-56398</v>
      </c>
      <c r="AE9" s="17">
        <f t="shared" si="4"/>
        <v>-62440</v>
      </c>
      <c r="AF9" s="17">
        <f t="shared" si="4"/>
        <v>-86474</v>
      </c>
      <c r="AG9" s="17">
        <f t="shared" ref="AG9:AH9" si="5">AG14-AG13-AG12</f>
        <v>-63391</v>
      </c>
      <c r="AH9" s="17">
        <f t="shared" si="5"/>
        <v>-66785</v>
      </c>
      <c r="AI9" s="17">
        <f t="shared" ref="AI9:AN9" si="6">AI10-AI7</f>
        <v>-66287.218310138123</v>
      </c>
      <c r="AJ9" s="17">
        <f t="shared" si="6"/>
        <v>-67296.768236315897</v>
      </c>
      <c r="AK9" s="17">
        <f t="shared" si="6"/>
        <v>-68481.824218752299</v>
      </c>
      <c r="AL9" s="17">
        <f t="shared" si="6"/>
        <v>-69704.245684266527</v>
      </c>
      <c r="AM9" s="17">
        <f t="shared" si="6"/>
        <v>-70989.971633563284</v>
      </c>
      <c r="AN9" s="17">
        <f t="shared" si="6"/>
        <v>-72583.465603821111</v>
      </c>
      <c r="AO9" s="18"/>
      <c r="AP9" s="46"/>
      <c r="AQ9" s="18"/>
      <c r="AR9" s="18"/>
      <c r="AS9" s="18"/>
      <c r="AT9" s="18"/>
      <c r="AU9" s="18"/>
      <c r="AV9" s="18"/>
      <c r="AW9" s="18"/>
    </row>
    <row r="10" spans="1:49" s="16" customFormat="1">
      <c r="A10" s="25" t="s">
        <v>105</v>
      </c>
      <c r="B10" s="26">
        <f>B7+B9</f>
        <v>4279</v>
      </c>
      <c r="C10" s="26">
        <f t="shared" ref="C10:AF10" si="7">C7+C9</f>
        <v>5052</v>
      </c>
      <c r="D10" s="26">
        <f t="shared" si="7"/>
        <v>3818</v>
      </c>
      <c r="E10" s="26">
        <f t="shared" si="7"/>
        <v>3927</v>
      </c>
      <c r="F10" s="26">
        <f t="shared" si="7"/>
        <v>4412</v>
      </c>
      <c r="G10" s="26">
        <f t="shared" si="7"/>
        <v>4959</v>
      </c>
      <c r="H10" s="26">
        <f t="shared" si="7"/>
        <v>7522</v>
      </c>
      <c r="I10" s="26">
        <f t="shared" si="7"/>
        <v>9326</v>
      </c>
      <c r="J10" s="26">
        <f t="shared" si="7"/>
        <v>7795</v>
      </c>
      <c r="K10" s="26">
        <f t="shared" si="7"/>
        <v>7572</v>
      </c>
      <c r="L10" s="26">
        <f t="shared" si="7"/>
        <v>8585</v>
      </c>
      <c r="M10" s="26">
        <f t="shared" si="7"/>
        <v>8969</v>
      </c>
      <c r="N10" s="26">
        <f t="shared" si="7"/>
        <v>10674</v>
      </c>
      <c r="O10" s="26">
        <f t="shared" si="7"/>
        <v>11591</v>
      </c>
      <c r="P10" s="26">
        <f t="shared" si="7"/>
        <v>17080</v>
      </c>
      <c r="Q10" s="26">
        <f t="shared" si="7"/>
        <v>15832</v>
      </c>
      <c r="R10" s="26">
        <f t="shared" si="7"/>
        <v>16635</v>
      </c>
      <c r="S10" s="26">
        <f t="shared" si="7"/>
        <v>15120</v>
      </c>
      <c r="T10" s="26">
        <f t="shared" si="7"/>
        <v>17062</v>
      </c>
      <c r="U10" s="26">
        <f t="shared" si="7"/>
        <v>21526</v>
      </c>
      <c r="V10" s="26">
        <f t="shared" si="7"/>
        <v>20122</v>
      </c>
      <c r="W10" s="26">
        <f t="shared" si="7"/>
        <v>16498</v>
      </c>
      <c r="X10" s="26">
        <f t="shared" si="7"/>
        <v>21686</v>
      </c>
      <c r="Y10" s="26">
        <f t="shared" si="7"/>
        <v>28785</v>
      </c>
      <c r="Z10" s="26">
        <f t="shared" si="7"/>
        <v>24055</v>
      </c>
      <c r="AA10" s="26">
        <f t="shared" si="7"/>
        <v>26066</v>
      </c>
      <c r="AB10" s="26">
        <f t="shared" si="7"/>
        <v>26167</v>
      </c>
      <c r="AC10" s="26">
        <f t="shared" si="7"/>
        <v>22148</v>
      </c>
      <c r="AD10" s="26">
        <f t="shared" si="7"/>
        <v>23192</v>
      </c>
      <c r="AE10" s="26">
        <f t="shared" si="7"/>
        <v>21519</v>
      </c>
      <c r="AF10" s="26">
        <f t="shared" si="7"/>
        <v>14188</v>
      </c>
      <c r="AG10" s="26">
        <f t="shared" ref="AG10:AH10" si="8">AG7+AG9</f>
        <v>23778</v>
      </c>
      <c r="AH10" s="26">
        <f t="shared" si="8"/>
        <v>24179</v>
      </c>
      <c r="AI10" s="26">
        <f t="shared" ref="AI10:AN10" si="9">AI15-AI12</f>
        <v>24130.061936044272</v>
      </c>
      <c r="AJ10" s="26">
        <f t="shared" si="9"/>
        <v>25134.246918155204</v>
      </c>
      <c r="AK10" s="26">
        <f t="shared" si="9"/>
        <v>25875.342840003876</v>
      </c>
      <c r="AL10" s="26">
        <f t="shared" si="9"/>
        <v>26464.223781714238</v>
      </c>
      <c r="AM10" s="26">
        <f t="shared" si="9"/>
        <v>26993.655960176697</v>
      </c>
      <c r="AN10" s="26">
        <f t="shared" si="9"/>
        <v>27523.359878571486</v>
      </c>
      <c r="AO10" s="18"/>
      <c r="AP10" s="46"/>
      <c r="AQ10" s="18"/>
      <c r="AR10" s="18"/>
      <c r="AS10" s="18"/>
      <c r="AT10" s="18"/>
      <c r="AU10" s="18"/>
      <c r="AV10" s="18"/>
      <c r="AW10" s="18"/>
    </row>
    <row r="11" spans="1:49" s="16" customFormat="1">
      <c r="A11" s="21"/>
      <c r="B11" s="17"/>
      <c r="C11" s="17"/>
      <c r="D11" s="17"/>
      <c r="E11" s="17"/>
      <c r="F11" s="17"/>
      <c r="G11" s="17"/>
      <c r="H11" s="17"/>
      <c r="I11" s="17"/>
      <c r="J11" s="17"/>
      <c r="K11" s="17"/>
      <c r="L11" s="17"/>
      <c r="M11" s="17"/>
      <c r="N11" s="17"/>
      <c r="O11" s="17"/>
      <c r="P11" s="17"/>
      <c r="Q11" s="17"/>
      <c r="R11" s="17"/>
      <c r="S11" s="17"/>
      <c r="T11" s="17"/>
      <c r="U11" s="17"/>
      <c r="V11" s="17"/>
      <c r="W11" s="17"/>
      <c r="X11" s="17"/>
      <c r="Y11" s="17"/>
      <c r="Z11" s="17"/>
      <c r="AA11" s="17"/>
      <c r="AB11" s="17"/>
      <c r="AC11" s="17"/>
      <c r="AD11" s="17"/>
      <c r="AE11" s="17"/>
      <c r="AF11" s="17"/>
      <c r="AG11" s="17"/>
      <c r="AH11" s="17"/>
      <c r="AI11" s="17"/>
      <c r="AJ11" s="17"/>
      <c r="AK11" s="17"/>
      <c r="AL11" s="17"/>
      <c r="AM11" s="17"/>
      <c r="AN11" s="17"/>
      <c r="AO11" s="18"/>
      <c r="AP11" s="46"/>
      <c r="AQ11" s="18"/>
      <c r="AR11" s="18"/>
      <c r="AS11" s="18"/>
      <c r="AT11" s="18"/>
      <c r="AU11" s="18"/>
      <c r="AV11" s="18"/>
      <c r="AW11" s="18"/>
    </row>
    <row r="12" spans="1:49" s="16" customFormat="1">
      <c r="A12" s="22" t="s">
        <v>307</v>
      </c>
      <c r="B12" s="17">
        <v>-852</v>
      </c>
      <c r="C12" s="17">
        <v>-953</v>
      </c>
      <c r="D12" s="17">
        <v>-783</v>
      </c>
      <c r="E12" s="17">
        <v>-888</v>
      </c>
      <c r="F12" s="17">
        <v>-1002</v>
      </c>
      <c r="G12" s="17">
        <v>-1155</v>
      </c>
      <c r="H12" s="17">
        <v>-1270</v>
      </c>
      <c r="I12" s="17">
        <v>-1704</v>
      </c>
      <c r="J12" s="17">
        <v>-1474</v>
      </c>
      <c r="K12" s="17">
        <v>-1624</v>
      </c>
      <c r="L12" s="17">
        <v>-1749</v>
      </c>
      <c r="M12" s="17">
        <v>-2357</v>
      </c>
      <c r="N12" s="17">
        <f>-2529-41</f>
        <v>-2570</v>
      </c>
      <c r="O12" s="17">
        <v>-2896</v>
      </c>
      <c r="P12" s="17">
        <v>-4968</v>
      </c>
      <c r="Q12" s="17">
        <v>-4650</v>
      </c>
      <c r="R12" s="17">
        <v>-4055</v>
      </c>
      <c r="S12" s="17">
        <v>-4332</v>
      </c>
      <c r="T12" s="17">
        <v>-5065</v>
      </c>
      <c r="U12" s="17">
        <v>-6353</v>
      </c>
      <c r="V12" s="17">
        <v>-7021</v>
      </c>
      <c r="W12" s="17">
        <v>-7592</v>
      </c>
      <c r="X12" s="17">
        <v>-6791</v>
      </c>
      <c r="Y12" s="17">
        <v>-6765</v>
      </c>
      <c r="Z12" s="17">
        <v>-6909</v>
      </c>
      <c r="AA12" s="17">
        <v>-7368</v>
      </c>
      <c r="AB12" s="17">
        <v>-8005</v>
      </c>
      <c r="AC12" s="17">
        <v>-8118</v>
      </c>
      <c r="AD12" s="17">
        <v>-8476</v>
      </c>
      <c r="AE12" s="17">
        <v>-9308</v>
      </c>
      <c r="AF12" s="17">
        <v>-8904</v>
      </c>
      <c r="AG12" s="17">
        <v>-8594</v>
      </c>
      <c r="AH12" s="17">
        <v>-9276</v>
      </c>
      <c r="AI12" s="55">
        <f>Driver!AI26</f>
        <v>-9256.8277784836609</v>
      </c>
      <c r="AJ12" s="55">
        <f>Driver!AJ26</f>
        <v>-9456.9301092379446</v>
      </c>
      <c r="AK12" s="55">
        <f>Driver!AK26</f>
        <v>-9579.623257799878</v>
      </c>
      <c r="AL12" s="55">
        <f>Driver!AL26</f>
        <v>-9649.1811148487541</v>
      </c>
      <c r="AM12" s="55">
        <f>Driver!AM26</f>
        <v>-9673.8921787971231</v>
      </c>
      <c r="AN12" s="55">
        <f>Driver!AN26</f>
        <v>-9697.3321493638723</v>
      </c>
      <c r="AO12" s="18"/>
      <c r="AP12" s="46"/>
      <c r="AQ12" s="18"/>
      <c r="AR12" s="18"/>
      <c r="AS12" s="18"/>
      <c r="AT12" s="18"/>
      <c r="AU12" s="18"/>
      <c r="AV12" s="18"/>
      <c r="AW12" s="18"/>
    </row>
    <row r="13" spans="1:49" s="16" customFormat="1">
      <c r="A13" s="16" t="s">
        <v>303</v>
      </c>
      <c r="B13" s="17">
        <v>-616</v>
      </c>
      <c r="C13" s="17">
        <v>-908</v>
      </c>
      <c r="D13" s="17">
        <v>221</v>
      </c>
      <c r="E13" s="17">
        <v>310</v>
      </c>
      <c r="F13" s="17">
        <v>319</v>
      </c>
      <c r="G13" s="17">
        <v>186.50100000000111</v>
      </c>
      <c r="H13" s="17">
        <v>-1714.2821363636376</v>
      </c>
      <c r="I13" s="17">
        <v>-1787</v>
      </c>
      <c r="J13" s="17">
        <v>-2276</v>
      </c>
      <c r="K13" s="17">
        <v>-1506</v>
      </c>
      <c r="L13" s="17">
        <v>-1643</v>
      </c>
      <c r="M13" s="17">
        <v>-835</v>
      </c>
      <c r="N13" s="17">
        <v>-348</v>
      </c>
      <c r="O13" s="17">
        <v>0</v>
      </c>
      <c r="P13" s="17">
        <v>0</v>
      </c>
      <c r="Q13" s="17">
        <v>0</v>
      </c>
      <c r="R13" s="17">
        <v>0</v>
      </c>
      <c r="S13" s="17">
        <v>0</v>
      </c>
      <c r="T13" s="17">
        <v>0</v>
      </c>
      <c r="U13" s="17">
        <v>0</v>
      </c>
      <c r="V13" s="17">
        <v>0</v>
      </c>
      <c r="W13" s="17">
        <v>0</v>
      </c>
      <c r="X13" s="17">
        <v>0</v>
      </c>
      <c r="Y13" s="17">
        <v>0</v>
      </c>
      <c r="Z13" s="17">
        <v>0</v>
      </c>
      <c r="AA13" s="17">
        <f t="shared" ref="AA13:AG13" si="10">Z13</f>
        <v>0</v>
      </c>
      <c r="AB13" s="17">
        <f>AA13</f>
        <v>0</v>
      </c>
      <c r="AC13" s="17">
        <f>AB13</f>
        <v>0</v>
      </c>
      <c r="AD13" s="17">
        <f>AC13</f>
        <v>0</v>
      </c>
      <c r="AE13" s="17">
        <f t="shared" si="10"/>
        <v>0</v>
      </c>
      <c r="AF13" s="17">
        <f t="shared" si="10"/>
        <v>0</v>
      </c>
      <c r="AG13" s="17">
        <f t="shared" si="10"/>
        <v>0</v>
      </c>
      <c r="AH13" s="17">
        <f t="shared" ref="AH13:AN13" si="11">AG13</f>
        <v>0</v>
      </c>
      <c r="AI13" s="17">
        <f t="shared" si="11"/>
        <v>0</v>
      </c>
      <c r="AJ13" s="17">
        <f>AI13</f>
        <v>0</v>
      </c>
      <c r="AK13" s="17">
        <f>AJ13</f>
        <v>0</v>
      </c>
      <c r="AL13" s="17">
        <f>AK13</f>
        <v>0</v>
      </c>
      <c r="AM13" s="17">
        <f>AL13</f>
        <v>0</v>
      </c>
      <c r="AN13" s="17">
        <f t="shared" si="11"/>
        <v>0</v>
      </c>
      <c r="AO13" s="18"/>
      <c r="AP13" s="46"/>
      <c r="AQ13" s="18"/>
      <c r="AR13" s="18"/>
      <c r="AS13" s="18"/>
      <c r="AT13" s="18"/>
      <c r="AU13" s="18"/>
      <c r="AV13" s="18"/>
      <c r="AW13" s="18"/>
    </row>
    <row r="14" spans="1:49" s="19" customFormat="1">
      <c r="A14" s="19" t="s">
        <v>117</v>
      </c>
      <c r="B14" s="20">
        <v>-10591</v>
      </c>
      <c r="C14" s="20">
        <v>-11554</v>
      </c>
      <c r="D14" s="20">
        <v>-12089</v>
      </c>
      <c r="E14" s="20">
        <v>-13611</v>
      </c>
      <c r="F14" s="20">
        <v>-14805</v>
      </c>
      <c r="G14" s="20">
        <v>-16909.499</v>
      </c>
      <c r="H14" s="20">
        <v>-18331.282136363639</v>
      </c>
      <c r="I14" s="20">
        <v>-23200</v>
      </c>
      <c r="J14" s="20">
        <v>-20406</v>
      </c>
      <c r="K14" s="20">
        <v>-20557</v>
      </c>
      <c r="L14" s="20">
        <v>-20941</v>
      </c>
      <c r="M14" s="20">
        <v>-22471</v>
      </c>
      <c r="N14" s="20">
        <v>-23028</v>
      </c>
      <c r="O14" s="20">
        <v>-29889</v>
      </c>
      <c r="P14" s="20">
        <v>-33590</v>
      </c>
      <c r="Q14" s="20">
        <v>-39607</v>
      </c>
      <c r="R14" s="20">
        <v>-41717</v>
      </c>
      <c r="S14" s="20">
        <v>-39880</v>
      </c>
      <c r="T14" s="20">
        <v>-46413</v>
      </c>
      <c r="U14" s="20">
        <v>-76461</v>
      </c>
      <c r="V14" s="20">
        <v>-91760</v>
      </c>
      <c r="W14" s="20">
        <v>-95624</v>
      </c>
      <c r="X14" s="20">
        <f>-79389+2025</f>
        <v>-77364</v>
      </c>
      <c r="Y14" s="20">
        <v>-58680</v>
      </c>
      <c r="Z14" s="20">
        <v>-62288</v>
      </c>
      <c r="AA14" s="20">
        <v>-73375</v>
      </c>
      <c r="AB14" s="20">
        <v>-73263</v>
      </c>
      <c r="AC14" s="20">
        <v>-71659</v>
      </c>
      <c r="AD14" s="20">
        <v>-64874</v>
      </c>
      <c r="AE14" s="20">
        <v>-71748</v>
      </c>
      <c r="AF14" s="20">
        <v>-95378</v>
      </c>
      <c r="AG14" s="20">
        <v>-71985</v>
      </c>
      <c r="AH14" s="20">
        <v>-76061</v>
      </c>
      <c r="AI14" s="428">
        <f t="shared" ref="AI14:AN14" si="12">AI9+AI12</f>
        <v>-75544.046088621777</v>
      </c>
      <c r="AJ14" s="428">
        <f t="shared" si="12"/>
        <v>-76753.698345553843</v>
      </c>
      <c r="AK14" s="428">
        <f t="shared" si="12"/>
        <v>-78061.447476552174</v>
      </c>
      <c r="AL14" s="428">
        <f t="shared" si="12"/>
        <v>-79353.426799115288</v>
      </c>
      <c r="AM14" s="428">
        <f t="shared" si="12"/>
        <v>-80663.863812360403</v>
      </c>
      <c r="AN14" s="428">
        <f t="shared" si="12"/>
        <v>-82280.797753184976</v>
      </c>
      <c r="AO14" s="18"/>
      <c r="AP14" s="46"/>
      <c r="AQ14" s="18"/>
      <c r="AR14" s="18"/>
      <c r="AS14" s="18"/>
      <c r="AT14" s="18"/>
      <c r="AU14" s="18"/>
      <c r="AV14" s="18"/>
      <c r="AW14" s="18"/>
    </row>
    <row r="15" spans="1:49" s="19" customFormat="1">
      <c r="A15" s="25" t="s">
        <v>118</v>
      </c>
      <c r="B15" s="26">
        <f>B10+B12+B13</f>
        <v>2811</v>
      </c>
      <c r="C15" s="26">
        <f>C10+C12+C13</f>
        <v>3191</v>
      </c>
      <c r="D15" s="26">
        <f t="shared" ref="D15:AF15" si="13">D10+D12+D13</f>
        <v>3256</v>
      </c>
      <c r="E15" s="26">
        <f t="shared" si="13"/>
        <v>3349</v>
      </c>
      <c r="F15" s="26">
        <f t="shared" si="13"/>
        <v>3729</v>
      </c>
      <c r="G15" s="26">
        <f t="shared" si="13"/>
        <v>3990.5010000000011</v>
      </c>
      <c r="H15" s="26">
        <f t="shared" si="13"/>
        <v>4537.7178636363624</v>
      </c>
      <c r="I15" s="26">
        <f t="shared" si="13"/>
        <v>5835</v>
      </c>
      <c r="J15" s="26">
        <f t="shared" si="13"/>
        <v>4045</v>
      </c>
      <c r="K15" s="26">
        <f t="shared" si="13"/>
        <v>4442</v>
      </c>
      <c r="L15" s="26">
        <f t="shared" si="13"/>
        <v>5193</v>
      </c>
      <c r="M15" s="26">
        <f t="shared" si="13"/>
        <v>5777</v>
      </c>
      <c r="N15" s="26">
        <f t="shared" si="13"/>
        <v>7756</v>
      </c>
      <c r="O15" s="26">
        <f t="shared" si="13"/>
        <v>8695</v>
      </c>
      <c r="P15" s="26">
        <f t="shared" si="13"/>
        <v>12112</v>
      </c>
      <c r="Q15" s="26">
        <f t="shared" si="13"/>
        <v>11182</v>
      </c>
      <c r="R15" s="26">
        <f t="shared" si="13"/>
        <v>12580</v>
      </c>
      <c r="S15" s="26">
        <f t="shared" si="13"/>
        <v>10788</v>
      </c>
      <c r="T15" s="26">
        <f t="shared" si="13"/>
        <v>11997</v>
      </c>
      <c r="U15" s="26">
        <f t="shared" si="13"/>
        <v>15173</v>
      </c>
      <c r="V15" s="26">
        <f t="shared" si="13"/>
        <v>13101</v>
      </c>
      <c r="W15" s="26">
        <f t="shared" si="13"/>
        <v>8906</v>
      </c>
      <c r="X15" s="26">
        <f>X10+X12+X13</f>
        <v>14895</v>
      </c>
      <c r="Y15" s="26">
        <f t="shared" si="13"/>
        <v>22020</v>
      </c>
      <c r="Z15" s="26">
        <f t="shared" si="13"/>
        <v>17146</v>
      </c>
      <c r="AA15" s="26">
        <f t="shared" si="13"/>
        <v>18698</v>
      </c>
      <c r="AB15" s="26">
        <f t="shared" si="13"/>
        <v>18162</v>
      </c>
      <c r="AC15" s="26">
        <f t="shared" si="13"/>
        <v>14030</v>
      </c>
      <c r="AD15" s="26">
        <f t="shared" si="13"/>
        <v>14716</v>
      </c>
      <c r="AE15" s="26">
        <f t="shared" si="13"/>
        <v>12211</v>
      </c>
      <c r="AF15" s="26">
        <f t="shared" si="13"/>
        <v>5284</v>
      </c>
      <c r="AG15" s="26">
        <f t="shared" ref="AG15:AH15" si="14">AG10+AG12+AG13</f>
        <v>15184</v>
      </c>
      <c r="AH15" s="26">
        <f t="shared" si="14"/>
        <v>14903</v>
      </c>
      <c r="AI15" s="26">
        <f t="shared" ref="AI15:AN15" si="15">AI20-AI16-AI17-AI18-AI19</f>
        <v>14873.234157560613</v>
      </c>
      <c r="AJ15" s="26">
        <f t="shared" si="15"/>
        <v>15677.31680891726</v>
      </c>
      <c r="AK15" s="26">
        <f t="shared" si="15"/>
        <v>16295.719582203996</v>
      </c>
      <c r="AL15" s="26">
        <f t="shared" si="15"/>
        <v>16815.042666865484</v>
      </c>
      <c r="AM15" s="26">
        <f t="shared" si="15"/>
        <v>17319.763781379574</v>
      </c>
      <c r="AN15" s="26">
        <f t="shared" si="15"/>
        <v>17826.027729207613</v>
      </c>
      <c r="AO15" s="18"/>
      <c r="AP15" s="46"/>
      <c r="AQ15" s="18"/>
      <c r="AR15" s="18"/>
      <c r="AS15" s="18"/>
      <c r="AT15" s="18"/>
      <c r="AU15" s="18"/>
      <c r="AV15" s="18"/>
      <c r="AW15" s="18"/>
    </row>
    <row r="16" spans="1:49" s="16" customFormat="1">
      <c r="A16" s="16" t="s">
        <v>26</v>
      </c>
      <c r="B16" s="17">
        <v>67</v>
      </c>
      <c r="C16" s="17">
        <v>70</v>
      </c>
      <c r="D16" s="17">
        <v>116</v>
      </c>
      <c r="E16" s="17">
        <v>160</v>
      </c>
      <c r="F16" s="17">
        <v>136</v>
      </c>
      <c r="G16" s="17">
        <v>137.89899999999966</v>
      </c>
      <c r="H16" s="17">
        <v>186.33418639815955</v>
      </c>
      <c r="I16" s="17">
        <v>-0.47599889189268652</v>
      </c>
      <c r="J16" s="17">
        <v>517.36527326956548</v>
      </c>
      <c r="K16" s="17">
        <v>56.600000000000364</v>
      </c>
      <c r="L16" s="17">
        <v>-256.79999999999927</v>
      </c>
      <c r="M16" s="17">
        <v>469.73296999312151</v>
      </c>
      <c r="N16" s="17">
        <v>52</v>
      </c>
      <c r="O16" s="17">
        <v>66</v>
      </c>
      <c r="P16" s="17">
        <v>55</v>
      </c>
      <c r="Q16" s="17">
        <v>2122</v>
      </c>
      <c r="R16" s="17">
        <v>727</v>
      </c>
      <c r="S16" s="17">
        <v>153</v>
      </c>
      <c r="T16" s="17">
        <v>400</v>
      </c>
      <c r="U16" s="17">
        <v>-1985</v>
      </c>
      <c r="V16" s="17">
        <v>0</v>
      </c>
      <c r="W16" s="17">
        <v>0</v>
      </c>
      <c r="X16" s="17">
        <v>0</v>
      </c>
      <c r="Y16" s="17">
        <v>0</v>
      </c>
      <c r="Z16" s="17">
        <v>0</v>
      </c>
      <c r="AA16" s="17">
        <f>Z16</f>
        <v>0</v>
      </c>
      <c r="AB16" s="17">
        <f>AA16</f>
        <v>0</v>
      </c>
      <c r="AC16" s="17">
        <v>-6381</v>
      </c>
      <c r="AD16" s="17">
        <v>0</v>
      </c>
      <c r="AE16" s="17">
        <v>-1110</v>
      </c>
      <c r="AF16" s="17">
        <v>-4312</v>
      </c>
      <c r="AG16" s="17">
        <v>-5868</v>
      </c>
      <c r="AH16" s="17">
        <v>0</v>
      </c>
      <c r="AI16" s="55">
        <f t="shared" ref="AI16:AN16" si="16">AH16</f>
        <v>0</v>
      </c>
      <c r="AJ16" s="55">
        <f>AI16</f>
        <v>0</v>
      </c>
      <c r="AK16" s="55">
        <f>AJ16</f>
        <v>0</v>
      </c>
      <c r="AL16" s="55">
        <f>AK16</f>
        <v>0</v>
      </c>
      <c r="AM16" s="55">
        <f>AL16</f>
        <v>0</v>
      </c>
      <c r="AN16" s="55">
        <f t="shared" si="16"/>
        <v>0</v>
      </c>
      <c r="AO16" s="18"/>
      <c r="AP16" s="46"/>
      <c r="AQ16" s="18"/>
      <c r="AR16" s="18"/>
      <c r="AS16" s="18"/>
      <c r="AT16" s="18"/>
      <c r="AU16" s="18"/>
      <c r="AV16" s="18"/>
      <c r="AW16" s="18"/>
    </row>
    <row r="17" spans="1:49" s="16" customFormat="1">
      <c r="A17" s="16" t="s">
        <v>119</v>
      </c>
      <c r="B17" s="17">
        <v>0</v>
      </c>
      <c r="C17" s="17">
        <v>0</v>
      </c>
      <c r="D17" s="17">
        <v>0</v>
      </c>
      <c r="E17" s="17">
        <v>1286</v>
      </c>
      <c r="F17" s="17">
        <v>0</v>
      </c>
      <c r="G17" s="17">
        <v>0</v>
      </c>
      <c r="H17" s="17">
        <v>1837</v>
      </c>
      <c r="I17" s="17">
        <v>626</v>
      </c>
      <c r="J17" s="17">
        <v>1357</v>
      </c>
      <c r="K17" s="17">
        <v>1752</v>
      </c>
      <c r="L17" s="17">
        <v>595</v>
      </c>
      <c r="M17" s="17">
        <v>291</v>
      </c>
      <c r="N17" s="17">
        <v>187</v>
      </c>
      <c r="O17" s="17">
        <v>267</v>
      </c>
      <c r="P17" s="17">
        <v>44</v>
      </c>
      <c r="Q17" s="17">
        <v>0</v>
      </c>
      <c r="R17" s="17">
        <v>0</v>
      </c>
      <c r="S17" s="17">
        <v>0</v>
      </c>
      <c r="T17" s="17">
        <v>0</v>
      </c>
      <c r="U17" s="17">
        <v>0</v>
      </c>
      <c r="V17" s="17">
        <v>0</v>
      </c>
      <c r="W17" s="17">
        <v>0</v>
      </c>
      <c r="X17" s="17">
        <v>0</v>
      </c>
      <c r="Y17" s="17">
        <v>0</v>
      </c>
      <c r="Z17" s="17">
        <v>0</v>
      </c>
      <c r="AA17" s="17">
        <v>0</v>
      </c>
      <c r="AB17" s="17">
        <v>0</v>
      </c>
      <c r="AC17" s="17">
        <f t="shared" ref="AC17:AN17" si="17">+AB17</f>
        <v>0</v>
      </c>
      <c r="AD17" s="17">
        <f t="shared" si="17"/>
        <v>0</v>
      </c>
      <c r="AE17" s="17">
        <f t="shared" si="17"/>
        <v>0</v>
      </c>
      <c r="AF17" s="17">
        <f t="shared" si="17"/>
        <v>0</v>
      </c>
      <c r="AG17" s="17">
        <f t="shared" si="17"/>
        <v>0</v>
      </c>
      <c r="AH17" s="17">
        <f t="shared" si="17"/>
        <v>0</v>
      </c>
      <c r="AI17" s="55">
        <f>+AH17</f>
        <v>0</v>
      </c>
      <c r="AJ17" s="55">
        <f>+AI17</f>
        <v>0</v>
      </c>
      <c r="AK17" s="55">
        <f>+AJ17</f>
        <v>0</v>
      </c>
      <c r="AL17" s="55">
        <f>+AK17</f>
        <v>0</v>
      </c>
      <c r="AM17" s="55">
        <f>+AL17</f>
        <v>0</v>
      </c>
      <c r="AN17" s="55">
        <f t="shared" si="17"/>
        <v>0</v>
      </c>
      <c r="AO17" s="18"/>
      <c r="AP17" s="46"/>
      <c r="AQ17" s="18"/>
      <c r="AR17" s="18"/>
      <c r="AS17" s="18"/>
      <c r="AT17" s="18"/>
      <c r="AU17" s="18"/>
      <c r="AV17" s="18"/>
      <c r="AW17" s="18"/>
    </row>
    <row r="18" spans="1:49" s="16" customFormat="1">
      <c r="A18" s="16" t="s">
        <v>120</v>
      </c>
      <c r="B18" s="17">
        <v>1100</v>
      </c>
      <c r="C18" s="17">
        <v>1195</v>
      </c>
      <c r="D18" s="17">
        <v>1433</v>
      </c>
      <c r="E18" s="17">
        <v>1653</v>
      </c>
      <c r="F18" s="17">
        <v>1847</v>
      </c>
      <c r="G18" s="17">
        <v>1972.6000000000001</v>
      </c>
      <c r="H18" s="17">
        <v>2097.8000000000002</v>
      </c>
      <c r="I18" s="17">
        <v>2732.2918918918917</v>
      </c>
      <c r="J18" s="17">
        <v>2215.6000000000004</v>
      </c>
      <c r="K18" s="17">
        <v>2339</v>
      </c>
      <c r="L18" s="17">
        <v>2992</v>
      </c>
      <c r="M18" s="17">
        <v>3399</v>
      </c>
      <c r="N18" s="17">
        <v>3181</v>
      </c>
      <c r="O18" s="17">
        <v>2832</v>
      </c>
      <c r="P18" s="17">
        <v>2892</v>
      </c>
      <c r="Q18" s="17">
        <v>3024</v>
      </c>
      <c r="R18" s="17">
        <v>2624</v>
      </c>
      <c r="S18" s="17">
        <v>2675</v>
      </c>
      <c r="T18" s="17">
        <v>2080</v>
      </c>
      <c r="U18" s="17">
        <v>2929</v>
      </c>
      <c r="V18" s="17">
        <v>2405</v>
      </c>
      <c r="W18" s="17">
        <v>2671</v>
      </c>
      <c r="X18" s="17">
        <v>1562</v>
      </c>
      <c r="Y18" s="17">
        <v>1357</v>
      </c>
      <c r="Z18" s="17">
        <v>737</v>
      </c>
      <c r="AA18" s="17">
        <v>508</v>
      </c>
      <c r="AB18" s="17">
        <v>518</v>
      </c>
      <c r="AC18" s="17">
        <v>885</v>
      </c>
      <c r="AD18" s="17">
        <v>797</v>
      </c>
      <c r="AE18" s="17">
        <v>-97</v>
      </c>
      <c r="AF18" s="17">
        <v>325</v>
      </c>
      <c r="AG18" s="17">
        <v>1147</v>
      </c>
      <c r="AH18" s="17">
        <v>845</v>
      </c>
      <c r="AI18" s="17">
        <f>Driver!AI38</f>
        <v>705.54597332404614</v>
      </c>
      <c r="AJ18" s="17">
        <f>Driver!AJ38</f>
        <v>705.51840684263561</v>
      </c>
      <c r="AK18" s="17">
        <f>Driver!AK38</f>
        <v>705.51840684263561</v>
      </c>
      <c r="AL18" s="17">
        <f>Driver!AL38</f>
        <v>705.51840684263561</v>
      </c>
      <c r="AM18" s="17">
        <f>Driver!AM38</f>
        <v>705.51840684263561</v>
      </c>
      <c r="AN18" s="17">
        <f>Driver!AN38</f>
        <v>705.51840684263561</v>
      </c>
      <c r="AO18" s="18"/>
      <c r="AP18" s="46"/>
      <c r="AQ18" s="18"/>
      <c r="AR18" s="18"/>
      <c r="AS18" s="18"/>
      <c r="AT18" s="18"/>
      <c r="AU18" s="18"/>
      <c r="AV18" s="18"/>
      <c r="AW18" s="18"/>
    </row>
    <row r="19" spans="1:49" s="16" customFormat="1">
      <c r="A19" s="16" t="s">
        <v>121</v>
      </c>
      <c r="B19" s="17">
        <v>0</v>
      </c>
      <c r="C19" s="17">
        <v>0</v>
      </c>
      <c r="D19" s="17">
        <v>0</v>
      </c>
      <c r="E19" s="17">
        <v>0</v>
      </c>
      <c r="F19" s="17">
        <v>0</v>
      </c>
      <c r="G19" s="17">
        <v>0</v>
      </c>
      <c r="H19" s="17">
        <v>15</v>
      </c>
      <c r="I19" s="17">
        <v>7</v>
      </c>
      <c r="J19" s="17">
        <v>-895.36527326956525</v>
      </c>
      <c r="K19" s="17">
        <v>14</v>
      </c>
      <c r="L19" s="17">
        <v>30</v>
      </c>
      <c r="M19" s="17">
        <v>102</v>
      </c>
      <c r="N19" s="17">
        <v>236</v>
      </c>
      <c r="O19" s="17">
        <v>140</v>
      </c>
      <c r="P19" s="17">
        <v>114</v>
      </c>
      <c r="Q19" s="17">
        <v>1</v>
      </c>
      <c r="R19" s="17">
        <v>-27</v>
      </c>
      <c r="S19" s="17">
        <v>-354</v>
      </c>
      <c r="T19" s="17">
        <v>813</v>
      </c>
      <c r="U19" s="17">
        <v>681</v>
      </c>
      <c r="V19" s="17">
        <v>579</v>
      </c>
      <c r="W19" s="17">
        <v>612</v>
      </c>
      <c r="X19" s="17">
        <v>796</v>
      </c>
      <c r="Y19" s="17">
        <v>888</v>
      </c>
      <c r="Z19" s="17">
        <v>904</v>
      </c>
      <c r="AA19" s="17">
        <v>950</v>
      </c>
      <c r="AB19" s="17">
        <v>1818</v>
      </c>
      <c r="AC19" s="17">
        <v>1828</v>
      </c>
      <c r="AD19" s="17">
        <v>1725</v>
      </c>
      <c r="AE19" s="17">
        <v>2071</v>
      </c>
      <c r="AF19" s="17">
        <v>2135</v>
      </c>
      <c r="AG19" s="17">
        <v>2049</v>
      </c>
      <c r="AH19" s="17">
        <v>1810</v>
      </c>
      <c r="AI19" s="17">
        <f>Driver!AI39</f>
        <v>1501.7668647379999</v>
      </c>
      <c r="AJ19" s="17">
        <f>Driver!AJ39</f>
        <v>1543.6403499999997</v>
      </c>
      <c r="AK19" s="17">
        <f>Driver!AK39</f>
        <v>1543.6403499999997</v>
      </c>
      <c r="AL19" s="17">
        <f>Driver!AL39</f>
        <v>1543.6403499999997</v>
      </c>
      <c r="AM19" s="17">
        <f>Driver!AM39</f>
        <v>1543.6403499999997</v>
      </c>
      <c r="AN19" s="17">
        <f>Driver!AN39</f>
        <v>1543.6403499999997</v>
      </c>
      <c r="AO19" s="18"/>
      <c r="AP19" s="46"/>
      <c r="AQ19" s="18"/>
      <c r="AR19" s="18"/>
      <c r="AS19" s="18"/>
      <c r="AT19" s="18"/>
      <c r="AU19" s="18"/>
      <c r="AV19" s="18"/>
      <c r="AW19" s="18"/>
    </row>
    <row r="20" spans="1:49" s="19" customFormat="1">
      <c r="A20" s="19" t="s">
        <v>106</v>
      </c>
      <c r="B20" s="20">
        <f>SUM(B15:B19)</f>
        <v>3978</v>
      </c>
      <c r="C20" s="20">
        <f t="shared" ref="C20:Y20" si="18">SUM(C15:C19)</f>
        <v>4456</v>
      </c>
      <c r="D20" s="20">
        <f t="shared" si="18"/>
        <v>4805</v>
      </c>
      <c r="E20" s="20">
        <f t="shared" si="18"/>
        <v>6448</v>
      </c>
      <c r="F20" s="20">
        <f t="shared" si="18"/>
        <v>5712</v>
      </c>
      <c r="G20" s="20">
        <f t="shared" si="18"/>
        <v>6101.0000000000009</v>
      </c>
      <c r="H20" s="20">
        <f t="shared" si="18"/>
        <v>8673.8520500345221</v>
      </c>
      <c r="I20" s="20">
        <f t="shared" si="18"/>
        <v>9199.8158929999991</v>
      </c>
      <c r="J20" s="20">
        <f t="shared" si="18"/>
        <v>7239.6</v>
      </c>
      <c r="K20" s="20">
        <f t="shared" si="18"/>
        <v>8603.6</v>
      </c>
      <c r="L20" s="20">
        <f t="shared" si="18"/>
        <v>8553.2000000000007</v>
      </c>
      <c r="M20" s="20">
        <f t="shared" si="18"/>
        <v>10038.732969993122</v>
      </c>
      <c r="N20" s="20">
        <f t="shared" si="18"/>
        <v>11412</v>
      </c>
      <c r="O20" s="20">
        <f t="shared" si="18"/>
        <v>12000</v>
      </c>
      <c r="P20" s="20">
        <f t="shared" si="18"/>
        <v>15217</v>
      </c>
      <c r="Q20" s="20">
        <f t="shared" si="18"/>
        <v>16329</v>
      </c>
      <c r="R20" s="20">
        <f t="shared" si="18"/>
        <v>15904</v>
      </c>
      <c r="S20" s="20">
        <f t="shared" si="18"/>
        <v>13262</v>
      </c>
      <c r="T20" s="20">
        <f t="shared" si="18"/>
        <v>15290</v>
      </c>
      <c r="U20" s="20">
        <f t="shared" si="18"/>
        <v>16798</v>
      </c>
      <c r="V20" s="20">
        <f t="shared" si="18"/>
        <v>16085</v>
      </c>
      <c r="W20" s="20">
        <f t="shared" si="18"/>
        <v>12189</v>
      </c>
      <c r="X20" s="20">
        <f t="shared" si="18"/>
        <v>17253</v>
      </c>
      <c r="Y20" s="20">
        <f t="shared" si="18"/>
        <v>24265</v>
      </c>
      <c r="Z20" s="20">
        <f t="shared" ref="Z20:AH20" si="19">SUM(Z15:Z19)</f>
        <v>18787</v>
      </c>
      <c r="AA20" s="20">
        <f t="shared" si="19"/>
        <v>20156</v>
      </c>
      <c r="AB20" s="20">
        <f t="shared" si="19"/>
        <v>20498</v>
      </c>
      <c r="AC20" s="20">
        <f t="shared" si="19"/>
        <v>10362</v>
      </c>
      <c r="AD20" s="20">
        <f t="shared" si="19"/>
        <v>17238</v>
      </c>
      <c r="AE20" s="20">
        <f t="shared" si="19"/>
        <v>13075</v>
      </c>
      <c r="AF20" s="20">
        <f t="shared" si="19"/>
        <v>3432</v>
      </c>
      <c r="AG20" s="20">
        <f t="shared" si="19"/>
        <v>12512</v>
      </c>
      <c r="AH20" s="20">
        <f t="shared" si="19"/>
        <v>17558</v>
      </c>
      <c r="AI20" s="20">
        <f t="shared" ref="AI20:AN20" si="20">AI22-AI21</f>
        <v>17080.546995622659</v>
      </c>
      <c r="AJ20" s="20">
        <f t="shared" si="20"/>
        <v>17926.475565759894</v>
      </c>
      <c r="AK20" s="20">
        <f t="shared" si="20"/>
        <v>18544.878339046631</v>
      </c>
      <c r="AL20" s="20">
        <f t="shared" si="20"/>
        <v>19064.201423708117</v>
      </c>
      <c r="AM20" s="20">
        <f t="shared" si="20"/>
        <v>19568.92253822221</v>
      </c>
      <c r="AN20" s="20">
        <f t="shared" si="20"/>
        <v>20075.186486050246</v>
      </c>
      <c r="AO20" s="18"/>
      <c r="AP20" s="46"/>
      <c r="AQ20" s="18"/>
      <c r="AR20" s="18"/>
      <c r="AS20" s="18"/>
      <c r="AT20" s="18"/>
      <c r="AU20" s="18"/>
      <c r="AV20" s="18"/>
      <c r="AW20" s="18"/>
    </row>
    <row r="21" spans="1:49" s="16" customFormat="1">
      <c r="A21" s="16" t="s">
        <v>421</v>
      </c>
      <c r="B21" s="17">
        <v>-67</v>
      </c>
      <c r="C21" s="17">
        <v>-48</v>
      </c>
      <c r="D21" s="17">
        <v>-16</v>
      </c>
      <c r="E21" s="17">
        <v>-48</v>
      </c>
      <c r="F21" s="17">
        <v>-50</v>
      </c>
      <c r="G21" s="17">
        <v>565</v>
      </c>
      <c r="H21" s="17">
        <v>973</v>
      </c>
      <c r="I21" s="17">
        <v>612</v>
      </c>
      <c r="J21" s="17">
        <v>-94</v>
      </c>
      <c r="K21" s="17">
        <v>-158</v>
      </c>
      <c r="L21" s="17">
        <v>-156</v>
      </c>
      <c r="M21" s="17">
        <v>-640.22069271758437</v>
      </c>
      <c r="N21" s="17">
        <v>-983</v>
      </c>
      <c r="O21" s="17">
        <v>-1489</v>
      </c>
      <c r="P21" s="17">
        <v>-4624</v>
      </c>
      <c r="Q21" s="17">
        <v>-4881</v>
      </c>
      <c r="R21" s="17">
        <v>-4121</v>
      </c>
      <c r="S21" s="17">
        <v>-3408</v>
      </c>
      <c r="T21" s="17">
        <v>-4111</v>
      </c>
      <c r="U21" s="17">
        <v>-5859</v>
      </c>
      <c r="V21" s="17">
        <v>-6101</v>
      </c>
      <c r="W21" s="17">
        <v>-6349</v>
      </c>
      <c r="X21" s="17">
        <v>-4049</v>
      </c>
      <c r="Y21" s="17">
        <v>-3936</v>
      </c>
      <c r="Z21" s="17">
        <v>-2124</v>
      </c>
      <c r="AA21" s="17">
        <f>-2180+151</f>
        <v>-2029</v>
      </c>
      <c r="AB21" s="17">
        <f>-2049+192</f>
        <v>-1857</v>
      </c>
      <c r="AC21" s="17">
        <f>-1983+162</f>
        <v>-1821</v>
      </c>
      <c r="AD21" s="17">
        <f>-1873+136</f>
        <v>-1737</v>
      </c>
      <c r="AE21" s="17">
        <f>-1744+108</f>
        <v>-1636</v>
      </c>
      <c r="AF21" s="17">
        <f>-2085+243</f>
        <v>-1842</v>
      </c>
      <c r="AG21" s="17">
        <f>-2139+270</f>
        <v>-1869</v>
      </c>
      <c r="AH21" s="17">
        <f>+-2254+235</f>
        <v>-2019</v>
      </c>
      <c r="AI21" s="17">
        <f>Driver!AI106</f>
        <v>-1913.858812169583</v>
      </c>
      <c r="AJ21" s="17">
        <f>Driver!AJ106</f>
        <v>-1824.1634507138988</v>
      </c>
      <c r="AK21" s="17">
        <f>Driver!AK106</f>
        <v>-1858.2521392119243</v>
      </c>
      <c r="AL21" s="17">
        <f>Driver!AL106</f>
        <v>-1882.3671797957927</v>
      </c>
      <c r="AM21" s="17">
        <f>Driver!AM106</f>
        <v>-1882.3671797957927</v>
      </c>
      <c r="AN21" s="17">
        <f>Driver!AN106</f>
        <v>-1882.3671797957927</v>
      </c>
      <c r="AO21" s="18"/>
      <c r="AP21" s="46"/>
      <c r="AQ21" s="18"/>
      <c r="AR21" s="18"/>
      <c r="AS21" s="18"/>
      <c r="AT21" s="18"/>
      <c r="AU21" s="18"/>
      <c r="AV21" s="18"/>
      <c r="AW21" s="18"/>
    </row>
    <row r="22" spans="1:49" s="19" customFormat="1">
      <c r="A22" s="19" t="s">
        <v>122</v>
      </c>
      <c r="B22" s="20">
        <f>B20+B21</f>
        <v>3911</v>
      </c>
      <c r="C22" s="20">
        <f t="shared" ref="C22:Y22" si="21">C20+C21</f>
        <v>4408</v>
      </c>
      <c r="D22" s="20">
        <f t="shared" si="21"/>
        <v>4789</v>
      </c>
      <c r="E22" s="20">
        <f t="shared" si="21"/>
        <v>6400</v>
      </c>
      <c r="F22" s="20">
        <f t="shared" si="21"/>
        <v>5662</v>
      </c>
      <c r="G22" s="20">
        <f t="shared" si="21"/>
        <v>6666.0000000000009</v>
      </c>
      <c r="H22" s="20">
        <f t="shared" si="21"/>
        <v>9646.8520500345221</v>
      </c>
      <c r="I22" s="20">
        <f t="shared" si="21"/>
        <v>9811.8158929999991</v>
      </c>
      <c r="J22" s="20">
        <f t="shared" si="21"/>
        <v>7145.6</v>
      </c>
      <c r="K22" s="20">
        <f t="shared" si="21"/>
        <v>8445.6</v>
      </c>
      <c r="L22" s="20">
        <f t="shared" si="21"/>
        <v>8397.2000000000007</v>
      </c>
      <c r="M22" s="20">
        <f t="shared" si="21"/>
        <v>9398.5122772755367</v>
      </c>
      <c r="N22" s="20">
        <f t="shared" si="21"/>
        <v>10429</v>
      </c>
      <c r="O22" s="20">
        <f t="shared" si="21"/>
        <v>10511</v>
      </c>
      <c r="P22" s="20">
        <f t="shared" si="21"/>
        <v>10593</v>
      </c>
      <c r="Q22" s="20">
        <f t="shared" si="21"/>
        <v>11448</v>
      </c>
      <c r="R22" s="20">
        <f t="shared" si="21"/>
        <v>11783</v>
      </c>
      <c r="S22" s="20">
        <f t="shared" si="21"/>
        <v>9854</v>
      </c>
      <c r="T22" s="20">
        <f t="shared" si="21"/>
        <v>11179</v>
      </c>
      <c r="U22" s="20">
        <f t="shared" si="21"/>
        <v>10939</v>
      </c>
      <c r="V22" s="20">
        <f t="shared" si="21"/>
        <v>9984</v>
      </c>
      <c r="W22" s="20">
        <f t="shared" si="21"/>
        <v>5840</v>
      </c>
      <c r="X22" s="20">
        <f t="shared" si="21"/>
        <v>13204</v>
      </c>
      <c r="Y22" s="20">
        <f t="shared" si="21"/>
        <v>20329</v>
      </c>
      <c r="Z22" s="20">
        <f t="shared" ref="Z22:AF22" si="22">Z20+Z21</f>
        <v>16663</v>
      </c>
      <c r="AA22" s="20">
        <f t="shared" si="22"/>
        <v>18127</v>
      </c>
      <c r="AB22" s="20">
        <f t="shared" si="22"/>
        <v>18641</v>
      </c>
      <c r="AC22" s="20">
        <f t="shared" si="22"/>
        <v>8541</v>
      </c>
      <c r="AD22" s="20">
        <f t="shared" si="22"/>
        <v>15501</v>
      </c>
      <c r="AE22" s="20">
        <f t="shared" si="22"/>
        <v>11439</v>
      </c>
      <c r="AF22" s="20">
        <f t="shared" si="22"/>
        <v>1590</v>
      </c>
      <c r="AG22" s="20">
        <f t="shared" ref="AG22:AH22" si="23">AG20+AG21</f>
        <v>10643</v>
      </c>
      <c r="AH22" s="20">
        <f t="shared" si="23"/>
        <v>15539</v>
      </c>
      <c r="AI22" s="20">
        <f t="shared" ref="AI22:AN22" si="24">AI24-AI23</f>
        <v>15166.688183453078</v>
      </c>
      <c r="AJ22" s="20">
        <f t="shared" si="24"/>
        <v>16102.312115045994</v>
      </c>
      <c r="AK22" s="20">
        <f t="shared" si="24"/>
        <v>16686.626199834707</v>
      </c>
      <c r="AL22" s="20">
        <f t="shared" si="24"/>
        <v>17181.834243912323</v>
      </c>
      <c r="AM22" s="20">
        <f t="shared" si="24"/>
        <v>17686.555358426416</v>
      </c>
      <c r="AN22" s="20">
        <f t="shared" si="24"/>
        <v>18192.819306254452</v>
      </c>
      <c r="AO22" s="18"/>
      <c r="AP22" s="46"/>
      <c r="AQ22" s="18"/>
      <c r="AR22" s="18"/>
      <c r="AS22" s="18"/>
      <c r="AT22" s="18"/>
      <c r="AU22" s="18"/>
      <c r="AV22" s="18"/>
      <c r="AW22" s="18"/>
    </row>
    <row r="23" spans="1:49" s="16" customFormat="1">
      <c r="A23" s="16" t="s">
        <v>108</v>
      </c>
      <c r="B23" s="17">
        <v>-738</v>
      </c>
      <c r="C23" s="17">
        <v>-856</v>
      </c>
      <c r="D23" s="17">
        <v>-583</v>
      </c>
      <c r="E23" s="17">
        <v>-726</v>
      </c>
      <c r="F23" s="17">
        <v>-826</v>
      </c>
      <c r="G23" s="17">
        <v>-892</v>
      </c>
      <c r="H23" s="17">
        <v>-1509</v>
      </c>
      <c r="I23" s="17">
        <v>-1483</v>
      </c>
      <c r="J23" s="17">
        <v>-1378</v>
      </c>
      <c r="K23" s="17">
        <v>-1189</v>
      </c>
      <c r="L23" s="17">
        <v>-1293</v>
      </c>
      <c r="M23" s="17">
        <v>-1712</v>
      </c>
      <c r="N23" s="17">
        <v>-1815</v>
      </c>
      <c r="O23" s="17">
        <v>922</v>
      </c>
      <c r="P23" s="17">
        <v>-683</v>
      </c>
      <c r="Q23" s="17">
        <v>-837</v>
      </c>
      <c r="R23" s="17">
        <v>-1349</v>
      </c>
      <c r="S23" s="17">
        <v>-1665</v>
      </c>
      <c r="T23" s="17">
        <v>-844</v>
      </c>
      <c r="U23" s="17">
        <v>-1650</v>
      </c>
      <c r="V23" s="17">
        <v>-1692</v>
      </c>
      <c r="W23" s="17">
        <v>232</v>
      </c>
      <c r="X23" s="17">
        <v>-1268</v>
      </c>
      <c r="Y23" s="17">
        <v>-3580</v>
      </c>
      <c r="Z23" s="17">
        <v>-2855</v>
      </c>
      <c r="AA23" s="17">
        <v>-2780</v>
      </c>
      <c r="AB23" s="17">
        <v>-4014</v>
      </c>
      <c r="AC23" s="17">
        <v>-2787</v>
      </c>
      <c r="AD23" s="17">
        <v>-2993</v>
      </c>
      <c r="AE23" s="17">
        <v>-1965</v>
      </c>
      <c r="AF23" s="17">
        <v>-103</v>
      </c>
      <c r="AG23" s="17">
        <v>-2973</v>
      </c>
      <c r="AH23" s="17">
        <v>-2821</v>
      </c>
      <c r="AI23" s="17">
        <f>Driver!AI48</f>
        <v>-2901.1357307292401</v>
      </c>
      <c r="AJ23" s="17">
        <f>Driver!AJ48</f>
        <v>-3092.4598039750058</v>
      </c>
      <c r="AK23" s="17">
        <f>Driver!AK48</f>
        <v>-3244.3778109403829</v>
      </c>
      <c r="AL23" s="17">
        <f>Driver!AL48</f>
        <v>-3404.047681315461</v>
      </c>
      <c r="AM23" s="17">
        <f>Driver!AM48</f>
        <v>-3578.6410212729143</v>
      </c>
      <c r="AN23" s="17">
        <f>Driver!AN48</f>
        <v>-3763.160651672722</v>
      </c>
      <c r="AO23" s="18"/>
      <c r="AP23" s="46"/>
      <c r="AQ23" s="18"/>
      <c r="AR23" s="18"/>
      <c r="AS23" s="18"/>
      <c r="AT23" s="18"/>
      <c r="AU23" s="18"/>
      <c r="AV23" s="18"/>
      <c r="AW23" s="18"/>
    </row>
    <row r="24" spans="1:49" s="16" customFormat="1">
      <c r="A24" s="25" t="s">
        <v>509</v>
      </c>
      <c r="B24" s="26">
        <f>B22+B23</f>
        <v>3173</v>
      </c>
      <c r="C24" s="26">
        <f t="shared" ref="C24:AF24" si="25">C22+C23</f>
        <v>3552</v>
      </c>
      <c r="D24" s="26">
        <f t="shared" si="25"/>
        <v>4206</v>
      </c>
      <c r="E24" s="26">
        <f t="shared" si="25"/>
        <v>5674</v>
      </c>
      <c r="F24" s="26">
        <f t="shared" si="25"/>
        <v>4836</v>
      </c>
      <c r="G24" s="26">
        <f t="shared" si="25"/>
        <v>5774.0000000000009</v>
      </c>
      <c r="H24" s="26">
        <f t="shared" si="25"/>
        <v>8137.8520500345221</v>
      </c>
      <c r="I24" s="26">
        <f t="shared" si="25"/>
        <v>8328.8158929999991</v>
      </c>
      <c r="J24" s="26">
        <f t="shared" si="25"/>
        <v>5767.6</v>
      </c>
      <c r="K24" s="26">
        <f t="shared" si="25"/>
        <v>7256.6</v>
      </c>
      <c r="L24" s="26">
        <f t="shared" si="25"/>
        <v>7104.2000000000007</v>
      </c>
      <c r="M24" s="26">
        <f t="shared" si="25"/>
        <v>7686.5122772755367</v>
      </c>
      <c r="N24" s="26">
        <f t="shared" si="25"/>
        <v>8614</v>
      </c>
      <c r="O24" s="26">
        <f t="shared" si="25"/>
        <v>11433</v>
      </c>
      <c r="P24" s="26">
        <f t="shared" si="25"/>
        <v>9910</v>
      </c>
      <c r="Q24" s="26">
        <f t="shared" si="25"/>
        <v>10611</v>
      </c>
      <c r="R24" s="26">
        <f t="shared" si="25"/>
        <v>10434</v>
      </c>
      <c r="S24" s="26">
        <f t="shared" si="25"/>
        <v>8189</v>
      </c>
      <c r="T24" s="26">
        <f t="shared" si="25"/>
        <v>10335</v>
      </c>
      <c r="U24" s="26">
        <f t="shared" si="25"/>
        <v>9289</v>
      </c>
      <c r="V24" s="26">
        <f t="shared" si="25"/>
        <v>8292</v>
      </c>
      <c r="W24" s="26">
        <f t="shared" si="25"/>
        <v>6072</v>
      </c>
      <c r="X24" s="26">
        <f t="shared" si="25"/>
        <v>11936</v>
      </c>
      <c r="Y24" s="26">
        <f t="shared" si="25"/>
        <v>16749</v>
      </c>
      <c r="Z24" s="26">
        <f t="shared" si="25"/>
        <v>13808</v>
      </c>
      <c r="AA24" s="26">
        <f t="shared" si="25"/>
        <v>15347</v>
      </c>
      <c r="AB24" s="26">
        <f t="shared" si="25"/>
        <v>14627</v>
      </c>
      <c r="AC24" s="26">
        <f t="shared" si="25"/>
        <v>5754</v>
      </c>
      <c r="AD24" s="26">
        <f t="shared" si="25"/>
        <v>12508</v>
      </c>
      <c r="AE24" s="26">
        <f t="shared" si="25"/>
        <v>9474</v>
      </c>
      <c r="AF24" s="26">
        <f t="shared" si="25"/>
        <v>1487</v>
      </c>
      <c r="AG24" s="26">
        <f t="shared" ref="AG24:AH24" si="26">AG22+AG23</f>
        <v>7670</v>
      </c>
      <c r="AH24" s="26">
        <f t="shared" si="26"/>
        <v>12718</v>
      </c>
      <c r="AI24" s="26">
        <f t="shared" ref="AI24:AN24" si="27">AI27-AI25-AI26</f>
        <v>12265.552452723838</v>
      </c>
      <c r="AJ24" s="26">
        <f t="shared" si="27"/>
        <v>13009.852311070988</v>
      </c>
      <c r="AK24" s="26">
        <f t="shared" si="27"/>
        <v>13442.248388894324</v>
      </c>
      <c r="AL24" s="26">
        <f t="shared" si="27"/>
        <v>13777.786562596862</v>
      </c>
      <c r="AM24" s="26">
        <f t="shared" si="27"/>
        <v>14107.914337153501</v>
      </c>
      <c r="AN24" s="26">
        <f t="shared" si="27"/>
        <v>14429.658654581732</v>
      </c>
      <c r="AO24" s="18"/>
      <c r="AP24" s="46"/>
      <c r="AQ24" s="18"/>
      <c r="AR24" s="18"/>
      <c r="AS24" s="18"/>
      <c r="AT24" s="18"/>
      <c r="AU24" s="18"/>
      <c r="AV24" s="18"/>
      <c r="AW24" s="18"/>
    </row>
    <row r="25" spans="1:49" s="16" customFormat="1">
      <c r="A25" s="16" t="s">
        <v>109</v>
      </c>
      <c r="B25" s="17">
        <v>0</v>
      </c>
      <c r="C25" s="17">
        <v>0</v>
      </c>
      <c r="D25" s="17">
        <v>0</v>
      </c>
      <c r="E25" s="17">
        <v>0</v>
      </c>
      <c r="F25" s="17">
        <v>0</v>
      </c>
      <c r="G25" s="17">
        <v>0</v>
      </c>
      <c r="H25" s="17">
        <v>0</v>
      </c>
      <c r="I25" s="17">
        <v>0</v>
      </c>
      <c r="J25" s="17">
        <v>0</v>
      </c>
      <c r="K25" s="17">
        <v>0</v>
      </c>
      <c r="L25" s="17">
        <v>0</v>
      </c>
      <c r="M25" s="17">
        <v>0</v>
      </c>
      <c r="N25" s="17">
        <v>0</v>
      </c>
      <c r="O25" s="17">
        <v>1</v>
      </c>
      <c r="P25" s="27">
        <v>-10</v>
      </c>
      <c r="Q25" s="28">
        <v>-3</v>
      </c>
      <c r="R25" s="27">
        <v>-11</v>
      </c>
      <c r="S25" s="27">
        <v>7</v>
      </c>
      <c r="T25" s="27">
        <v>-3</v>
      </c>
      <c r="U25" s="27">
        <v>-1</v>
      </c>
      <c r="V25" s="27">
        <v>20</v>
      </c>
      <c r="W25" s="27">
        <v>-12</v>
      </c>
      <c r="X25" s="28">
        <f>-563</f>
        <v>-563</v>
      </c>
      <c r="Y25" s="28">
        <f>-846</f>
        <v>-846</v>
      </c>
      <c r="Z25" s="28">
        <f>-850</f>
        <v>-850</v>
      </c>
      <c r="AA25" s="28">
        <v>-849</v>
      </c>
      <c r="AB25" s="28">
        <v>-827</v>
      </c>
      <c r="AC25" s="28">
        <v>-885</v>
      </c>
      <c r="AD25" s="17">
        <v>-914</v>
      </c>
      <c r="AE25" s="28">
        <v>-845</v>
      </c>
      <c r="AF25" s="28">
        <v>-424</v>
      </c>
      <c r="AG25" s="28">
        <v>-876</v>
      </c>
      <c r="AH25" s="28">
        <v>-840</v>
      </c>
      <c r="AI25" s="28">
        <f>-SOC!AI40*30%+CN!AI17+India!AI18</f>
        <v>-1014.8662688670912</v>
      </c>
      <c r="AJ25" s="28">
        <f>-SOC!AJ40*30%+CN!AJ17+India!AJ18</f>
        <v>-1055.2076018418707</v>
      </c>
      <c r="AK25" s="28">
        <f>-SOC!AK40*30%+CN!AK17+India!AK18</f>
        <v>-1069.4378376899085</v>
      </c>
      <c r="AL25" s="28">
        <f>-SOC!AL40*30%+CN!AL17+India!AL18</f>
        <v>-1081.6767769352361</v>
      </c>
      <c r="AM25" s="28">
        <f>-SOC!AM40*30%+CN!AM17+India!AM18</f>
        <v>-1092.9105422731186</v>
      </c>
      <c r="AN25" s="28">
        <f>-SOC!AN40*30%+CN!AN17+India!AN18</f>
        <v>-1102.8613923479918</v>
      </c>
      <c r="AO25" s="18"/>
      <c r="AP25" s="46"/>
      <c r="AQ25" s="18"/>
      <c r="AR25" s="18"/>
      <c r="AS25" s="18"/>
      <c r="AT25" s="18"/>
      <c r="AU25" s="18"/>
      <c r="AV25" s="18"/>
      <c r="AW25" s="18"/>
    </row>
    <row r="26" spans="1:49" s="16" customFormat="1">
      <c r="A26" s="16" t="s">
        <v>510</v>
      </c>
      <c r="B26" s="17">
        <v>0</v>
      </c>
      <c r="C26" s="17">
        <v>0</v>
      </c>
      <c r="D26" s="17">
        <v>0</v>
      </c>
      <c r="E26" s="17">
        <v>0</v>
      </c>
      <c r="F26" s="17">
        <v>0</v>
      </c>
      <c r="G26" s="17">
        <v>0</v>
      </c>
      <c r="H26" s="17">
        <v>0</v>
      </c>
      <c r="I26" s="17">
        <v>0</v>
      </c>
      <c r="J26" s="17">
        <v>0</v>
      </c>
      <c r="K26" s="17">
        <v>0</v>
      </c>
      <c r="L26" s="17">
        <v>0</v>
      </c>
      <c r="M26" s="17">
        <v>0</v>
      </c>
      <c r="N26" s="17">
        <v>0</v>
      </c>
      <c r="O26" s="17">
        <v>0</v>
      </c>
      <c r="P26" s="17">
        <v>0</v>
      </c>
      <c r="Q26" s="17">
        <v>0</v>
      </c>
      <c r="R26" s="17">
        <v>0</v>
      </c>
      <c r="S26" s="17">
        <v>0</v>
      </c>
      <c r="T26" s="17">
        <v>0</v>
      </c>
      <c r="U26" s="17">
        <v>0</v>
      </c>
      <c r="V26" s="17">
        <v>0</v>
      </c>
      <c r="W26" s="17">
        <v>0</v>
      </c>
      <c r="X26" s="28">
        <v>-152</v>
      </c>
      <c r="Y26" s="28">
        <v>-247</v>
      </c>
      <c r="Z26" s="28">
        <v>-247</v>
      </c>
      <c r="AA26" s="28">
        <v>-249</v>
      </c>
      <c r="AB26" s="28">
        <v>-250</v>
      </c>
      <c r="AC26" s="28">
        <v>-212</v>
      </c>
      <c r="AD26" s="17">
        <v>-138</v>
      </c>
      <c r="AE26" s="17">
        <v>-138</v>
      </c>
      <c r="AF26" s="28">
        <v>-139</v>
      </c>
      <c r="AG26" s="28">
        <v>-139</v>
      </c>
      <c r="AH26" s="28">
        <v>-136</v>
      </c>
      <c r="AI26" s="83">
        <f>AH26</f>
        <v>-136</v>
      </c>
      <c r="AJ26" s="83">
        <f>AI26</f>
        <v>-136</v>
      </c>
      <c r="AK26" s="83">
        <f>AJ26</f>
        <v>-136</v>
      </c>
      <c r="AL26" s="83">
        <f>AK26</f>
        <v>-136</v>
      </c>
      <c r="AM26" s="83">
        <f>AL26</f>
        <v>-136</v>
      </c>
      <c r="AN26" s="83">
        <f t="shared" ref="AN26" si="28">AM26</f>
        <v>-136</v>
      </c>
      <c r="AO26" s="18"/>
      <c r="AP26" s="46"/>
      <c r="AQ26" s="18"/>
      <c r="AR26" s="18"/>
      <c r="AS26" s="18"/>
      <c r="AT26" s="18"/>
      <c r="AU26" s="18"/>
      <c r="AV26" s="18"/>
      <c r="AW26" s="18"/>
    </row>
    <row r="27" spans="1:49" s="19" customFormat="1">
      <c r="A27" s="25" t="s">
        <v>513</v>
      </c>
      <c r="B27" s="26">
        <f>B24+B25+B26</f>
        <v>3173</v>
      </c>
      <c r="C27" s="26">
        <f t="shared" ref="C27:AF27" si="29">C24+C25+C26</f>
        <v>3552</v>
      </c>
      <c r="D27" s="26">
        <f t="shared" si="29"/>
        <v>4206</v>
      </c>
      <c r="E27" s="26">
        <f t="shared" si="29"/>
        <v>5674</v>
      </c>
      <c r="F27" s="26">
        <f t="shared" si="29"/>
        <v>4836</v>
      </c>
      <c r="G27" s="26">
        <f t="shared" si="29"/>
        <v>5774.0000000000009</v>
      </c>
      <c r="H27" s="26">
        <f t="shared" si="29"/>
        <v>8137.8520500345221</v>
      </c>
      <c r="I27" s="26">
        <f t="shared" si="29"/>
        <v>8328.8158929999991</v>
      </c>
      <c r="J27" s="26">
        <f t="shared" si="29"/>
        <v>5767.6</v>
      </c>
      <c r="K27" s="26">
        <f t="shared" si="29"/>
        <v>7256.6</v>
      </c>
      <c r="L27" s="26">
        <f t="shared" si="29"/>
        <v>7104.2000000000007</v>
      </c>
      <c r="M27" s="26">
        <f t="shared" si="29"/>
        <v>7686.5122772755367</v>
      </c>
      <c r="N27" s="26">
        <f t="shared" si="29"/>
        <v>8614</v>
      </c>
      <c r="O27" s="26">
        <f t="shared" si="29"/>
        <v>11434</v>
      </c>
      <c r="P27" s="26">
        <f t="shared" si="29"/>
        <v>9900</v>
      </c>
      <c r="Q27" s="26">
        <f t="shared" si="29"/>
        <v>10608</v>
      </c>
      <c r="R27" s="26">
        <f t="shared" si="29"/>
        <v>10423</v>
      </c>
      <c r="S27" s="26">
        <f t="shared" si="29"/>
        <v>8196</v>
      </c>
      <c r="T27" s="26">
        <f t="shared" si="29"/>
        <v>10332</v>
      </c>
      <c r="U27" s="26">
        <f t="shared" si="29"/>
        <v>9288</v>
      </c>
      <c r="V27" s="26">
        <f t="shared" si="29"/>
        <v>8312</v>
      </c>
      <c r="W27" s="26">
        <f t="shared" si="29"/>
        <v>6060</v>
      </c>
      <c r="X27" s="26">
        <f t="shared" si="29"/>
        <v>11221</v>
      </c>
      <c r="Y27" s="26">
        <f t="shared" si="29"/>
        <v>15656</v>
      </c>
      <c r="Z27" s="26">
        <f t="shared" si="29"/>
        <v>12711</v>
      </c>
      <c r="AA27" s="26">
        <f t="shared" si="29"/>
        <v>14249</v>
      </c>
      <c r="AB27" s="26">
        <f t="shared" si="29"/>
        <v>13550</v>
      </c>
      <c r="AC27" s="26">
        <f t="shared" si="29"/>
        <v>4657</v>
      </c>
      <c r="AD27" s="26">
        <f t="shared" si="29"/>
        <v>11456</v>
      </c>
      <c r="AE27" s="26">
        <f t="shared" si="29"/>
        <v>8491</v>
      </c>
      <c r="AF27" s="26">
        <f t="shared" si="29"/>
        <v>924</v>
      </c>
      <c r="AG27" s="26">
        <f t="shared" ref="AG27:AH27" si="30">AG24+AG25+AG26</f>
        <v>6655</v>
      </c>
      <c r="AH27" s="26">
        <f t="shared" si="30"/>
        <v>11742</v>
      </c>
      <c r="AI27" s="26">
        <f>AI31+SUM(AI28:AI30)</f>
        <v>11114.686183856746</v>
      </c>
      <c r="AJ27" s="26">
        <f t="shared" ref="AJ27:AN27" si="31">AJ31+SUM(AJ28:AJ30)</f>
        <v>11818.644709229118</v>
      </c>
      <c r="AK27" s="26">
        <f t="shared" si="31"/>
        <v>12236.810551204415</v>
      </c>
      <c r="AL27" s="26">
        <f t="shared" si="31"/>
        <v>12560.109785661627</v>
      </c>
      <c r="AM27" s="26">
        <f t="shared" si="31"/>
        <v>12879.003794880382</v>
      </c>
      <c r="AN27" s="26">
        <f t="shared" si="31"/>
        <v>13190.79726223374</v>
      </c>
      <c r="AO27" s="18"/>
      <c r="AP27" s="46"/>
      <c r="AQ27" s="18"/>
      <c r="AR27" s="18"/>
      <c r="AS27" s="18"/>
      <c r="AT27" s="18"/>
      <c r="AU27" s="18"/>
      <c r="AV27" s="18"/>
      <c r="AW27" s="18"/>
    </row>
    <row r="28" spans="1:49" s="29" customFormat="1">
      <c r="A28" s="29" t="s">
        <v>353</v>
      </c>
      <c r="B28" s="30"/>
      <c r="C28" s="30"/>
      <c r="D28" s="30"/>
      <c r="E28" s="30"/>
      <c r="F28" s="30"/>
      <c r="G28" s="30"/>
      <c r="H28" s="30"/>
      <c r="I28" s="30"/>
      <c r="J28" s="30"/>
      <c r="K28" s="30"/>
      <c r="L28" s="30"/>
      <c r="M28" s="30"/>
      <c r="N28" s="30">
        <v>0</v>
      </c>
      <c r="O28" s="30">
        <v>2004</v>
      </c>
      <c r="P28" s="30">
        <f>343+888-823+204</f>
        <v>612</v>
      </c>
      <c r="Q28" s="30">
        <f>1030+1146-457-299-126</f>
        <v>1294</v>
      </c>
      <c r="R28" s="30">
        <f>432+127-108+225+389-24</f>
        <v>1041</v>
      </c>
      <c r="S28" s="30">
        <f>-1-16-346-15+171+153+39-131</f>
        <v>-146</v>
      </c>
      <c r="T28" s="30">
        <v>1345</v>
      </c>
      <c r="U28" s="30">
        <v>876</v>
      </c>
      <c r="V28" s="30">
        <v>105</v>
      </c>
      <c r="W28" s="30">
        <v>600</v>
      </c>
      <c r="X28" s="30">
        <f>1953</f>
        <v>1953</v>
      </c>
      <c r="Y28" s="30">
        <v>6619</v>
      </c>
      <c r="Z28" s="30">
        <f>643-146+83</f>
        <v>580</v>
      </c>
      <c r="AA28" s="30">
        <v>0</v>
      </c>
      <c r="AB28" s="30">
        <v>0</v>
      </c>
      <c r="AC28" s="30">
        <v>0</v>
      </c>
      <c r="AD28" s="30">
        <v>0</v>
      </c>
      <c r="AE28" s="30">
        <v>0</v>
      </c>
      <c r="AF28" s="30">
        <v>0</v>
      </c>
      <c r="AG28" s="30">
        <v>0</v>
      </c>
      <c r="AH28" s="30">
        <v>0</v>
      </c>
      <c r="AI28" s="30">
        <v>0</v>
      </c>
      <c r="AJ28" s="30">
        <v>0</v>
      </c>
      <c r="AK28" s="30">
        <v>0</v>
      </c>
      <c r="AL28" s="30">
        <v>0</v>
      </c>
      <c r="AM28" s="30">
        <v>0</v>
      </c>
      <c r="AN28" s="30">
        <v>0</v>
      </c>
      <c r="AO28" s="18"/>
      <c r="AP28" s="46"/>
    </row>
    <row r="29" spans="1:49" s="29" customFormat="1">
      <c r="A29" s="29" t="s">
        <v>185</v>
      </c>
      <c r="B29" s="30"/>
      <c r="C29" s="30"/>
      <c r="D29" s="30"/>
      <c r="E29" s="30"/>
      <c r="F29" s="30"/>
      <c r="G29" s="30"/>
      <c r="H29" s="30"/>
      <c r="I29" s="30"/>
      <c r="J29" s="30">
        <f>-130-900</f>
        <v>-1030</v>
      </c>
      <c r="K29" s="30"/>
      <c r="L29" s="30"/>
      <c r="M29" s="30"/>
      <c r="N29" s="30">
        <v>0</v>
      </c>
      <c r="O29" s="30"/>
      <c r="P29" s="30"/>
      <c r="Q29" s="30"/>
      <c r="R29" s="30"/>
      <c r="S29" s="30"/>
      <c r="T29" s="30">
        <v>-258</v>
      </c>
      <c r="U29" s="30">
        <v>-2125</v>
      </c>
      <c r="V29" s="30">
        <v>-409</v>
      </c>
      <c r="W29" s="30">
        <v>-372</v>
      </c>
      <c r="X29" s="30">
        <v>-158</v>
      </c>
      <c r="Y29" s="30">
        <v>-243</v>
      </c>
      <c r="Z29" s="30">
        <v>-174</v>
      </c>
      <c r="AA29" s="30">
        <v>0</v>
      </c>
      <c r="AB29" s="30">
        <v>0</v>
      </c>
      <c r="AC29" s="30">
        <v>0</v>
      </c>
      <c r="AD29" s="30">
        <v>0</v>
      </c>
      <c r="AE29" s="30">
        <v>0</v>
      </c>
      <c r="AF29" s="30">
        <v>0</v>
      </c>
      <c r="AG29" s="30">
        <v>0</v>
      </c>
      <c r="AH29" s="30">
        <v>0</v>
      </c>
      <c r="AI29" s="30">
        <v>0</v>
      </c>
      <c r="AJ29" s="30">
        <v>0</v>
      </c>
      <c r="AK29" s="30">
        <v>0</v>
      </c>
      <c r="AL29" s="30">
        <v>0</v>
      </c>
      <c r="AM29" s="30">
        <v>0</v>
      </c>
      <c r="AN29" s="30">
        <v>0</v>
      </c>
      <c r="AO29" s="18"/>
      <c r="AP29" s="46"/>
    </row>
    <row r="30" spans="1:49" s="29" customFormat="1">
      <c r="A30" s="29" t="s">
        <v>89</v>
      </c>
      <c r="B30" s="30"/>
      <c r="C30" s="30"/>
      <c r="D30" s="30">
        <v>0</v>
      </c>
      <c r="E30" s="30">
        <v>1286</v>
      </c>
      <c r="F30" s="30"/>
      <c r="G30" s="30"/>
      <c r="H30" s="30">
        <f>2729.05205003452-1186</f>
        <v>1543.0520500345201</v>
      </c>
      <c r="I30" s="30">
        <f>521.84-2</f>
        <v>519.84</v>
      </c>
      <c r="J30" s="30">
        <v>1132</v>
      </c>
      <c r="K30" s="30">
        <v>1468</v>
      </c>
      <c r="L30" s="30">
        <v>546</v>
      </c>
      <c r="M30" s="30">
        <v>240</v>
      </c>
      <c r="N30" s="30">
        <v>373</v>
      </c>
      <c r="O30" s="30">
        <v>267</v>
      </c>
      <c r="P30" s="30">
        <v>44</v>
      </c>
      <c r="Q30" s="30"/>
      <c r="R30" s="30"/>
      <c r="S30" s="30"/>
      <c r="T30" s="30">
        <v>-19</v>
      </c>
      <c r="U30" s="30">
        <v>225</v>
      </c>
      <c r="V30" s="30">
        <v>-790</v>
      </c>
      <c r="W30" s="30">
        <v>-3475</v>
      </c>
      <c r="X30" s="30">
        <v>-636</v>
      </c>
      <c r="Y30" s="30">
        <v>-2239</v>
      </c>
      <c r="Z30" s="30">
        <f>377-Z28-Z29</f>
        <v>-29</v>
      </c>
      <c r="AA30" s="30">
        <f>369+573-AA29-AA28</f>
        <v>942</v>
      </c>
      <c r="AB30" s="30">
        <f>18-450-AB29-AB28</f>
        <v>-432</v>
      </c>
      <c r="AC30" s="30">
        <f>-6381-83-AC29-AC28</f>
        <v>-6464</v>
      </c>
      <c r="AD30" s="30">
        <f>-121-AD29-AD28</f>
        <v>-121</v>
      </c>
      <c r="AE30" s="30">
        <f>-1026-AE29-AE28</f>
        <v>-1026</v>
      </c>
      <c r="AF30" s="30">
        <f>-3699-AF29-AF28</f>
        <v>-3699</v>
      </c>
      <c r="AG30" s="30">
        <f>-5597-AG29-AG28</f>
        <v>-5597</v>
      </c>
      <c r="AH30" s="30">
        <f>94-AH29-AH28</f>
        <v>94</v>
      </c>
      <c r="AI30" s="3">
        <v>0</v>
      </c>
      <c r="AJ30" s="3">
        <v>0</v>
      </c>
      <c r="AK30" s="3">
        <v>0</v>
      </c>
      <c r="AL30" s="3">
        <v>0</v>
      </c>
      <c r="AM30" s="3">
        <v>0</v>
      </c>
      <c r="AN30" s="3">
        <v>0</v>
      </c>
      <c r="AO30" s="18"/>
      <c r="AP30" s="46"/>
    </row>
    <row r="31" spans="1:49" s="16" customFormat="1">
      <c r="A31" s="25" t="s">
        <v>480</v>
      </c>
      <c r="B31" s="26">
        <f>B27-SUM(B28:B30)</f>
        <v>3173</v>
      </c>
      <c r="C31" s="26">
        <f t="shared" ref="C31:AF31" si="32">C27-SUM(C28:C30)</f>
        <v>3552</v>
      </c>
      <c r="D31" s="26">
        <f t="shared" si="32"/>
        <v>4206</v>
      </c>
      <c r="E31" s="26">
        <f t="shared" si="32"/>
        <v>4388</v>
      </c>
      <c r="F31" s="26">
        <f t="shared" si="32"/>
        <v>4836</v>
      </c>
      <c r="G31" s="26">
        <f t="shared" si="32"/>
        <v>5774.0000000000009</v>
      </c>
      <c r="H31" s="26">
        <f t="shared" si="32"/>
        <v>6594.800000000002</v>
      </c>
      <c r="I31" s="26">
        <f t="shared" si="32"/>
        <v>7808.9758929999989</v>
      </c>
      <c r="J31" s="26">
        <f t="shared" si="32"/>
        <v>5665.6</v>
      </c>
      <c r="K31" s="26">
        <f t="shared" si="32"/>
        <v>5788.6</v>
      </c>
      <c r="L31" s="26">
        <f t="shared" si="32"/>
        <v>6558.2000000000007</v>
      </c>
      <c r="M31" s="26">
        <f t="shared" si="32"/>
        <v>7446.5122772755367</v>
      </c>
      <c r="N31" s="26">
        <f t="shared" si="32"/>
        <v>8241</v>
      </c>
      <c r="O31" s="26">
        <f t="shared" si="32"/>
        <v>9163</v>
      </c>
      <c r="P31" s="26">
        <f t="shared" si="32"/>
        <v>9244</v>
      </c>
      <c r="Q31" s="26">
        <f t="shared" si="32"/>
        <v>9314</v>
      </c>
      <c r="R31" s="26">
        <f t="shared" si="32"/>
        <v>9382</v>
      </c>
      <c r="S31" s="26">
        <f t="shared" si="32"/>
        <v>8342</v>
      </c>
      <c r="T31" s="26">
        <f t="shared" si="32"/>
        <v>9264</v>
      </c>
      <c r="U31" s="26">
        <f>U27-SUM(U28:U30)</f>
        <v>10312</v>
      </c>
      <c r="V31" s="26">
        <f t="shared" si="32"/>
        <v>9406</v>
      </c>
      <c r="W31" s="26">
        <f t="shared" si="32"/>
        <v>9307</v>
      </c>
      <c r="X31" s="26">
        <f t="shared" si="32"/>
        <v>10062</v>
      </c>
      <c r="Y31" s="26">
        <f t="shared" si="32"/>
        <v>11519</v>
      </c>
      <c r="Z31" s="26">
        <f t="shared" si="32"/>
        <v>12334</v>
      </c>
      <c r="AA31" s="26">
        <f t="shared" si="32"/>
        <v>13307</v>
      </c>
      <c r="AB31" s="26">
        <f t="shared" si="32"/>
        <v>13982</v>
      </c>
      <c r="AC31" s="26">
        <f t="shared" si="32"/>
        <v>11121</v>
      </c>
      <c r="AD31" s="26">
        <f t="shared" si="32"/>
        <v>11577</v>
      </c>
      <c r="AE31" s="26">
        <f t="shared" si="32"/>
        <v>9517</v>
      </c>
      <c r="AF31" s="26">
        <f t="shared" si="32"/>
        <v>4623</v>
      </c>
      <c r="AG31" s="26">
        <f t="shared" ref="AG31:AH31" si="33">AG27-SUM(AG28:AG30)</f>
        <v>12252</v>
      </c>
      <c r="AH31" s="26">
        <f t="shared" si="33"/>
        <v>11648</v>
      </c>
      <c r="AI31" s="474">
        <f>Driver!AI58</f>
        <v>11114.686183856746</v>
      </c>
      <c r="AJ31" s="474">
        <f>Driver!AJ58</f>
        <v>11818.644709229118</v>
      </c>
      <c r="AK31" s="474">
        <f>Driver!AK58</f>
        <v>12236.810551204415</v>
      </c>
      <c r="AL31" s="474">
        <f>Driver!AL58</f>
        <v>12560.109785661627</v>
      </c>
      <c r="AM31" s="474">
        <f>Driver!AM58</f>
        <v>12879.003794880382</v>
      </c>
      <c r="AN31" s="474">
        <f>Driver!AN58</f>
        <v>13190.79726223374</v>
      </c>
      <c r="AO31" s="18"/>
      <c r="AP31" s="46"/>
      <c r="AQ31" s="18"/>
      <c r="AR31" s="18"/>
      <c r="AS31" s="18"/>
      <c r="AT31" s="18"/>
      <c r="AU31" s="18"/>
      <c r="AV31" s="18"/>
      <c r="AW31" s="18"/>
    </row>
    <row r="32" spans="1:49" s="40" customFormat="1">
      <c r="A32" s="44" t="s">
        <v>56</v>
      </c>
      <c r="B32" s="17"/>
      <c r="C32" s="72">
        <f>C31/B31-1</f>
        <v>0.11944531988654261</v>
      </c>
      <c r="D32" s="72">
        <f t="shared" ref="D32:AG32" si="34">D31/C31-1</f>
        <v>0.18412162162162171</v>
      </c>
      <c r="E32" s="72">
        <f t="shared" si="34"/>
        <v>4.3271516880646788E-2</v>
      </c>
      <c r="F32" s="72">
        <f t="shared" si="34"/>
        <v>0.10209662716499546</v>
      </c>
      <c r="G32" s="72">
        <f t="shared" si="34"/>
        <v>0.19396195202646838</v>
      </c>
      <c r="H32" s="72">
        <f t="shared" si="34"/>
        <v>0.1421544856252166</v>
      </c>
      <c r="I32" s="72">
        <f t="shared" si="34"/>
        <v>0.18411110162552258</v>
      </c>
      <c r="J32" s="72">
        <f t="shared" si="34"/>
        <v>-0.27447592646832608</v>
      </c>
      <c r="K32" s="72">
        <f t="shared" si="34"/>
        <v>2.170996893532906E-2</v>
      </c>
      <c r="L32" s="72">
        <f t="shared" si="34"/>
        <v>0.13295097260131983</v>
      </c>
      <c r="M32" s="72">
        <f t="shared" si="34"/>
        <v>0.13545062323130375</v>
      </c>
      <c r="N32" s="72">
        <f t="shared" si="34"/>
        <v>0.10669259555899679</v>
      </c>
      <c r="O32" s="72">
        <f t="shared" si="34"/>
        <v>0.11187962625894921</v>
      </c>
      <c r="P32" s="72">
        <f t="shared" si="34"/>
        <v>8.8398995962020166E-3</v>
      </c>
      <c r="Q32" s="72">
        <f t="shared" si="34"/>
        <v>7.5724794461271561E-3</v>
      </c>
      <c r="R32" s="72">
        <f t="shared" si="34"/>
        <v>7.3008374490015626E-3</v>
      </c>
      <c r="S32" s="72">
        <f t="shared" si="34"/>
        <v>-0.11085056491153267</v>
      </c>
      <c r="T32" s="72">
        <f t="shared" si="34"/>
        <v>0.11052505394389844</v>
      </c>
      <c r="U32" s="72">
        <f>U31/T31-1</f>
        <v>0.113126079447323</v>
      </c>
      <c r="V32" s="72">
        <f>V31/U31-1</f>
        <v>-8.7858805275407348E-2</v>
      </c>
      <c r="W32" s="72">
        <f t="shared" si="34"/>
        <v>-1.0525196682968363E-2</v>
      </c>
      <c r="X32" s="72">
        <f t="shared" si="34"/>
        <v>8.112173632749542E-2</v>
      </c>
      <c r="Y32" s="72">
        <f t="shared" si="34"/>
        <v>0.14480222619757499</v>
      </c>
      <c r="Z32" s="72">
        <f t="shared" si="34"/>
        <v>7.0752669502561094E-2</v>
      </c>
      <c r="AA32" s="72">
        <f t="shared" si="34"/>
        <v>7.8887627695800155E-2</v>
      </c>
      <c r="AB32" s="72">
        <f>AB31/AA31-1</f>
        <v>5.0725182234913957E-2</v>
      </c>
      <c r="AC32" s="72">
        <f>AC31/AB31-1</f>
        <v>-0.2046202260048634</v>
      </c>
      <c r="AD32" s="72">
        <f>AD31/AC31-1</f>
        <v>4.1003506878877882E-2</v>
      </c>
      <c r="AE32" s="72">
        <f t="shared" si="34"/>
        <v>-0.17793901701649828</v>
      </c>
      <c r="AF32" s="72">
        <f t="shared" si="34"/>
        <v>-0.51423767994115788</v>
      </c>
      <c r="AG32" s="72">
        <f t="shared" si="34"/>
        <v>1.6502271252433487</v>
      </c>
      <c r="AH32" s="72">
        <f t="shared" ref="AH32:AN32" si="35">AH31/AG31-1</f>
        <v>-4.9298073783872076E-2</v>
      </c>
      <c r="AI32" s="72">
        <f t="shared" si="35"/>
        <v>-4.5785870204606338E-2</v>
      </c>
      <c r="AJ32" s="72">
        <f>AJ31/AI31-1</f>
        <v>6.3335888546706798E-2</v>
      </c>
      <c r="AK32" s="72">
        <f>AK31/AJ31-1</f>
        <v>3.5381877724842026E-2</v>
      </c>
      <c r="AL32" s="72">
        <f>AL31/AK31-1</f>
        <v>2.6420220620755774E-2</v>
      </c>
      <c r="AM32" s="72">
        <f>AM31/AL31-1</f>
        <v>2.5389428489136057E-2</v>
      </c>
      <c r="AN32" s="72">
        <f t="shared" si="35"/>
        <v>2.4209439823078549E-2</v>
      </c>
      <c r="AO32" s="18"/>
      <c r="AP32" s="46"/>
      <c r="AQ32" s="18"/>
      <c r="AR32" s="18"/>
      <c r="AS32" s="18"/>
      <c r="AT32" s="18"/>
      <c r="AU32" s="18"/>
      <c r="AV32" s="18"/>
      <c r="AW32" s="18"/>
    </row>
    <row r="33" spans="1:50" s="16" customFormat="1">
      <c r="B33" s="33"/>
      <c r="C33" s="33"/>
      <c r="D33" s="33"/>
      <c r="E33" s="33"/>
      <c r="F33" s="33"/>
      <c r="G33" s="33"/>
      <c r="H33" s="33"/>
      <c r="I33" s="33"/>
      <c r="J33" s="33"/>
      <c r="K33" s="33"/>
      <c r="L33" s="33"/>
      <c r="M33" s="33"/>
      <c r="N33" s="33"/>
      <c r="O33" s="33"/>
      <c r="P33" s="33"/>
      <c r="Q33" s="33"/>
      <c r="R33" s="33"/>
      <c r="S33" s="33"/>
      <c r="T33" s="33"/>
      <c r="U33" s="33"/>
      <c r="V33" s="33"/>
      <c r="W33" s="33"/>
      <c r="X33" s="33"/>
      <c r="Y33" s="33"/>
      <c r="Z33" s="17"/>
      <c r="AA33" s="13">
        <f>5914/AA31</f>
        <v>0.44442774479597202</v>
      </c>
      <c r="AB33" s="13">
        <f>7886/AB31</f>
        <v>0.56401087112001147</v>
      </c>
      <c r="AC33" s="34">
        <f>5474/AC31</f>
        <v>0.49222192248898483</v>
      </c>
      <c r="AD33" s="33"/>
      <c r="AE33" s="33"/>
      <c r="AF33" s="33"/>
      <c r="AG33" s="33"/>
      <c r="AH33" s="33"/>
      <c r="AI33" s="33"/>
      <c r="AJ33" s="33"/>
      <c r="AK33" s="33"/>
      <c r="AL33" s="33"/>
      <c r="AM33" s="33"/>
      <c r="AN33" s="33"/>
      <c r="AO33" s="18"/>
      <c r="AP33" s="46"/>
      <c r="AQ33" s="18"/>
      <c r="AR33" s="18"/>
      <c r="AS33" s="18"/>
      <c r="AT33" s="18"/>
      <c r="AU33" s="18"/>
      <c r="AV33" s="18"/>
      <c r="AW33" s="18"/>
    </row>
    <row r="34" spans="1:50" s="19" customFormat="1">
      <c r="A34" s="35" t="s">
        <v>511</v>
      </c>
      <c r="B34" s="70">
        <f t="shared" ref="B34:J34" si="36">B31/B53</f>
        <v>1.3282891000085735</v>
      </c>
      <c r="C34" s="70">
        <f t="shared" si="36"/>
        <v>1.4869470164609055</v>
      </c>
      <c r="D34" s="70">
        <f t="shared" si="36"/>
        <v>1.7607261123971196</v>
      </c>
      <c r="E34" s="70">
        <f t="shared" si="36"/>
        <v>1.836915402091907</v>
      </c>
      <c r="F34" s="70">
        <f t="shared" si="36"/>
        <v>2.0244582690329218</v>
      </c>
      <c r="G34" s="70">
        <f t="shared" si="36"/>
        <v>1.9337009173525381</v>
      </c>
      <c r="H34" s="70">
        <f t="shared" si="36"/>
        <v>2.2445011457683495</v>
      </c>
      <c r="I34" s="70">
        <f t="shared" si="36"/>
        <v>3.1267516281661409</v>
      </c>
      <c r="J34" s="70">
        <f t="shared" si="36"/>
        <v>2.2685335781888925</v>
      </c>
      <c r="K34" s="70">
        <f t="shared" ref="K34:AF34" si="37">K31/K51</f>
        <v>2.3279335537965151</v>
      </c>
      <c r="L34" s="70">
        <f t="shared" si="37"/>
        <v>2.722619679730387</v>
      </c>
      <c r="M34" s="70">
        <f t="shared" si="37"/>
        <v>3.0920896729339544</v>
      </c>
      <c r="N34" s="70">
        <f t="shared" si="37"/>
        <v>3.4219927458404475</v>
      </c>
      <c r="O34" s="70">
        <f t="shared" si="37"/>
        <v>3.8048440153059122</v>
      </c>
      <c r="P34" s="70">
        <f t="shared" si="37"/>
        <v>3.8384784543804269</v>
      </c>
      <c r="Q34" s="70">
        <f t="shared" si="37"/>
        <v>3.8675450929846868</v>
      </c>
      <c r="R34" s="70">
        <f t="shared" si="37"/>
        <v>3.8963849006986662</v>
      </c>
      <c r="S34" s="70">
        <f t="shared" si="37"/>
        <v>3.4669587855819399</v>
      </c>
      <c r="T34" s="70">
        <f t="shared" si="37"/>
        <v>3.8501445923796562</v>
      </c>
      <c r="U34" s="70">
        <f t="shared" si="37"/>
        <v>4.2856970678800055</v>
      </c>
      <c r="V34" s="70">
        <f t="shared" si="37"/>
        <v>3.9027620568211616</v>
      </c>
      <c r="W34" s="70">
        <f t="shared" si="37"/>
        <v>3.6838242990045913</v>
      </c>
      <c r="X34" s="70">
        <f t="shared" si="37"/>
        <v>3.9826625224652625</v>
      </c>
      <c r="Y34" s="70">
        <f t="shared" si="37"/>
        <v>4.5593609219118818</v>
      </c>
      <c r="Z34" s="70">
        <f t="shared" si="37"/>
        <v>4.881947878362805</v>
      </c>
      <c r="AA34" s="70">
        <f t="shared" si="37"/>
        <v>5.267073165021392</v>
      </c>
      <c r="AB34" s="70">
        <f t="shared" si="37"/>
        <v>5.5342464111617273</v>
      </c>
      <c r="AC34" s="70">
        <f t="shared" si="37"/>
        <v>4.4018276597432102</v>
      </c>
      <c r="AD34" s="70">
        <f t="shared" si="37"/>
        <v>4.5823180304691258</v>
      </c>
      <c r="AE34" s="70">
        <f t="shared" si="37"/>
        <v>3.7669448644704735</v>
      </c>
      <c r="AF34" s="70">
        <f t="shared" si="37"/>
        <v>1.8298398768989175</v>
      </c>
      <c r="AG34" s="70">
        <f t="shared" ref="AG34" si="38">AG31/AG51</f>
        <v>4.8494912766094611</v>
      </c>
      <c r="AH34" s="70">
        <f t="shared" ref="AH34:AN34" si="39">AH31/AH51</f>
        <v>4.6104206978409241</v>
      </c>
      <c r="AI34" s="70">
        <f t="shared" si="39"/>
        <v>4.3993285741809487</v>
      </c>
      <c r="AJ34" s="70">
        <f t="shared" si="39"/>
        <v>4.6779639584356163</v>
      </c>
      <c r="AK34" s="70">
        <f t="shared" si="39"/>
        <v>4.8434791072142032</v>
      </c>
      <c r="AL34" s="70">
        <f t="shared" si="39"/>
        <v>4.9714448937988234</v>
      </c>
      <c r="AM34" s="70">
        <f t="shared" si="39"/>
        <v>5.0976670384176099</v>
      </c>
      <c r="AN34" s="70">
        <f t="shared" si="39"/>
        <v>5.2210787018222726</v>
      </c>
      <c r="AO34" s="18"/>
      <c r="AP34" s="46"/>
      <c r="AQ34" s="18"/>
      <c r="AR34" s="18"/>
      <c r="AS34" s="18"/>
      <c r="AT34" s="18"/>
      <c r="AU34" s="18"/>
      <c r="AV34" s="18"/>
      <c r="AW34" s="18"/>
    </row>
    <row r="35" spans="1:50" s="36" customFormat="1">
      <c r="A35" s="14" t="s">
        <v>512</v>
      </c>
      <c r="B35" s="71">
        <f t="shared" ref="B35:J35" si="40">B27/B53</f>
        <v>1.3282891000085735</v>
      </c>
      <c r="C35" s="71">
        <f t="shared" si="40"/>
        <v>1.4869470164609055</v>
      </c>
      <c r="D35" s="71">
        <f t="shared" si="40"/>
        <v>1.7607261123971196</v>
      </c>
      <c r="E35" s="71">
        <f t="shared" si="40"/>
        <v>2.3752638996056246</v>
      </c>
      <c r="F35" s="71">
        <f t="shared" si="40"/>
        <v>2.0244582690329218</v>
      </c>
      <c r="G35" s="71">
        <f t="shared" si="40"/>
        <v>1.9337009173525381</v>
      </c>
      <c r="H35" s="71">
        <f t="shared" si="40"/>
        <v>2.769669777763661</v>
      </c>
      <c r="I35" s="71">
        <f t="shared" si="40"/>
        <v>3.3348980725472681</v>
      </c>
      <c r="J35" s="71">
        <f t="shared" si="40"/>
        <v>2.3093748703689383</v>
      </c>
      <c r="K35" s="71">
        <f t="shared" ref="K35:AF35" si="41">K27/K51</f>
        <v>2.9183019428669787</v>
      </c>
      <c r="L35" s="71">
        <f t="shared" si="41"/>
        <v>2.9492901602178367</v>
      </c>
      <c r="M35" s="71">
        <f t="shared" si="41"/>
        <v>3.191747270191776</v>
      </c>
      <c r="N35" s="71">
        <f t="shared" si="41"/>
        <v>3.5768772615786455</v>
      </c>
      <c r="O35" s="71">
        <f t="shared" si="41"/>
        <v>4.7478540293580487</v>
      </c>
      <c r="P35" s="71">
        <f t="shared" si="41"/>
        <v>4.1108758868851396</v>
      </c>
      <c r="Q35" s="71">
        <f t="shared" si="41"/>
        <v>4.4048656158880775</v>
      </c>
      <c r="R35" s="71">
        <f t="shared" si="41"/>
        <v>4.3287166723494135</v>
      </c>
      <c r="S35" s="71">
        <f t="shared" si="41"/>
        <v>3.4062807727918463</v>
      </c>
      <c r="T35" s="71">
        <f t="shared" si="41"/>
        <v>4.2940084119674662</v>
      </c>
      <c r="U35" s="71">
        <f>U27/U51</f>
        <v>3.8601197019462266</v>
      </c>
      <c r="V35" s="71">
        <f t="shared" si="41"/>
        <v>3.4488367229744306</v>
      </c>
      <c r="W35" s="71">
        <f t="shared" si="41"/>
        <v>2.3986220320154534</v>
      </c>
      <c r="X35" s="71">
        <f t="shared" si="41"/>
        <v>4.4414088813936301</v>
      </c>
      <c r="Y35" s="71">
        <f t="shared" si="41"/>
        <v>6.1968360615897584</v>
      </c>
      <c r="Z35" s="71">
        <f t="shared" si="41"/>
        <v>5.0311690839848886</v>
      </c>
      <c r="AA35" s="71">
        <f t="shared" si="41"/>
        <v>5.6399282729683486</v>
      </c>
      <c r="AB35" s="71">
        <f t="shared" si="41"/>
        <v>5.3632555336319125</v>
      </c>
      <c r="AC35" s="71">
        <f t="shared" si="41"/>
        <v>1.8432974922600605</v>
      </c>
      <c r="AD35" s="71">
        <f t="shared" si="41"/>
        <v>4.5344247522721179</v>
      </c>
      <c r="AE35" s="71">
        <f t="shared" si="41"/>
        <v>3.3608415303371637</v>
      </c>
      <c r="AF35" s="71">
        <f t="shared" si="41"/>
        <v>0.36573048804988101</v>
      </c>
      <c r="AG35" s="71">
        <f t="shared" ref="AG35" si="42">AG27/AG51</f>
        <v>2.6341303008354524</v>
      </c>
      <c r="AH35" s="71">
        <f>AH27/AH51</f>
        <v>4.6476270461923184</v>
      </c>
      <c r="AI35" s="71">
        <f t="shared" ref="AI35:AN35" si="43">AI27/AI51</f>
        <v>4.3993285741809487</v>
      </c>
      <c r="AJ35" s="71">
        <f t="shared" si="43"/>
        <v>4.6779639584356163</v>
      </c>
      <c r="AK35" s="71">
        <f t="shared" si="43"/>
        <v>4.8434791072142032</v>
      </c>
      <c r="AL35" s="71">
        <f t="shared" si="43"/>
        <v>4.9714448937988234</v>
      </c>
      <c r="AM35" s="71">
        <f t="shared" si="43"/>
        <v>5.0976670384176099</v>
      </c>
      <c r="AN35" s="71">
        <f t="shared" si="43"/>
        <v>5.2210787018222726</v>
      </c>
      <c r="AO35" s="18"/>
      <c r="AP35" s="46"/>
      <c r="AQ35" s="18"/>
      <c r="AR35" s="18"/>
      <c r="AS35" s="18"/>
      <c r="AT35" s="18"/>
      <c r="AU35" s="18"/>
      <c r="AV35" s="18"/>
      <c r="AW35" s="18"/>
    </row>
    <row r="36" spans="1:50" s="39" customFormat="1">
      <c r="A36" s="37"/>
      <c r="B36" s="38"/>
      <c r="C36" s="38"/>
      <c r="D36" s="38"/>
      <c r="E36" s="38"/>
      <c r="F36" s="38"/>
      <c r="G36" s="38"/>
      <c r="H36" s="38"/>
      <c r="I36" s="38"/>
      <c r="J36" s="33"/>
      <c r="K36" s="38"/>
      <c r="L36" s="38"/>
      <c r="M36" s="38"/>
      <c r="N36" s="38"/>
      <c r="O36" s="38"/>
      <c r="P36" s="38"/>
      <c r="Q36" s="38"/>
      <c r="R36" s="38"/>
      <c r="S36" s="38"/>
      <c r="T36" s="38"/>
      <c r="U36" s="38"/>
      <c r="V36" s="38"/>
      <c r="W36" s="33"/>
      <c r="X36" s="33"/>
      <c r="Y36" s="38"/>
      <c r="Z36" s="73"/>
      <c r="AA36" s="73"/>
      <c r="AB36" s="73"/>
      <c r="AC36" s="73"/>
      <c r="AD36" s="73"/>
      <c r="AE36" s="73"/>
      <c r="AF36" s="73"/>
      <c r="AG36" s="73"/>
      <c r="AH36" s="73"/>
      <c r="AI36" s="73"/>
      <c r="AJ36" s="73"/>
      <c r="AK36" s="73"/>
      <c r="AL36" s="73"/>
      <c r="AM36" s="73"/>
      <c r="AN36" s="73"/>
      <c r="AO36" s="18"/>
      <c r="AP36" s="46"/>
      <c r="AQ36" s="18"/>
      <c r="AR36" s="18"/>
      <c r="AS36" s="18"/>
      <c r="AT36" s="18"/>
      <c r="AU36" s="18"/>
      <c r="AV36" s="18"/>
      <c r="AW36" s="18"/>
    </row>
    <row r="37" spans="1:50" s="39" customFormat="1">
      <c r="A37" s="74" t="s">
        <v>195</v>
      </c>
      <c r="B37" s="38"/>
      <c r="C37" s="38"/>
      <c r="D37" s="38"/>
      <c r="E37" s="38"/>
      <c r="F37" s="38"/>
      <c r="G37" s="38"/>
      <c r="H37" s="38"/>
      <c r="I37" s="38"/>
      <c r="J37" s="33"/>
      <c r="K37" s="38"/>
      <c r="L37" s="38"/>
      <c r="M37" s="38"/>
      <c r="N37" s="38"/>
      <c r="O37" s="38"/>
      <c r="P37" s="38"/>
      <c r="Q37" s="38"/>
      <c r="R37" s="38"/>
      <c r="S37" s="38"/>
      <c r="T37" s="38"/>
      <c r="U37" s="38"/>
      <c r="V37" s="38"/>
      <c r="W37" s="33"/>
      <c r="X37" s="33"/>
      <c r="Y37" s="38"/>
      <c r="Z37" s="73"/>
      <c r="AA37" s="73"/>
      <c r="AB37" s="73"/>
      <c r="AC37" s="73"/>
      <c r="AD37" s="73"/>
      <c r="AE37" s="73"/>
      <c r="AF37" s="73"/>
      <c r="AG37" s="73"/>
      <c r="AH37" s="73"/>
      <c r="AI37" s="73"/>
      <c r="AJ37" s="73"/>
      <c r="AK37" s="73"/>
      <c r="AL37" s="73"/>
      <c r="AM37" s="73"/>
      <c r="AN37" s="73"/>
      <c r="AO37" s="18"/>
      <c r="AP37" s="46"/>
      <c r="AQ37" s="18"/>
      <c r="AR37" s="18"/>
      <c r="AS37" s="18"/>
      <c r="AT37" s="18"/>
      <c r="AU37" s="18"/>
      <c r="AV37" s="18"/>
      <c r="AW37" s="18"/>
    </row>
    <row r="38" spans="1:50" s="40" customFormat="1">
      <c r="A38" s="49" t="s">
        <v>336</v>
      </c>
      <c r="B38" s="17">
        <v>1095</v>
      </c>
      <c r="C38" s="17">
        <v>1294</v>
      </c>
      <c r="D38" s="17">
        <v>1553</v>
      </c>
      <c r="E38" s="17">
        <v>1792</v>
      </c>
      <c r="F38" s="17">
        <v>1911</v>
      </c>
      <c r="G38" s="17">
        <v>2369</v>
      </c>
      <c r="H38" s="17">
        <v>2673</v>
      </c>
      <c r="I38" s="17">
        <v>3582</v>
      </c>
      <c r="J38" s="17">
        <v>2497</v>
      </c>
      <c r="K38" s="17">
        <v>2605</v>
      </c>
      <c r="L38" s="17">
        <v>2746</v>
      </c>
      <c r="M38" s="17">
        <v>2962</v>
      </c>
      <c r="N38" s="17">
        <v>3251</v>
      </c>
      <c r="O38" s="17">
        <v>3468</v>
      </c>
      <c r="P38" s="17">
        <v>3612</v>
      </c>
      <c r="Q38" s="17">
        <v>3757</v>
      </c>
      <c r="R38" s="17">
        <v>3757</v>
      </c>
      <c r="S38" s="17">
        <v>3753</v>
      </c>
      <c r="T38" s="17">
        <f>1251*3</f>
        <v>3753</v>
      </c>
      <c r="U38" s="17">
        <v>3753</v>
      </c>
      <c r="V38" s="17">
        <v>3825</v>
      </c>
      <c r="W38" s="17">
        <v>4017</v>
      </c>
      <c r="X38" s="17">
        <v>4093</v>
      </c>
      <c r="Y38" s="17">
        <v>4169</v>
      </c>
      <c r="Z38" s="17">
        <v>4320</v>
      </c>
      <c r="AA38" s="17">
        <v>4472</v>
      </c>
      <c r="AB38" s="17">
        <v>4623</v>
      </c>
      <c r="AC38" s="17">
        <v>4775</v>
      </c>
      <c r="AD38" s="17">
        <v>4775</v>
      </c>
      <c r="AE38" s="17">
        <v>4775</v>
      </c>
      <c r="AF38" s="17">
        <v>4775</v>
      </c>
      <c r="AG38" s="17">
        <v>4775</v>
      </c>
      <c r="AH38" s="17">
        <v>4775</v>
      </c>
      <c r="AI38" s="55">
        <f t="shared" ref="AI38:AL38" si="44">AH38/AH41*AI41</f>
        <v>4775</v>
      </c>
      <c r="AJ38" s="55">
        <f t="shared" si="44"/>
        <v>4918.2499999999991</v>
      </c>
      <c r="AK38" s="55">
        <f t="shared" si="44"/>
        <v>5065.7974999999997</v>
      </c>
      <c r="AL38" s="55">
        <f t="shared" si="44"/>
        <v>5217.7714249999999</v>
      </c>
      <c r="AM38" s="55">
        <f>AL38/AL41*AM41</f>
        <v>5374.3045677499995</v>
      </c>
      <c r="AN38" s="55">
        <f t="shared" ref="AN38" si="45">AM38/AM41*AN41</f>
        <v>5535.5337047824996</v>
      </c>
      <c r="AO38" s="18"/>
      <c r="AP38" s="46"/>
      <c r="AQ38" s="18"/>
      <c r="AR38" s="18"/>
      <c r="AS38" s="18"/>
      <c r="AT38" s="18"/>
      <c r="AU38" s="18"/>
      <c r="AV38" s="18"/>
      <c r="AW38" s="18"/>
    </row>
    <row r="39" spans="1:50" s="40" customFormat="1">
      <c r="A39" s="49" t="s">
        <v>337</v>
      </c>
      <c r="B39" s="17">
        <v>630</v>
      </c>
      <c r="C39" s="17">
        <v>697</v>
      </c>
      <c r="D39" s="17">
        <v>736</v>
      </c>
      <c r="E39" s="17">
        <v>736</v>
      </c>
      <c r="F39" s="17">
        <v>876</v>
      </c>
      <c r="G39" s="17">
        <v>1145</v>
      </c>
      <c r="H39" s="17">
        <v>1175</v>
      </c>
      <c r="I39" s="17">
        <v>1041</v>
      </c>
      <c r="J39" s="17">
        <v>1040</v>
      </c>
      <c r="K39" s="17">
        <v>1059</v>
      </c>
      <c r="L39" s="17">
        <v>1228</v>
      </c>
      <c r="M39" s="17">
        <v>1565</v>
      </c>
      <c r="N39" s="17">
        <v>1758</v>
      </c>
      <c r="O39" s="17">
        <v>1999</v>
      </c>
      <c r="P39" s="17">
        <v>2144</v>
      </c>
      <c r="Q39" s="17">
        <v>2216</v>
      </c>
      <c r="R39" s="17">
        <v>2214</v>
      </c>
      <c r="S39" s="17">
        <v>2214</v>
      </c>
      <c r="T39" s="17">
        <v>2214</v>
      </c>
      <c r="U39" s="17">
        <v>2310</v>
      </c>
      <c r="V39" s="17">
        <v>2476</v>
      </c>
      <c r="W39" s="17">
        <v>2476</v>
      </c>
      <c r="X39" s="17">
        <v>2526</v>
      </c>
      <c r="Y39" s="17">
        <v>2653</v>
      </c>
      <c r="Z39" s="17">
        <v>2754</v>
      </c>
      <c r="AA39" s="17">
        <v>2880</v>
      </c>
      <c r="AB39" s="17">
        <v>3007</v>
      </c>
      <c r="AC39" s="17">
        <v>3007</v>
      </c>
      <c r="AD39" s="17">
        <v>3057</v>
      </c>
      <c r="AE39" s="17">
        <v>3057</v>
      </c>
      <c r="AF39" s="17">
        <v>3057</v>
      </c>
      <c r="AG39" s="17">
        <v>3057</v>
      </c>
      <c r="AH39" s="17">
        <v>3183</v>
      </c>
      <c r="AI39" s="55">
        <f t="shared" ref="AI39:AN39" si="46">AI41-AI38</f>
        <v>3183</v>
      </c>
      <c r="AJ39" s="55">
        <f t="shared" si="46"/>
        <v>3278.4900000000007</v>
      </c>
      <c r="AK39" s="55">
        <f t="shared" si="46"/>
        <v>3376.8447000000006</v>
      </c>
      <c r="AL39" s="55">
        <f t="shared" si="46"/>
        <v>3478.1500409999999</v>
      </c>
      <c r="AM39" s="55">
        <f t="shared" si="46"/>
        <v>3582.4945422300007</v>
      </c>
      <c r="AN39" s="55">
        <f t="shared" si="46"/>
        <v>3689.9693784969004</v>
      </c>
      <c r="AO39" s="18"/>
      <c r="AP39" s="46"/>
      <c r="AQ39" s="18"/>
      <c r="AR39" s="18"/>
      <c r="AS39" s="18"/>
      <c r="AT39" s="18"/>
      <c r="AU39" s="18"/>
      <c r="AV39" s="18"/>
      <c r="AW39" s="18"/>
    </row>
    <row r="40" spans="1:50" s="40" customFormat="1">
      <c r="A40" s="49" t="s">
        <v>514</v>
      </c>
      <c r="B40" s="17">
        <v>0</v>
      </c>
      <c r="C40" s="17">
        <v>0</v>
      </c>
      <c r="D40" s="17">
        <v>0</v>
      </c>
      <c r="E40" s="17">
        <v>697</v>
      </c>
      <c r="F40" s="17">
        <v>0</v>
      </c>
      <c r="G40" s="17">
        <v>0</v>
      </c>
      <c r="H40" s="17">
        <f>1293+245</f>
        <v>1538</v>
      </c>
      <c r="I40" s="17">
        <v>520</v>
      </c>
      <c r="J40" s="17">
        <f>562+562</f>
        <v>1124</v>
      </c>
      <c r="K40" s="17">
        <v>1469</v>
      </c>
      <c r="L40" s="17">
        <v>554</v>
      </c>
      <c r="M40" s="17">
        <v>241</v>
      </c>
      <c r="N40" s="17">
        <v>361</v>
      </c>
      <c r="O40" s="17">
        <v>265</v>
      </c>
      <c r="P40" s="17">
        <v>48</v>
      </c>
      <c r="Q40" s="17">
        <v>0</v>
      </c>
      <c r="R40" s="17">
        <v>0</v>
      </c>
      <c r="S40" s="17">
        <v>0</v>
      </c>
      <c r="T40" s="17">
        <v>0</v>
      </c>
      <c r="U40" s="17">
        <v>0</v>
      </c>
      <c r="V40" s="17">
        <v>0</v>
      </c>
      <c r="W40" s="17">
        <v>0</v>
      </c>
      <c r="X40" s="17">
        <v>0</v>
      </c>
      <c r="Y40" s="17">
        <v>0</v>
      </c>
      <c r="Z40" s="17">
        <v>0</v>
      </c>
      <c r="AA40" s="17"/>
      <c r="AB40" s="17"/>
      <c r="AC40" s="17"/>
      <c r="AD40" s="17"/>
      <c r="AE40" s="17"/>
      <c r="AF40" s="17"/>
      <c r="AG40" s="17"/>
      <c r="AH40" s="17"/>
      <c r="AI40" s="17"/>
      <c r="AJ40" s="17"/>
      <c r="AK40" s="17"/>
      <c r="AL40" s="17"/>
      <c r="AM40" s="17"/>
      <c r="AN40" s="17"/>
      <c r="AO40" s="18"/>
      <c r="AP40" s="46"/>
      <c r="AQ40" s="18"/>
      <c r="AR40" s="18"/>
      <c r="AS40" s="18"/>
      <c r="AT40" s="18"/>
      <c r="AU40" s="18"/>
      <c r="AV40" s="18"/>
      <c r="AW40" s="18"/>
    </row>
    <row r="41" spans="1:50" s="40" customFormat="1">
      <c r="A41" s="25" t="s">
        <v>239</v>
      </c>
      <c r="B41" s="26">
        <f>SUM(B38:B40)</f>
        <v>1725</v>
      </c>
      <c r="C41" s="26">
        <f t="shared" ref="C41:AF41" si="47">SUM(C38:C40)</f>
        <v>1991</v>
      </c>
      <c r="D41" s="26">
        <f t="shared" si="47"/>
        <v>2289</v>
      </c>
      <c r="E41" s="26">
        <f t="shared" si="47"/>
        <v>3225</v>
      </c>
      <c r="F41" s="26">
        <f t="shared" si="47"/>
        <v>2787</v>
      </c>
      <c r="G41" s="26">
        <f t="shared" si="47"/>
        <v>3514</v>
      </c>
      <c r="H41" s="26">
        <f t="shared" si="47"/>
        <v>5386</v>
      </c>
      <c r="I41" s="26">
        <f t="shared" si="47"/>
        <v>5143</v>
      </c>
      <c r="J41" s="26">
        <f t="shared" si="47"/>
        <v>4661</v>
      </c>
      <c r="K41" s="26">
        <f t="shared" si="47"/>
        <v>5133</v>
      </c>
      <c r="L41" s="26">
        <f t="shared" si="47"/>
        <v>4528</v>
      </c>
      <c r="M41" s="26">
        <f t="shared" si="47"/>
        <v>4768</v>
      </c>
      <c r="N41" s="26">
        <f t="shared" si="47"/>
        <v>5370</v>
      </c>
      <c r="O41" s="26">
        <f t="shared" si="47"/>
        <v>5732</v>
      </c>
      <c r="P41" s="26">
        <f t="shared" si="47"/>
        <v>5804</v>
      </c>
      <c r="Q41" s="26">
        <f t="shared" si="47"/>
        <v>5973</v>
      </c>
      <c r="R41" s="26">
        <f t="shared" si="47"/>
        <v>5971</v>
      </c>
      <c r="S41" s="26">
        <f t="shared" si="47"/>
        <v>5967</v>
      </c>
      <c r="T41" s="26">
        <f t="shared" si="47"/>
        <v>5967</v>
      </c>
      <c r="U41" s="26">
        <f t="shared" si="47"/>
        <v>6063</v>
      </c>
      <c r="V41" s="26">
        <f t="shared" si="47"/>
        <v>6301</v>
      </c>
      <c r="W41" s="26">
        <f t="shared" si="47"/>
        <v>6493</v>
      </c>
      <c r="X41" s="26">
        <f t="shared" si="47"/>
        <v>6619</v>
      </c>
      <c r="Y41" s="26">
        <f t="shared" si="47"/>
        <v>6822</v>
      </c>
      <c r="Z41" s="26">
        <f t="shared" si="47"/>
        <v>7074</v>
      </c>
      <c r="AA41" s="26">
        <f t="shared" si="47"/>
        <v>7352</v>
      </c>
      <c r="AB41" s="26">
        <f t="shared" si="47"/>
        <v>7630</v>
      </c>
      <c r="AC41" s="26">
        <f t="shared" si="47"/>
        <v>7782</v>
      </c>
      <c r="AD41" s="26">
        <f t="shared" si="47"/>
        <v>7832</v>
      </c>
      <c r="AE41" s="26">
        <f t="shared" si="47"/>
        <v>7832</v>
      </c>
      <c r="AF41" s="26">
        <f t="shared" si="47"/>
        <v>7832</v>
      </c>
      <c r="AG41" s="26">
        <f t="shared" ref="AG41:AH41" si="48">SUM(AG38:AG40)</f>
        <v>7832</v>
      </c>
      <c r="AH41" s="26">
        <f t="shared" si="48"/>
        <v>7958</v>
      </c>
      <c r="AI41" s="474">
        <f t="shared" ref="AI41:AN41" si="49">AI48*AI51</f>
        <v>7958</v>
      </c>
      <c r="AJ41" s="474">
        <f t="shared" si="49"/>
        <v>8196.74</v>
      </c>
      <c r="AK41" s="474">
        <f t="shared" si="49"/>
        <v>8442.6422000000002</v>
      </c>
      <c r="AL41" s="474">
        <f t="shared" si="49"/>
        <v>8695.9214659999998</v>
      </c>
      <c r="AM41" s="474">
        <f t="shared" si="49"/>
        <v>8956.7991099800001</v>
      </c>
      <c r="AN41" s="474">
        <f t="shared" si="49"/>
        <v>9225.5030832794</v>
      </c>
      <c r="AO41" s="18"/>
      <c r="AP41" s="46"/>
      <c r="AQ41" s="18"/>
      <c r="AR41" s="18"/>
      <c r="AS41" s="18"/>
      <c r="AT41" s="18"/>
      <c r="AU41" s="18"/>
      <c r="AV41" s="18"/>
      <c r="AW41" s="18"/>
    </row>
    <row r="42" spans="1:50" s="40" customFormat="1">
      <c r="A42" s="16" t="s">
        <v>124</v>
      </c>
      <c r="B42" s="13">
        <f t="shared" ref="B42:AN42" si="50">B41/B31</f>
        <v>0.54364954301922475</v>
      </c>
      <c r="C42" s="13">
        <f t="shared" si="50"/>
        <v>0.56052927927927931</v>
      </c>
      <c r="D42" s="13">
        <f t="shared" si="50"/>
        <v>0.5442225392296719</v>
      </c>
      <c r="E42" s="13">
        <f t="shared" si="50"/>
        <v>0.73495897903372831</v>
      </c>
      <c r="F42" s="13">
        <f t="shared" si="50"/>
        <v>0.57630272952853601</v>
      </c>
      <c r="G42" s="13">
        <f t="shared" si="50"/>
        <v>0.6085902320748181</v>
      </c>
      <c r="H42" s="13">
        <f t="shared" si="50"/>
        <v>0.81670406987323318</v>
      </c>
      <c r="I42" s="13">
        <f t="shared" si="50"/>
        <v>0.65860108552905228</v>
      </c>
      <c r="J42" s="13">
        <f t="shared" si="50"/>
        <v>0.82268426998023148</v>
      </c>
      <c r="K42" s="13">
        <f t="shared" si="50"/>
        <v>0.88674290847527892</v>
      </c>
      <c r="L42" s="13">
        <f t="shared" si="50"/>
        <v>0.69043335061449784</v>
      </c>
      <c r="M42" s="13">
        <f t="shared" si="50"/>
        <v>0.64029975678015982</v>
      </c>
      <c r="N42" s="13">
        <f t="shared" si="50"/>
        <v>0.65161994903531129</v>
      </c>
      <c r="O42" s="13">
        <f t="shared" si="50"/>
        <v>0.62555931463494485</v>
      </c>
      <c r="P42" s="13">
        <f t="shared" si="50"/>
        <v>0.62786672436174817</v>
      </c>
      <c r="Q42" s="13">
        <f t="shared" si="50"/>
        <v>0.64129267768949971</v>
      </c>
      <c r="R42" s="13">
        <f t="shared" si="50"/>
        <v>0.63643146450650179</v>
      </c>
      <c r="S42" s="13">
        <f t="shared" si="50"/>
        <v>0.71529609206425315</v>
      </c>
      <c r="T42" s="13">
        <f t="shared" si="50"/>
        <v>0.64410621761658027</v>
      </c>
      <c r="U42" s="13">
        <f t="shared" si="50"/>
        <v>0.58795577967416601</v>
      </c>
      <c r="V42" s="13">
        <f t="shared" si="50"/>
        <v>0.66989155857963001</v>
      </c>
      <c r="W42" s="13">
        <f t="shared" si="50"/>
        <v>0.6976469324164607</v>
      </c>
      <c r="X42" s="13">
        <f t="shared" si="50"/>
        <v>0.65782150665871597</v>
      </c>
      <c r="Y42" s="13">
        <f t="shared" si="50"/>
        <v>0.59223890962757186</v>
      </c>
      <c r="Z42" s="13">
        <f t="shared" si="50"/>
        <v>0.57353656559104915</v>
      </c>
      <c r="AA42" s="13">
        <f t="shared" si="50"/>
        <v>0.55249117006087023</v>
      </c>
      <c r="AB42" s="13">
        <f t="shared" si="50"/>
        <v>0.54570161636389647</v>
      </c>
      <c r="AC42" s="13">
        <f t="shared" si="50"/>
        <v>0.69975721607769081</v>
      </c>
      <c r="AD42" s="13">
        <f t="shared" si="50"/>
        <v>0.67651377731709428</v>
      </c>
      <c r="AE42" s="13">
        <f t="shared" si="50"/>
        <v>0.82294840811179992</v>
      </c>
      <c r="AF42" s="13">
        <f t="shared" si="50"/>
        <v>1.6941380056240536</v>
      </c>
      <c r="AG42" s="13">
        <f t="shared" ref="AG42" si="51">AG41/AG31</f>
        <v>0.63924257264120143</v>
      </c>
      <c r="AH42" s="13">
        <f t="shared" si="50"/>
        <v>0.68320741758241754</v>
      </c>
      <c r="AI42" s="13">
        <f t="shared" si="50"/>
        <v>0.71598962565028623</v>
      </c>
      <c r="AJ42" s="13">
        <f t="shared" si="50"/>
        <v>0.69354314319976196</v>
      </c>
      <c r="AK42" s="13">
        <f t="shared" si="50"/>
        <v>0.68993813091018463</v>
      </c>
      <c r="AL42" s="13">
        <f t="shared" si="50"/>
        <v>0.69234438348039695</v>
      </c>
      <c r="AM42" s="13">
        <f t="shared" si="50"/>
        <v>0.69545744784549846</v>
      </c>
      <c r="AN42" s="13">
        <f t="shared" si="50"/>
        <v>0.69938934697243205</v>
      </c>
      <c r="AO42" s="18"/>
      <c r="AP42" s="46"/>
      <c r="AQ42" s="18"/>
      <c r="AR42" s="18"/>
      <c r="AS42" s="18"/>
      <c r="AT42" s="18"/>
      <c r="AU42" s="18"/>
      <c r="AV42" s="18"/>
      <c r="AW42" s="18"/>
    </row>
    <row r="43" spans="1:50" s="40" customFormat="1">
      <c r="A43" s="16"/>
      <c r="B43" s="17"/>
      <c r="C43" s="17"/>
      <c r="D43" s="17"/>
      <c r="E43" s="17"/>
      <c r="F43" s="17"/>
      <c r="G43" s="17"/>
      <c r="H43" s="17"/>
      <c r="I43" s="17"/>
      <c r="J43" s="17"/>
      <c r="K43" s="17"/>
      <c r="L43" s="17"/>
      <c r="M43" s="17"/>
      <c r="N43" s="17"/>
      <c r="O43" s="17"/>
      <c r="P43" s="17"/>
      <c r="Q43" s="17"/>
      <c r="R43" s="17"/>
      <c r="S43" s="17"/>
      <c r="T43" s="17"/>
      <c r="U43" s="17"/>
      <c r="V43" s="17"/>
      <c r="W43" s="17"/>
      <c r="X43" s="17"/>
      <c r="Y43" s="17"/>
      <c r="Z43" s="17"/>
      <c r="AA43" s="17"/>
      <c r="AB43" s="17"/>
      <c r="AC43" s="17"/>
      <c r="AD43" s="17"/>
      <c r="AE43" s="17"/>
      <c r="AF43" s="17"/>
      <c r="AG43" s="17"/>
      <c r="AH43" s="17"/>
      <c r="AI43" s="17"/>
      <c r="AJ43" s="17"/>
      <c r="AK43" s="17"/>
      <c r="AL43" s="17"/>
      <c r="AM43" s="17"/>
      <c r="AN43" s="17"/>
      <c r="AO43" s="18"/>
      <c r="AP43" s="46"/>
      <c r="AQ43" s="18"/>
      <c r="AR43" s="18"/>
      <c r="AS43" s="18"/>
      <c r="AT43" s="18"/>
      <c r="AU43" s="18"/>
      <c r="AV43" s="18"/>
      <c r="AW43" s="18"/>
    </row>
    <row r="44" spans="1:50" s="40" customFormat="1">
      <c r="A44" s="19" t="s">
        <v>515</v>
      </c>
      <c r="B44" s="33"/>
      <c r="C44" s="33"/>
      <c r="D44" s="33"/>
      <c r="E44" s="33"/>
      <c r="F44" s="33"/>
      <c r="G44" s="33"/>
      <c r="H44" s="33"/>
      <c r="I44" s="33"/>
      <c r="J44" s="33"/>
      <c r="K44" s="33"/>
      <c r="L44" s="33"/>
      <c r="M44" s="33"/>
      <c r="N44" s="33"/>
      <c r="O44" s="33"/>
      <c r="P44" s="33"/>
      <c r="Q44" s="33"/>
      <c r="R44" s="33"/>
      <c r="S44" s="33"/>
      <c r="T44" s="33"/>
      <c r="U44" s="33"/>
      <c r="V44" s="33"/>
      <c r="W44" s="33"/>
      <c r="X44" s="33"/>
      <c r="Y44" s="33"/>
      <c r="Z44" s="432"/>
      <c r="AA44" s="13"/>
      <c r="AB44" s="33"/>
      <c r="AC44" s="33"/>
      <c r="AD44" s="33"/>
      <c r="AE44" s="33"/>
      <c r="AF44" s="33"/>
      <c r="AG44" s="33"/>
      <c r="AH44" s="33"/>
      <c r="AI44" s="33"/>
      <c r="AJ44" s="33"/>
      <c r="AK44" s="33"/>
      <c r="AL44" s="33"/>
      <c r="AM44" s="33"/>
      <c r="AN44" s="33"/>
      <c r="AO44" s="18"/>
      <c r="AP44" s="46"/>
      <c r="AQ44" s="18"/>
      <c r="AR44" s="18"/>
      <c r="AS44" s="18"/>
      <c r="AT44" s="18"/>
      <c r="AU44" s="18"/>
      <c r="AV44" s="18"/>
      <c r="AW44" s="18"/>
    </row>
    <row r="45" spans="1:50" s="40" customFormat="1">
      <c r="A45" s="22" t="s">
        <v>240</v>
      </c>
      <c r="B45" s="71">
        <f t="shared" ref="B45:J45" si="52">B38/B53</f>
        <v>0.45839160558127579</v>
      </c>
      <c r="C45" s="71">
        <f t="shared" si="52"/>
        <v>0.54169747728052131</v>
      </c>
      <c r="D45" s="71">
        <f t="shared" si="52"/>
        <v>0.65012069723079569</v>
      </c>
      <c r="E45" s="71">
        <f t="shared" si="52"/>
        <v>0.75017146776406041</v>
      </c>
      <c r="F45" s="71">
        <f t="shared" si="52"/>
        <v>0.79998754179526754</v>
      </c>
      <c r="G45" s="71">
        <f t="shared" si="52"/>
        <v>0.79337330675582995</v>
      </c>
      <c r="H45" s="71">
        <f t="shared" si="52"/>
        <v>0.9097397286708917</v>
      </c>
      <c r="I45" s="71">
        <f t="shared" si="52"/>
        <v>1.4342500842051349</v>
      </c>
      <c r="J45" s="71">
        <f t="shared" si="52"/>
        <v>0.99981084876053095</v>
      </c>
      <c r="K45" s="71">
        <f>K38/K51</f>
        <v>1.0476223797878454</v>
      </c>
      <c r="L45" s="71">
        <f>3*0.38</f>
        <v>1.1400000000000001</v>
      </c>
      <c r="M45" s="71">
        <f>M38/M51</f>
        <v>1.2299408461569477</v>
      </c>
      <c r="N45" s="71">
        <f t="shared" ref="N45:Z45" si="53">N38/N51</f>
        <v>1.3499452028549079</v>
      </c>
      <c r="O45" s="71">
        <f t="shared" si="53"/>
        <v>1.4400522803755216</v>
      </c>
      <c r="P45" s="71">
        <f t="shared" si="53"/>
        <v>1.4998468387302144</v>
      </c>
      <c r="Q45" s="71">
        <f t="shared" si="53"/>
        <v>1.5600565722936941</v>
      </c>
      <c r="R45" s="71">
        <f t="shared" si="53"/>
        <v>1.5602982383207087</v>
      </c>
      <c r="S45" s="71">
        <f t="shared" si="53"/>
        <v>1.5597574109672765</v>
      </c>
      <c r="T45" s="71">
        <f t="shared" si="53"/>
        <v>1.5597574109672765</v>
      </c>
      <c r="U45" s="71">
        <f t="shared" si="53"/>
        <v>1.5597576702631555</v>
      </c>
      <c r="V45" s="71">
        <f t="shared" si="53"/>
        <v>1.587078978029018</v>
      </c>
      <c r="W45" s="71">
        <f t="shared" si="53"/>
        <v>1.5899776736973723</v>
      </c>
      <c r="X45" s="71">
        <f t="shared" si="53"/>
        <v>1.6200594021516914</v>
      </c>
      <c r="Y45" s="71">
        <f t="shared" si="53"/>
        <v>1.6501411306060108</v>
      </c>
      <c r="Z45" s="71">
        <f t="shared" si="53"/>
        <v>1.7099087752981448</v>
      </c>
      <c r="AA45" s="71">
        <f t="shared" ref="AA45:AF45" si="54">AA38/AA51</f>
        <v>1.7700722322067832</v>
      </c>
      <c r="AB45" s="71">
        <f t="shared" si="54"/>
        <v>1.8298398768989175</v>
      </c>
      <c r="AC45" s="71">
        <f t="shared" si="54"/>
        <v>1.8900033338075559</v>
      </c>
      <c r="AD45" s="71">
        <f t="shared" si="54"/>
        <v>1.8900033338075559</v>
      </c>
      <c r="AE45" s="71">
        <f t="shared" si="54"/>
        <v>1.8900033338075559</v>
      </c>
      <c r="AF45" s="71">
        <f t="shared" si="54"/>
        <v>1.8900033338075559</v>
      </c>
      <c r="AG45" s="71">
        <f t="shared" ref="AG45:AH45" si="55">AG38/AG51</f>
        <v>1.8900033338075559</v>
      </c>
      <c r="AH45" s="71">
        <f t="shared" si="55"/>
        <v>1.8900033338075559</v>
      </c>
      <c r="AI45" s="71">
        <f t="shared" ref="AI45:AN45" si="56">AI38/AI51</f>
        <v>1.8900033338075559</v>
      </c>
      <c r="AJ45" s="71">
        <f t="shared" si="56"/>
        <v>1.9467034338217823</v>
      </c>
      <c r="AK45" s="71">
        <f t="shared" si="56"/>
        <v>2.005104536836436</v>
      </c>
      <c r="AL45" s="71">
        <f t="shared" si="56"/>
        <v>2.0652576729415291</v>
      </c>
      <c r="AM45" s="71">
        <f t="shared" si="56"/>
        <v>2.127215403129775</v>
      </c>
      <c r="AN45" s="71">
        <f t="shared" si="56"/>
        <v>2.191031865223668</v>
      </c>
      <c r="AO45" s="18"/>
      <c r="AP45" s="46"/>
      <c r="AQ45" s="18"/>
      <c r="AR45" s="18"/>
      <c r="AS45" s="18"/>
      <c r="AT45" s="18"/>
      <c r="AU45" s="18"/>
      <c r="AV45" s="18"/>
      <c r="AW45" s="18"/>
    </row>
    <row r="46" spans="1:50" s="40" customFormat="1">
      <c r="A46" s="22" t="s">
        <v>125</v>
      </c>
      <c r="B46" s="71">
        <f t="shared" ref="B46:I46" si="57">B48-B45-B47</f>
        <v>0.26373215663580252</v>
      </c>
      <c r="C46" s="71">
        <f t="shared" si="57"/>
        <v>0.29177986218278462</v>
      </c>
      <c r="D46" s="71">
        <f t="shared" si="57"/>
        <v>0.30810613854595337</v>
      </c>
      <c r="E46" s="71">
        <f t="shared" si="57"/>
        <v>0.30810613854595331</v>
      </c>
      <c r="F46" s="71">
        <f t="shared" si="57"/>
        <v>0.36671328446502072</v>
      </c>
      <c r="G46" s="71">
        <f t="shared" si="57"/>
        <v>0.43962669324417014</v>
      </c>
      <c r="H46" s="71">
        <f t="shared" si="57"/>
        <v>0.38381107466025999</v>
      </c>
      <c r="I46" s="71">
        <f t="shared" si="57"/>
        <v>0.24953940664169075</v>
      </c>
      <c r="J46" s="71">
        <f t="shared" ref="J46:AF46" si="58">J48-J45-J47</f>
        <v>0.41642101830634848</v>
      </c>
      <c r="K46" s="71">
        <f t="shared" si="58"/>
        <v>0.44237762021215465</v>
      </c>
      <c r="L46" s="71">
        <f t="shared" si="58"/>
        <v>0.73999999999999977</v>
      </c>
      <c r="M46" s="71">
        <f t="shared" si="58"/>
        <v>0.75005915384305233</v>
      </c>
      <c r="N46" s="71">
        <f t="shared" si="58"/>
        <v>0.88005479714509205</v>
      </c>
      <c r="O46" s="71">
        <f t="shared" si="58"/>
        <v>0.93994771962447832</v>
      </c>
      <c r="P46" s="71">
        <f t="shared" si="58"/>
        <v>0.91015316126978574</v>
      </c>
      <c r="Q46" s="71">
        <f t="shared" si="58"/>
        <v>0.91994342770630588</v>
      </c>
      <c r="R46" s="71">
        <f t="shared" si="58"/>
        <v>0.9197017616792913</v>
      </c>
      <c r="S46" s="71">
        <f t="shared" si="58"/>
        <v>0.92024258903272349</v>
      </c>
      <c r="T46" s="71">
        <f t="shared" ref="T46:Y46" si="59">T39/T51</f>
        <v>0.92014465970731418</v>
      </c>
      <c r="U46" s="71">
        <f t="shared" si="59"/>
        <v>0.9600426907295202</v>
      </c>
      <c r="V46" s="71">
        <f t="shared" si="59"/>
        <v>1.0273483789803526</v>
      </c>
      <c r="W46" s="71">
        <f t="shared" si="59"/>
        <v>0.98003104806439967</v>
      </c>
      <c r="X46" s="71">
        <f t="shared" si="59"/>
        <v>0.99982165888960972</v>
      </c>
      <c r="Y46" s="71">
        <f t="shared" si="59"/>
        <v>1.0500898103856431</v>
      </c>
      <c r="Z46" s="71">
        <f t="shared" si="58"/>
        <v>1.0900668442525676</v>
      </c>
      <c r="AA46" s="71">
        <f>AA48-AA45-AA47</f>
        <v>1.1399391835320969</v>
      </c>
      <c r="AB46" s="71">
        <f>AB48-AB45-AB47</f>
        <v>1.1902073350281299</v>
      </c>
      <c r="AC46" s="71">
        <f t="shared" si="58"/>
        <v>1.1902073350281301</v>
      </c>
      <c r="AD46" s="71">
        <f t="shared" si="58"/>
        <v>1.2099979458533401</v>
      </c>
      <c r="AE46" s="71">
        <f t="shared" si="58"/>
        <v>1.2099979458533401</v>
      </c>
      <c r="AF46" s="71">
        <f t="shared" si="58"/>
        <v>1.2099979458533401</v>
      </c>
      <c r="AG46" s="71">
        <f t="shared" ref="AG46:AH46" si="60">AG48-AG45-AG47</f>
        <v>1.2099979458533401</v>
      </c>
      <c r="AH46" s="71">
        <f t="shared" si="60"/>
        <v>1.2598702851328691</v>
      </c>
      <c r="AI46" s="71">
        <f t="shared" ref="AI46:AN46" si="61">AI48-AI45-AI47</f>
        <v>1.2598702851328691</v>
      </c>
      <c r="AJ46" s="71">
        <f t="shared" si="61"/>
        <v>1.2976663936868555</v>
      </c>
      <c r="AK46" s="71">
        <f t="shared" si="61"/>
        <v>1.3365963854974612</v>
      </c>
      <c r="AL46" s="71">
        <f t="shared" si="61"/>
        <v>1.3766942770623851</v>
      </c>
      <c r="AM46" s="71">
        <f t="shared" si="61"/>
        <v>1.4179951053742568</v>
      </c>
      <c r="AN46" s="71">
        <f t="shared" si="61"/>
        <v>1.4605349585354848</v>
      </c>
      <c r="AO46" s="18"/>
      <c r="AP46" s="46"/>
      <c r="AQ46" s="18"/>
      <c r="AR46" s="18"/>
      <c r="AS46" s="18"/>
      <c r="AT46" s="18"/>
      <c r="AU46" s="18"/>
      <c r="AV46" s="18"/>
      <c r="AW46" s="18"/>
    </row>
    <row r="47" spans="1:50" s="40" customFormat="1">
      <c r="A47" s="22" t="s">
        <v>514</v>
      </c>
      <c r="B47" s="71">
        <f t="shared" ref="B47:J47" si="62">B40/B53</f>
        <v>0</v>
      </c>
      <c r="C47" s="71">
        <f t="shared" si="62"/>
        <v>0</v>
      </c>
      <c r="D47" s="71">
        <f t="shared" si="62"/>
        <v>0</v>
      </c>
      <c r="E47" s="71">
        <f t="shared" si="62"/>
        <v>0.29177986218278468</v>
      </c>
      <c r="F47" s="71">
        <f t="shared" si="62"/>
        <v>0</v>
      </c>
      <c r="G47" s="71">
        <f t="shared" si="62"/>
        <v>0</v>
      </c>
      <c r="H47" s="71">
        <f t="shared" si="62"/>
        <v>0.52344919666884826</v>
      </c>
      <c r="I47" s="71">
        <f t="shared" si="62"/>
        <v>0.20821050915317427</v>
      </c>
      <c r="J47" s="71">
        <f t="shared" si="62"/>
        <v>0.45005502363109207</v>
      </c>
      <c r="K47" s="71">
        <v>0.61</v>
      </c>
      <c r="L47" s="71"/>
      <c r="M47" s="71"/>
      <c r="N47" s="71"/>
      <c r="O47" s="71"/>
      <c r="P47" s="71"/>
      <c r="Q47" s="71"/>
      <c r="R47" s="71"/>
      <c r="S47" s="71"/>
      <c r="T47" s="71"/>
      <c r="U47" s="71"/>
      <c r="V47" s="71"/>
      <c r="W47" s="71"/>
      <c r="X47" s="71"/>
      <c r="Y47" s="71"/>
      <c r="Z47" s="71"/>
      <c r="AA47" s="71"/>
      <c r="AB47" s="71"/>
      <c r="AC47" s="71"/>
      <c r="AD47" s="71"/>
      <c r="AE47" s="71"/>
      <c r="AF47" s="71"/>
      <c r="AG47" s="71"/>
      <c r="AH47" s="71"/>
      <c r="AI47" s="71"/>
      <c r="AJ47" s="71"/>
      <c r="AK47" s="71"/>
      <c r="AL47" s="71"/>
      <c r="AM47" s="71"/>
      <c r="AN47" s="71"/>
      <c r="AO47" s="18"/>
      <c r="AP47" s="46"/>
      <c r="AQ47" s="18"/>
      <c r="AR47" s="491">
        <v>2022</v>
      </c>
      <c r="AS47" s="491">
        <f>AR47+1</f>
        <v>2023</v>
      </c>
      <c r="AT47" s="491">
        <f t="shared" ref="AT47:AX47" si="63">AS47+1</f>
        <v>2024</v>
      </c>
      <c r="AU47" s="492">
        <f t="shared" si="63"/>
        <v>2025</v>
      </c>
      <c r="AV47" s="492">
        <f t="shared" si="63"/>
        <v>2026</v>
      </c>
      <c r="AW47" s="492">
        <f t="shared" si="63"/>
        <v>2027</v>
      </c>
      <c r="AX47" s="492">
        <f t="shared" si="63"/>
        <v>2028</v>
      </c>
    </row>
    <row r="48" spans="1:50" s="40" customFormat="1">
      <c r="A48" s="25" t="s">
        <v>241</v>
      </c>
      <c r="B48" s="77">
        <v>0.7221237622170783</v>
      </c>
      <c r="C48" s="77">
        <v>0.83347733946330593</v>
      </c>
      <c r="D48" s="77">
        <v>0.95822683577674905</v>
      </c>
      <c r="E48" s="77">
        <v>1.3500574684927984</v>
      </c>
      <c r="F48" s="77">
        <v>1.1667008262602883</v>
      </c>
      <c r="G48" s="77">
        <v>1.2330000000000001</v>
      </c>
      <c r="H48" s="77">
        <v>1.8169999999999999</v>
      </c>
      <c r="I48" s="77">
        <v>1.8919999999999999</v>
      </c>
      <c r="J48" s="77">
        <f>J41/J53</f>
        <v>1.8662868906979715</v>
      </c>
      <c r="K48" s="77">
        <v>2.1</v>
      </c>
      <c r="L48" s="77">
        <v>1.88</v>
      </c>
      <c r="M48" s="77">
        <v>1.98</v>
      </c>
      <c r="N48" s="77">
        <v>2.23</v>
      </c>
      <c r="O48" s="77">
        <v>2.38</v>
      </c>
      <c r="P48" s="77">
        <v>2.41</v>
      </c>
      <c r="Q48" s="77">
        <v>2.48</v>
      </c>
      <c r="R48" s="77">
        <v>2.48</v>
      </c>
      <c r="S48" s="77">
        <v>2.48</v>
      </c>
      <c r="T48" s="77">
        <v>2.48</v>
      </c>
      <c r="U48" s="77">
        <v>2.52</v>
      </c>
      <c r="V48" s="77">
        <f>SUM(V45:V46)</f>
        <v>2.6144273570093706</v>
      </c>
      <c r="W48" s="77">
        <f>SUM(W45:W46)</f>
        <v>2.5700087217617718</v>
      </c>
      <c r="X48" s="77">
        <f>SUM(X45:X46)</f>
        <v>2.6198810610413013</v>
      </c>
      <c r="Y48" s="77">
        <f>SUM(Y45:Y46)</f>
        <v>2.7002309409916538</v>
      </c>
      <c r="Z48" s="77">
        <f t="shared" ref="Z48:AF48" si="64">Z41/Z51</f>
        <v>2.7999756195507124</v>
      </c>
      <c r="AA48" s="77">
        <f t="shared" si="64"/>
        <v>2.9100114157388801</v>
      </c>
      <c r="AB48" s="77">
        <f t="shared" si="64"/>
        <v>3.0200472119270474</v>
      </c>
      <c r="AC48" s="77">
        <f t="shared" si="64"/>
        <v>3.0802106688356861</v>
      </c>
      <c r="AD48" s="77">
        <f t="shared" si="64"/>
        <v>3.100001279660896</v>
      </c>
      <c r="AE48" s="77">
        <f t="shared" si="64"/>
        <v>3.100001279660896</v>
      </c>
      <c r="AF48" s="77">
        <f t="shared" si="64"/>
        <v>3.100001279660896</v>
      </c>
      <c r="AG48" s="77">
        <f t="shared" ref="AG48:AH48" si="65">AG41/AG51</f>
        <v>3.100001279660896</v>
      </c>
      <c r="AH48" s="77">
        <f t="shared" si="65"/>
        <v>3.1498736189404251</v>
      </c>
      <c r="AI48" s="77">
        <f t="shared" ref="AI48:AN48" si="66">AH48*(1+AI49)</f>
        <v>3.1498736189404251</v>
      </c>
      <c r="AJ48" s="77">
        <f>AI48*(1+AJ49)</f>
        <v>3.2443698275086379</v>
      </c>
      <c r="AK48" s="77">
        <f>AJ48*(1+AK49)</f>
        <v>3.3417009223338972</v>
      </c>
      <c r="AL48" s="77">
        <f>AK48*(1+AL49)</f>
        <v>3.4419519500039142</v>
      </c>
      <c r="AM48" s="77">
        <f>AL48*(1+AM49)</f>
        <v>3.5452105085040317</v>
      </c>
      <c r="AN48" s="77">
        <f t="shared" si="66"/>
        <v>3.6515668237591528</v>
      </c>
      <c r="AO48" s="18"/>
      <c r="AP48" s="46"/>
      <c r="AQ48" s="18" t="s">
        <v>766</v>
      </c>
      <c r="AR48" s="490">
        <f t="shared" ref="AR48:AX48" si="67">AF48</f>
        <v>3.100001279660896</v>
      </c>
      <c r="AS48" s="490">
        <f t="shared" si="67"/>
        <v>3.100001279660896</v>
      </c>
      <c r="AT48" s="490">
        <f t="shared" si="67"/>
        <v>3.1498736189404251</v>
      </c>
      <c r="AU48" s="490">
        <f t="shared" si="67"/>
        <v>3.1498736189404251</v>
      </c>
      <c r="AV48" s="490">
        <f t="shared" si="67"/>
        <v>3.2443698275086379</v>
      </c>
      <c r="AW48" s="490">
        <f t="shared" si="67"/>
        <v>3.3417009223338972</v>
      </c>
      <c r="AX48" s="490">
        <f t="shared" si="67"/>
        <v>3.4419519500039142</v>
      </c>
    </row>
    <row r="49" spans="1:50" s="40" customFormat="1">
      <c r="A49" s="44" t="s">
        <v>516</v>
      </c>
      <c r="B49" s="17"/>
      <c r="C49" s="72">
        <f>(C45+C46)/(B45+B46)-1</f>
        <v>0.15420289855072444</v>
      </c>
      <c r="D49" s="72">
        <f t="shared" ref="D49:AH49" si="68">(D45+D46)/(C45+C46)-1</f>
        <v>0.14967353088900048</v>
      </c>
      <c r="E49" s="72">
        <f t="shared" si="68"/>
        <v>0.10441240716470057</v>
      </c>
      <c r="F49" s="72">
        <f t="shared" si="68"/>
        <v>0.10245253164556978</v>
      </c>
      <c r="G49" s="72">
        <f t="shared" si="68"/>
        <v>5.6826199354144125E-2</v>
      </c>
      <c r="H49" s="72">
        <f t="shared" si="68"/>
        <v>4.9108518516749022E-2</v>
      </c>
      <c r="I49" s="72">
        <f t="shared" si="68"/>
        <v>0.3016802173604094</v>
      </c>
      <c r="J49" s="72">
        <f t="shared" si="68"/>
        <v>-0.15890206301583687</v>
      </c>
      <c r="K49" s="72">
        <f t="shared" si="68"/>
        <v>5.2087609838846527E-2</v>
      </c>
      <c r="L49" s="72">
        <f t="shared" si="68"/>
        <v>0.26174496644295275</v>
      </c>
      <c r="M49" s="72">
        <f t="shared" si="68"/>
        <v>5.319148936170226E-2</v>
      </c>
      <c r="N49" s="72">
        <f t="shared" si="68"/>
        <v>0.1262626262626263</v>
      </c>
      <c r="O49" s="72">
        <f t="shared" si="68"/>
        <v>6.7264573991031362E-2</v>
      </c>
      <c r="P49" s="72">
        <f t="shared" si="68"/>
        <v>1.26050420168069E-2</v>
      </c>
      <c r="Q49" s="72">
        <f t="shared" si="68"/>
        <v>2.9045643153526868E-2</v>
      </c>
      <c r="R49" s="72">
        <f t="shared" si="68"/>
        <v>0</v>
      </c>
      <c r="S49" s="72">
        <f t="shared" si="68"/>
        <v>0</v>
      </c>
      <c r="T49" s="72">
        <f t="shared" si="68"/>
        <v>-3.9487631213419583E-5</v>
      </c>
      <c r="U49" s="72">
        <f>(U45+U46)/(T45+T46)-1</f>
        <v>1.6088655592449097E-2</v>
      </c>
      <c r="V49" s="72">
        <f>(V45+V46)/(U45+U46)-1</f>
        <v>3.7553370291373511E-2</v>
      </c>
      <c r="W49" s="72">
        <f t="shared" si="68"/>
        <v>-1.6989814281322846E-2</v>
      </c>
      <c r="X49" s="72">
        <f t="shared" si="68"/>
        <v>1.9405513630063265E-2</v>
      </c>
      <c r="Y49" s="72">
        <f t="shared" si="68"/>
        <v>3.0669285390542367E-2</v>
      </c>
      <c r="Z49" s="72">
        <f t="shared" si="68"/>
        <v>3.6939313984168942E-2</v>
      </c>
      <c r="AA49" s="72">
        <f t="shared" si="68"/>
        <v>3.9298840825558345E-2</v>
      </c>
      <c r="AB49" s="72">
        <f t="shared" si="68"/>
        <v>3.7812840043525364E-2</v>
      </c>
      <c r="AC49" s="72">
        <f>(AC45+AC46)/(AB45+AB46)-1</f>
        <v>1.9921363040629192E-2</v>
      </c>
      <c r="AD49" s="72">
        <f>(AD45+AD46)/(AC45+AC46)-1</f>
        <v>6.4250835260857286E-3</v>
      </c>
      <c r="AE49" s="72">
        <f t="shared" si="68"/>
        <v>0</v>
      </c>
      <c r="AF49" s="72">
        <f t="shared" si="68"/>
        <v>0</v>
      </c>
      <c r="AG49" s="72">
        <f t="shared" si="68"/>
        <v>0</v>
      </c>
      <c r="AH49" s="72">
        <f t="shared" si="68"/>
        <v>1.6087844739530066E-2</v>
      </c>
      <c r="AI49" s="68">
        <v>0</v>
      </c>
      <c r="AJ49" s="68">
        <v>0.03</v>
      </c>
      <c r="AK49" s="68">
        <f>AJ49</f>
        <v>0.03</v>
      </c>
      <c r="AL49" s="68">
        <f>AK49</f>
        <v>0.03</v>
      </c>
      <c r="AM49" s="68">
        <f>AL49</f>
        <v>0.03</v>
      </c>
      <c r="AN49" s="68">
        <f t="shared" ref="AN49" si="69">AM49</f>
        <v>0.03</v>
      </c>
      <c r="AO49" s="18"/>
      <c r="AP49" s="46"/>
      <c r="AQ49" s="18" t="s">
        <v>767</v>
      </c>
      <c r="AR49" s="490"/>
      <c r="AS49" s="490"/>
      <c r="AT49" s="490"/>
      <c r="AU49" s="490">
        <f>AT48*1.03</f>
        <v>3.2443698275086379</v>
      </c>
      <c r="AV49" s="490">
        <f>AU49*1.03</f>
        <v>3.3417009223338972</v>
      </c>
      <c r="AW49" s="490">
        <f t="shared" ref="AW49:AX49" si="70">AV49*1.03</f>
        <v>3.4419519500039142</v>
      </c>
      <c r="AX49" s="490">
        <f t="shared" si="70"/>
        <v>3.5452105085040317</v>
      </c>
    </row>
    <row r="50" spans="1:50" s="40" customFormat="1">
      <c r="A50" s="16"/>
      <c r="B50" s="71"/>
      <c r="C50" s="71"/>
      <c r="D50" s="71"/>
      <c r="E50" s="71"/>
      <c r="F50" s="71"/>
      <c r="G50" s="71"/>
      <c r="H50" s="71"/>
      <c r="I50" s="71"/>
      <c r="J50" s="71"/>
      <c r="K50" s="71"/>
      <c r="L50" s="71"/>
      <c r="M50" s="71"/>
      <c r="N50" s="71"/>
      <c r="O50" s="71"/>
      <c r="P50" s="71"/>
      <c r="Q50" s="71"/>
      <c r="R50" s="71"/>
      <c r="S50" s="71"/>
      <c r="T50" s="71"/>
      <c r="U50" s="71"/>
      <c r="V50" s="71"/>
      <c r="W50" s="71"/>
      <c r="X50" s="71"/>
      <c r="Y50" s="71"/>
      <c r="Z50" s="71"/>
      <c r="AA50" s="71"/>
      <c r="AB50" s="71"/>
      <c r="AC50" s="71"/>
      <c r="AD50" s="71"/>
      <c r="AE50" s="71"/>
      <c r="AF50" s="71"/>
      <c r="AG50" s="71"/>
      <c r="AH50" s="71"/>
      <c r="AI50" s="71"/>
      <c r="AJ50" s="71"/>
      <c r="AK50" s="71"/>
      <c r="AL50" s="71"/>
      <c r="AM50" s="71"/>
      <c r="AN50" s="71"/>
      <c r="AO50" s="18"/>
      <c r="AP50" s="46"/>
      <c r="AQ50" s="18"/>
      <c r="AR50" s="18"/>
      <c r="AS50" s="18"/>
      <c r="AT50" s="18"/>
      <c r="AU50" s="18"/>
      <c r="AV50" s="18"/>
      <c r="AW50" s="18"/>
    </row>
    <row r="51" spans="1:50" s="16" customFormat="1">
      <c r="A51" s="21" t="s">
        <v>123</v>
      </c>
      <c r="B51" s="46">
        <v>1658.88</v>
      </c>
      <c r="C51" s="46">
        <v>1658.88</v>
      </c>
      <c r="D51" s="46">
        <v>1990.6559999999999</v>
      </c>
      <c r="E51" s="46">
        <v>1990.6559999999999</v>
      </c>
      <c r="F51" s="46">
        <v>1990.6559999999999</v>
      </c>
      <c r="G51" s="46">
        <v>2287.8910000000001</v>
      </c>
      <c r="H51" s="46">
        <v>2479.5230000000001</v>
      </c>
      <c r="I51" s="46">
        <v>2380.1909999999998</v>
      </c>
      <c r="J51" s="46">
        <v>2081.2269999999999</v>
      </c>
      <c r="K51" s="46">
        <v>2486.5830000000001</v>
      </c>
      <c r="L51" s="46">
        <v>2408.7829999999999</v>
      </c>
      <c r="M51" s="46">
        <v>2408.2458999999999</v>
      </c>
      <c r="N51" s="45">
        <v>2408.2458999999999</v>
      </c>
      <c r="O51" s="45">
        <v>2408.2458999999999</v>
      </c>
      <c r="P51" s="45">
        <f>AVERAGE(O52,P52)</f>
        <v>2408.2458999999999</v>
      </c>
      <c r="Q51" s="45">
        <v>2408.2460000000001</v>
      </c>
      <c r="R51" s="45">
        <v>2407.873</v>
      </c>
      <c r="S51" s="45">
        <v>2406.1433999999999</v>
      </c>
      <c r="T51" s="45">
        <v>2406.1433999999999</v>
      </c>
      <c r="U51" s="45">
        <v>2406.143</v>
      </c>
      <c r="V51" s="45">
        <v>2410.0880000000002</v>
      </c>
      <c r="W51" s="45">
        <f>+AVERAGE(V52:W52)</f>
        <v>2526.45057</v>
      </c>
      <c r="X51" s="45">
        <f t="shared" ref="X51:AD51" si="71">AVERAGE(W52,X52)</f>
        <v>2526.45057</v>
      </c>
      <c r="Y51" s="45">
        <f t="shared" si="71"/>
        <v>2526.45057</v>
      </c>
      <c r="Z51" s="45">
        <f t="shared" si="71"/>
        <v>2526.45057</v>
      </c>
      <c r="AA51" s="45">
        <f t="shared" si="71"/>
        <v>2526.45057</v>
      </c>
      <c r="AB51" s="45">
        <f t="shared" si="71"/>
        <v>2526.45057</v>
      </c>
      <c r="AC51" s="45">
        <f t="shared" si="71"/>
        <v>2526.45057</v>
      </c>
      <c r="AD51" s="45">
        <f t="shared" si="71"/>
        <v>2526.45057</v>
      </c>
      <c r="AE51" s="45">
        <f t="shared" ref="AE51:AN51" si="72">AVERAGE(AD52,AE52)</f>
        <v>2526.45057</v>
      </c>
      <c r="AF51" s="45">
        <f t="shared" si="72"/>
        <v>2526.45057</v>
      </c>
      <c r="AG51" s="45">
        <f t="shared" si="72"/>
        <v>2526.45057</v>
      </c>
      <c r="AH51" s="45">
        <f t="shared" si="72"/>
        <v>2526.45057</v>
      </c>
      <c r="AI51" s="45">
        <f>AVERAGE(AH52,AI52)</f>
        <v>2526.45057</v>
      </c>
      <c r="AJ51" s="45">
        <f>AVERAGE(AI52,AJ52)</f>
        <v>2526.45057</v>
      </c>
      <c r="AK51" s="45">
        <f>AVERAGE(AJ52,AK52)</f>
        <v>2526.45057</v>
      </c>
      <c r="AL51" s="45">
        <f>AVERAGE(AK52,AL52)</f>
        <v>2526.45057</v>
      </c>
      <c r="AM51" s="45">
        <f>AVERAGE(AL52,AM52)</f>
        <v>2526.45057</v>
      </c>
      <c r="AN51" s="45">
        <f t="shared" si="72"/>
        <v>2526.45057</v>
      </c>
      <c r="AO51" s="18"/>
      <c r="AP51" s="46"/>
      <c r="AQ51" s="18"/>
      <c r="AR51" s="18"/>
      <c r="AS51" s="18"/>
      <c r="AT51" s="18"/>
      <c r="AU51" s="18"/>
      <c r="AV51" s="18"/>
      <c r="AW51" s="18"/>
    </row>
    <row r="52" spans="1:50" s="16" customFormat="1">
      <c r="A52" s="16" t="s">
        <v>238</v>
      </c>
      <c r="B52" s="46">
        <v>1658.88</v>
      </c>
      <c r="C52" s="46">
        <v>1658.88</v>
      </c>
      <c r="D52" s="46">
        <v>1990.6559999999999</v>
      </c>
      <c r="E52" s="46">
        <v>1990.6559999999999</v>
      </c>
      <c r="F52" s="46">
        <v>1990.6559999999999</v>
      </c>
      <c r="G52" s="46">
        <v>2488.3200000000002</v>
      </c>
      <c r="H52" s="46">
        <v>2448.5025000000001</v>
      </c>
      <c r="I52" s="46">
        <v>2081.2269999999999</v>
      </c>
      <c r="J52" s="46">
        <v>2081.2269999999999</v>
      </c>
      <c r="K52" s="46">
        <v>2421.4863999999998</v>
      </c>
      <c r="L52" s="46">
        <v>2408.2458999999999</v>
      </c>
      <c r="M52" s="46">
        <v>2408.2458999999999</v>
      </c>
      <c r="N52" s="45">
        <v>2408.2458999999999</v>
      </c>
      <c r="O52" s="45">
        <v>2408.2458999999999</v>
      </c>
      <c r="P52" s="45">
        <f>O52</f>
        <v>2408.2458999999999</v>
      </c>
      <c r="Q52" s="45">
        <v>2408.2458999999999</v>
      </c>
      <c r="R52" s="45">
        <v>2406.1433999999999</v>
      </c>
      <c r="S52" s="45">
        <v>2406.1433999999999</v>
      </c>
      <c r="T52" s="45">
        <v>2406.1433999999999</v>
      </c>
      <c r="U52" s="45">
        <f>T52</f>
        <v>2406.1433999999999</v>
      </c>
      <c r="V52" s="45">
        <f>U52+120.30717</f>
        <v>2526.45057</v>
      </c>
      <c r="W52" s="45">
        <f t="shared" ref="W52:AB52" si="73">V52</f>
        <v>2526.45057</v>
      </c>
      <c r="X52" s="45">
        <f t="shared" si="73"/>
        <v>2526.45057</v>
      </c>
      <c r="Y52" s="45">
        <f t="shared" si="73"/>
        <v>2526.45057</v>
      </c>
      <c r="Z52" s="45">
        <f t="shared" si="73"/>
        <v>2526.45057</v>
      </c>
      <c r="AA52" s="45">
        <f t="shared" si="73"/>
        <v>2526.45057</v>
      </c>
      <c r="AB52" s="45">
        <f t="shared" si="73"/>
        <v>2526.45057</v>
      </c>
      <c r="AC52" s="45">
        <f>AB52</f>
        <v>2526.45057</v>
      </c>
      <c r="AD52" s="45">
        <f>AC52</f>
        <v>2526.45057</v>
      </c>
      <c r="AE52" s="45">
        <f>AD52</f>
        <v>2526.45057</v>
      </c>
      <c r="AF52" s="45">
        <f t="shared" ref="AF52:AN52" si="74">AE52</f>
        <v>2526.45057</v>
      </c>
      <c r="AG52" s="45">
        <f t="shared" si="74"/>
        <v>2526.45057</v>
      </c>
      <c r="AH52" s="45">
        <f t="shared" si="74"/>
        <v>2526.45057</v>
      </c>
      <c r="AI52" s="47">
        <f>AH52</f>
        <v>2526.45057</v>
      </c>
      <c r="AJ52" s="47">
        <f>AI52</f>
        <v>2526.45057</v>
      </c>
      <c r="AK52" s="47">
        <f>AJ52</f>
        <v>2526.45057</v>
      </c>
      <c r="AL52" s="47">
        <f>AK52</f>
        <v>2526.45057</v>
      </c>
      <c r="AM52" s="47">
        <f>AL52</f>
        <v>2526.45057</v>
      </c>
      <c r="AN52" s="47">
        <f t="shared" si="74"/>
        <v>2526.45057</v>
      </c>
      <c r="AO52" s="18"/>
      <c r="AP52" s="46"/>
      <c r="AQ52" s="18"/>
      <c r="AR52" s="18"/>
      <c r="AS52" s="18"/>
      <c r="AT52" s="18"/>
      <c r="AU52" s="18"/>
      <c r="AV52" s="18"/>
      <c r="AW52" s="18"/>
    </row>
    <row r="53" spans="1:50" s="40" customFormat="1">
      <c r="A53" s="16" t="s">
        <v>49</v>
      </c>
      <c r="B53" s="46">
        <f>+B52*1.2*1.2</f>
        <v>2388.7871999999998</v>
      </c>
      <c r="C53" s="46">
        <f>+C52*1.2*1.2</f>
        <v>2388.7871999999998</v>
      </c>
      <c r="D53" s="46">
        <f t="shared" ref="D53:J53" si="75">+D52*1.2</f>
        <v>2388.7871999999998</v>
      </c>
      <c r="E53" s="46">
        <f t="shared" si="75"/>
        <v>2388.7871999999998</v>
      </c>
      <c r="F53" s="46">
        <f t="shared" si="75"/>
        <v>2388.7871999999998</v>
      </c>
      <c r="G53" s="46">
        <f t="shared" si="75"/>
        <v>2985.9839999999999</v>
      </c>
      <c r="H53" s="46">
        <f t="shared" si="75"/>
        <v>2938.203</v>
      </c>
      <c r="I53" s="46">
        <f t="shared" si="75"/>
        <v>2497.4723999999997</v>
      </c>
      <c r="J53" s="46">
        <f t="shared" si="75"/>
        <v>2497.4723999999997</v>
      </c>
      <c r="K53" s="46">
        <f>+K52</f>
        <v>2421.4863999999998</v>
      </c>
      <c r="L53" s="46">
        <f t="shared" ref="L53:S53" si="76">+L52</f>
        <v>2408.2458999999999</v>
      </c>
      <c r="M53" s="46">
        <f t="shared" si="76"/>
        <v>2408.2458999999999</v>
      </c>
      <c r="N53" s="46">
        <f t="shared" si="76"/>
        <v>2408.2458999999999</v>
      </c>
      <c r="O53" s="46">
        <f t="shared" si="76"/>
        <v>2408.2458999999999</v>
      </c>
      <c r="P53" s="46">
        <f t="shared" si="76"/>
        <v>2408.2458999999999</v>
      </c>
      <c r="Q53" s="46">
        <f t="shared" si="76"/>
        <v>2408.2458999999999</v>
      </c>
      <c r="R53" s="46">
        <f t="shared" si="76"/>
        <v>2406.1433999999999</v>
      </c>
      <c r="S53" s="46">
        <f t="shared" si="76"/>
        <v>2406.1433999999999</v>
      </c>
      <c r="T53" s="46">
        <f t="shared" ref="T53:AC53" si="77">+T52</f>
        <v>2406.1433999999999</v>
      </c>
      <c r="U53" s="46">
        <f t="shared" si="77"/>
        <v>2406.1433999999999</v>
      </c>
      <c r="V53" s="46">
        <f t="shared" si="77"/>
        <v>2526.45057</v>
      </c>
      <c r="W53" s="46">
        <f t="shared" si="77"/>
        <v>2526.45057</v>
      </c>
      <c r="X53" s="46">
        <f t="shared" si="77"/>
        <v>2526.45057</v>
      </c>
      <c r="Y53" s="46">
        <f t="shared" si="77"/>
        <v>2526.45057</v>
      </c>
      <c r="Z53" s="46">
        <f t="shared" si="77"/>
        <v>2526.45057</v>
      </c>
      <c r="AA53" s="46">
        <f t="shared" si="77"/>
        <v>2526.45057</v>
      </c>
      <c r="AB53" s="46">
        <f t="shared" si="77"/>
        <v>2526.45057</v>
      </c>
      <c r="AC53" s="46">
        <f t="shared" si="77"/>
        <v>2526.45057</v>
      </c>
      <c r="AD53" s="46">
        <f t="shared" ref="AD53:AN53" si="78">+AD52</f>
        <v>2526.45057</v>
      </c>
      <c r="AE53" s="46">
        <f t="shared" si="78"/>
        <v>2526.45057</v>
      </c>
      <c r="AF53" s="46">
        <f t="shared" si="78"/>
        <v>2526.45057</v>
      </c>
      <c r="AG53" s="46">
        <f t="shared" ref="AG53:AH53" si="79">+AG52</f>
        <v>2526.45057</v>
      </c>
      <c r="AH53" s="46">
        <f t="shared" si="79"/>
        <v>2526.45057</v>
      </c>
      <c r="AI53" s="48">
        <f t="shared" si="78"/>
        <v>2526.45057</v>
      </c>
      <c r="AJ53" s="48">
        <f t="shared" si="78"/>
        <v>2526.45057</v>
      </c>
      <c r="AK53" s="48">
        <f t="shared" si="78"/>
        <v>2526.45057</v>
      </c>
      <c r="AL53" s="48">
        <f t="shared" si="78"/>
        <v>2526.45057</v>
      </c>
      <c r="AM53" s="48">
        <f t="shared" si="78"/>
        <v>2526.45057</v>
      </c>
      <c r="AN53" s="48">
        <f t="shared" si="78"/>
        <v>2526.45057</v>
      </c>
      <c r="AO53" s="18"/>
      <c r="AP53" s="46"/>
      <c r="AQ53" s="18"/>
      <c r="AR53" s="18"/>
      <c r="AS53" s="18"/>
      <c r="AT53" s="18"/>
      <c r="AU53" s="18"/>
      <c r="AV53" s="18"/>
      <c r="AW53" s="18"/>
    </row>
    <row r="54" spans="1:50" s="43" customFormat="1">
      <c r="B54" s="50"/>
      <c r="C54" s="50"/>
      <c r="D54" s="50"/>
      <c r="E54" s="50"/>
      <c r="F54" s="50"/>
      <c r="G54" s="50"/>
      <c r="H54" s="50"/>
      <c r="I54" s="50"/>
      <c r="J54" s="50"/>
      <c r="K54" s="50"/>
      <c r="L54" s="50"/>
      <c r="M54" s="50"/>
      <c r="N54" s="50"/>
      <c r="O54" s="50"/>
      <c r="P54" s="50"/>
      <c r="Q54" s="50"/>
      <c r="R54" s="50"/>
      <c r="S54" s="50"/>
      <c r="T54" s="50"/>
      <c r="U54" s="17"/>
      <c r="V54" s="17"/>
      <c r="W54" s="17"/>
      <c r="X54" s="50"/>
      <c r="Y54" s="17"/>
      <c r="Z54" s="17"/>
      <c r="AA54" s="17"/>
      <c r="AB54" s="50"/>
      <c r="AC54" s="50"/>
      <c r="AD54" s="50"/>
      <c r="AE54" s="50"/>
      <c r="AF54" s="50"/>
      <c r="AG54" s="50"/>
      <c r="AH54" s="50"/>
      <c r="AI54" s="50"/>
      <c r="AJ54" s="50"/>
      <c r="AK54" s="50"/>
      <c r="AL54" s="50"/>
      <c r="AM54" s="50"/>
      <c r="AN54" s="50"/>
      <c r="AO54" s="18"/>
      <c r="AP54" s="46"/>
      <c r="AQ54" s="18"/>
      <c r="AR54" s="18"/>
      <c r="AS54" s="18"/>
      <c r="AT54" s="18"/>
      <c r="AU54" s="18"/>
      <c r="AV54" s="18"/>
      <c r="AW54" s="18"/>
    </row>
    <row r="55" spans="1:50" s="16" customFormat="1">
      <c r="A55" s="16" t="s">
        <v>34</v>
      </c>
      <c r="B55" s="46"/>
      <c r="C55" s="30"/>
      <c r="D55" s="13">
        <f t="shared" ref="D55:AG55" si="80">+D31/(SUM(C96:D97)/2)</f>
        <v>0.27332098645092112</v>
      </c>
      <c r="E55" s="13">
        <f t="shared" si="80"/>
        <v>0.24965152334082438</v>
      </c>
      <c r="F55" s="13">
        <f t="shared" si="80"/>
        <v>0.24392827419232807</v>
      </c>
      <c r="G55" s="13">
        <f t="shared" si="80"/>
        <v>0.1919962757909788</v>
      </c>
      <c r="H55" s="13">
        <f t="shared" si="80"/>
        <v>0.16535780552630264</v>
      </c>
      <c r="I55" s="13">
        <f t="shared" si="80"/>
        <v>0.21880930532244278</v>
      </c>
      <c r="J55" s="13">
        <f t="shared" si="80"/>
        <v>0.18064022446116568</v>
      </c>
      <c r="K55" s="13">
        <f t="shared" si="80"/>
        <v>0.17960842719290082</v>
      </c>
      <c r="L55" s="13">
        <f t="shared" si="80"/>
        <v>0.1886491773098608</v>
      </c>
      <c r="M55" s="13">
        <f t="shared" si="80"/>
        <v>0.19211352331662074</v>
      </c>
      <c r="N55" s="13">
        <f t="shared" si="80"/>
        <v>0.19428760034420567</v>
      </c>
      <c r="O55" s="13">
        <f t="shared" si="80"/>
        <v>0.19398956271369444</v>
      </c>
      <c r="P55" s="13">
        <f t="shared" si="80"/>
        <v>0.17410958130073645</v>
      </c>
      <c r="Q55" s="13">
        <f t="shared" si="80"/>
        <v>0.15534725465341251</v>
      </c>
      <c r="R55" s="13">
        <f t="shared" si="80"/>
        <v>0.14761088122846489</v>
      </c>
      <c r="S55" s="13">
        <f t="shared" si="80"/>
        <v>0.12451675498171505</v>
      </c>
      <c r="T55" s="13">
        <f t="shared" si="80"/>
        <v>0.12300665223799344</v>
      </c>
      <c r="U55" s="13">
        <f t="shared" si="80"/>
        <v>0.12801191732356776</v>
      </c>
      <c r="V55" s="13">
        <f t="shared" si="80"/>
        <v>0.10902157597955411</v>
      </c>
      <c r="W55" s="13">
        <f t="shared" si="80"/>
        <v>0.10417389552389161</v>
      </c>
      <c r="X55" s="13">
        <f t="shared" si="80"/>
        <v>0.10970344526820759</v>
      </c>
      <c r="Y55" s="13">
        <f t="shared" si="80"/>
        <v>0.11700890340340594</v>
      </c>
      <c r="Z55" s="13">
        <f t="shared" si="80"/>
        <v>0.11933915483418399</v>
      </c>
      <c r="AA55" s="13">
        <f t="shared" si="80"/>
        <v>0.1170978528687082</v>
      </c>
      <c r="AB55" s="13">
        <f t="shared" si="80"/>
        <v>0.11347229943312544</v>
      </c>
      <c r="AC55" s="13">
        <f>+AC31/(SUM(AB96:AC97)/2)</f>
        <v>9.1058335141508462E-2</v>
      </c>
      <c r="AD55" s="13">
        <f>+AD31/(SUM(AC96:AD97)/2)</f>
        <v>9.4390157398461488E-2</v>
      </c>
      <c r="AE55" s="13">
        <f t="shared" si="80"/>
        <v>7.5328180591338487E-2</v>
      </c>
      <c r="AF55" s="13">
        <f t="shared" si="80"/>
        <v>3.8143092288461779E-2</v>
      </c>
      <c r="AG55" s="13">
        <f t="shared" si="80"/>
        <v>0.1074378715866641</v>
      </c>
      <c r="AH55" s="13">
        <f t="shared" ref="AH55:AN55" si="81">+AH31/(SUM(AG96:AH97)/2)</f>
        <v>0.10470112359550562</v>
      </c>
      <c r="AI55" s="13">
        <f>+AI31/(SUM(AH96:AI97)/2)</f>
        <v>9.950805797383297E-2</v>
      </c>
      <c r="AJ55" s="13">
        <f>+AJ31/(SUM(AI96:AJ97)/2)</f>
        <v>0.10265176220830834</v>
      </c>
      <c r="AK55" s="13">
        <f>+AK31/(SUM(AJ96:AK97)/2)</f>
        <v>0.10288364796718169</v>
      </c>
      <c r="AL55" s="13">
        <f>+AL31/(SUM(AK96:AL97)/2)</f>
        <v>0.1022249581070644</v>
      </c>
      <c r="AM55" s="13">
        <f>+AM31/(SUM(AL96:AM97)/2)</f>
        <v>0.10151869347109856</v>
      </c>
      <c r="AN55" s="13">
        <f t="shared" si="81"/>
        <v>0.10076000174602513</v>
      </c>
      <c r="AO55" s="18"/>
      <c r="AP55" s="46"/>
      <c r="AQ55" s="18"/>
      <c r="AR55" s="18"/>
      <c r="AS55" s="18"/>
      <c r="AT55" s="18"/>
      <c r="AU55" s="18"/>
      <c r="AV55" s="18"/>
      <c r="AW55" s="18"/>
    </row>
    <row r="56" spans="1:50" s="7" customFormat="1">
      <c r="A56" s="157" t="s">
        <v>102</v>
      </c>
      <c r="B56" s="156"/>
      <c r="C56" s="156"/>
      <c r="D56" s="156"/>
      <c r="E56" s="156"/>
      <c r="F56" s="156"/>
      <c r="G56" s="156"/>
      <c r="H56" s="156"/>
      <c r="I56" s="156"/>
      <c r="J56" s="156"/>
      <c r="K56" s="156"/>
      <c r="L56" s="156"/>
      <c r="M56" s="156"/>
      <c r="N56" s="156"/>
      <c r="O56" s="156"/>
      <c r="P56" s="156"/>
      <c r="Q56" s="156"/>
      <c r="R56" s="156"/>
      <c r="S56" s="156"/>
      <c r="T56" s="156"/>
      <c r="U56" s="156"/>
      <c r="V56" s="156"/>
      <c r="W56" s="156"/>
      <c r="X56" s="156"/>
      <c r="Y56" s="156"/>
      <c r="Z56" s="156"/>
      <c r="AA56" s="156"/>
      <c r="AB56" s="156"/>
      <c r="AC56" s="156"/>
      <c r="AD56" s="156"/>
      <c r="AE56" s="156">
        <f>33888-AE64</f>
        <v>0</v>
      </c>
      <c r="AF56" s="156"/>
      <c r="AG56" s="156"/>
      <c r="AH56" s="156"/>
      <c r="AI56" s="156"/>
      <c r="AJ56" s="156"/>
      <c r="AK56" s="156"/>
      <c r="AL56" s="156"/>
      <c r="AM56" s="156"/>
      <c r="AN56" s="156"/>
      <c r="AO56" s="18"/>
      <c r="AP56" s="46"/>
    </row>
    <row r="57" spans="1:50" s="16" customFormat="1">
      <c r="A57" s="16" t="s">
        <v>126</v>
      </c>
      <c r="B57" s="17">
        <v>161</v>
      </c>
      <c r="C57" s="17">
        <v>2122</v>
      </c>
      <c r="D57" s="17">
        <v>2016</v>
      </c>
      <c r="E57" s="17">
        <v>1160</v>
      </c>
      <c r="F57" s="17">
        <v>2058</v>
      </c>
      <c r="G57" s="17">
        <v>18011</v>
      </c>
      <c r="H57" s="17">
        <f>8990+5797</f>
        <v>14787</v>
      </c>
      <c r="I57" s="17">
        <f>588+330</f>
        <v>918</v>
      </c>
      <c r="J57" s="17">
        <f>2162+10</f>
        <v>2172</v>
      </c>
      <c r="K57" s="17">
        <v>80</v>
      </c>
      <c r="L57" s="17">
        <v>516</v>
      </c>
      <c r="M57" s="17">
        <v>787</v>
      </c>
      <c r="N57" s="17">
        <v>2520</v>
      </c>
      <c r="O57" s="17">
        <v>2041</v>
      </c>
      <c r="P57" s="17">
        <v>1613</v>
      </c>
      <c r="Q57" s="17">
        <v>2779</v>
      </c>
      <c r="R57" s="17">
        <v>782</v>
      </c>
      <c r="S57" s="17">
        <v>7994</v>
      </c>
      <c r="T57" s="17">
        <v>4756</v>
      </c>
      <c r="U57" s="17">
        <v>3866</v>
      </c>
      <c r="V57" s="17">
        <v>13026</v>
      </c>
      <c r="W57" s="17">
        <v>5233</v>
      </c>
      <c r="X57" s="17">
        <v>4393</v>
      </c>
      <c r="Y57" s="17">
        <v>3799</v>
      </c>
      <c r="Z57" s="17">
        <f>4467+200</f>
        <v>4667</v>
      </c>
      <c r="AA57" s="17">
        <f>6529+3401</f>
        <v>9930</v>
      </c>
      <c r="AB57" s="17">
        <f>7365+4761</f>
        <v>12126</v>
      </c>
      <c r="AC57" s="17">
        <f>7881+445</f>
        <v>8326</v>
      </c>
      <c r="AD57" s="17">
        <f>10158+1550</f>
        <v>11708</v>
      </c>
      <c r="AE57" s="17">
        <f>8199+61</f>
        <v>8260</v>
      </c>
      <c r="AF57" s="17">
        <f>4251+35</f>
        <v>4286</v>
      </c>
      <c r="AG57" s="17">
        <f>5182+22</f>
        <v>5204</v>
      </c>
      <c r="AH57" s="17">
        <f>4976+23</f>
        <v>4999</v>
      </c>
      <c r="AI57" s="55">
        <f t="shared" ref="AI57:AN57" si="82">AH57+AI140</f>
        <v>3646.1279126505469</v>
      </c>
      <c r="AJ57" s="55">
        <f t="shared" si="82"/>
        <v>3565.334318807094</v>
      </c>
      <c r="AK57" s="55">
        <f t="shared" si="82"/>
        <v>4147.0988876578813</v>
      </c>
      <c r="AL57" s="55">
        <f t="shared" si="82"/>
        <v>4559.613255002645</v>
      </c>
      <c r="AM57" s="55">
        <f>AL57+AM140</f>
        <v>5029.0277814779438</v>
      </c>
      <c r="AN57" s="55">
        <f t="shared" si="82"/>
        <v>5537.0971150039513</v>
      </c>
      <c r="AO57" s="18"/>
      <c r="AP57" s="46"/>
      <c r="AQ57" s="18"/>
      <c r="AR57" s="18"/>
      <c r="AS57" s="18"/>
      <c r="AT57" s="18"/>
      <c r="AU57" s="18"/>
      <c r="AV57" s="18"/>
      <c r="AW57" s="18"/>
    </row>
    <row r="58" spans="1:50" s="14" customFormat="1">
      <c r="A58" s="52" t="s">
        <v>104</v>
      </c>
      <c r="B58" s="17">
        <v>0</v>
      </c>
      <c r="C58" s="17">
        <v>0</v>
      </c>
      <c r="D58" s="17">
        <v>0</v>
      </c>
      <c r="E58" s="17">
        <v>0</v>
      </c>
      <c r="F58" s="17">
        <v>0</v>
      </c>
      <c r="G58" s="17">
        <v>0</v>
      </c>
      <c r="H58" s="17">
        <v>0</v>
      </c>
      <c r="I58" s="17">
        <v>0</v>
      </c>
      <c r="J58" s="17">
        <v>0</v>
      </c>
      <c r="K58" s="17">
        <v>0</v>
      </c>
      <c r="L58" s="17">
        <v>671</v>
      </c>
      <c r="M58" s="17">
        <v>10</v>
      </c>
      <c r="N58" s="17">
        <v>0</v>
      </c>
      <c r="O58" s="17">
        <v>0</v>
      </c>
      <c r="P58" s="17">
        <v>0</v>
      </c>
      <c r="Q58" s="17">
        <v>0</v>
      </c>
      <c r="R58" s="17">
        <v>0</v>
      </c>
      <c r="S58" s="17">
        <v>0</v>
      </c>
      <c r="T58" s="17">
        <v>336</v>
      </c>
      <c r="U58" s="17">
        <v>0</v>
      </c>
      <c r="V58" s="17">
        <v>0</v>
      </c>
      <c r="W58" s="17">
        <v>0</v>
      </c>
      <c r="X58" s="17">
        <v>0</v>
      </c>
      <c r="Y58" s="17">
        <v>0</v>
      </c>
      <c r="Z58" s="17">
        <v>0</v>
      </c>
      <c r="AA58" s="17">
        <v>0</v>
      </c>
      <c r="AB58" s="17">
        <f t="shared" ref="AB58:AG58" si="83">AA58</f>
        <v>0</v>
      </c>
      <c r="AC58" s="17">
        <f t="shared" si="83"/>
        <v>0</v>
      </c>
      <c r="AD58" s="17">
        <f t="shared" si="83"/>
        <v>0</v>
      </c>
      <c r="AE58" s="17">
        <f t="shared" si="83"/>
        <v>0</v>
      </c>
      <c r="AF58" s="17">
        <f t="shared" si="83"/>
        <v>0</v>
      </c>
      <c r="AG58" s="17">
        <f t="shared" si="83"/>
        <v>0</v>
      </c>
      <c r="AH58" s="17">
        <f t="shared" ref="AH58" si="84">AG58</f>
        <v>0</v>
      </c>
      <c r="AI58" s="17">
        <f t="shared" ref="AI58:AI59" si="85">AH58</f>
        <v>0</v>
      </c>
      <c r="AJ58" s="17">
        <f t="shared" ref="AJ58:AJ59" si="86">AI58</f>
        <v>0</v>
      </c>
      <c r="AK58" s="17">
        <f t="shared" ref="AK58:AK59" si="87">AJ58</f>
        <v>0</v>
      </c>
      <c r="AL58" s="17">
        <f t="shared" ref="AL58:AL59" si="88">AK58</f>
        <v>0</v>
      </c>
      <c r="AM58" s="17">
        <f>AL58</f>
        <v>0</v>
      </c>
      <c r="AN58" s="17">
        <f t="shared" ref="AN58:AN59" si="89">AM58</f>
        <v>0</v>
      </c>
      <c r="AO58" s="18"/>
      <c r="AP58" s="46"/>
      <c r="AQ58" s="18"/>
      <c r="AR58" s="18"/>
      <c r="AS58" s="18"/>
      <c r="AT58" s="18"/>
      <c r="AU58" s="18"/>
      <c r="AV58" s="18"/>
      <c r="AW58" s="18"/>
    </row>
    <row r="59" spans="1:50" s="14" customFormat="1">
      <c r="A59" s="22" t="s">
        <v>305</v>
      </c>
      <c r="B59" s="17">
        <v>0</v>
      </c>
      <c r="C59" s="17">
        <v>0</v>
      </c>
      <c r="D59" s="17">
        <v>0</v>
      </c>
      <c r="E59" s="17">
        <v>0</v>
      </c>
      <c r="F59" s="17">
        <v>0</v>
      </c>
      <c r="G59" s="17">
        <v>0</v>
      </c>
      <c r="H59" s="17">
        <v>0</v>
      </c>
      <c r="I59" s="17">
        <v>0</v>
      </c>
      <c r="J59" s="17">
        <v>0</v>
      </c>
      <c r="K59" s="17">
        <v>0</v>
      </c>
      <c r="L59" s="17">
        <v>0</v>
      </c>
      <c r="M59" s="17">
        <v>0</v>
      </c>
      <c r="N59" s="17">
        <v>0</v>
      </c>
      <c r="O59" s="17">
        <v>1302</v>
      </c>
      <c r="P59" s="17">
        <v>1131</v>
      </c>
      <c r="Q59" s="17">
        <v>2427</v>
      </c>
      <c r="R59" s="17">
        <v>1374</v>
      </c>
      <c r="S59" s="17">
        <v>1472</v>
      </c>
      <c r="T59" s="17">
        <v>1609</v>
      </c>
      <c r="U59" s="17">
        <v>2158</v>
      </c>
      <c r="V59" s="17">
        <v>1759</v>
      </c>
      <c r="W59" s="17">
        <v>1005</v>
      </c>
      <c r="X59" s="17">
        <v>659</v>
      </c>
      <c r="Y59" s="17">
        <v>600</v>
      </c>
      <c r="Z59" s="17">
        <v>692</v>
      </c>
      <c r="AA59" s="17">
        <v>1137</v>
      </c>
      <c r="AB59" s="17">
        <v>799</v>
      </c>
      <c r="AC59" s="17">
        <v>1035</v>
      </c>
      <c r="AD59" s="17">
        <v>1816</v>
      </c>
      <c r="AE59" s="17">
        <v>1475</v>
      </c>
      <c r="AF59" s="17">
        <v>2107</v>
      </c>
      <c r="AG59" s="17">
        <v>1077</v>
      </c>
      <c r="AH59" s="17">
        <v>900</v>
      </c>
      <c r="AI59" s="54">
        <f t="shared" si="85"/>
        <v>900</v>
      </c>
      <c r="AJ59" s="54">
        <f t="shared" si="86"/>
        <v>900</v>
      </c>
      <c r="AK59" s="54">
        <f t="shared" si="87"/>
        <v>900</v>
      </c>
      <c r="AL59" s="54">
        <f t="shared" si="88"/>
        <v>900</v>
      </c>
      <c r="AM59" s="54">
        <f>AL59</f>
        <v>900</v>
      </c>
      <c r="AN59" s="54">
        <f t="shared" si="89"/>
        <v>900</v>
      </c>
      <c r="AO59" s="18"/>
      <c r="AP59" s="46"/>
      <c r="AQ59" s="18"/>
      <c r="AR59" s="18"/>
      <c r="AS59" s="18"/>
      <c r="AT59" s="18"/>
      <c r="AU59" s="18"/>
      <c r="AV59" s="18"/>
      <c r="AW59" s="18"/>
    </row>
    <row r="60" spans="1:50" s="16" customFormat="1">
      <c r="A60" s="53" t="s">
        <v>364</v>
      </c>
      <c r="B60" s="17">
        <v>1171</v>
      </c>
      <c r="C60" s="17">
        <v>1330</v>
      </c>
      <c r="D60" s="17">
        <v>1339</v>
      </c>
      <c r="E60" s="17">
        <v>1260</v>
      </c>
      <c r="F60" s="17">
        <v>1443</v>
      </c>
      <c r="G60" s="17">
        <f>1532+136</f>
        <v>1668</v>
      </c>
      <c r="H60" s="17">
        <v>2288</v>
      </c>
      <c r="I60" s="17">
        <v>1724</v>
      </c>
      <c r="J60" s="17">
        <v>1571</v>
      </c>
      <c r="K60" s="17">
        <v>1581</v>
      </c>
      <c r="L60" s="17">
        <v>1256</v>
      </c>
      <c r="M60" s="17">
        <v>4424</v>
      </c>
      <c r="N60" s="17">
        <v>3564</v>
      </c>
      <c r="O60" s="17">
        <v>5505</v>
      </c>
      <c r="P60" s="17">
        <f>8799+126</f>
        <v>8925</v>
      </c>
      <c r="Q60" s="17">
        <f>7121+152</f>
        <v>7273</v>
      </c>
      <c r="R60" s="17">
        <f>8239+128</f>
        <v>8367</v>
      </c>
      <c r="S60" s="17">
        <f>9018+130</f>
        <v>9148</v>
      </c>
      <c r="T60" s="17">
        <f>11118+144</f>
        <v>11262</v>
      </c>
      <c r="U60" s="17">
        <f>19419+142</f>
        <v>19561</v>
      </c>
      <c r="V60" s="17">
        <f>18552+1991+158</f>
        <v>20701</v>
      </c>
      <c r="W60" s="17">
        <f>997+17953+49</f>
        <v>18999</v>
      </c>
      <c r="X60" s="17">
        <f>1086+15719+50</f>
        <v>16855</v>
      </c>
      <c r="Y60" s="17">
        <f>52+13812+902</f>
        <v>14766</v>
      </c>
      <c r="Z60" s="17">
        <f>1424+13799+51</f>
        <v>15274</v>
      </c>
      <c r="AA60" s="17">
        <f>1047+15427+148</f>
        <v>16622</v>
      </c>
      <c r="AB60" s="17">
        <f>847+15917</f>
        <v>16764</v>
      </c>
      <c r="AC60" s="17">
        <f>12986+996</f>
        <v>13982</v>
      </c>
      <c r="AD60" s="17">
        <f>13002+1019</f>
        <v>14021</v>
      </c>
      <c r="AE60" s="17">
        <f>15404+1166+546</f>
        <v>17116</v>
      </c>
      <c r="AF60" s="17">
        <f>17314+804</f>
        <v>18118</v>
      </c>
      <c r="AG60" s="17">
        <f>13650+1151</f>
        <v>14801</v>
      </c>
      <c r="AH60" s="17">
        <f>14114+1055</f>
        <v>15169</v>
      </c>
      <c r="AI60" s="54">
        <f t="shared" ref="AI60" si="90">AH60*AI7/AH7</f>
        <v>15077.829955304742</v>
      </c>
      <c r="AJ60" s="54">
        <f t="shared" ref="AJ60" si="91">AI60*AJ7/AI7</f>
        <v>15413.636920959632</v>
      </c>
      <c r="AK60" s="54">
        <f t="shared" ref="AK60" si="92">AJ60*AK7/AJ7</f>
        <v>15734.838695684801</v>
      </c>
      <c r="AL60" s="54">
        <f t="shared" ref="AL60" si="93">AK60*AL7/AK7</f>
        <v>16036.888366050991</v>
      </c>
      <c r="AM60" s="54">
        <f>AL60*AM7/AL7</f>
        <v>16339.581009733978</v>
      </c>
      <c r="AN60" s="54">
        <f t="shared" ref="AN60" si="94">AM60*AN7/AM7</f>
        <v>16693.641833499114</v>
      </c>
      <c r="AO60" s="18"/>
      <c r="AP60" s="46"/>
      <c r="AQ60" s="18"/>
      <c r="AR60" s="18"/>
      <c r="AS60" s="18"/>
      <c r="AT60" s="18"/>
      <c r="AU60" s="18"/>
      <c r="AV60" s="18"/>
      <c r="AW60" s="18"/>
    </row>
    <row r="61" spans="1:50" s="51" customFormat="1">
      <c r="A61" s="53" t="s">
        <v>243</v>
      </c>
      <c r="B61" s="17">
        <v>0</v>
      </c>
      <c r="C61" s="17">
        <v>0</v>
      </c>
      <c r="D61" s="17">
        <v>0</v>
      </c>
      <c r="E61" s="17">
        <v>0</v>
      </c>
      <c r="F61" s="17">
        <v>0</v>
      </c>
      <c r="G61" s="17">
        <v>0</v>
      </c>
      <c r="H61" s="17">
        <v>0</v>
      </c>
      <c r="I61" s="17">
        <v>0</v>
      </c>
      <c r="J61" s="17">
        <v>0</v>
      </c>
      <c r="K61" s="17">
        <v>0</v>
      </c>
      <c r="L61" s="17">
        <v>0</v>
      </c>
      <c r="M61" s="17">
        <v>0</v>
      </c>
      <c r="N61" s="17">
        <v>0</v>
      </c>
      <c r="O61" s="17">
        <v>0</v>
      </c>
      <c r="P61" s="17">
        <v>0</v>
      </c>
      <c r="Q61" s="17">
        <v>132</v>
      </c>
      <c r="R61" s="17">
        <v>0</v>
      </c>
      <c r="S61" s="17">
        <v>0</v>
      </c>
      <c r="T61" s="17">
        <v>0</v>
      </c>
      <c r="U61" s="17">
        <v>0</v>
      </c>
      <c r="V61" s="17">
        <v>0</v>
      </c>
      <c r="W61" s="17">
        <v>0</v>
      </c>
      <c r="X61" s="17">
        <v>0</v>
      </c>
      <c r="Y61" s="17">
        <v>0</v>
      </c>
      <c r="Z61" s="17">
        <v>0</v>
      </c>
      <c r="AA61" s="17">
        <f>'SOC Accounts'!AA8-AA72</f>
        <v>0</v>
      </c>
      <c r="AB61" s="17">
        <f>'SOC Accounts'!AB8-AB72</f>
        <v>0</v>
      </c>
      <c r="AC61" s="17">
        <f>'SOC Accounts'!AC8-AC72</f>
        <v>0</v>
      </c>
      <c r="AD61" s="17">
        <f>'SOC Accounts'!AD8-AD72</f>
        <v>0</v>
      </c>
      <c r="AE61" s="17">
        <f>'SOC Accounts'!AE8</f>
        <v>1116</v>
      </c>
      <c r="AF61" s="17">
        <f>'SOC Accounts'!AF8</f>
        <v>3543</v>
      </c>
      <c r="AG61" s="17">
        <f>'SOC Accounts'!AG8</f>
        <v>328</v>
      </c>
      <c r="AH61" s="17">
        <f>'SOC Accounts'!AH8</f>
        <v>370</v>
      </c>
      <c r="AI61" s="17">
        <f>'SOC Accounts'!AI8</f>
        <v>505.08074313479665</v>
      </c>
      <c r="AJ61" s="17">
        <f>'SOC Accounts'!AJ8</f>
        <v>1121.6765156146466</v>
      </c>
      <c r="AK61" s="17">
        <f>'SOC Accounts'!AK8</f>
        <v>2235.5811230640174</v>
      </c>
      <c r="AL61" s="17">
        <f>'SOC Accounts'!AL8</f>
        <v>3863.0258068697185</v>
      </c>
      <c r="AM61" s="17">
        <f>'SOC Accounts'!AM8</f>
        <v>6020.6955167442502</v>
      </c>
      <c r="AN61" s="17">
        <f>'SOC Accounts'!AN8</f>
        <v>8979.1676913113224</v>
      </c>
      <c r="AO61" s="18"/>
      <c r="AP61" s="46"/>
      <c r="AQ61" s="18"/>
      <c r="AR61" s="18"/>
      <c r="AS61" s="18"/>
      <c r="AT61" s="18"/>
      <c r="AU61" s="18"/>
      <c r="AV61" s="18"/>
      <c r="AW61" s="18"/>
    </row>
    <row r="62" spans="1:50" s="16" customFormat="1">
      <c r="A62" s="16" t="s">
        <v>246</v>
      </c>
      <c r="B62" s="17">
        <v>45</v>
      </c>
      <c r="C62" s="17">
        <v>35</v>
      </c>
      <c r="D62" s="17">
        <v>38</v>
      </c>
      <c r="E62" s="17">
        <v>43</v>
      </c>
      <c r="F62" s="17">
        <v>43</v>
      </c>
      <c r="G62" s="17">
        <v>43</v>
      </c>
      <c r="H62" s="17">
        <v>42</v>
      </c>
      <c r="I62" s="17">
        <v>41</v>
      </c>
      <c r="J62" s="17">
        <v>41</v>
      </c>
      <c r="K62" s="17">
        <v>43</v>
      </c>
      <c r="L62" s="17">
        <v>67</v>
      </c>
      <c r="M62" s="17">
        <v>230</v>
      </c>
      <c r="N62" s="17">
        <v>299</v>
      </c>
      <c r="O62" s="17">
        <v>596</v>
      </c>
      <c r="P62" s="17">
        <v>647</v>
      </c>
      <c r="Q62" s="17">
        <v>667</v>
      </c>
      <c r="R62" s="17">
        <v>662</v>
      </c>
      <c r="S62" s="17">
        <v>715</v>
      </c>
      <c r="T62" s="17">
        <v>751</v>
      </c>
      <c r="U62" s="17">
        <v>1470</v>
      </c>
      <c r="V62" s="17">
        <v>1667</v>
      </c>
      <c r="W62" s="17">
        <v>1482</v>
      </c>
      <c r="X62" s="17">
        <v>3618</v>
      </c>
      <c r="Y62" s="17">
        <v>3110</v>
      </c>
      <c r="Z62" s="17">
        <v>2565</v>
      </c>
      <c r="AA62" s="17">
        <v>3050</v>
      </c>
      <c r="AB62" s="17">
        <v>2840</v>
      </c>
      <c r="AC62" s="17">
        <v>2510</v>
      </c>
      <c r="AD62" s="17">
        <v>2872</v>
      </c>
      <c r="AE62" s="17">
        <v>2941</v>
      </c>
      <c r="AF62" s="17">
        <v>3696</v>
      </c>
      <c r="AG62" s="17">
        <v>3327</v>
      </c>
      <c r="AH62" s="17">
        <v>3513</v>
      </c>
      <c r="AI62" s="55">
        <f t="shared" ref="AI62" si="95">AH62*AI7/AH7</f>
        <v>3491.885861492884</v>
      </c>
      <c r="AJ62" s="55">
        <f t="shared" ref="AJ62" si="96">AI62*AJ7/AI7</f>
        <v>3569.6556466036777</v>
      </c>
      <c r="AK62" s="55">
        <f t="shared" ref="AK62" si="97">AJ62*AK7/AJ7</f>
        <v>3644.0430046766896</v>
      </c>
      <c r="AL62" s="55">
        <f t="shared" ref="AL62" si="98">AK62*AL7/AK7</f>
        <v>3713.9949126466563</v>
      </c>
      <c r="AM62" s="55">
        <f>AL62*AM7/AL7</f>
        <v>3784.0957272856135</v>
      </c>
      <c r="AN62" s="55">
        <f t="shared" ref="AN62" si="99">AM62*AN7/AM7</f>
        <v>3866.0929369821597</v>
      </c>
      <c r="AO62" s="18"/>
      <c r="AP62" s="46"/>
      <c r="AQ62" s="18"/>
      <c r="AR62" s="18"/>
      <c r="AS62" s="18"/>
      <c r="AT62" s="18"/>
      <c r="AU62" s="18"/>
      <c r="AV62" s="18"/>
      <c r="AW62" s="18"/>
    </row>
    <row r="63" spans="1:50" s="16" customFormat="1">
      <c r="A63" s="16" t="s">
        <v>690</v>
      </c>
      <c r="B63" s="17"/>
      <c r="C63" s="17"/>
      <c r="D63" s="17"/>
      <c r="E63" s="17"/>
      <c r="F63" s="17"/>
      <c r="G63" s="17"/>
      <c r="H63" s="17"/>
      <c r="I63" s="17"/>
      <c r="J63" s="17"/>
      <c r="K63" s="17"/>
      <c r="L63" s="17"/>
      <c r="M63" s="17"/>
      <c r="N63" s="17"/>
      <c r="O63" s="17"/>
      <c r="P63" s="17"/>
      <c r="Q63" s="17"/>
      <c r="R63" s="17"/>
      <c r="S63" s="17"/>
      <c r="T63" s="17">
        <v>0</v>
      </c>
      <c r="U63" s="17">
        <v>0</v>
      </c>
      <c r="V63" s="17">
        <v>0</v>
      </c>
      <c r="W63" s="17">
        <v>0</v>
      </c>
      <c r="X63" s="17">
        <v>0</v>
      </c>
      <c r="Y63" s="17">
        <v>0</v>
      </c>
      <c r="Z63" s="17">
        <v>0</v>
      </c>
      <c r="AA63" s="17">
        <v>2971</v>
      </c>
      <c r="AB63" s="17">
        <v>2971</v>
      </c>
      <c r="AC63" s="17">
        <v>2973</v>
      </c>
      <c r="AD63" s="17">
        <v>2976</v>
      </c>
      <c r="AE63" s="17">
        <v>2980</v>
      </c>
      <c r="AF63" s="56">
        <v>2711</v>
      </c>
      <c r="AG63" s="56">
        <v>2193</v>
      </c>
      <c r="AH63" s="56">
        <v>1888</v>
      </c>
      <c r="AI63" s="54">
        <f t="shared" ref="AI63" si="100">AH63</f>
        <v>1888</v>
      </c>
      <c r="AJ63" s="54">
        <f t="shared" ref="AJ63" si="101">AI63</f>
        <v>1888</v>
      </c>
      <c r="AK63" s="54">
        <f t="shared" ref="AK63" si="102">AJ63</f>
        <v>1888</v>
      </c>
      <c r="AL63" s="54">
        <f t="shared" ref="AL63" si="103">AK63</f>
        <v>1888</v>
      </c>
      <c r="AM63" s="54">
        <f>AL63</f>
        <v>1888</v>
      </c>
      <c r="AN63" s="54">
        <f t="shared" ref="AN63" si="104">AM63</f>
        <v>1888</v>
      </c>
      <c r="AO63" s="18"/>
      <c r="AP63" s="46"/>
      <c r="AQ63" s="18"/>
      <c r="AR63" s="18"/>
      <c r="AS63" s="18"/>
      <c r="AT63" s="18"/>
      <c r="AU63" s="18"/>
      <c r="AV63" s="18"/>
      <c r="AW63" s="18"/>
    </row>
    <row r="64" spans="1:50" s="19" customFormat="1">
      <c r="A64" s="19" t="s">
        <v>127</v>
      </c>
      <c r="B64" s="20">
        <f t="shared" ref="B64:Z64" si="105">SUM(B57:B62)</f>
        <v>1377</v>
      </c>
      <c r="C64" s="20">
        <f t="shared" si="105"/>
        <v>3487</v>
      </c>
      <c r="D64" s="20">
        <f t="shared" si="105"/>
        <v>3393</v>
      </c>
      <c r="E64" s="20">
        <f t="shared" si="105"/>
        <v>2463</v>
      </c>
      <c r="F64" s="20">
        <f t="shared" si="105"/>
        <v>3544</v>
      </c>
      <c r="G64" s="20">
        <f t="shared" si="105"/>
        <v>19722</v>
      </c>
      <c r="H64" s="20">
        <f t="shared" si="105"/>
        <v>17117</v>
      </c>
      <c r="I64" s="20">
        <f t="shared" si="105"/>
        <v>2683</v>
      </c>
      <c r="J64" s="20">
        <f t="shared" si="105"/>
        <v>3784</v>
      </c>
      <c r="K64" s="20">
        <f t="shared" si="105"/>
        <v>1704</v>
      </c>
      <c r="L64" s="20">
        <f t="shared" si="105"/>
        <v>2510</v>
      </c>
      <c r="M64" s="20">
        <f t="shared" si="105"/>
        <v>5451</v>
      </c>
      <c r="N64" s="20">
        <f t="shared" si="105"/>
        <v>6383</v>
      </c>
      <c r="O64" s="20">
        <f t="shared" si="105"/>
        <v>9444</v>
      </c>
      <c r="P64" s="20">
        <f t="shared" si="105"/>
        <v>12316</v>
      </c>
      <c r="Q64" s="20">
        <f t="shared" si="105"/>
        <v>13278</v>
      </c>
      <c r="R64" s="20">
        <f t="shared" si="105"/>
        <v>11185</v>
      </c>
      <c r="S64" s="20">
        <f t="shared" si="105"/>
        <v>19329</v>
      </c>
      <c r="T64" s="20">
        <f>SUM(T57:T63)</f>
        <v>18714</v>
      </c>
      <c r="U64" s="20">
        <f t="shared" si="105"/>
        <v>27055</v>
      </c>
      <c r="V64" s="20">
        <f t="shared" si="105"/>
        <v>37153</v>
      </c>
      <c r="W64" s="20">
        <f t="shared" si="105"/>
        <v>26719</v>
      </c>
      <c r="X64" s="20">
        <f t="shared" si="105"/>
        <v>25525</v>
      </c>
      <c r="Y64" s="20">
        <f t="shared" si="105"/>
        <v>22275</v>
      </c>
      <c r="Z64" s="20">
        <f t="shared" si="105"/>
        <v>23198</v>
      </c>
      <c r="AA64" s="20">
        <f>SUM(AA57:AA63)</f>
        <v>33710</v>
      </c>
      <c r="AB64" s="20">
        <f t="shared" ref="AB64:AG64" si="106">SUM(AB57:AB63)</f>
        <v>35500</v>
      </c>
      <c r="AC64" s="20">
        <f t="shared" si="106"/>
        <v>28826</v>
      </c>
      <c r="AD64" s="20">
        <f t="shared" si="106"/>
        <v>33393</v>
      </c>
      <c r="AE64" s="20">
        <f>SUM(AE57:AE63)</f>
        <v>33888</v>
      </c>
      <c r="AF64" s="20">
        <f>SUM(AF57:AF63)</f>
        <v>34461</v>
      </c>
      <c r="AG64" s="20">
        <f t="shared" si="106"/>
        <v>26930</v>
      </c>
      <c r="AH64" s="20">
        <f t="shared" ref="AH64:AN64" si="107">SUM(AH57:AH63)</f>
        <v>26839</v>
      </c>
      <c r="AI64" s="20">
        <f t="shared" si="107"/>
        <v>25508.924472582967</v>
      </c>
      <c r="AJ64" s="20">
        <f t="shared" si="107"/>
        <v>26458.303401985049</v>
      </c>
      <c r="AK64" s="20">
        <f t="shared" si="107"/>
        <v>28549.561711083388</v>
      </c>
      <c r="AL64" s="20">
        <f t="shared" si="107"/>
        <v>30961.522340570009</v>
      </c>
      <c r="AM64" s="20">
        <f t="shared" si="107"/>
        <v>33961.400035241786</v>
      </c>
      <c r="AN64" s="20">
        <f t="shared" si="107"/>
        <v>37863.999576796545</v>
      </c>
      <c r="AO64" s="18"/>
      <c r="AP64" s="46"/>
      <c r="AQ64" s="18"/>
      <c r="AR64" s="18"/>
      <c r="AS64" s="18"/>
      <c r="AT64" s="18"/>
      <c r="AU64" s="18"/>
      <c r="AV64" s="18"/>
      <c r="AW64" s="18"/>
    </row>
    <row r="65" spans="1:49" s="16" customFormat="1">
      <c r="A65" s="16" t="s">
        <v>621</v>
      </c>
      <c r="B65" s="17">
        <v>17255</v>
      </c>
      <c r="C65" s="17">
        <v>19040</v>
      </c>
      <c r="D65" s="17">
        <v>21119</v>
      </c>
      <c r="E65" s="17">
        <v>23537</v>
      </c>
      <c r="F65" s="17">
        <v>25507</v>
      </c>
      <c r="G65" s="17">
        <v>26917</v>
      </c>
      <c r="H65" s="17">
        <v>27503</v>
      </c>
      <c r="I65" s="17">
        <v>28903</v>
      </c>
      <c r="J65" s="17">
        <v>30692</v>
      </c>
      <c r="K65" s="17">
        <v>33577</v>
      </c>
      <c r="L65" s="17">
        <v>36550</v>
      </c>
      <c r="M65" s="17">
        <v>54157</v>
      </c>
      <c r="N65" s="17">
        <v>57748</v>
      </c>
      <c r="O65" s="17">
        <v>63049</v>
      </c>
      <c r="P65" s="17">
        <v>85653</v>
      </c>
      <c r="Q65" s="17">
        <v>88609</v>
      </c>
      <c r="R65" s="17">
        <v>89123</v>
      </c>
      <c r="S65" s="17">
        <v>98858</v>
      </c>
      <c r="T65" s="17">
        <v>117460</v>
      </c>
      <c r="U65" s="17">
        <v>130382</v>
      </c>
      <c r="V65" s="17">
        <v>134329</v>
      </c>
      <c r="W65" s="17">
        <f>126876+1806</f>
        <v>128682</v>
      </c>
      <c r="X65" s="17">
        <f>128133+5696</f>
        <v>133829</v>
      </c>
      <c r="Y65" s="17">
        <f>127801+5542</f>
        <v>133343</v>
      </c>
      <c r="Z65" s="17">
        <f>130189+5444</f>
        <v>135633</v>
      </c>
      <c r="AA65" s="17">
        <f>137207+5345</f>
        <v>142552</v>
      </c>
      <c r="AB65" s="17">
        <f>141309+5432</f>
        <v>146741</v>
      </c>
      <c r="AC65" s="17">
        <f>143615+6050</f>
        <v>149665</v>
      </c>
      <c r="AD65" s="17">
        <f>148454+7061</f>
        <v>155515</v>
      </c>
      <c r="AE65" s="17">
        <f>154058+7130</f>
        <v>161188</v>
      </c>
      <c r="AF65" s="17">
        <f>147267+7582</f>
        <v>154849</v>
      </c>
      <c r="AG65" s="17">
        <f>152786+7993</f>
        <v>160779</v>
      </c>
      <c r="AH65" s="17">
        <f>158532+10183</f>
        <v>168715</v>
      </c>
      <c r="AI65" s="55">
        <f>Driver!AI72</f>
        <v>174305.17222151635</v>
      </c>
      <c r="AJ65" s="55">
        <f>Driver!AJ72</f>
        <v>178983.24211227841</v>
      </c>
      <c r="AK65" s="55">
        <f>Driver!AK72</f>
        <v>182969.01885447855</v>
      </c>
      <c r="AL65" s="55">
        <f>Driver!AL72</f>
        <v>186191.55773962976</v>
      </c>
      <c r="AM65" s="55">
        <f>Driver!AM72</f>
        <v>189455.7631608326</v>
      </c>
      <c r="AN65" s="55">
        <f>Driver!AN72</f>
        <v>192559.23069146872</v>
      </c>
      <c r="AO65" s="18"/>
      <c r="AP65" s="46"/>
      <c r="AQ65" s="18"/>
      <c r="AR65" s="18"/>
      <c r="AS65" s="18"/>
      <c r="AT65" s="18"/>
      <c r="AU65" s="18"/>
      <c r="AV65" s="18"/>
      <c r="AW65" s="18"/>
    </row>
    <row r="66" spans="1:49" s="16" customFormat="1">
      <c r="A66" s="16" t="s">
        <v>304</v>
      </c>
      <c r="B66" s="17">
        <v>0</v>
      </c>
      <c r="C66" s="17">
        <v>0</v>
      </c>
      <c r="D66" s="17">
        <v>0</v>
      </c>
      <c r="E66" s="17">
        <v>0</v>
      </c>
      <c r="F66" s="17">
        <v>0</v>
      </c>
      <c r="G66" s="17">
        <v>0</v>
      </c>
      <c r="H66" s="17">
        <v>0</v>
      </c>
      <c r="I66" s="17">
        <v>0</v>
      </c>
      <c r="J66" s="17">
        <v>0</v>
      </c>
      <c r="K66" s="17">
        <v>0</v>
      </c>
      <c r="L66" s="17">
        <v>0</v>
      </c>
      <c r="M66" s="17">
        <v>-1017</v>
      </c>
      <c r="N66" s="17">
        <v>-1022</v>
      </c>
      <c r="O66" s="17">
        <v>7949</v>
      </c>
      <c r="P66" s="17">
        <v>7326</v>
      </c>
      <c r="Q66" s="17">
        <v>8135</v>
      </c>
      <c r="R66" s="17">
        <v>6324</v>
      </c>
      <c r="S66" s="17">
        <v>8105</v>
      </c>
      <c r="T66" s="17">
        <v>9150</v>
      </c>
      <c r="U66" s="17">
        <v>27369</v>
      </c>
      <c r="V66" s="17">
        <v>28479</v>
      </c>
      <c r="W66" s="17">
        <v>23847</v>
      </c>
      <c r="X66" s="17">
        <v>31129</v>
      </c>
      <c r="Y66" s="17">
        <v>28257</v>
      </c>
      <c r="Z66" s="17">
        <v>27653</v>
      </c>
      <c r="AA66" s="17">
        <v>29087</v>
      </c>
      <c r="AB66" s="17">
        <v>26910</v>
      </c>
      <c r="AC66" s="17">
        <v>20111</v>
      </c>
      <c r="AD66" s="17">
        <v>20559</v>
      </c>
      <c r="AE66" s="17">
        <v>19710</v>
      </c>
      <c r="AF66" s="17">
        <v>18451</v>
      </c>
      <c r="AG66" s="17">
        <v>12854</v>
      </c>
      <c r="AH66" s="17">
        <v>12445</v>
      </c>
      <c r="AI66" s="55">
        <f>AH66+Driver!AI24</f>
        <v>11738</v>
      </c>
      <c r="AJ66" s="55">
        <f>AI66+Driver!AJ24</f>
        <v>11031</v>
      </c>
      <c r="AK66" s="55">
        <f>AJ66+Driver!AK24</f>
        <v>10324</v>
      </c>
      <c r="AL66" s="55">
        <f>AK66+Driver!AL24</f>
        <v>9617</v>
      </c>
      <c r="AM66" s="55">
        <f>AL66+Driver!AM24</f>
        <v>8910</v>
      </c>
      <c r="AN66" s="55">
        <f>AM66+Driver!AN24</f>
        <v>8203</v>
      </c>
      <c r="AO66" s="18"/>
      <c r="AP66" s="46"/>
      <c r="AQ66" s="18"/>
      <c r="AR66" s="18"/>
      <c r="AS66" s="18"/>
      <c r="AT66" s="18"/>
      <c r="AU66" s="18"/>
      <c r="AV66" s="18"/>
      <c r="AW66" s="18"/>
    </row>
    <row r="67" spans="1:49" s="16" customFormat="1">
      <c r="A67" s="22" t="s">
        <v>196</v>
      </c>
      <c r="B67" s="17">
        <v>4498</v>
      </c>
      <c r="C67" s="17">
        <v>5112</v>
      </c>
      <c r="D67" s="17">
        <v>5056</v>
      </c>
      <c r="E67" s="17">
        <v>4973</v>
      </c>
      <c r="F67" s="17">
        <v>5206</v>
      </c>
      <c r="G67" s="17">
        <v>5826</v>
      </c>
      <c r="H67" s="17">
        <v>7932</v>
      </c>
      <c r="I67" s="17">
        <v>10854</v>
      </c>
      <c r="J67" s="17">
        <v>12155</v>
      </c>
      <c r="K67" s="17">
        <v>15786</v>
      </c>
      <c r="L67" s="17">
        <v>18982</v>
      </c>
      <c r="M67" s="17">
        <v>14687</v>
      </c>
      <c r="N67" s="17">
        <v>14998</v>
      </c>
      <c r="O67" s="17">
        <v>16519</v>
      </c>
      <c r="P67" s="17">
        <v>19163</v>
      </c>
      <c r="Q67" s="17">
        <v>17684</v>
      </c>
      <c r="R67" s="17">
        <v>17791</v>
      </c>
      <c r="S67" s="17">
        <v>18838</v>
      </c>
      <c r="T67" s="17">
        <v>20476</v>
      </c>
      <c r="U67" s="17">
        <v>18226</v>
      </c>
      <c r="V67" s="17">
        <v>19197</v>
      </c>
      <c r="W67" s="17">
        <v>19940</v>
      </c>
      <c r="X67" s="17">
        <v>11176</v>
      </c>
      <c r="Y67" s="17">
        <v>11250</v>
      </c>
      <c r="Z67" s="17">
        <v>9971</v>
      </c>
      <c r="AA67" s="17">
        <v>10383</v>
      </c>
      <c r="AB67" s="17">
        <v>9674</v>
      </c>
      <c r="AC67" s="17">
        <v>9999</v>
      </c>
      <c r="AD67" s="17">
        <v>11017</v>
      </c>
      <c r="AE67" s="17">
        <v>10602</v>
      </c>
      <c r="AF67" s="17">
        <v>11748</v>
      </c>
      <c r="AG67" s="17">
        <v>12518</v>
      </c>
      <c r="AH67" s="17">
        <v>12188</v>
      </c>
      <c r="AI67" s="55">
        <f>Driver!AI121</f>
        <v>13471.808397038083</v>
      </c>
      <c r="AJ67" s="55">
        <f>Driver!AJ121</f>
        <v>14661.971441596077</v>
      </c>
      <c r="AK67" s="55">
        <f>Driver!AK121</f>
        <v>15852.115980320865</v>
      </c>
      <c r="AL67" s="55">
        <f>Driver!AL121</f>
        <v>17042.260519045652</v>
      </c>
      <c r="AM67" s="55">
        <f>Driver!AM121</f>
        <v>18232.40505777044</v>
      </c>
      <c r="AN67" s="55">
        <f>Driver!AN121</f>
        <v>19422.549596495228</v>
      </c>
      <c r="AO67" s="18"/>
      <c r="AP67" s="46"/>
      <c r="AQ67" s="18"/>
      <c r="AR67" s="18"/>
      <c r="AS67" s="18"/>
      <c r="AT67" s="18"/>
      <c r="AU67" s="18"/>
      <c r="AV67" s="18"/>
      <c r="AW67" s="18"/>
    </row>
    <row r="68" spans="1:49" s="16" customFormat="1">
      <c r="A68" s="22" t="s">
        <v>164</v>
      </c>
      <c r="B68" s="17">
        <v>0</v>
      </c>
      <c r="C68" s="17">
        <v>0</v>
      </c>
      <c r="D68" s="17">
        <v>0</v>
      </c>
      <c r="E68" s="17">
        <v>0</v>
      </c>
      <c r="F68" s="17">
        <v>0</v>
      </c>
      <c r="G68" s="17">
        <v>0</v>
      </c>
      <c r="H68" s="17">
        <v>1952</v>
      </c>
      <c r="I68" s="17">
        <v>2156</v>
      </c>
      <c r="J68" s="17">
        <v>1172.634726730435</v>
      </c>
      <c r="K68" s="17">
        <v>1229.634726730435</v>
      </c>
      <c r="L68" s="17">
        <v>1426</v>
      </c>
      <c r="M68" s="17">
        <v>1593</v>
      </c>
      <c r="N68" s="17">
        <v>1640</v>
      </c>
      <c r="O68" s="17">
        <v>1641</v>
      </c>
      <c r="P68" s="17">
        <v>18</v>
      </c>
      <c r="Q68" s="17">
        <v>299</v>
      </c>
      <c r="R68" s="17">
        <v>242</v>
      </c>
      <c r="S68" s="17">
        <v>1813</v>
      </c>
      <c r="T68" s="17">
        <v>2378</v>
      </c>
      <c r="U68" s="17">
        <v>1465</v>
      </c>
      <c r="V68" s="17">
        <v>1856</v>
      </c>
      <c r="W68" s="17">
        <v>1675</v>
      </c>
      <c r="X68" s="17">
        <v>786</v>
      </c>
      <c r="Y68" s="17">
        <v>785</v>
      </c>
      <c r="Z68" s="17">
        <v>813</v>
      </c>
      <c r="AA68" s="17">
        <v>8081</v>
      </c>
      <c r="AB68" s="17">
        <v>7746</v>
      </c>
      <c r="AC68" s="17">
        <v>8708</v>
      </c>
      <c r="AD68" s="17">
        <v>9181</v>
      </c>
      <c r="AE68" s="17">
        <v>8769</v>
      </c>
      <c r="AF68" s="17">
        <v>9090</v>
      </c>
      <c r="AG68" s="17">
        <v>9380</v>
      </c>
      <c r="AH68" s="17">
        <v>8486</v>
      </c>
      <c r="AI68" s="55">
        <f>Driver!AI130</f>
        <v>8509.0260155432698</v>
      </c>
      <c r="AJ68" s="55">
        <f>Driver!AJ130</f>
        <v>8825.7470236343324</v>
      </c>
      <c r="AK68" s="55">
        <f>Driver!AK130</f>
        <v>9108.2580686562942</v>
      </c>
      <c r="AL68" s="55">
        <f>Driver!AL130</f>
        <v>9390.769113678256</v>
      </c>
      <c r="AM68" s="55">
        <f>Driver!AM130</f>
        <v>9673.2801587002177</v>
      </c>
      <c r="AN68" s="55">
        <f>Driver!AN130</f>
        <v>9955.7912037221795</v>
      </c>
      <c r="AO68" s="18"/>
      <c r="AP68" s="46"/>
      <c r="AQ68" s="18"/>
      <c r="AR68" s="18"/>
      <c r="AS68" s="18"/>
      <c r="AT68" s="18"/>
      <c r="AU68" s="18"/>
      <c r="AV68" s="18"/>
      <c r="AW68" s="18"/>
    </row>
    <row r="69" spans="1:49" s="16" customFormat="1">
      <c r="A69" s="22" t="s">
        <v>365</v>
      </c>
      <c r="B69" s="17">
        <v>0</v>
      </c>
      <c r="C69" s="17">
        <v>0</v>
      </c>
      <c r="D69" s="17">
        <v>0</v>
      </c>
      <c r="E69" s="17">
        <v>0</v>
      </c>
      <c r="F69" s="17">
        <v>0</v>
      </c>
      <c r="G69" s="17">
        <v>0</v>
      </c>
      <c r="H69" s="17">
        <v>0</v>
      </c>
      <c r="I69" s="17">
        <v>0</v>
      </c>
      <c r="J69" s="17">
        <v>0</v>
      </c>
      <c r="K69" s="17">
        <v>0</v>
      </c>
      <c r="L69" s="17">
        <v>0</v>
      </c>
      <c r="M69" s="17">
        <v>0</v>
      </c>
      <c r="N69" s="17">
        <v>0</v>
      </c>
      <c r="O69" s="17">
        <v>0</v>
      </c>
      <c r="P69" s="17">
        <v>2740</v>
      </c>
      <c r="Q69" s="17">
        <v>3130</v>
      </c>
      <c r="R69" s="17">
        <v>2387</v>
      </c>
      <c r="S69" s="17">
        <v>2379</v>
      </c>
      <c r="T69" s="17">
        <v>2286</v>
      </c>
      <c r="U69" s="17">
        <v>1847</v>
      </c>
      <c r="V69" s="17">
        <v>1665</v>
      </c>
      <c r="W69" s="17">
        <v>989</v>
      </c>
      <c r="X69" s="17">
        <v>898</v>
      </c>
      <c r="Y69" s="17">
        <v>799</v>
      </c>
      <c r="Z69" s="17">
        <v>713</v>
      </c>
      <c r="AA69" s="17">
        <v>620</v>
      </c>
      <c r="AB69" s="17">
        <v>0</v>
      </c>
      <c r="AC69" s="55">
        <f t="shared" ref="AC69:AG69" si="108">AB69</f>
        <v>0</v>
      </c>
      <c r="AD69" s="55">
        <f t="shared" si="108"/>
        <v>0</v>
      </c>
      <c r="AE69" s="55">
        <f t="shared" si="108"/>
        <v>0</v>
      </c>
      <c r="AF69" s="55">
        <f t="shared" si="108"/>
        <v>0</v>
      </c>
      <c r="AG69" s="55">
        <f t="shared" si="108"/>
        <v>0</v>
      </c>
      <c r="AH69" s="55">
        <f t="shared" ref="AH69:AH71" si="109">AG69</f>
        <v>0</v>
      </c>
      <c r="AI69" s="55">
        <f t="shared" ref="AI69:AI71" si="110">AH69</f>
        <v>0</v>
      </c>
      <c r="AJ69" s="55">
        <f t="shared" ref="AJ69:AJ71" si="111">AI69</f>
        <v>0</v>
      </c>
      <c r="AK69" s="55">
        <f t="shared" ref="AK69:AK71" si="112">AJ69</f>
        <v>0</v>
      </c>
      <c r="AL69" s="55">
        <f t="shared" ref="AL69:AL71" si="113">AK69</f>
        <v>0</v>
      </c>
      <c r="AM69" s="55">
        <f>AL69</f>
        <v>0</v>
      </c>
      <c r="AN69" s="55">
        <f t="shared" ref="AN69:AN71" si="114">AM69</f>
        <v>0</v>
      </c>
      <c r="AO69" s="18"/>
      <c r="AP69" s="46"/>
      <c r="AQ69" s="18"/>
      <c r="AR69" s="18"/>
      <c r="AS69" s="18"/>
      <c r="AT69" s="18"/>
      <c r="AU69" s="18"/>
      <c r="AV69" s="18"/>
      <c r="AW69" s="18"/>
    </row>
    <row r="70" spans="1:49" s="16" customFormat="1">
      <c r="A70" s="22" t="s">
        <v>306</v>
      </c>
      <c r="B70" s="17">
        <v>0</v>
      </c>
      <c r="C70" s="17">
        <v>0</v>
      </c>
      <c r="D70" s="17">
        <v>0</v>
      </c>
      <c r="E70" s="17">
        <v>0</v>
      </c>
      <c r="F70" s="17">
        <v>0</v>
      </c>
      <c r="G70" s="17">
        <v>0</v>
      </c>
      <c r="H70" s="17">
        <v>0</v>
      </c>
      <c r="I70" s="17">
        <v>0</v>
      </c>
      <c r="J70" s="17">
        <v>0</v>
      </c>
      <c r="K70" s="17">
        <v>0</v>
      </c>
      <c r="L70" s="17">
        <v>0</v>
      </c>
      <c r="M70" s="17">
        <v>952</v>
      </c>
      <c r="N70" s="17">
        <v>1043</v>
      </c>
      <c r="O70" s="17">
        <v>2537</v>
      </c>
      <c r="P70" s="17">
        <v>3305</v>
      </c>
      <c r="Q70" s="17">
        <v>3915</v>
      </c>
      <c r="R70" s="17">
        <v>2992</v>
      </c>
      <c r="S70" s="17">
        <v>3355</v>
      </c>
      <c r="T70" s="17">
        <v>4210</v>
      </c>
      <c r="U70" s="17">
        <v>1276</v>
      </c>
      <c r="V70" s="17">
        <v>1025</v>
      </c>
      <c r="W70" s="17">
        <v>3084</v>
      </c>
      <c r="X70" s="17">
        <v>3828</v>
      </c>
      <c r="Y70" s="17">
        <v>1690</v>
      </c>
      <c r="Z70" s="17">
        <v>981</v>
      </c>
      <c r="AA70" s="17">
        <v>929</v>
      </c>
      <c r="AB70" s="17">
        <v>835</v>
      </c>
      <c r="AC70" s="17">
        <v>524</v>
      </c>
      <c r="AD70" s="17">
        <v>571</v>
      </c>
      <c r="AE70" s="17">
        <v>376</v>
      </c>
      <c r="AF70" s="17">
        <v>2132</v>
      </c>
      <c r="AG70" s="17">
        <v>2041</v>
      </c>
      <c r="AH70" s="17">
        <v>1625</v>
      </c>
      <c r="AI70" s="55">
        <f t="shared" si="110"/>
        <v>1625</v>
      </c>
      <c r="AJ70" s="55">
        <f t="shared" si="111"/>
        <v>1625</v>
      </c>
      <c r="AK70" s="55">
        <f t="shared" si="112"/>
        <v>1625</v>
      </c>
      <c r="AL70" s="55">
        <f t="shared" si="113"/>
        <v>1625</v>
      </c>
      <c r="AM70" s="55">
        <f>AL70</f>
        <v>1625</v>
      </c>
      <c r="AN70" s="55">
        <f t="shared" si="114"/>
        <v>1625</v>
      </c>
      <c r="AO70" s="18"/>
      <c r="AP70" s="46"/>
      <c r="AQ70" s="18"/>
      <c r="AR70" s="18"/>
      <c r="AS70" s="18"/>
      <c r="AT70" s="18"/>
      <c r="AU70" s="18"/>
      <c r="AV70" s="18"/>
      <c r="AW70" s="18"/>
    </row>
    <row r="71" spans="1:49" s="16" customFormat="1">
      <c r="A71" s="22" t="s">
        <v>129</v>
      </c>
      <c r="B71" s="17">
        <v>0</v>
      </c>
      <c r="C71" s="17">
        <v>0</v>
      </c>
      <c r="D71" s="17">
        <v>0</v>
      </c>
      <c r="E71" s="17">
        <v>0</v>
      </c>
      <c r="F71" s="17">
        <v>0</v>
      </c>
      <c r="G71" s="17">
        <v>0</v>
      </c>
      <c r="H71" s="17">
        <v>0</v>
      </c>
      <c r="I71" s="17">
        <v>0</v>
      </c>
      <c r="J71" s="17">
        <v>0</v>
      </c>
      <c r="K71" s="17">
        <v>1194</v>
      </c>
      <c r="L71" s="17">
        <v>1138</v>
      </c>
      <c r="M71" s="17">
        <v>0</v>
      </c>
      <c r="N71" s="17">
        <v>0</v>
      </c>
      <c r="O71" s="17">
        <v>0</v>
      </c>
      <c r="P71" s="17">
        <v>0</v>
      </c>
      <c r="Q71" s="17">
        <v>0</v>
      </c>
      <c r="R71" s="17">
        <v>0</v>
      </c>
      <c r="S71" s="17">
        <v>0</v>
      </c>
      <c r="T71" s="17">
        <v>0</v>
      </c>
      <c r="U71" s="17">
        <v>0</v>
      </c>
      <c r="V71" s="17">
        <v>0</v>
      </c>
      <c r="W71" s="17">
        <v>0</v>
      </c>
      <c r="X71" s="17">
        <v>0</v>
      </c>
      <c r="Y71" s="17">
        <v>0</v>
      </c>
      <c r="Z71" s="17">
        <v>0</v>
      </c>
      <c r="AA71" s="17">
        <f t="shared" ref="AA71:AG71" si="115">Z71</f>
        <v>0</v>
      </c>
      <c r="AB71" s="55">
        <f>AA71</f>
        <v>0</v>
      </c>
      <c r="AC71" s="55">
        <f>AB71</f>
        <v>0</v>
      </c>
      <c r="AD71" s="55">
        <f>AC71</f>
        <v>0</v>
      </c>
      <c r="AE71" s="55">
        <f t="shared" si="115"/>
        <v>0</v>
      </c>
      <c r="AF71" s="55">
        <f t="shared" si="115"/>
        <v>0</v>
      </c>
      <c r="AG71" s="55">
        <f t="shared" si="115"/>
        <v>0</v>
      </c>
      <c r="AH71" s="55">
        <f t="shared" si="109"/>
        <v>0</v>
      </c>
      <c r="AI71" s="55">
        <f t="shared" si="110"/>
        <v>0</v>
      </c>
      <c r="AJ71" s="55">
        <f t="shared" si="111"/>
        <v>0</v>
      </c>
      <c r="AK71" s="55">
        <f t="shared" si="112"/>
        <v>0</v>
      </c>
      <c r="AL71" s="55">
        <f t="shared" si="113"/>
        <v>0</v>
      </c>
      <c r="AM71" s="55">
        <f>AL71</f>
        <v>0</v>
      </c>
      <c r="AN71" s="55">
        <f t="shared" si="114"/>
        <v>0</v>
      </c>
      <c r="AO71" s="18"/>
      <c r="AP71" s="46"/>
      <c r="AQ71" s="18"/>
      <c r="AR71" s="18"/>
      <c r="AS71" s="18"/>
      <c r="AT71" s="18"/>
      <c r="AU71" s="18"/>
      <c r="AV71" s="18"/>
      <c r="AW71" s="18"/>
    </row>
    <row r="72" spans="1:49" s="16" customFormat="1">
      <c r="A72" s="53" t="s">
        <v>243</v>
      </c>
      <c r="B72" s="17">
        <v>0</v>
      </c>
      <c r="C72" s="17">
        <v>0</v>
      </c>
      <c r="D72" s="17">
        <v>0</v>
      </c>
      <c r="E72" s="17">
        <v>0</v>
      </c>
      <c r="F72" s="17">
        <v>152</v>
      </c>
      <c r="G72" s="17">
        <v>867</v>
      </c>
      <c r="H72" s="17">
        <v>631</v>
      </c>
      <c r="I72" s="17">
        <v>327</v>
      </c>
      <c r="J72" s="17">
        <v>37</v>
      </c>
      <c r="K72" s="17">
        <v>0</v>
      </c>
      <c r="L72" s="17">
        <v>0</v>
      </c>
      <c r="M72" s="17">
        <v>0</v>
      </c>
      <c r="N72" s="17">
        <v>0</v>
      </c>
      <c r="O72" s="17">
        <v>0</v>
      </c>
      <c r="P72" s="17">
        <v>0</v>
      </c>
      <c r="Q72" s="17">
        <v>0</v>
      </c>
      <c r="R72" s="17">
        <v>800</v>
      </c>
      <c r="S72" s="17">
        <v>14</v>
      </c>
      <c r="T72" s="17">
        <v>294</v>
      </c>
      <c r="U72" s="17">
        <v>212</v>
      </c>
      <c r="V72" s="17">
        <v>337</v>
      </c>
      <c r="W72" s="17">
        <v>0</v>
      </c>
      <c r="X72" s="17">
        <v>0</v>
      </c>
      <c r="Y72" s="17">
        <v>0</v>
      </c>
      <c r="Z72" s="17">
        <v>0</v>
      </c>
      <c r="AA72" s="17">
        <f>'SOC Accounts'!AA8</f>
        <v>0</v>
      </c>
      <c r="AB72" s="17">
        <f>'SOC Accounts'!AB8</f>
        <v>0</v>
      </c>
      <c r="AC72" s="17">
        <f>'SOC Accounts'!AC8</f>
        <v>0</v>
      </c>
      <c r="AD72" s="17">
        <f>'SOC Accounts'!AD8</f>
        <v>0</v>
      </c>
      <c r="AE72" s="17">
        <f>AE61-'SOC Accounts'!AE8</f>
        <v>0</v>
      </c>
      <c r="AF72" s="17">
        <f>AF61-'SOC Accounts'!AF8</f>
        <v>0</v>
      </c>
      <c r="AG72" s="17">
        <f>AG61-'SOC Accounts'!AG8</f>
        <v>0</v>
      </c>
      <c r="AH72" s="17">
        <f>AH61-'SOC Accounts'!AH8</f>
        <v>0</v>
      </c>
      <c r="AI72" s="17">
        <f>AI61-'SOC Accounts'!AI8</f>
        <v>0</v>
      </c>
      <c r="AJ72" s="17">
        <f>AJ61-'SOC Accounts'!AJ8</f>
        <v>0</v>
      </c>
      <c r="AK72" s="17">
        <f>AK61-'SOC Accounts'!AK8</f>
        <v>0</v>
      </c>
      <c r="AL72" s="17">
        <f>AL61-'SOC Accounts'!AL8</f>
        <v>0</v>
      </c>
      <c r="AM72" s="17">
        <f>AM61-'SOC Accounts'!AM8</f>
        <v>0</v>
      </c>
      <c r="AN72" s="17">
        <f>AN61-'SOC Accounts'!AN8</f>
        <v>0</v>
      </c>
      <c r="AO72" s="18"/>
      <c r="AP72" s="46"/>
      <c r="AQ72" s="18"/>
      <c r="AR72" s="18"/>
      <c r="AS72" s="18"/>
      <c r="AT72" s="18"/>
      <c r="AU72" s="18"/>
      <c r="AV72" s="18"/>
      <c r="AW72" s="18"/>
    </row>
    <row r="73" spans="1:49" s="16" customFormat="1">
      <c r="A73" s="22" t="s">
        <v>305</v>
      </c>
      <c r="B73" s="17">
        <v>0</v>
      </c>
      <c r="C73" s="17">
        <v>0</v>
      </c>
      <c r="D73" s="17">
        <v>0</v>
      </c>
      <c r="E73" s="17">
        <v>0</v>
      </c>
      <c r="F73" s="17">
        <v>0</v>
      </c>
      <c r="G73" s="17">
        <v>0</v>
      </c>
      <c r="H73" s="17">
        <v>0</v>
      </c>
      <c r="I73" s="17">
        <v>0</v>
      </c>
      <c r="J73" s="17">
        <v>0</v>
      </c>
      <c r="K73" s="17">
        <v>0</v>
      </c>
      <c r="L73" s="17">
        <v>0</v>
      </c>
      <c r="M73" s="17">
        <v>0</v>
      </c>
      <c r="N73" s="17">
        <v>0</v>
      </c>
      <c r="O73" s="17">
        <v>260</v>
      </c>
      <c r="P73" s="17">
        <v>425</v>
      </c>
      <c r="Q73" s="17">
        <v>675</v>
      </c>
      <c r="R73" s="17">
        <v>1505</v>
      </c>
      <c r="S73" s="17">
        <v>1821</v>
      </c>
      <c r="T73" s="17">
        <v>2736</v>
      </c>
      <c r="U73" s="17">
        <v>5027</v>
      </c>
      <c r="V73" s="17">
        <v>3285</v>
      </c>
      <c r="W73" s="17">
        <v>3118</v>
      </c>
      <c r="X73" s="17">
        <v>3120</v>
      </c>
      <c r="Y73" s="17">
        <v>1078</v>
      </c>
      <c r="Z73" s="17">
        <v>1519</v>
      </c>
      <c r="AA73" s="17">
        <v>956</v>
      </c>
      <c r="AB73" s="17">
        <v>1000</v>
      </c>
      <c r="AC73" s="17">
        <v>1389</v>
      </c>
      <c r="AD73" s="17">
        <v>1697</v>
      </c>
      <c r="AE73" s="17">
        <v>2007</v>
      </c>
      <c r="AF73" s="17">
        <v>1943</v>
      </c>
      <c r="AG73" s="17">
        <v>1173</v>
      </c>
      <c r="AH73" s="17">
        <v>1134</v>
      </c>
      <c r="AI73" s="54">
        <f t="shared" ref="AI73" si="116">AH73</f>
        <v>1134</v>
      </c>
      <c r="AJ73" s="54">
        <f t="shared" ref="AJ73" si="117">AI73</f>
        <v>1134</v>
      </c>
      <c r="AK73" s="54">
        <f t="shared" ref="AK73" si="118">AJ73</f>
        <v>1134</v>
      </c>
      <c r="AL73" s="54">
        <f t="shared" ref="AL73" si="119">AK73</f>
        <v>1134</v>
      </c>
      <c r="AM73" s="54">
        <f>AL73</f>
        <v>1134</v>
      </c>
      <c r="AN73" s="54">
        <f t="shared" ref="AN73" si="120">AM73</f>
        <v>1134</v>
      </c>
      <c r="AO73" s="18"/>
      <c r="AP73" s="46"/>
      <c r="AQ73" s="18"/>
      <c r="AR73" s="18"/>
      <c r="AS73" s="18"/>
      <c r="AT73" s="18"/>
      <c r="AU73" s="18"/>
      <c r="AV73" s="18"/>
      <c r="AW73" s="18"/>
    </row>
    <row r="74" spans="1:49" s="16" customFormat="1">
      <c r="A74" s="22" t="s">
        <v>402</v>
      </c>
      <c r="B74" s="17">
        <v>0</v>
      </c>
      <c r="C74" s="17">
        <v>0</v>
      </c>
      <c r="D74" s="17">
        <v>0</v>
      </c>
      <c r="E74" s="17">
        <v>0</v>
      </c>
      <c r="F74" s="17">
        <v>0</v>
      </c>
      <c r="G74" s="17">
        <v>0</v>
      </c>
      <c r="H74" s="17">
        <v>0</v>
      </c>
      <c r="I74" s="17">
        <v>773</v>
      </c>
      <c r="J74" s="17">
        <v>643</v>
      </c>
      <c r="K74" s="17">
        <v>731</v>
      </c>
      <c r="L74" s="17">
        <v>287</v>
      </c>
      <c r="M74" s="17">
        <v>9</v>
      </c>
      <c r="N74" s="17">
        <f>M74</f>
        <v>9</v>
      </c>
      <c r="O74" s="17">
        <v>506</v>
      </c>
      <c r="P74" s="17">
        <v>145</v>
      </c>
      <c r="Q74" s="17">
        <v>552</v>
      </c>
      <c r="R74" s="17">
        <v>482</v>
      </c>
      <c r="S74" s="17">
        <f>1692+327</f>
        <v>2019</v>
      </c>
      <c r="T74" s="17">
        <f>1512+139</f>
        <v>1651</v>
      </c>
      <c r="U74" s="17">
        <f>1288+141</f>
        <v>1429</v>
      </c>
      <c r="V74" s="17">
        <f>1289+141</f>
        <v>1430</v>
      </c>
      <c r="W74" s="17">
        <f>1263+147+2221</f>
        <v>3631</v>
      </c>
      <c r="X74" s="17">
        <f>2554+1707+111</f>
        <v>4372</v>
      </c>
      <c r="Y74" s="17">
        <f>2669+1644+174</f>
        <v>4487</v>
      </c>
      <c r="Z74" s="17">
        <f>3788+1528+181</f>
        <v>5497</v>
      </c>
      <c r="AA74" s="17">
        <f>349+298+1186</f>
        <v>1833</v>
      </c>
      <c r="AB74" s="17">
        <f>300+604+1204</f>
        <v>2108</v>
      </c>
      <c r="AC74" s="17">
        <f>1280+1121</f>
        <v>2401</v>
      </c>
      <c r="AD74" s="17">
        <f>1300+1000</f>
        <v>2300</v>
      </c>
      <c r="AE74" s="17">
        <f>966+2303</f>
        <v>3269</v>
      </c>
      <c r="AF74" s="17">
        <f>909+2443</f>
        <v>3352</v>
      </c>
      <c r="AG74" s="17">
        <f>884+2492</f>
        <v>3376</v>
      </c>
      <c r="AH74" s="17">
        <f>817+1464</f>
        <v>2281</v>
      </c>
      <c r="AI74" s="55">
        <f>AH74+Driver!AI74-Driver!AH74</f>
        <v>2281</v>
      </c>
      <c r="AJ74" s="55">
        <f>AI74+Driver!AJ74-Driver!AI74</f>
        <v>2281</v>
      </c>
      <c r="AK74" s="55">
        <f>AJ74+Driver!AK74-Driver!AJ74</f>
        <v>2281</v>
      </c>
      <c r="AL74" s="55">
        <f>AK74+Driver!AL74-Driver!AK74</f>
        <v>2281</v>
      </c>
      <c r="AM74" s="55">
        <f>AL74+Driver!AM74-Driver!AL74</f>
        <v>2281</v>
      </c>
      <c r="AN74" s="55">
        <f>AM74+Driver!AN74-Driver!AM74</f>
        <v>2281</v>
      </c>
      <c r="AO74" s="18"/>
      <c r="AP74" s="46"/>
      <c r="AQ74" s="18"/>
      <c r="AR74" s="18"/>
      <c r="AS74" s="18"/>
      <c r="AT74" s="18"/>
      <c r="AU74" s="18"/>
      <c r="AV74" s="18"/>
      <c r="AW74" s="18"/>
    </row>
    <row r="75" spans="1:49" s="19" customFormat="1">
      <c r="A75" s="19" t="s">
        <v>130</v>
      </c>
      <c r="B75" s="20">
        <f t="shared" ref="B75:H75" si="121">SUM(B64:B74)</f>
        <v>23130</v>
      </c>
      <c r="C75" s="20">
        <f t="shared" si="121"/>
        <v>27639</v>
      </c>
      <c r="D75" s="20">
        <f t="shared" si="121"/>
        <v>29568</v>
      </c>
      <c r="E75" s="20">
        <f t="shared" si="121"/>
        <v>30973</v>
      </c>
      <c r="F75" s="20">
        <f t="shared" si="121"/>
        <v>34409</v>
      </c>
      <c r="G75" s="20">
        <f t="shared" si="121"/>
        <v>53332</v>
      </c>
      <c r="H75" s="20">
        <f t="shared" si="121"/>
        <v>55135</v>
      </c>
      <c r="I75" s="20">
        <f t="shared" ref="I75:R75" si="122">SUM(I64:I74)</f>
        <v>45696</v>
      </c>
      <c r="J75" s="20">
        <f t="shared" si="122"/>
        <v>48483.634726730437</v>
      </c>
      <c r="K75" s="20">
        <f t="shared" si="122"/>
        <v>54221.634726730437</v>
      </c>
      <c r="L75" s="20">
        <f t="shared" si="122"/>
        <v>60893</v>
      </c>
      <c r="M75" s="20">
        <f t="shared" si="122"/>
        <v>75832</v>
      </c>
      <c r="N75" s="20">
        <f t="shared" si="122"/>
        <v>80799</v>
      </c>
      <c r="O75" s="20">
        <f t="shared" si="122"/>
        <v>101905</v>
      </c>
      <c r="P75" s="20">
        <f t="shared" si="122"/>
        <v>131091</v>
      </c>
      <c r="Q75" s="20">
        <f t="shared" si="122"/>
        <v>136277</v>
      </c>
      <c r="R75" s="20">
        <f t="shared" si="122"/>
        <v>132831</v>
      </c>
      <c r="S75" s="20">
        <f>SUM(S64:S74)</f>
        <v>156531</v>
      </c>
      <c r="T75" s="20">
        <f>SUM(T64:T74)</f>
        <v>179355</v>
      </c>
      <c r="U75" s="20">
        <f t="shared" ref="U75:AA75" si="123">SUM(U64:U74)</f>
        <v>214288</v>
      </c>
      <c r="V75" s="20">
        <f t="shared" si="123"/>
        <v>228756</v>
      </c>
      <c r="W75" s="20">
        <f t="shared" si="123"/>
        <v>211685</v>
      </c>
      <c r="X75" s="20">
        <f>SUM(X64:X74)</f>
        <v>214663</v>
      </c>
      <c r="Y75" s="20">
        <f t="shared" si="123"/>
        <v>203964</v>
      </c>
      <c r="Z75" s="20">
        <f t="shared" si="123"/>
        <v>205978</v>
      </c>
      <c r="AA75" s="20">
        <f t="shared" si="123"/>
        <v>228151</v>
      </c>
      <c r="AB75" s="20">
        <f t="shared" ref="AB75:AG75" si="124">SUM(AB64:AB74)</f>
        <v>230514</v>
      </c>
      <c r="AC75" s="20">
        <f t="shared" si="124"/>
        <v>221623</v>
      </c>
      <c r="AD75" s="20">
        <f t="shared" si="124"/>
        <v>234233</v>
      </c>
      <c r="AE75" s="20">
        <f t="shared" si="124"/>
        <v>239809</v>
      </c>
      <c r="AF75" s="20">
        <f t="shared" si="124"/>
        <v>236026</v>
      </c>
      <c r="AG75" s="20">
        <f t="shared" si="124"/>
        <v>229051</v>
      </c>
      <c r="AH75" s="20">
        <f t="shared" ref="AH75:AN75" si="125">SUM(AH64:AH74)</f>
        <v>233713</v>
      </c>
      <c r="AI75" s="20">
        <f t="shared" si="125"/>
        <v>238572.93110668065</v>
      </c>
      <c r="AJ75" s="20">
        <f t="shared" si="125"/>
        <v>245000.26397949387</v>
      </c>
      <c r="AK75" s="20">
        <f t="shared" si="125"/>
        <v>251842.95461453911</v>
      </c>
      <c r="AL75" s="20">
        <f t="shared" si="125"/>
        <v>258243.10971292364</v>
      </c>
      <c r="AM75" s="20">
        <f t="shared" si="125"/>
        <v>265272.84841254505</v>
      </c>
      <c r="AN75" s="20">
        <f t="shared" si="125"/>
        <v>273044.57106848265</v>
      </c>
      <c r="AO75" s="18"/>
      <c r="AP75" s="46"/>
      <c r="AQ75" s="18"/>
      <c r="AR75" s="18"/>
      <c r="AS75" s="18"/>
      <c r="AT75" s="18"/>
      <c r="AU75" s="18"/>
      <c r="AV75" s="18"/>
      <c r="AW75" s="18"/>
    </row>
    <row r="76" spans="1:49" s="16" customFormat="1">
      <c r="A76" s="16" t="s">
        <v>249</v>
      </c>
      <c r="B76" s="17">
        <v>436</v>
      </c>
      <c r="C76" s="17">
        <v>169</v>
      </c>
      <c r="D76" s="17">
        <v>490</v>
      </c>
      <c r="E76" s="17">
        <v>1022</v>
      </c>
      <c r="F76" s="17">
        <v>298</v>
      </c>
      <c r="G76" s="17">
        <v>1147</v>
      </c>
      <c r="H76" s="17">
        <v>199</v>
      </c>
      <c r="I76" s="17">
        <v>403</v>
      </c>
      <c r="J76" s="17">
        <v>77</v>
      </c>
      <c r="K76" s="17">
        <v>1499</v>
      </c>
      <c r="L76" s="17">
        <v>570</v>
      </c>
      <c r="M76" s="17">
        <v>1095</v>
      </c>
      <c r="N76" s="17">
        <v>1178</v>
      </c>
      <c r="O76" s="17">
        <v>3508</v>
      </c>
      <c r="P76" s="17">
        <v>4264</v>
      </c>
      <c r="Q76" s="17">
        <v>2868</v>
      </c>
      <c r="R76" s="17">
        <v>3313</v>
      </c>
      <c r="S76" s="17">
        <v>6892</v>
      </c>
      <c r="T76" s="17">
        <v>7816</v>
      </c>
      <c r="U76" s="17">
        <v>12596</v>
      </c>
      <c r="V76" s="17">
        <v>6895</v>
      </c>
      <c r="W76" s="17">
        <v>7118</v>
      </c>
      <c r="X76" s="17">
        <v>9636</v>
      </c>
      <c r="Y76" s="17">
        <v>13189</v>
      </c>
      <c r="Z76" s="17">
        <v>10651</v>
      </c>
      <c r="AA76" s="17">
        <v>8472</v>
      </c>
      <c r="AB76" s="17">
        <v>13535</v>
      </c>
      <c r="AC76" s="17">
        <v>13551</v>
      </c>
      <c r="AD76" s="17">
        <v>8747</v>
      </c>
      <c r="AE76" s="17">
        <v>10512</v>
      </c>
      <c r="AF76" s="17">
        <v>11314</v>
      </c>
      <c r="AG76" s="17">
        <v>12572</v>
      </c>
      <c r="AH76" s="17">
        <v>15849</v>
      </c>
      <c r="AI76" s="55">
        <f t="shared" ref="AI76:AI77" si="126">AH76</f>
        <v>15849</v>
      </c>
      <c r="AJ76" s="55">
        <f t="shared" ref="AJ76:AJ77" si="127">AI76</f>
        <v>15849</v>
      </c>
      <c r="AK76" s="55">
        <f t="shared" ref="AK76:AK77" si="128">AJ76</f>
        <v>15849</v>
      </c>
      <c r="AL76" s="55">
        <f t="shared" ref="AL76:AL77" si="129">AK76</f>
        <v>15849</v>
      </c>
      <c r="AM76" s="55">
        <f>AL76</f>
        <v>15849</v>
      </c>
      <c r="AN76" s="55">
        <f t="shared" ref="AN76:AN77" si="130">AM76</f>
        <v>15849</v>
      </c>
      <c r="AO76" s="18"/>
      <c r="AP76" s="46"/>
      <c r="AQ76" s="18"/>
      <c r="AR76" s="18"/>
      <c r="AS76" s="18"/>
      <c r="AT76" s="18"/>
      <c r="AU76" s="18"/>
      <c r="AV76" s="18"/>
      <c r="AW76" s="18"/>
    </row>
    <row r="77" spans="1:49" s="16" customFormat="1">
      <c r="A77" s="16" t="s">
        <v>3</v>
      </c>
      <c r="B77" s="17">
        <v>0</v>
      </c>
      <c r="C77" s="17">
        <v>0</v>
      </c>
      <c r="D77" s="17">
        <v>0</v>
      </c>
      <c r="E77" s="17">
        <v>0</v>
      </c>
      <c r="F77" s="17">
        <v>0</v>
      </c>
      <c r="G77" s="17">
        <v>0</v>
      </c>
      <c r="H77" s="17">
        <v>0</v>
      </c>
      <c r="I77" s="17">
        <v>0</v>
      </c>
      <c r="J77" s="17">
        <v>0</v>
      </c>
      <c r="K77" s="17">
        <v>0</v>
      </c>
      <c r="L77" s="17">
        <v>0</v>
      </c>
      <c r="M77" s="17">
        <v>0</v>
      </c>
      <c r="N77" s="17">
        <v>0</v>
      </c>
      <c r="O77" s="17">
        <v>0</v>
      </c>
      <c r="P77" s="17">
        <v>1945</v>
      </c>
      <c r="Q77" s="17">
        <v>1431</v>
      </c>
      <c r="R77" s="17">
        <v>1403</v>
      </c>
      <c r="S77" s="17">
        <v>1523</v>
      </c>
      <c r="T77" s="17">
        <v>1995</v>
      </c>
      <c r="U77" s="17">
        <v>2200</v>
      </c>
      <c r="V77" s="17">
        <v>2406</v>
      </c>
      <c r="W77" s="17">
        <v>2763</v>
      </c>
      <c r="X77" s="17">
        <v>1</v>
      </c>
      <c r="Y77" s="17">
        <v>0</v>
      </c>
      <c r="Z77" s="17">
        <v>0</v>
      </c>
      <c r="AA77" s="17">
        <v>0</v>
      </c>
      <c r="AB77" s="17">
        <v>0</v>
      </c>
      <c r="AC77" s="55">
        <f>AB77</f>
        <v>0</v>
      </c>
      <c r="AD77" s="55">
        <f>AC77</f>
        <v>0</v>
      </c>
      <c r="AE77" s="55">
        <f t="shared" ref="AE77:AG77" si="131">AD77</f>
        <v>0</v>
      </c>
      <c r="AF77" s="55">
        <f t="shared" si="131"/>
        <v>0</v>
      </c>
      <c r="AG77" s="55">
        <f t="shared" si="131"/>
        <v>0</v>
      </c>
      <c r="AH77" s="55">
        <f t="shared" ref="AH77" si="132">AG77</f>
        <v>0</v>
      </c>
      <c r="AI77" s="55">
        <f t="shared" si="126"/>
        <v>0</v>
      </c>
      <c r="AJ77" s="55">
        <f t="shared" si="127"/>
        <v>0</v>
      </c>
      <c r="AK77" s="55">
        <f t="shared" si="128"/>
        <v>0</v>
      </c>
      <c r="AL77" s="55">
        <f t="shared" si="129"/>
        <v>0</v>
      </c>
      <c r="AM77" s="55">
        <f>AL77</f>
        <v>0</v>
      </c>
      <c r="AN77" s="55">
        <f t="shared" si="130"/>
        <v>0</v>
      </c>
      <c r="AO77" s="18"/>
      <c r="AP77" s="46"/>
      <c r="AQ77" s="18"/>
      <c r="AR77" s="18"/>
      <c r="AS77" s="18"/>
      <c r="AT77" s="18"/>
      <c r="AU77" s="18"/>
      <c r="AV77" s="18"/>
      <c r="AW77" s="18"/>
    </row>
    <row r="78" spans="1:49" s="16" customFormat="1">
      <c r="A78" s="16" t="s">
        <v>411</v>
      </c>
      <c r="B78" s="17">
        <v>378</v>
      </c>
      <c r="C78" s="17">
        <v>686</v>
      </c>
      <c r="D78" s="17">
        <v>240</v>
      </c>
      <c r="E78" s="17">
        <v>237</v>
      </c>
      <c r="F78" s="17">
        <v>448</v>
      </c>
      <c r="G78" s="17">
        <v>506</v>
      </c>
      <c r="H78" s="17">
        <v>931</v>
      </c>
      <c r="I78" s="17">
        <v>227</v>
      </c>
      <c r="J78" s="17">
        <v>668</v>
      </c>
      <c r="K78" s="17">
        <v>166</v>
      </c>
      <c r="L78" s="17">
        <v>196</v>
      </c>
      <c r="M78" s="17">
        <v>64</v>
      </c>
      <c r="N78" s="17">
        <v>403</v>
      </c>
      <c r="O78" s="17">
        <v>376</v>
      </c>
      <c r="P78" s="17">
        <v>186</v>
      </c>
      <c r="Q78" s="17">
        <v>237</v>
      </c>
      <c r="R78" s="17">
        <v>366</v>
      </c>
      <c r="S78" s="17">
        <v>208</v>
      </c>
      <c r="T78" s="17">
        <v>165</v>
      </c>
      <c r="U78" s="17">
        <v>143</v>
      </c>
      <c r="V78" s="17">
        <v>233</v>
      </c>
      <c r="W78" s="17">
        <v>141</v>
      </c>
      <c r="X78" s="17">
        <v>790</v>
      </c>
      <c r="Y78" s="17">
        <v>651</v>
      </c>
      <c r="Z78" s="17">
        <v>792</v>
      </c>
      <c r="AA78" s="17">
        <v>762</v>
      </c>
      <c r="AB78" s="17">
        <v>1399</v>
      </c>
      <c r="AC78" s="17">
        <v>1522</v>
      </c>
      <c r="AD78" s="17">
        <v>1699</v>
      </c>
      <c r="AE78" s="17">
        <v>1349</v>
      </c>
      <c r="AF78" s="17">
        <v>1577</v>
      </c>
      <c r="AG78" s="17">
        <v>1063</v>
      </c>
      <c r="AH78" s="17">
        <v>775</v>
      </c>
      <c r="AI78" s="55">
        <f t="shared" ref="AI78" si="133">AH78-AI23+AI120</f>
        <v>775</v>
      </c>
      <c r="AJ78" s="55">
        <f t="shared" ref="AJ78" si="134">AI78-AJ23+AJ120</f>
        <v>775</v>
      </c>
      <c r="AK78" s="55">
        <f t="shared" ref="AK78" si="135">AJ78-AK23+AK120</f>
        <v>775</v>
      </c>
      <c r="AL78" s="55">
        <f t="shared" ref="AL78" si="136">AK78-AL23+AL120</f>
        <v>775</v>
      </c>
      <c r="AM78" s="55">
        <f>AL78-AM23+AM120</f>
        <v>775</v>
      </c>
      <c r="AN78" s="55">
        <f t="shared" ref="AN78" si="137">AM78-AN23+AN120</f>
        <v>775.00000000000045</v>
      </c>
      <c r="AO78" s="18"/>
      <c r="AP78" s="46"/>
      <c r="AQ78" s="18"/>
      <c r="AR78" s="18"/>
      <c r="AS78" s="18"/>
      <c r="AT78" s="18"/>
      <c r="AU78" s="18"/>
      <c r="AV78" s="18"/>
      <c r="AW78" s="18"/>
    </row>
    <row r="79" spans="1:49" s="16" customFormat="1">
      <c r="A79" s="16" t="s">
        <v>228</v>
      </c>
      <c r="B79" s="17">
        <v>1228</v>
      </c>
      <c r="C79" s="17">
        <v>1345</v>
      </c>
      <c r="D79" s="17">
        <v>1489</v>
      </c>
      <c r="E79" s="17">
        <v>1593</v>
      </c>
      <c r="F79" s="17">
        <v>1678</v>
      </c>
      <c r="G79" s="17">
        <v>1786</v>
      </c>
      <c r="H79" s="17">
        <v>1897</v>
      </c>
      <c r="I79" s="17">
        <v>2046</v>
      </c>
      <c r="J79" s="17">
        <v>2179</v>
      </c>
      <c r="K79" s="17">
        <v>2450</v>
      </c>
      <c r="L79" s="17">
        <v>2684</v>
      </c>
      <c r="M79" s="17">
        <v>2878</v>
      </c>
      <c r="N79" s="17">
        <v>3119</v>
      </c>
      <c r="O79" s="17">
        <v>3308</v>
      </c>
      <c r="P79" s="17">
        <v>3417</v>
      </c>
      <c r="Q79" s="17">
        <v>3589</v>
      </c>
      <c r="R79" s="17">
        <v>3722</v>
      </c>
      <c r="S79" s="17">
        <v>3854</v>
      </c>
      <c r="T79" s="17">
        <v>3979</v>
      </c>
      <c r="U79" s="17">
        <v>4297</v>
      </c>
      <c r="V79" s="17">
        <v>4420</v>
      </c>
      <c r="W79" s="17">
        <v>4506</v>
      </c>
      <c r="X79" s="17">
        <v>4653</v>
      </c>
      <c r="Y79" s="17">
        <v>4829</v>
      </c>
      <c r="Z79" s="17">
        <v>4999</v>
      </c>
      <c r="AA79" s="17">
        <v>5221</v>
      </c>
      <c r="AB79" s="17">
        <v>5476</v>
      </c>
      <c r="AC79" s="17">
        <v>5679</v>
      </c>
      <c r="AD79" s="17">
        <v>5908</v>
      </c>
      <c r="AE79" s="17">
        <v>6254</v>
      </c>
      <c r="AF79" s="17">
        <v>6633</v>
      </c>
      <c r="AG79" s="17">
        <v>6880</v>
      </c>
      <c r="AH79" s="17">
        <v>7207</v>
      </c>
      <c r="AI79" s="55">
        <f t="shared" ref="AI79" si="138">AH79*AH79/AG79</f>
        <v>7549.5420058139534</v>
      </c>
      <c r="AJ79" s="55">
        <f t="shared" ref="AJ79" si="139">AI79*AI79/AH79</f>
        <v>7908.3647145205177</v>
      </c>
      <c r="AK79" s="55">
        <f t="shared" ref="AK79" si="140">AJ79*AJ79/AI79</f>
        <v>8284.2419327833377</v>
      </c>
      <c r="AL79" s="55">
        <f t="shared" ref="AL79" si="141">AK79*AK79/AJ79</f>
        <v>8677.9842455769631</v>
      </c>
      <c r="AM79" s="55">
        <f>AL79*AL79/AK79</f>
        <v>9090.440764225752</v>
      </c>
      <c r="AN79" s="55">
        <f>AM79*AM79/AL79</f>
        <v>9522.5009575254353</v>
      </c>
      <c r="AO79" s="18"/>
      <c r="AP79" s="46"/>
      <c r="AQ79" s="18"/>
      <c r="AR79" s="18"/>
      <c r="AS79" s="18"/>
      <c r="AT79" s="18"/>
      <c r="AU79" s="18"/>
      <c r="AV79" s="18"/>
      <c r="AW79" s="18"/>
    </row>
    <row r="80" spans="1:49" s="16" customFormat="1">
      <c r="A80" s="16" t="s">
        <v>250</v>
      </c>
      <c r="B80" s="17">
        <v>630</v>
      </c>
      <c r="C80" s="17">
        <v>697</v>
      </c>
      <c r="D80" s="17">
        <v>736</v>
      </c>
      <c r="E80" s="17">
        <v>736</v>
      </c>
      <c r="F80" s="17">
        <v>876</v>
      </c>
      <c r="G80" s="17">
        <v>1145</v>
      </c>
      <c r="H80" s="17">
        <v>1420</v>
      </c>
      <c r="I80" s="17">
        <v>1561</v>
      </c>
      <c r="J80" s="17">
        <v>1602</v>
      </c>
      <c r="K80" s="17">
        <v>2528</v>
      </c>
      <c r="L80" s="17">
        <v>0</v>
      </c>
      <c r="M80" s="17">
        <v>0</v>
      </c>
      <c r="N80" s="17">
        <v>0</v>
      </c>
      <c r="O80" s="17">
        <v>0</v>
      </c>
      <c r="P80" s="17">
        <v>0</v>
      </c>
      <c r="Q80" s="17">
        <v>0</v>
      </c>
      <c r="R80" s="17">
        <v>0</v>
      </c>
      <c r="S80" s="17">
        <v>0</v>
      </c>
      <c r="T80" s="17">
        <v>0</v>
      </c>
      <c r="U80" s="17">
        <v>0</v>
      </c>
      <c r="V80" s="17">
        <v>0</v>
      </c>
      <c r="W80" s="17">
        <v>0</v>
      </c>
      <c r="X80" s="17">
        <v>0</v>
      </c>
      <c r="Y80" s="17">
        <v>0</v>
      </c>
      <c r="Z80" s="17">
        <v>0</v>
      </c>
      <c r="AA80" s="17">
        <v>0</v>
      </c>
      <c r="AB80" s="17">
        <v>0</v>
      </c>
      <c r="AC80" s="17">
        <v>0</v>
      </c>
      <c r="AD80" s="17">
        <v>0</v>
      </c>
      <c r="AE80" s="17">
        <v>0</v>
      </c>
      <c r="AF80" s="17">
        <v>0</v>
      </c>
      <c r="AG80" s="17">
        <v>0</v>
      </c>
      <c r="AH80" s="17">
        <v>0</v>
      </c>
      <c r="AI80" s="55">
        <v>0</v>
      </c>
      <c r="AJ80" s="55">
        <v>0</v>
      </c>
      <c r="AK80" s="55">
        <v>0</v>
      </c>
      <c r="AL80" s="55">
        <v>0</v>
      </c>
      <c r="AM80" s="55">
        <v>0</v>
      </c>
      <c r="AN80" s="55">
        <v>0</v>
      </c>
      <c r="AO80" s="18"/>
      <c r="AP80" s="46"/>
      <c r="AQ80" s="18"/>
      <c r="AR80" s="18"/>
      <c r="AS80" s="18"/>
      <c r="AT80" s="18"/>
      <c r="AU80" s="18"/>
      <c r="AV80" s="18"/>
      <c r="AW80" s="18"/>
    </row>
    <row r="81" spans="1:49" s="16" customFormat="1">
      <c r="A81" s="16" t="s">
        <v>243</v>
      </c>
      <c r="B81" s="17"/>
      <c r="C81" s="17"/>
      <c r="D81" s="17"/>
      <c r="E81" s="17"/>
      <c r="F81" s="17"/>
      <c r="G81" s="17"/>
      <c r="H81" s="17"/>
      <c r="I81" s="17"/>
      <c r="J81" s="17"/>
      <c r="K81" s="17"/>
      <c r="L81" s="17"/>
      <c r="M81" s="17"/>
      <c r="N81" s="17"/>
      <c r="O81" s="17"/>
      <c r="P81" s="17"/>
      <c r="Q81" s="17"/>
      <c r="R81" s="17"/>
      <c r="S81" s="17"/>
      <c r="T81" s="17">
        <v>0</v>
      </c>
      <c r="U81" s="17">
        <v>0</v>
      </c>
      <c r="V81" s="17">
        <v>0</v>
      </c>
      <c r="W81" s="17">
        <v>0</v>
      </c>
      <c r="X81" s="17">
        <v>0</v>
      </c>
      <c r="Y81" s="17">
        <v>0</v>
      </c>
      <c r="Z81" s="17">
        <v>0</v>
      </c>
      <c r="AA81" s="17">
        <v>2212</v>
      </c>
      <c r="AB81" s="17">
        <v>901</v>
      </c>
      <c r="AC81" s="17">
        <v>1131</v>
      </c>
      <c r="AD81" s="17">
        <v>346</v>
      </c>
      <c r="AE81" s="17">
        <f>'SOC Accounts'!AE9</f>
        <v>0</v>
      </c>
      <c r="AF81" s="17">
        <f>'SOC Accounts'!AF9</f>
        <v>0</v>
      </c>
      <c r="AG81" s="17">
        <f>'SOC Accounts'!AG9</f>
        <v>0</v>
      </c>
      <c r="AH81" s="17">
        <f>'SOC Accounts'!AH9</f>
        <v>0</v>
      </c>
      <c r="AI81" s="55">
        <f>'SOC Accounts'!AI9</f>
        <v>0</v>
      </c>
      <c r="AJ81" s="55">
        <f>'SOC Accounts'!AJ9</f>
        <v>0</v>
      </c>
      <c r="AK81" s="55">
        <f>'SOC Accounts'!AK9</f>
        <v>0</v>
      </c>
      <c r="AL81" s="55">
        <f>'SOC Accounts'!AL9</f>
        <v>0</v>
      </c>
      <c r="AM81" s="55">
        <f>'SOC Accounts'!AM9</f>
        <v>0</v>
      </c>
      <c r="AN81" s="55">
        <f>'SOC Accounts'!AN9</f>
        <v>0</v>
      </c>
      <c r="AO81" s="18"/>
      <c r="AP81" s="46"/>
      <c r="AQ81" s="18"/>
      <c r="AR81" s="18"/>
      <c r="AS81" s="18"/>
      <c r="AT81" s="18"/>
      <c r="AU81" s="18"/>
      <c r="AV81" s="18"/>
      <c r="AW81" s="18"/>
    </row>
    <row r="82" spans="1:49" s="16" customFormat="1">
      <c r="A82" s="22" t="s">
        <v>305</v>
      </c>
      <c r="B82" s="17">
        <v>0</v>
      </c>
      <c r="C82" s="17">
        <v>0</v>
      </c>
      <c r="D82" s="17">
        <v>0</v>
      </c>
      <c r="E82" s="17">
        <v>0</v>
      </c>
      <c r="F82" s="17">
        <v>0</v>
      </c>
      <c r="G82" s="17">
        <v>0</v>
      </c>
      <c r="H82" s="17">
        <v>0</v>
      </c>
      <c r="I82" s="17">
        <v>0</v>
      </c>
      <c r="J82" s="17">
        <v>0</v>
      </c>
      <c r="K82" s="17">
        <v>0</v>
      </c>
      <c r="L82" s="17">
        <v>0</v>
      </c>
      <c r="M82" s="17">
        <v>0</v>
      </c>
      <c r="N82" s="17">
        <v>0</v>
      </c>
      <c r="O82" s="17">
        <v>1134</v>
      </c>
      <c r="P82" s="17">
        <v>1285</v>
      </c>
      <c r="Q82" s="17">
        <v>1689</v>
      </c>
      <c r="R82" s="17">
        <v>1198</v>
      </c>
      <c r="S82" s="17">
        <v>1035</v>
      </c>
      <c r="T82" s="17">
        <v>932</v>
      </c>
      <c r="U82" s="17">
        <v>2212</v>
      </c>
      <c r="V82" s="17">
        <v>1762</v>
      </c>
      <c r="W82" s="17">
        <v>1279</v>
      </c>
      <c r="X82" s="17">
        <v>709</v>
      </c>
      <c r="Y82" s="17">
        <v>595</v>
      </c>
      <c r="Z82" s="17">
        <v>977</v>
      </c>
      <c r="AA82" s="17">
        <v>789</v>
      </c>
      <c r="AB82" s="17">
        <v>1262</v>
      </c>
      <c r="AC82" s="17">
        <v>993</v>
      </c>
      <c r="AD82" s="17">
        <v>1166</v>
      </c>
      <c r="AE82" s="17">
        <v>1302</v>
      </c>
      <c r="AF82" s="17">
        <v>5310</v>
      </c>
      <c r="AG82" s="17">
        <v>1658</v>
      </c>
      <c r="AH82" s="17">
        <v>1185</v>
      </c>
      <c r="AI82" s="54">
        <f t="shared" ref="AI82" si="142">AH82</f>
        <v>1185</v>
      </c>
      <c r="AJ82" s="54">
        <f t="shared" ref="AJ82" si="143">AI82</f>
        <v>1185</v>
      </c>
      <c r="AK82" s="54">
        <f t="shared" ref="AK82" si="144">AJ82</f>
        <v>1185</v>
      </c>
      <c r="AL82" s="54">
        <f t="shared" ref="AL82" si="145">AK82</f>
        <v>1185</v>
      </c>
      <c r="AM82" s="54">
        <f>AL82</f>
        <v>1185</v>
      </c>
      <c r="AN82" s="54">
        <f t="shared" ref="AN82" si="146">AM82</f>
        <v>1185</v>
      </c>
      <c r="AO82" s="18"/>
      <c r="AP82" s="46"/>
      <c r="AQ82" s="18"/>
      <c r="AR82" s="18"/>
      <c r="AS82" s="18"/>
      <c r="AT82" s="18"/>
      <c r="AU82" s="18"/>
      <c r="AV82" s="18"/>
      <c r="AW82" s="18"/>
    </row>
    <row r="83" spans="1:49" s="16" customFormat="1">
      <c r="A83" s="16" t="s">
        <v>328</v>
      </c>
      <c r="B83" s="17">
        <v>1553</v>
      </c>
      <c r="C83" s="17">
        <v>2958</v>
      </c>
      <c r="D83" s="17">
        <v>3529</v>
      </c>
      <c r="E83" s="17">
        <v>2720</v>
      </c>
      <c r="F83" s="17">
        <v>2618</v>
      </c>
      <c r="G83" s="17">
        <f>2340+136</f>
        <v>2476</v>
      </c>
      <c r="H83" s="17">
        <v>2235</v>
      </c>
      <c r="I83" s="17">
        <v>1681</v>
      </c>
      <c r="J83" s="17">
        <v>2469</v>
      </c>
      <c r="K83" s="17">
        <v>2678</v>
      </c>
      <c r="L83" s="17">
        <f>3091+115</f>
        <v>3206</v>
      </c>
      <c r="M83" s="17">
        <v>3994</v>
      </c>
      <c r="N83" s="17">
        <v>4216</v>
      </c>
      <c r="O83" s="17">
        <v>6079</v>
      </c>
      <c r="P83" s="17">
        <v>5893</v>
      </c>
      <c r="Q83" s="17">
        <v>6023</v>
      </c>
      <c r="R83" s="17">
        <v>5919</v>
      </c>
      <c r="S83" s="17">
        <v>8926</v>
      </c>
      <c r="T83" s="17">
        <v>11344</v>
      </c>
      <c r="U83" s="17">
        <v>16990</v>
      </c>
      <c r="V83" s="17">
        <v>21732</v>
      </c>
      <c r="W83" s="17">
        <v>19325</v>
      </c>
      <c r="X83" s="17">
        <v>21619</v>
      </c>
      <c r="Y83" s="17">
        <v>19023</v>
      </c>
      <c r="Z83" s="17">
        <v>19921</v>
      </c>
      <c r="AA83" s="17">
        <v>18978</v>
      </c>
      <c r="AB83" s="17">
        <v>19061</v>
      </c>
      <c r="AC83" s="17">
        <v>17586</v>
      </c>
      <c r="AD83" s="17">
        <v>18141</v>
      </c>
      <c r="AE83" s="17">
        <v>18381</v>
      </c>
      <c r="AF83" s="17">
        <v>19627</v>
      </c>
      <c r="AG83" s="17">
        <v>20306</v>
      </c>
      <c r="AH83" s="17">
        <v>19788</v>
      </c>
      <c r="AI83" s="55">
        <f t="shared" ref="AI83" si="147">+AH83/(AH10-AH7)*(AI10-AI7)</f>
        <v>19640.510233151352</v>
      </c>
      <c r="AJ83" s="55">
        <f t="shared" ref="AJ83" si="148">+AI83/(AI10-AI7)*(AJ10-AJ7)</f>
        <v>19939.633897734802</v>
      </c>
      <c r="AK83" s="55">
        <f t="shared" ref="AK83" si="149">+AJ83/(AJ10-AJ7)*(AK10-AK7)</f>
        <v>20290.758967442845</v>
      </c>
      <c r="AL83" s="55">
        <f t="shared" ref="AL83" si="150">+AK83/(AK10-AK7)*(AL10-AL7)</f>
        <v>20652.955208508887</v>
      </c>
      <c r="AM83" s="55">
        <f>+AL83/(AL10-AL7)*(AM10-AM7)</f>
        <v>21033.908193231266</v>
      </c>
      <c r="AN83" s="55">
        <f t="shared" ref="AN83" si="151">+AM83/(AM10-AM7)*(AN10-AN7)</f>
        <v>21506.05101996574</v>
      </c>
      <c r="AO83" s="18"/>
      <c r="AP83" s="46"/>
      <c r="AQ83" s="18"/>
      <c r="AR83" s="18"/>
      <c r="AS83" s="18"/>
      <c r="AT83" s="18"/>
      <c r="AU83" s="18"/>
      <c r="AV83" s="18"/>
      <c r="AW83" s="18"/>
    </row>
    <row r="84" spans="1:49" s="19" customFormat="1">
      <c r="A84" s="19" t="s">
        <v>131</v>
      </c>
      <c r="B84" s="20">
        <f t="shared" ref="B84:J84" si="152">SUM(B76:B83)</f>
        <v>4225</v>
      </c>
      <c r="C84" s="20">
        <f t="shared" si="152"/>
        <v>5855</v>
      </c>
      <c r="D84" s="20">
        <f t="shared" si="152"/>
        <v>6484</v>
      </c>
      <c r="E84" s="20">
        <f t="shared" si="152"/>
        <v>6308</v>
      </c>
      <c r="F84" s="20">
        <f t="shared" si="152"/>
        <v>5918</v>
      </c>
      <c r="G84" s="20">
        <f t="shared" si="152"/>
        <v>7060</v>
      </c>
      <c r="H84" s="20">
        <f t="shared" si="152"/>
        <v>6682</v>
      </c>
      <c r="I84" s="20">
        <f t="shared" si="152"/>
        <v>5918</v>
      </c>
      <c r="J84" s="20">
        <f t="shared" si="152"/>
        <v>6995</v>
      </c>
      <c r="K84" s="20">
        <f>SUM(K76:K83)</f>
        <v>9321</v>
      </c>
      <c r="L84" s="20">
        <f t="shared" ref="L84:Q84" si="153">SUM(L76:L83)</f>
        <v>6656</v>
      </c>
      <c r="M84" s="20">
        <f t="shared" si="153"/>
        <v>8031</v>
      </c>
      <c r="N84" s="20">
        <f t="shared" si="153"/>
        <v>8916</v>
      </c>
      <c r="O84" s="20">
        <f t="shared" si="153"/>
        <v>14405</v>
      </c>
      <c r="P84" s="20">
        <f t="shared" si="153"/>
        <v>16990</v>
      </c>
      <c r="Q84" s="20">
        <f t="shared" si="153"/>
        <v>15837</v>
      </c>
      <c r="R84" s="20">
        <f t="shared" ref="R84:AB84" si="154">SUM(R76:R83)</f>
        <v>15921</v>
      </c>
      <c r="S84" s="20">
        <f t="shared" si="154"/>
        <v>22438</v>
      </c>
      <c r="T84" s="20">
        <f t="shared" si="154"/>
        <v>26231</v>
      </c>
      <c r="U84" s="20">
        <f t="shared" si="154"/>
        <v>38438</v>
      </c>
      <c r="V84" s="20">
        <f t="shared" si="154"/>
        <v>37448</v>
      </c>
      <c r="W84" s="20">
        <f t="shared" si="154"/>
        <v>35132</v>
      </c>
      <c r="X84" s="20">
        <f t="shared" si="154"/>
        <v>37408</v>
      </c>
      <c r="Y84" s="20">
        <f t="shared" si="154"/>
        <v>38287</v>
      </c>
      <c r="Z84" s="20">
        <f t="shared" si="154"/>
        <v>37340</v>
      </c>
      <c r="AA84" s="20">
        <f t="shared" si="154"/>
        <v>36434</v>
      </c>
      <c r="AB84" s="20">
        <f t="shared" si="154"/>
        <v>41634</v>
      </c>
      <c r="AC84" s="20">
        <f t="shared" ref="AC84:AF84" si="155">SUM(AC76:AC83)</f>
        <v>40462</v>
      </c>
      <c r="AD84" s="20">
        <f t="shared" si="155"/>
        <v>36007</v>
      </c>
      <c r="AE84" s="20">
        <f t="shared" si="155"/>
        <v>37798</v>
      </c>
      <c r="AF84" s="20">
        <f t="shared" si="155"/>
        <v>44461</v>
      </c>
      <c r="AG84" s="20">
        <f>SUM(AG76:AG83)</f>
        <v>42479</v>
      </c>
      <c r="AH84" s="20">
        <f t="shared" ref="AH84:AN84" si="156">SUM(AH76:AH83)</f>
        <v>44804</v>
      </c>
      <c r="AI84" s="20">
        <f t="shared" si="156"/>
        <v>44999.052238965305</v>
      </c>
      <c r="AJ84" s="20">
        <f t="shared" si="156"/>
        <v>45656.998612255324</v>
      </c>
      <c r="AK84" s="20">
        <f t="shared" si="156"/>
        <v>46384.00090022618</v>
      </c>
      <c r="AL84" s="20">
        <f t="shared" si="156"/>
        <v>47139.939454085848</v>
      </c>
      <c r="AM84" s="20">
        <f t="shared" si="156"/>
        <v>47933.348957457012</v>
      </c>
      <c r="AN84" s="20">
        <f t="shared" si="156"/>
        <v>48837.551977491181</v>
      </c>
      <c r="AO84" s="18"/>
      <c r="AP84" s="46"/>
      <c r="AQ84" s="18"/>
      <c r="AR84" s="18"/>
      <c r="AS84" s="18"/>
      <c r="AT84" s="18"/>
      <c r="AU84" s="18"/>
      <c r="AV84" s="18"/>
      <c r="AW84" s="18"/>
    </row>
    <row r="85" spans="1:49" s="16" customFormat="1">
      <c r="A85" s="16" t="s">
        <v>103</v>
      </c>
      <c r="B85" s="17">
        <v>819</v>
      </c>
      <c r="C85" s="17">
        <v>888</v>
      </c>
      <c r="D85" s="17">
        <v>1007</v>
      </c>
      <c r="E85" s="17">
        <v>648</v>
      </c>
      <c r="F85" s="17">
        <v>3021</v>
      </c>
      <c r="G85" s="17">
        <v>2756</v>
      </c>
      <c r="H85" s="17">
        <v>2545</v>
      </c>
      <c r="I85" s="17">
        <v>2375</v>
      </c>
      <c r="J85" s="17">
        <v>2501</v>
      </c>
      <c r="K85" s="17">
        <v>4068</v>
      </c>
      <c r="L85" s="17">
        <v>8727</v>
      </c>
      <c r="M85" s="17">
        <v>17602</v>
      </c>
      <c r="N85" s="17">
        <v>17596</v>
      </c>
      <c r="O85" s="17">
        <v>25883</v>
      </c>
      <c r="P85" s="17">
        <v>26014</v>
      </c>
      <c r="Q85" s="17">
        <v>25492</v>
      </c>
      <c r="R85" s="17">
        <v>23383</v>
      </c>
      <c r="S85" s="17">
        <v>32539</v>
      </c>
      <c r="T85" s="17">
        <v>36807</v>
      </c>
      <c r="U85" s="17">
        <v>52925</v>
      </c>
      <c r="V85" s="17">
        <v>59303</v>
      </c>
      <c r="W85" s="17">
        <v>48933</v>
      </c>
      <c r="X85" s="17">
        <v>57799</v>
      </c>
      <c r="Y85" s="17">
        <v>42294</v>
      </c>
      <c r="Z85" s="17">
        <v>40995</v>
      </c>
      <c r="AA85" s="17">
        <v>48869</v>
      </c>
      <c r="AB85" s="17">
        <v>41763</v>
      </c>
      <c r="AC85" s="17">
        <v>38798</v>
      </c>
      <c r="AD85" s="17">
        <v>45601</v>
      </c>
      <c r="AE85" s="17">
        <v>47703</v>
      </c>
      <c r="AF85" s="17">
        <v>47903</v>
      </c>
      <c r="AG85" s="17">
        <v>44943</v>
      </c>
      <c r="AH85" s="17">
        <v>49305</v>
      </c>
      <c r="AI85" s="55">
        <f>Driver!AI93-AI76</f>
        <v>50241.453261862713</v>
      </c>
      <c r="AJ85" s="55">
        <f>Driver!AJ93-AJ76</f>
        <v>51450.220984400003</v>
      </c>
      <c r="AK85" s="55">
        <f>Driver!AK93-AK76</f>
        <v>52450.220984400003</v>
      </c>
      <c r="AL85" s="55">
        <f>Driver!AL93-AL76</f>
        <v>52450.220984400003</v>
      </c>
      <c r="AM85" s="55">
        <f>Driver!AM93-AM76</f>
        <v>52450.220984400003</v>
      </c>
      <c r="AN85" s="55">
        <f>Driver!AN93-AN76</f>
        <v>52450.220984400003</v>
      </c>
      <c r="AO85" s="18"/>
      <c r="AP85" s="46"/>
      <c r="AQ85" s="18"/>
      <c r="AR85" s="18"/>
      <c r="AS85" s="18"/>
      <c r="AT85" s="18"/>
      <c r="AU85" s="18"/>
      <c r="AV85" s="18"/>
      <c r="AW85" s="18"/>
    </row>
    <row r="86" spans="1:49" s="16" customFormat="1">
      <c r="A86" s="16" t="s">
        <v>4</v>
      </c>
      <c r="B86" s="17"/>
      <c r="C86" s="17"/>
      <c r="D86" s="17"/>
      <c r="E86" s="17"/>
      <c r="F86" s="17"/>
      <c r="G86" s="17"/>
      <c r="H86" s="17"/>
      <c r="I86" s="17"/>
      <c r="J86" s="17"/>
      <c r="K86" s="17"/>
      <c r="L86" s="17"/>
      <c r="M86" s="17"/>
      <c r="N86" s="17"/>
      <c r="O86" s="17"/>
      <c r="P86" s="17">
        <v>20865</v>
      </c>
      <c r="Q86" s="17">
        <v>20785</v>
      </c>
      <c r="R86" s="17">
        <v>20362</v>
      </c>
      <c r="S86" s="17">
        <v>20332</v>
      </c>
      <c r="T86" s="17">
        <v>25105</v>
      </c>
      <c r="U86" s="17">
        <v>25196</v>
      </c>
      <c r="V86" s="17">
        <v>24649</v>
      </c>
      <c r="W86" s="17">
        <v>25213</v>
      </c>
      <c r="X86" s="17">
        <v>26</v>
      </c>
      <c r="Y86" s="17">
        <v>0</v>
      </c>
      <c r="Z86" s="17">
        <v>0</v>
      </c>
      <c r="AA86" s="17">
        <f t="shared" ref="AA86:AG86" si="157">Z86</f>
        <v>0</v>
      </c>
      <c r="AB86" s="55">
        <f>AA86</f>
        <v>0</v>
      </c>
      <c r="AC86" s="55">
        <f>AB86</f>
        <v>0</v>
      </c>
      <c r="AD86" s="55">
        <f>AC86</f>
        <v>0</v>
      </c>
      <c r="AE86" s="55">
        <f t="shared" si="157"/>
        <v>0</v>
      </c>
      <c r="AF86" s="17">
        <f t="shared" si="157"/>
        <v>0</v>
      </c>
      <c r="AG86" s="17">
        <f t="shared" si="157"/>
        <v>0</v>
      </c>
      <c r="AH86" s="17">
        <f t="shared" ref="AH86" si="158">AG86</f>
        <v>0</v>
      </c>
      <c r="AI86" s="55">
        <f t="shared" ref="AI86" si="159">AH86</f>
        <v>0</v>
      </c>
      <c r="AJ86" s="55">
        <f t="shared" ref="AJ86" si="160">AI86</f>
        <v>0</v>
      </c>
      <c r="AK86" s="55">
        <f t="shared" ref="AK86" si="161">AJ86</f>
        <v>0</v>
      </c>
      <c r="AL86" s="55">
        <f t="shared" ref="AL86" si="162">AK86</f>
        <v>0</v>
      </c>
      <c r="AM86" s="55">
        <f>AL86</f>
        <v>0</v>
      </c>
      <c r="AN86" s="55">
        <f t="shared" ref="AN86" si="163">AM86</f>
        <v>0</v>
      </c>
      <c r="AO86" s="18"/>
      <c r="AP86" s="46"/>
      <c r="AQ86" s="18"/>
      <c r="AR86" s="18"/>
      <c r="AS86" s="18"/>
      <c r="AT86" s="18"/>
      <c r="AU86" s="18"/>
      <c r="AV86" s="18"/>
      <c r="AW86" s="18"/>
    </row>
    <row r="87" spans="1:49" s="16" customFormat="1">
      <c r="A87" s="16" t="s">
        <v>243</v>
      </c>
      <c r="B87" s="17">
        <v>107</v>
      </c>
      <c r="C87" s="17">
        <v>630</v>
      </c>
      <c r="D87" s="17">
        <v>682</v>
      </c>
      <c r="E87" s="17">
        <v>409</v>
      </c>
      <c r="F87" s="17">
        <v>0</v>
      </c>
      <c r="G87" s="17">
        <v>0</v>
      </c>
      <c r="H87" s="17">
        <v>0</v>
      </c>
      <c r="I87" s="17">
        <v>0</v>
      </c>
      <c r="J87" s="17">
        <v>0</v>
      </c>
      <c r="K87" s="17">
        <v>448</v>
      </c>
      <c r="L87" s="17">
        <v>512</v>
      </c>
      <c r="M87" s="17">
        <v>874</v>
      </c>
      <c r="N87" s="17">
        <v>762</v>
      </c>
      <c r="O87" s="17">
        <v>323</v>
      </c>
      <c r="P87" s="17">
        <v>294</v>
      </c>
      <c r="Q87" s="17">
        <v>0</v>
      </c>
      <c r="R87" s="17">
        <v>0</v>
      </c>
      <c r="S87" s="17">
        <v>0</v>
      </c>
      <c r="T87" s="17">
        <v>0</v>
      </c>
      <c r="U87" s="17">
        <v>0</v>
      </c>
      <c r="V87" s="17">
        <v>0</v>
      </c>
      <c r="W87" s="17">
        <v>1464</v>
      </c>
      <c r="X87" s="17">
        <v>2966</v>
      </c>
      <c r="Y87" s="17">
        <v>2226</v>
      </c>
      <c r="Z87" s="17">
        <v>2867</v>
      </c>
      <c r="AA87" s="17">
        <v>0</v>
      </c>
      <c r="AB87" s="17">
        <v>0</v>
      </c>
      <c r="AC87" s="17">
        <v>0</v>
      </c>
      <c r="AD87" s="17">
        <v>0</v>
      </c>
      <c r="AE87" s="17">
        <v>0</v>
      </c>
      <c r="AF87" s="17">
        <v>0</v>
      </c>
      <c r="AG87" s="17">
        <v>0</v>
      </c>
      <c r="AH87" s="17">
        <v>0</v>
      </c>
      <c r="AI87" s="17">
        <v>0</v>
      </c>
      <c r="AJ87" s="17">
        <v>0</v>
      </c>
      <c r="AK87" s="17">
        <v>0</v>
      </c>
      <c r="AL87" s="17">
        <v>0</v>
      </c>
      <c r="AM87" s="17">
        <v>0</v>
      </c>
      <c r="AN87" s="17">
        <v>0</v>
      </c>
      <c r="AO87" s="18"/>
      <c r="AP87" s="46"/>
      <c r="AQ87" s="18"/>
      <c r="AR87" s="18"/>
      <c r="AS87" s="18"/>
      <c r="AT87" s="18"/>
      <c r="AU87" s="18"/>
      <c r="AV87" s="18"/>
      <c r="AW87" s="18"/>
    </row>
    <row r="88" spans="1:49" s="16" customFormat="1">
      <c r="A88" s="16" t="s">
        <v>132</v>
      </c>
      <c r="B88" s="17">
        <v>1560</v>
      </c>
      <c r="C88" s="17">
        <v>1738</v>
      </c>
      <c r="D88" s="17">
        <v>1963</v>
      </c>
      <c r="E88" s="17">
        <v>2222</v>
      </c>
      <c r="F88" s="17">
        <v>2454</v>
      </c>
      <c r="G88" s="17">
        <v>2639</v>
      </c>
      <c r="H88" s="17">
        <v>2759</v>
      </c>
      <c r="I88" s="17">
        <v>2920</v>
      </c>
      <c r="J88" s="17">
        <v>3110</v>
      </c>
      <c r="K88" s="17">
        <v>3391</v>
      </c>
      <c r="L88" s="17">
        <v>3610</v>
      </c>
      <c r="M88" s="17">
        <v>4614</v>
      </c>
      <c r="N88" s="17">
        <v>5084</v>
      </c>
      <c r="O88" s="17">
        <v>5472</v>
      </c>
      <c r="P88" s="17">
        <v>6054</v>
      </c>
      <c r="Q88" s="17">
        <v>6344</v>
      </c>
      <c r="R88" s="17">
        <v>6435</v>
      </c>
      <c r="S88" s="17">
        <v>7009</v>
      </c>
      <c r="T88" s="17">
        <v>7590</v>
      </c>
      <c r="U88" s="17">
        <v>7979</v>
      </c>
      <c r="V88" s="17">
        <v>8370</v>
      </c>
      <c r="W88" s="17">
        <v>8548</v>
      </c>
      <c r="X88" s="17">
        <v>13418</v>
      </c>
      <c r="Y88" s="17">
        <v>13476</v>
      </c>
      <c r="Z88" s="17">
        <v>13819</v>
      </c>
      <c r="AA88" s="17">
        <v>14275</v>
      </c>
      <c r="AB88" s="17">
        <v>14650</v>
      </c>
      <c r="AC88" s="17">
        <v>15117</v>
      </c>
      <c r="AD88" s="17">
        <v>15429</v>
      </c>
      <c r="AE88" s="17">
        <v>15886</v>
      </c>
      <c r="AF88" s="17">
        <v>16246</v>
      </c>
      <c r="AG88" s="17">
        <v>16752</v>
      </c>
      <c r="AH88" s="17">
        <v>17348</v>
      </c>
      <c r="AI88" s="55">
        <f t="shared" ref="AI88:AI89" si="164">AH88</f>
        <v>17348</v>
      </c>
      <c r="AJ88" s="55">
        <f t="shared" ref="AJ88:AJ89" si="165">AI88</f>
        <v>17348</v>
      </c>
      <c r="AK88" s="55">
        <f t="shared" ref="AK88:AK89" si="166">AJ88</f>
        <v>17348</v>
      </c>
      <c r="AL88" s="55">
        <f t="shared" ref="AL88:AL89" si="167">AK88</f>
        <v>17348</v>
      </c>
      <c r="AM88" s="55">
        <f>AL88</f>
        <v>17348</v>
      </c>
      <c r="AN88" s="55">
        <f t="shared" ref="AN88:AN89" si="168">AM88</f>
        <v>17348</v>
      </c>
      <c r="AO88" s="18"/>
      <c r="AP88" s="46"/>
      <c r="AQ88" s="18"/>
      <c r="AR88" s="18"/>
      <c r="AS88" s="18"/>
      <c r="AT88" s="18"/>
      <c r="AU88" s="18"/>
      <c r="AV88" s="18"/>
      <c r="AW88" s="18"/>
    </row>
    <row r="89" spans="1:49" s="16" customFormat="1">
      <c r="A89" s="22" t="s">
        <v>305</v>
      </c>
      <c r="B89" s="17"/>
      <c r="C89" s="17"/>
      <c r="D89" s="17"/>
      <c r="E89" s="17"/>
      <c r="F89" s="17"/>
      <c r="G89" s="17"/>
      <c r="H89" s="17"/>
      <c r="I89" s="17"/>
      <c r="J89" s="17"/>
      <c r="K89" s="17"/>
      <c r="L89" s="17"/>
      <c r="M89" s="17">
        <v>0</v>
      </c>
      <c r="N89" s="17">
        <v>0</v>
      </c>
      <c r="O89" s="17">
        <v>444</v>
      </c>
      <c r="P89" s="17">
        <v>735</v>
      </c>
      <c r="Q89" s="17">
        <v>559</v>
      </c>
      <c r="R89" s="17">
        <v>837</v>
      </c>
      <c r="S89" s="17">
        <v>617</v>
      </c>
      <c r="T89" s="17">
        <v>1079</v>
      </c>
      <c r="U89" s="17">
        <v>5082</v>
      </c>
      <c r="V89" s="17">
        <v>4084</v>
      </c>
      <c r="W89" s="17">
        <v>3440</v>
      </c>
      <c r="X89" s="17">
        <v>3062</v>
      </c>
      <c r="Y89" s="17">
        <v>2802</v>
      </c>
      <c r="Z89" s="17">
        <v>1580</v>
      </c>
      <c r="AA89" s="17">
        <v>1640</v>
      </c>
      <c r="AB89" s="17">
        <v>1547</v>
      </c>
      <c r="AC89" s="17">
        <v>1305</v>
      </c>
      <c r="AD89" s="17">
        <v>2135</v>
      </c>
      <c r="AE89" s="17">
        <v>1364</v>
      </c>
      <c r="AF89" s="17">
        <v>1405</v>
      </c>
      <c r="AG89" s="17">
        <v>1719</v>
      </c>
      <c r="AH89" s="17">
        <v>1388</v>
      </c>
      <c r="AI89" s="54">
        <f t="shared" si="164"/>
        <v>1388</v>
      </c>
      <c r="AJ89" s="54">
        <f t="shared" si="165"/>
        <v>1388</v>
      </c>
      <c r="AK89" s="54">
        <f t="shared" si="166"/>
        <v>1388</v>
      </c>
      <c r="AL89" s="54">
        <f t="shared" si="167"/>
        <v>1388</v>
      </c>
      <c r="AM89" s="54">
        <f>AL89</f>
        <v>1388</v>
      </c>
      <c r="AN89" s="54">
        <f t="shared" si="168"/>
        <v>1388</v>
      </c>
      <c r="AO89" s="18"/>
      <c r="AP89" s="46"/>
      <c r="AQ89" s="18"/>
      <c r="AR89" s="18"/>
      <c r="AS89" s="18"/>
      <c r="AT89" s="18"/>
      <c r="AU89" s="18"/>
      <c r="AV89" s="18"/>
      <c r="AW89" s="18"/>
    </row>
    <row r="90" spans="1:49" s="16" customFormat="1">
      <c r="A90" s="16" t="s">
        <v>242</v>
      </c>
      <c r="B90" s="24">
        <f>'SOC Accounts'!B21+'SOC Accounts'!B34</f>
        <v>3534</v>
      </c>
      <c r="C90" s="24">
        <f>'SOC Accounts'!C21+'SOC Accounts'!C34</f>
        <v>4035</v>
      </c>
      <c r="D90" s="24">
        <f>'SOC Accounts'!D21+'SOC Accounts'!D34</f>
        <v>3059</v>
      </c>
      <c r="E90" s="24">
        <f>'SOC Accounts'!E21+'SOC Accounts'!E34</f>
        <v>2538</v>
      </c>
      <c r="F90" s="24">
        <f>'SOC Accounts'!F21+'SOC Accounts'!F34</f>
        <v>2082</v>
      </c>
      <c r="G90" s="24">
        <f>'SOC Accounts'!G21+'SOC Accounts'!G34</f>
        <v>1580</v>
      </c>
      <c r="H90" s="24">
        <f>'SOC Accounts'!H21+'SOC Accounts'!H34</f>
        <v>2682</v>
      </c>
      <c r="I90" s="24">
        <f>'SOC Accounts'!I21+'SOC Accounts'!I34</f>
        <v>3573</v>
      </c>
      <c r="J90" s="24">
        <f>'SOC Accounts'!J21+'SOC Accounts'!J34</f>
        <v>3294</v>
      </c>
      <c r="K90" s="24">
        <f>'SOC Accounts'!K21+'SOC Accounts'!K34</f>
        <v>3588</v>
      </c>
      <c r="L90" s="24">
        <f>'SOC Accounts'!L21+'SOC Accounts'!L34</f>
        <v>3830</v>
      </c>
      <c r="M90" s="24">
        <f>'SOC Accounts'!M21+'SOC Accounts'!M34</f>
        <v>3431</v>
      </c>
      <c r="N90" s="24">
        <f>'SOC Accounts'!N21+'SOC Accounts'!N34</f>
        <v>3720</v>
      </c>
      <c r="O90" s="24">
        <f>'SOC Accounts'!O21+'SOC Accounts'!O34</f>
        <v>4174</v>
      </c>
      <c r="P90" s="24">
        <f>'SOC Accounts'!P21+'SOC Accounts'!P34</f>
        <v>3346</v>
      </c>
      <c r="Q90" s="24">
        <f>'SOC Accounts'!Q21+'SOC Accounts'!Q34</f>
        <v>2300</v>
      </c>
      <c r="R90" s="24">
        <f>'SOC Accounts'!R21+'SOC Accounts'!R34</f>
        <v>1826</v>
      </c>
      <c r="S90" s="24">
        <f>'SOC Accounts'!S21+'SOC Accounts'!S34</f>
        <v>1654</v>
      </c>
      <c r="T90" s="17">
        <f>'SOC Accounts'!T21+'SOC Accounts'!T34</f>
        <v>1509</v>
      </c>
      <c r="U90" s="17">
        <f>'SOC Accounts'!U21+'SOC Accounts'!U34</f>
        <v>643</v>
      </c>
      <c r="V90" s="17">
        <f>'SOC Accounts'!V21+'SOC Accounts'!V34+'SOC Accounts'!V42</f>
        <v>1245</v>
      </c>
      <c r="W90" s="17">
        <f>'SOC Accounts'!W21+'SOC Accounts'!W34+'SOC Accounts'!W42</f>
        <v>28</v>
      </c>
      <c r="X90" s="17">
        <f>'SOC Accounts'!X21+'SOC Accounts'!X34+'SOC Accounts'!X42</f>
        <v>1131</v>
      </c>
      <c r="Y90" s="17">
        <f>'SOC Accounts'!Y21+'SOC Accounts'!Y34+'SOC Accounts'!Y42</f>
        <v>1009</v>
      </c>
      <c r="Z90" s="17">
        <f>'SOC Accounts'!Z21+'SOC Accounts'!Z34+'SOC Accounts'!Z42</f>
        <v>860</v>
      </c>
      <c r="AA90" s="17">
        <v>977</v>
      </c>
      <c r="AB90" s="17">
        <v>998</v>
      </c>
      <c r="AC90" s="17">
        <v>1500</v>
      </c>
      <c r="AD90" s="17">
        <v>2374</v>
      </c>
      <c r="AE90" s="17">
        <v>3440</v>
      </c>
      <c r="AF90" s="17">
        <v>3094</v>
      </c>
      <c r="AG90" s="17">
        <v>2643</v>
      </c>
      <c r="AH90" s="17">
        <v>3172</v>
      </c>
      <c r="AI90" s="55">
        <f>'SOC Accounts'!AI21+'SOC Accounts'!AI34+'SOC Accounts'!AI42-'SOC Accounts'!AI41</f>
        <v>3743.7394219959033</v>
      </c>
      <c r="AJ90" s="55">
        <f>'SOC Accounts'!AJ21+'SOC Accounts'!AJ34+'SOC Accounts'!AJ42-'SOC Accounts'!AJ41</f>
        <v>4586.963489752673</v>
      </c>
      <c r="AK90" s="55">
        <f>'SOC Accounts'!AK21+'SOC Accounts'!AK34+'SOC Accounts'!AK42-'SOC Accounts'!AK41</f>
        <v>5810.1287856226018</v>
      </c>
      <c r="AL90" s="55">
        <f>'SOC Accounts'!AL21+'SOC Accounts'!AL34+'SOC Accounts'!AL42-'SOC Accounts'!AL41</f>
        <v>7488.8516694859309</v>
      </c>
      <c r="AM90" s="55">
        <f>'SOC Accounts'!AM21+'SOC Accounts'!AM34+'SOC Accounts'!AM42-'SOC Accounts'!AM41</f>
        <v>9698.6316796057799</v>
      </c>
      <c r="AN90" s="55">
        <f>'SOC Accounts'!AN21+'SOC Accounts'!AN34+'SOC Accounts'!AN42-'SOC Accounts'!AN41</f>
        <v>12493.382300288025</v>
      </c>
      <c r="AO90" s="18"/>
      <c r="AP90" s="46"/>
      <c r="AQ90" s="18"/>
      <c r="AR90" s="18"/>
      <c r="AS90" s="18"/>
      <c r="AT90" s="18"/>
      <c r="AU90" s="18"/>
      <c r="AV90" s="18"/>
      <c r="AW90" s="18"/>
    </row>
    <row r="91" spans="1:49" s="16" customFormat="1">
      <c r="A91" s="16" t="s">
        <v>283</v>
      </c>
      <c r="B91" s="17">
        <v>0</v>
      </c>
      <c r="C91" s="17">
        <v>68</v>
      </c>
      <c r="D91" s="17">
        <v>1</v>
      </c>
      <c r="E91" s="17">
        <v>3</v>
      </c>
      <c r="F91" s="17">
        <v>2</v>
      </c>
      <c r="G91" s="17">
        <v>0</v>
      </c>
      <c r="H91" s="17">
        <v>0</v>
      </c>
      <c r="I91" s="17">
        <v>0</v>
      </c>
      <c r="J91" s="17">
        <v>766</v>
      </c>
      <c r="K91" s="17">
        <v>766</v>
      </c>
      <c r="L91" s="17">
        <v>670</v>
      </c>
      <c r="M91" s="17">
        <v>646</v>
      </c>
      <c r="N91" s="17">
        <v>522</v>
      </c>
      <c r="O91" s="17">
        <v>934</v>
      </c>
      <c r="P91" s="17">
        <v>877</v>
      </c>
      <c r="Q91" s="17">
        <v>964</v>
      </c>
      <c r="R91" s="17">
        <v>945</v>
      </c>
      <c r="S91" s="17">
        <v>1074</v>
      </c>
      <c r="T91" s="17">
        <v>1276</v>
      </c>
      <c r="U91" s="17">
        <v>2673</v>
      </c>
      <c r="V91" s="17">
        <v>2456</v>
      </c>
      <c r="W91" s="17">
        <v>1446</v>
      </c>
      <c r="X91" s="17">
        <v>2894</v>
      </c>
      <c r="Y91" s="17">
        <v>2938</v>
      </c>
      <c r="Z91" s="17">
        <v>2744</v>
      </c>
      <c r="AA91" s="17">
        <f>2987+1462</f>
        <v>4449</v>
      </c>
      <c r="AB91" s="17">
        <f>3558+1432</f>
        <v>4990</v>
      </c>
      <c r="AC91" s="17">
        <f>3513+1599</f>
        <v>5112</v>
      </c>
      <c r="AD91" s="17">
        <f>3963+2752</f>
        <v>6715</v>
      </c>
      <c r="AE91" s="17">
        <f>4346+2563</f>
        <v>6909</v>
      </c>
      <c r="AF91" s="17">
        <f>4375+2848</f>
        <v>7223</v>
      </c>
      <c r="AG91" s="17">
        <f>5047+3086</f>
        <v>8133</v>
      </c>
      <c r="AH91" s="17">
        <f>4696+2882</f>
        <v>7578</v>
      </c>
      <c r="AI91" s="55">
        <f t="shared" ref="AI91" si="169">AH91</f>
        <v>7578</v>
      </c>
      <c r="AJ91" s="55">
        <f t="shared" ref="AJ91" si="170">AI91</f>
        <v>7578</v>
      </c>
      <c r="AK91" s="55">
        <f t="shared" ref="AK91" si="171">AJ91</f>
        <v>7578</v>
      </c>
      <c r="AL91" s="55">
        <f t="shared" ref="AL91" si="172">AK91</f>
        <v>7578</v>
      </c>
      <c r="AM91" s="55">
        <f>AL91</f>
        <v>7578</v>
      </c>
      <c r="AN91" s="55">
        <f t="shared" ref="AN91" si="173">AM91</f>
        <v>7578</v>
      </c>
      <c r="AO91" s="18"/>
      <c r="AP91" s="46"/>
      <c r="AQ91" s="18"/>
      <c r="AR91" s="18"/>
      <c r="AS91" s="18"/>
      <c r="AT91" s="18"/>
      <c r="AU91" s="18"/>
      <c r="AV91" s="18"/>
      <c r="AW91" s="18"/>
    </row>
    <row r="92" spans="1:49" s="19" customFormat="1">
      <c r="A92" s="19" t="s">
        <v>133</v>
      </c>
      <c r="B92" s="20">
        <f t="shared" ref="B92:H92" si="174">SUM(B85:B91)</f>
        <v>6020</v>
      </c>
      <c r="C92" s="20">
        <f t="shared" si="174"/>
        <v>7359</v>
      </c>
      <c r="D92" s="20">
        <f t="shared" si="174"/>
        <v>6712</v>
      </c>
      <c r="E92" s="20">
        <f t="shared" si="174"/>
        <v>5820</v>
      </c>
      <c r="F92" s="20">
        <f t="shared" si="174"/>
        <v>7559</v>
      </c>
      <c r="G92" s="20">
        <f t="shared" si="174"/>
        <v>6975</v>
      </c>
      <c r="H92" s="20">
        <f t="shared" si="174"/>
        <v>7986</v>
      </c>
      <c r="I92" s="20">
        <f t="shared" ref="I92:Q92" si="175">SUM(I85:I91)</f>
        <v>8868</v>
      </c>
      <c r="J92" s="20">
        <f t="shared" si="175"/>
        <v>9671</v>
      </c>
      <c r="K92" s="20">
        <f t="shared" si="175"/>
        <v>12261</v>
      </c>
      <c r="L92" s="20">
        <f t="shared" si="175"/>
        <v>17349</v>
      </c>
      <c r="M92" s="20">
        <f t="shared" si="175"/>
        <v>27167</v>
      </c>
      <c r="N92" s="20">
        <f t="shared" si="175"/>
        <v>27684</v>
      </c>
      <c r="O92" s="20">
        <f t="shared" si="175"/>
        <v>37230</v>
      </c>
      <c r="P92" s="20">
        <f t="shared" si="175"/>
        <v>58185</v>
      </c>
      <c r="Q92" s="20">
        <f t="shared" si="175"/>
        <v>56444</v>
      </c>
      <c r="R92" s="20">
        <f t="shared" ref="R92:AB92" si="176">SUM(R85:R91)</f>
        <v>53788</v>
      </c>
      <c r="S92" s="20">
        <f>SUM(S85:S91)</f>
        <v>63225</v>
      </c>
      <c r="T92" s="20">
        <f>SUM(T85:T91)</f>
        <v>73366</v>
      </c>
      <c r="U92" s="20">
        <f t="shared" si="176"/>
        <v>94498</v>
      </c>
      <c r="V92" s="20">
        <f t="shared" si="176"/>
        <v>100107</v>
      </c>
      <c r="W92" s="20">
        <f t="shared" si="176"/>
        <v>89072</v>
      </c>
      <c r="X92" s="20">
        <f t="shared" si="176"/>
        <v>81296</v>
      </c>
      <c r="Y92" s="20">
        <f t="shared" si="176"/>
        <v>64745</v>
      </c>
      <c r="Z92" s="20">
        <f t="shared" si="176"/>
        <v>62865</v>
      </c>
      <c r="AA92" s="20">
        <f t="shared" si="176"/>
        <v>70210</v>
      </c>
      <c r="AB92" s="20">
        <f t="shared" si="176"/>
        <v>63948</v>
      </c>
      <c r="AC92" s="20">
        <f t="shared" ref="AC92:AG92" si="177">SUM(AC85:AC91)</f>
        <v>61832</v>
      </c>
      <c r="AD92" s="20">
        <f t="shared" si="177"/>
        <v>72254</v>
      </c>
      <c r="AE92" s="20">
        <f t="shared" si="177"/>
        <v>75302</v>
      </c>
      <c r="AF92" s="20">
        <f t="shared" si="177"/>
        <v>75871</v>
      </c>
      <c r="AG92" s="20">
        <f t="shared" si="177"/>
        <v>74190</v>
      </c>
      <c r="AH92" s="20">
        <f t="shared" ref="AH92:AN92" si="178">SUM(AH85:AH91)</f>
        <v>78791</v>
      </c>
      <c r="AI92" s="20">
        <f t="shared" si="178"/>
        <v>80299.192683858622</v>
      </c>
      <c r="AJ92" s="20">
        <f t="shared" si="178"/>
        <v>82351.184474152673</v>
      </c>
      <c r="AK92" s="20">
        <f t="shared" si="178"/>
        <v>84574.3497700226</v>
      </c>
      <c r="AL92" s="20">
        <f t="shared" si="178"/>
        <v>86253.072653885931</v>
      </c>
      <c r="AM92" s="20">
        <f t="shared" si="178"/>
        <v>88462.852664005783</v>
      </c>
      <c r="AN92" s="20">
        <f t="shared" si="178"/>
        <v>91257.603284688026</v>
      </c>
      <c r="AO92" s="18"/>
      <c r="AP92" s="46"/>
      <c r="AQ92" s="18"/>
      <c r="AR92" s="18"/>
      <c r="AS92" s="18"/>
      <c r="AT92" s="18"/>
      <c r="AU92" s="18"/>
      <c r="AV92" s="18"/>
      <c r="AW92" s="18"/>
    </row>
    <row r="93" spans="1:49" s="16" customFormat="1">
      <c r="B93" s="17"/>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c r="AH93" s="17"/>
      <c r="AI93" s="17"/>
      <c r="AJ93" s="17"/>
      <c r="AK93" s="17"/>
      <c r="AL93" s="17"/>
      <c r="AM93" s="17"/>
      <c r="AN93" s="17"/>
      <c r="AO93" s="18"/>
      <c r="AP93" s="46"/>
      <c r="AQ93" s="18"/>
      <c r="AR93" s="18"/>
      <c r="AS93" s="18"/>
      <c r="AT93" s="18"/>
      <c r="AU93" s="18"/>
      <c r="AV93" s="18"/>
      <c r="AW93" s="18"/>
    </row>
    <row r="94" spans="1:49" s="16" customFormat="1">
      <c r="A94" s="22" t="s">
        <v>330</v>
      </c>
      <c r="B94" s="17">
        <v>8294</v>
      </c>
      <c r="C94" s="17">
        <v>8294</v>
      </c>
      <c r="D94" s="17">
        <v>9953</v>
      </c>
      <c r="E94" s="17">
        <v>9953</v>
      </c>
      <c r="F94" s="17">
        <v>9953</v>
      </c>
      <c r="G94" s="17">
        <v>26150</v>
      </c>
      <c r="H94" s="17">
        <v>25605</v>
      </c>
      <c r="I94" s="17">
        <v>23768</v>
      </c>
      <c r="J94" s="17">
        <v>23768</v>
      </c>
      <c r="K94" s="17">
        <v>23388</v>
      </c>
      <c r="L94" s="17">
        <v>13205</v>
      </c>
      <c r="M94" s="17">
        <v>13205</v>
      </c>
      <c r="N94" s="17">
        <v>13205</v>
      </c>
      <c r="O94" s="17">
        <v>13205</v>
      </c>
      <c r="P94" s="17">
        <v>13205</v>
      </c>
      <c r="Q94" s="17">
        <v>13205</v>
      </c>
      <c r="R94" s="17">
        <v>13195</v>
      </c>
      <c r="S94" s="17">
        <v>13195</v>
      </c>
      <c r="T94" s="17">
        <v>13195</v>
      </c>
      <c r="U94" s="17">
        <v>13195</v>
      </c>
      <c r="V94" s="17">
        <v>20751</v>
      </c>
      <c r="W94" s="17">
        <v>20751</v>
      </c>
      <c r="X94" s="17">
        <v>23243</v>
      </c>
      <c r="Y94" s="17">
        <v>23243</v>
      </c>
      <c r="Z94" s="17">
        <v>23243</v>
      </c>
      <c r="AA94" s="17">
        <v>23243</v>
      </c>
      <c r="AB94" s="17">
        <v>23243</v>
      </c>
      <c r="AC94" s="17">
        <v>23243</v>
      </c>
      <c r="AD94" s="17">
        <v>23243</v>
      </c>
      <c r="AE94" s="17">
        <v>23243</v>
      </c>
      <c r="AF94" s="17">
        <v>23243</v>
      </c>
      <c r="AG94" s="17">
        <v>23243</v>
      </c>
      <c r="AH94" s="17">
        <v>23243</v>
      </c>
      <c r="AI94" s="55">
        <f t="shared" ref="AI94" si="179">AH94</f>
        <v>23243</v>
      </c>
      <c r="AJ94" s="55">
        <f t="shared" ref="AJ94" si="180">AI94</f>
        <v>23243</v>
      </c>
      <c r="AK94" s="55">
        <f t="shared" ref="AK94" si="181">AJ94</f>
        <v>23243</v>
      </c>
      <c r="AL94" s="55">
        <f t="shared" ref="AL94" si="182">AK94</f>
        <v>23243</v>
      </c>
      <c r="AM94" s="55">
        <f>AL94</f>
        <v>23243</v>
      </c>
      <c r="AN94" s="55">
        <f t="shared" ref="AN94" si="183">AM94</f>
        <v>23243</v>
      </c>
      <c r="AO94" s="18"/>
      <c r="AP94" s="46"/>
      <c r="AQ94" s="18"/>
      <c r="AR94" s="18"/>
      <c r="AS94" s="18"/>
      <c r="AT94" s="18"/>
      <c r="AU94" s="18"/>
      <c r="AV94" s="18"/>
      <c r="AW94" s="18"/>
    </row>
    <row r="95" spans="1:49" s="16" customFormat="1">
      <c r="A95" s="16" t="s">
        <v>135</v>
      </c>
      <c r="B95" s="17">
        <v>4570</v>
      </c>
      <c r="C95" s="17">
        <v>6131</v>
      </c>
      <c r="D95" s="17">
        <v>6389</v>
      </c>
      <c r="E95" s="17">
        <v>8838</v>
      </c>
      <c r="F95" s="17">
        <v>10887</v>
      </c>
      <c r="G95" s="17">
        <v>13147</v>
      </c>
      <c r="H95" s="17">
        <v>14862</v>
      </c>
      <c r="I95" s="17">
        <v>7142</v>
      </c>
      <c r="J95" s="17">
        <v>8050</v>
      </c>
      <c r="K95" s="17">
        <f>8058+1194</f>
        <v>9252</v>
      </c>
      <c r="L95" s="17">
        <f>23582+101</f>
        <v>23683</v>
      </c>
      <c r="M95" s="17">
        <f>25230+1806</f>
        <v>27036</v>
      </c>
      <c r="N95" s="17">
        <f>28875+2119</f>
        <v>30994</v>
      </c>
      <c r="O95" s="17">
        <f>2264+34690</f>
        <v>36954</v>
      </c>
      <c r="P95" s="17">
        <f>2192+40441</f>
        <v>42633</v>
      </c>
      <c r="Q95" s="17">
        <f>2216+48480</f>
        <v>50696</v>
      </c>
      <c r="R95" s="17">
        <f>2214+47608</f>
        <v>49822</v>
      </c>
      <c r="S95" s="17">
        <f>2214+55352</f>
        <v>57566</v>
      </c>
      <c r="T95" s="17">
        <f>2214+64252</f>
        <v>66466</v>
      </c>
      <c r="U95" s="17">
        <f>2310+65754</f>
        <v>68064</v>
      </c>
      <c r="V95" s="17">
        <f>2476+67900</f>
        <v>70376</v>
      </c>
      <c r="W95" s="17">
        <f>2476+64134</f>
        <v>66610</v>
      </c>
      <c r="X95" s="17">
        <f>2526+62244</f>
        <v>64770</v>
      </c>
      <c r="Y95" s="17">
        <v>69875</v>
      </c>
      <c r="Z95" s="17">
        <v>74767</v>
      </c>
      <c r="AA95" s="17">
        <v>85454</v>
      </c>
      <c r="AB95" s="17">
        <v>85810</v>
      </c>
      <c r="AC95" s="17">
        <v>82212</v>
      </c>
      <c r="AD95" s="17">
        <v>88957</v>
      </c>
      <c r="AE95" s="17">
        <v>89791</v>
      </c>
      <c r="AF95" s="17">
        <v>82255</v>
      </c>
      <c r="AG95" s="17">
        <v>79088</v>
      </c>
      <c r="AH95" s="17">
        <v>80812</v>
      </c>
      <c r="AI95" s="55">
        <f t="shared" ref="AI95:AN95" si="184">AH95+AI27+AI133+AI132-(AI94-AH94)</f>
        <v>83968.686183856742</v>
      </c>
      <c r="AJ95" s="55">
        <f t="shared" si="184"/>
        <v>87686.080893085862</v>
      </c>
      <c r="AK95" s="55">
        <f t="shared" si="184"/>
        <v>91578.603944290269</v>
      </c>
      <c r="AL95" s="55">
        <f t="shared" si="184"/>
        <v>95544.097604951894</v>
      </c>
      <c r="AM95" s="55">
        <f>AL95+AM27+AM133+AM132-(AM94-AL94)</f>
        <v>99570.646791082283</v>
      </c>
      <c r="AN95" s="55">
        <f t="shared" si="184"/>
        <v>103643.41580630353</v>
      </c>
      <c r="AO95" s="18"/>
      <c r="AP95" s="46"/>
      <c r="AQ95" s="18"/>
      <c r="AR95" s="18"/>
      <c r="AS95" s="18"/>
      <c r="AT95" s="18"/>
      <c r="AU95" s="18"/>
      <c r="AV95" s="18"/>
      <c r="AW95" s="18"/>
    </row>
    <row r="96" spans="1:49" s="19" customFormat="1">
      <c r="A96" s="19" t="s">
        <v>136</v>
      </c>
      <c r="B96" s="20">
        <f t="shared" ref="B96:H96" si="185">B95+B94</f>
        <v>12864</v>
      </c>
      <c r="C96" s="20">
        <f t="shared" si="185"/>
        <v>14425</v>
      </c>
      <c r="D96" s="20">
        <f t="shared" si="185"/>
        <v>16342</v>
      </c>
      <c r="E96" s="20">
        <f t="shared" si="185"/>
        <v>18791</v>
      </c>
      <c r="F96" s="20">
        <f t="shared" si="185"/>
        <v>20840</v>
      </c>
      <c r="G96" s="20">
        <f t="shared" si="185"/>
        <v>39297</v>
      </c>
      <c r="H96" s="20">
        <f t="shared" si="185"/>
        <v>40467</v>
      </c>
      <c r="I96" s="20">
        <f t="shared" ref="I96:Q96" si="186">I95+I94</f>
        <v>30910</v>
      </c>
      <c r="J96" s="20">
        <f t="shared" si="186"/>
        <v>31818</v>
      </c>
      <c r="K96" s="20">
        <f t="shared" si="186"/>
        <v>32640</v>
      </c>
      <c r="L96" s="20">
        <f t="shared" si="186"/>
        <v>36888</v>
      </c>
      <c r="M96" s="20">
        <f t="shared" si="186"/>
        <v>40241</v>
      </c>
      <c r="N96" s="20">
        <f t="shared" si="186"/>
        <v>44199</v>
      </c>
      <c r="O96" s="20">
        <f t="shared" si="186"/>
        <v>50159</v>
      </c>
      <c r="P96" s="20">
        <f t="shared" si="186"/>
        <v>55838</v>
      </c>
      <c r="Q96" s="20">
        <f t="shared" si="186"/>
        <v>63901</v>
      </c>
      <c r="R96" s="20">
        <f t="shared" ref="R96:AB96" si="187">R95+R94</f>
        <v>63017</v>
      </c>
      <c r="S96" s="20">
        <f t="shared" si="187"/>
        <v>70761</v>
      </c>
      <c r="T96" s="20">
        <f>T95+T94</f>
        <v>79661</v>
      </c>
      <c r="U96" s="20">
        <f t="shared" si="187"/>
        <v>81259</v>
      </c>
      <c r="V96" s="20">
        <f t="shared" si="187"/>
        <v>91127</v>
      </c>
      <c r="W96" s="20">
        <f>W95+W94</f>
        <v>87361</v>
      </c>
      <c r="X96" s="20">
        <f>X95+X94</f>
        <v>88013</v>
      </c>
      <c r="Y96" s="20">
        <f t="shared" si="187"/>
        <v>93118</v>
      </c>
      <c r="Z96" s="20">
        <f t="shared" si="187"/>
        <v>98010</v>
      </c>
      <c r="AA96" s="20">
        <f t="shared" si="187"/>
        <v>108697</v>
      </c>
      <c r="AB96" s="20">
        <f t="shared" si="187"/>
        <v>109053</v>
      </c>
      <c r="AC96" s="20">
        <f t="shared" ref="AC96:AG96" si="188">AC95+AC94</f>
        <v>105455</v>
      </c>
      <c r="AD96" s="20">
        <f t="shared" si="188"/>
        <v>112200</v>
      </c>
      <c r="AE96" s="20">
        <f t="shared" si="188"/>
        <v>113034</v>
      </c>
      <c r="AF96" s="20">
        <f t="shared" si="188"/>
        <v>105498</v>
      </c>
      <c r="AG96" s="20">
        <f t="shared" si="188"/>
        <v>102331</v>
      </c>
      <c r="AH96" s="20">
        <f t="shared" ref="AH96:AN96" si="189">AH95+AH94</f>
        <v>104055</v>
      </c>
      <c r="AI96" s="20">
        <f t="shared" si="189"/>
        <v>107211.68618385674</v>
      </c>
      <c r="AJ96" s="20">
        <f t="shared" si="189"/>
        <v>110929.08089308586</v>
      </c>
      <c r="AK96" s="20">
        <f t="shared" si="189"/>
        <v>114821.60394429027</v>
      </c>
      <c r="AL96" s="20">
        <f t="shared" si="189"/>
        <v>118787.09760495189</v>
      </c>
      <c r="AM96" s="20">
        <f t="shared" si="189"/>
        <v>122813.64679108228</v>
      </c>
      <c r="AN96" s="20">
        <f t="shared" si="189"/>
        <v>126886.41580630353</v>
      </c>
      <c r="AO96" s="18"/>
      <c r="AP96" s="46"/>
      <c r="AQ96" s="18"/>
      <c r="AR96" s="18"/>
      <c r="AS96" s="18"/>
      <c r="AT96" s="18"/>
      <c r="AU96" s="18"/>
      <c r="AV96" s="18"/>
      <c r="AW96" s="18"/>
    </row>
    <row r="97" spans="1:49" s="16" customFormat="1">
      <c r="A97" s="16" t="s">
        <v>134</v>
      </c>
      <c r="B97" s="17">
        <v>0</v>
      </c>
      <c r="C97" s="17">
        <v>0</v>
      </c>
      <c r="D97" s="17">
        <v>10</v>
      </c>
      <c r="E97" s="17">
        <v>10</v>
      </c>
      <c r="F97" s="17">
        <v>10</v>
      </c>
      <c r="G97" s="17">
        <v>0</v>
      </c>
      <c r="H97" s="17">
        <v>0</v>
      </c>
      <c r="I97" s="17">
        <v>0</v>
      </c>
      <c r="J97" s="17">
        <v>0</v>
      </c>
      <c r="K97" s="17">
        <v>0</v>
      </c>
      <c r="L97" s="17">
        <v>0</v>
      </c>
      <c r="M97" s="17">
        <v>393</v>
      </c>
      <c r="N97" s="17">
        <v>0</v>
      </c>
      <c r="O97" s="17">
        <v>111</v>
      </c>
      <c r="P97" s="17">
        <v>78</v>
      </c>
      <c r="Q97" s="17">
        <v>95</v>
      </c>
      <c r="R97" s="17">
        <v>105</v>
      </c>
      <c r="S97" s="17">
        <v>107</v>
      </c>
      <c r="T97" s="17">
        <v>97</v>
      </c>
      <c r="U97" s="17">
        <v>93</v>
      </c>
      <c r="V97" s="17">
        <v>74</v>
      </c>
      <c r="W97" s="17">
        <v>120</v>
      </c>
      <c r="X97" s="17">
        <f>2155+5791</f>
        <v>7946</v>
      </c>
      <c r="Y97" s="17">
        <f>2023+5791</f>
        <v>7814</v>
      </c>
      <c r="Z97" s="17">
        <f>5791+1972</f>
        <v>7763</v>
      </c>
      <c r="AA97" s="17">
        <f>7019+5791</f>
        <v>12810</v>
      </c>
      <c r="AB97" s="17">
        <f>10088+5791</f>
        <v>15879</v>
      </c>
      <c r="AC97" s="17">
        <f>9987+3887</f>
        <v>13874</v>
      </c>
      <c r="AD97" s="17">
        <f>3887+9885</f>
        <v>13772</v>
      </c>
      <c r="AE97" s="17">
        <f>3887+9788</f>
        <v>13675</v>
      </c>
      <c r="AF97" s="17">
        <f>3887+6309</f>
        <v>10196</v>
      </c>
      <c r="AG97" s="17">
        <f>3887+6164</f>
        <v>10051</v>
      </c>
      <c r="AH97" s="17">
        <v>6063</v>
      </c>
      <c r="AI97" s="55">
        <f t="shared" ref="AI97" si="190">AH97-AI25-AI26+AI135</f>
        <v>6063</v>
      </c>
      <c r="AJ97" s="55">
        <f t="shared" ref="AJ97" si="191">AI97-AJ25-AJ26+AJ135</f>
        <v>6063</v>
      </c>
      <c r="AK97" s="55">
        <f t="shared" ref="AK97" si="192">AJ97-AK25-AK26+AK135</f>
        <v>6063</v>
      </c>
      <c r="AL97" s="55">
        <f t="shared" ref="AL97" si="193">AK97-AL25-AL26+AL135</f>
        <v>6063</v>
      </c>
      <c r="AM97" s="55">
        <f>AL97-AM25-AM26+AM135</f>
        <v>6063</v>
      </c>
      <c r="AN97" s="55">
        <f t="shared" ref="AN97" si="194">AM97-AN25-AN26+AN135</f>
        <v>6063</v>
      </c>
      <c r="AO97" s="18"/>
      <c r="AP97" s="46"/>
      <c r="AQ97" s="18"/>
      <c r="AR97" s="18"/>
      <c r="AS97" s="18"/>
      <c r="AT97" s="18"/>
      <c r="AU97" s="18"/>
      <c r="AV97" s="18"/>
      <c r="AW97" s="18"/>
    </row>
    <row r="98" spans="1:49" s="19" customFormat="1">
      <c r="A98" s="19" t="s">
        <v>137</v>
      </c>
      <c r="B98" s="20">
        <f t="shared" ref="B98:H98" si="195">B96+B92+B84+B97</f>
        <v>23109</v>
      </c>
      <c r="C98" s="20">
        <f t="shared" si="195"/>
        <v>27639</v>
      </c>
      <c r="D98" s="20">
        <f t="shared" si="195"/>
        <v>29548</v>
      </c>
      <c r="E98" s="20">
        <f t="shared" si="195"/>
        <v>30929</v>
      </c>
      <c r="F98" s="20">
        <f t="shared" si="195"/>
        <v>34327</v>
      </c>
      <c r="G98" s="20">
        <f t="shared" si="195"/>
        <v>53332</v>
      </c>
      <c r="H98" s="20">
        <f t="shared" si="195"/>
        <v>55135</v>
      </c>
      <c r="I98" s="20">
        <f t="shared" ref="I98:Q98" si="196">I96+I92+I84+I97</f>
        <v>45696</v>
      </c>
      <c r="J98" s="20">
        <f t="shared" si="196"/>
        <v>48484</v>
      </c>
      <c r="K98" s="20">
        <f t="shared" si="196"/>
        <v>54222</v>
      </c>
      <c r="L98" s="20">
        <f t="shared" si="196"/>
        <v>60893</v>
      </c>
      <c r="M98" s="20">
        <f t="shared" si="196"/>
        <v>75832</v>
      </c>
      <c r="N98" s="20">
        <f t="shared" si="196"/>
        <v>80799</v>
      </c>
      <c r="O98" s="20">
        <f t="shared" si="196"/>
        <v>101905</v>
      </c>
      <c r="P98" s="20">
        <f t="shared" si="196"/>
        <v>131091</v>
      </c>
      <c r="Q98" s="20">
        <f t="shared" si="196"/>
        <v>136277</v>
      </c>
      <c r="R98" s="20">
        <f t="shared" ref="R98:AB98" si="197">R96+R92+R84+R97</f>
        <v>132831</v>
      </c>
      <c r="S98" s="20">
        <f t="shared" si="197"/>
        <v>156531</v>
      </c>
      <c r="T98" s="20">
        <f t="shared" si="197"/>
        <v>179355</v>
      </c>
      <c r="U98" s="20">
        <f t="shared" si="197"/>
        <v>214288</v>
      </c>
      <c r="V98" s="20">
        <f t="shared" si="197"/>
        <v>228756</v>
      </c>
      <c r="W98" s="20">
        <f t="shared" si="197"/>
        <v>211685</v>
      </c>
      <c r="X98" s="20">
        <f t="shared" si="197"/>
        <v>214663</v>
      </c>
      <c r="Y98" s="20">
        <f>Y96+Y92+Y84+Y97</f>
        <v>203964</v>
      </c>
      <c r="Z98" s="20">
        <f t="shared" si="197"/>
        <v>205978</v>
      </c>
      <c r="AA98" s="20">
        <f t="shared" si="197"/>
        <v>228151</v>
      </c>
      <c r="AB98" s="20">
        <f t="shared" si="197"/>
        <v>230514</v>
      </c>
      <c r="AC98" s="20">
        <f t="shared" ref="AC98:AG98" si="198">AC96+AC92+AC84+AC97</f>
        <v>221623</v>
      </c>
      <c r="AD98" s="20">
        <f t="shared" si="198"/>
        <v>234233</v>
      </c>
      <c r="AE98" s="20">
        <f t="shared" si="198"/>
        <v>239809</v>
      </c>
      <c r="AF98" s="20">
        <f t="shared" si="198"/>
        <v>236026</v>
      </c>
      <c r="AG98" s="20">
        <f t="shared" si="198"/>
        <v>229051</v>
      </c>
      <c r="AH98" s="20">
        <f t="shared" ref="AH98:AN98" si="199">AH96+AH92+AH84+AH97</f>
        <v>233713</v>
      </c>
      <c r="AI98" s="20">
        <f t="shared" si="199"/>
        <v>238572.93110668065</v>
      </c>
      <c r="AJ98" s="20">
        <f t="shared" si="199"/>
        <v>245000.26397949387</v>
      </c>
      <c r="AK98" s="20">
        <f t="shared" si="199"/>
        <v>251842.95461453905</v>
      </c>
      <c r="AL98" s="20">
        <f t="shared" si="199"/>
        <v>258243.10971292364</v>
      </c>
      <c r="AM98" s="20">
        <f t="shared" si="199"/>
        <v>265272.84841254505</v>
      </c>
      <c r="AN98" s="20">
        <f t="shared" si="199"/>
        <v>273044.57106848271</v>
      </c>
      <c r="AO98" s="18"/>
      <c r="AP98" s="46"/>
      <c r="AQ98" s="18"/>
      <c r="AR98" s="18"/>
      <c r="AS98" s="18"/>
      <c r="AT98" s="18"/>
      <c r="AU98" s="18"/>
      <c r="AV98" s="18"/>
      <c r="AW98" s="18"/>
    </row>
    <row r="99" spans="1:49" s="16" customFormat="1">
      <c r="A99" s="51" t="s">
        <v>357</v>
      </c>
      <c r="B99" s="17">
        <f t="shared" ref="B99:AB99" si="200">B98-B75</f>
        <v>-21</v>
      </c>
      <c r="C99" s="17">
        <f t="shared" si="200"/>
        <v>0</v>
      </c>
      <c r="D99" s="17">
        <f t="shared" si="200"/>
        <v>-20</v>
      </c>
      <c r="E99" s="17">
        <f t="shared" si="200"/>
        <v>-44</v>
      </c>
      <c r="F99" s="17">
        <f t="shared" si="200"/>
        <v>-82</v>
      </c>
      <c r="G99" s="17">
        <f t="shared" si="200"/>
        <v>0</v>
      </c>
      <c r="H99" s="17">
        <f t="shared" si="200"/>
        <v>0</v>
      </c>
      <c r="I99" s="17">
        <f t="shared" si="200"/>
        <v>0</v>
      </c>
      <c r="J99" s="17">
        <f t="shared" si="200"/>
        <v>0.36527326956274919</v>
      </c>
      <c r="K99" s="17">
        <f t="shared" si="200"/>
        <v>0.36527326956274919</v>
      </c>
      <c r="L99" s="17">
        <f t="shared" si="200"/>
        <v>0</v>
      </c>
      <c r="M99" s="17">
        <f t="shared" si="200"/>
        <v>0</v>
      </c>
      <c r="N99" s="17">
        <f t="shared" si="200"/>
        <v>0</v>
      </c>
      <c r="O99" s="17">
        <f t="shared" si="200"/>
        <v>0</v>
      </c>
      <c r="P99" s="17">
        <f t="shared" si="200"/>
        <v>0</v>
      </c>
      <c r="Q99" s="17">
        <f t="shared" si="200"/>
        <v>0</v>
      </c>
      <c r="R99" s="17">
        <f t="shared" si="200"/>
        <v>0</v>
      </c>
      <c r="S99" s="17">
        <f>S98-S75</f>
        <v>0</v>
      </c>
      <c r="T99" s="17">
        <f t="shared" si="200"/>
        <v>0</v>
      </c>
      <c r="U99" s="17">
        <f t="shared" si="200"/>
        <v>0</v>
      </c>
      <c r="V99" s="17">
        <f t="shared" si="200"/>
        <v>0</v>
      </c>
      <c r="W99" s="17">
        <f t="shared" si="200"/>
        <v>0</v>
      </c>
      <c r="X99" s="17">
        <f t="shared" si="200"/>
        <v>0</v>
      </c>
      <c r="Y99" s="17">
        <f t="shared" si="200"/>
        <v>0</v>
      </c>
      <c r="Z99" s="17">
        <f t="shared" si="200"/>
        <v>0</v>
      </c>
      <c r="AA99" s="17">
        <f t="shared" si="200"/>
        <v>0</v>
      </c>
      <c r="AB99" s="17">
        <f t="shared" si="200"/>
        <v>0</v>
      </c>
      <c r="AC99" s="17">
        <f t="shared" ref="AC99:AG99" si="201">AC98-AC75</f>
        <v>0</v>
      </c>
      <c r="AD99" s="71">
        <f t="shared" si="201"/>
        <v>0</v>
      </c>
      <c r="AE99" s="17">
        <f>AE98-AE75</f>
        <v>0</v>
      </c>
      <c r="AF99" s="17">
        <f t="shared" si="201"/>
        <v>0</v>
      </c>
      <c r="AG99" s="17">
        <f t="shared" si="201"/>
        <v>0</v>
      </c>
      <c r="AH99" s="17">
        <f t="shared" ref="AH99:AN99" si="202">AH98-AH75</f>
        <v>0</v>
      </c>
      <c r="AI99" s="17">
        <f t="shared" si="202"/>
        <v>0</v>
      </c>
      <c r="AJ99" s="17">
        <f t="shared" si="202"/>
        <v>0</v>
      </c>
      <c r="AK99" s="17">
        <f t="shared" si="202"/>
        <v>0</v>
      </c>
      <c r="AL99" s="17">
        <f t="shared" si="202"/>
        <v>0</v>
      </c>
      <c r="AM99" s="17">
        <f t="shared" si="202"/>
        <v>0</v>
      </c>
      <c r="AN99" s="17">
        <f t="shared" si="202"/>
        <v>0</v>
      </c>
      <c r="AO99" s="18"/>
      <c r="AP99" s="46"/>
      <c r="AQ99" s="18"/>
      <c r="AR99" s="18"/>
      <c r="AS99" s="18"/>
      <c r="AT99" s="18"/>
      <c r="AU99" s="18"/>
      <c r="AV99" s="18"/>
      <c r="AW99" s="18"/>
    </row>
    <row r="100" spans="1:49" s="43" customFormat="1">
      <c r="B100" s="50"/>
      <c r="C100" s="50"/>
      <c r="D100" s="50"/>
      <c r="E100" s="50"/>
      <c r="F100" s="50"/>
      <c r="G100" s="50"/>
      <c r="H100" s="50"/>
      <c r="I100" s="50"/>
      <c r="J100" s="50"/>
      <c r="K100" s="50"/>
      <c r="L100" s="50"/>
      <c r="M100" s="50"/>
      <c r="N100" s="50"/>
      <c r="O100" s="50"/>
      <c r="P100" s="50"/>
      <c r="Q100" s="50"/>
      <c r="R100" s="50"/>
      <c r="S100" s="50"/>
      <c r="T100" s="50">
        <f t="shared" ref="T100:Z100" si="203">+T99-S99</f>
        <v>0</v>
      </c>
      <c r="U100" s="50">
        <f>+U99-T99</f>
        <v>0</v>
      </c>
      <c r="V100" s="50">
        <f>+V99-U99</f>
        <v>0</v>
      </c>
      <c r="W100" s="50">
        <f t="shared" si="203"/>
        <v>0</v>
      </c>
      <c r="X100" s="17">
        <f t="shared" si="203"/>
        <v>0</v>
      </c>
      <c r="Y100" s="17">
        <f t="shared" si="203"/>
        <v>0</v>
      </c>
      <c r="Z100" s="50">
        <f t="shared" si="203"/>
        <v>0</v>
      </c>
      <c r="AA100" s="17">
        <f>+AA99-Z99</f>
        <v>0</v>
      </c>
      <c r="AB100" s="17">
        <f>+AB99-AA99</f>
        <v>0</v>
      </c>
      <c r="AC100" s="50">
        <f>+AC99-AB99</f>
        <v>0</v>
      </c>
      <c r="AD100" s="50">
        <f>+AD99-AC99</f>
        <v>0</v>
      </c>
      <c r="AE100" s="50">
        <f t="shared" ref="AE100:AG100" si="204">+AE99-AD99</f>
        <v>0</v>
      </c>
      <c r="AF100" s="50">
        <f t="shared" si="204"/>
        <v>0</v>
      </c>
      <c r="AG100" s="50">
        <f t="shared" si="204"/>
        <v>0</v>
      </c>
      <c r="AH100" s="50">
        <f t="shared" ref="AH100" si="205">+AH99-AG99</f>
        <v>0</v>
      </c>
      <c r="AI100" s="50">
        <f t="shared" ref="AI100" si="206">+AI99-AH99</f>
        <v>0</v>
      </c>
      <c r="AJ100" s="50">
        <f t="shared" ref="AJ100" si="207">+AJ99-AI99</f>
        <v>0</v>
      </c>
      <c r="AK100" s="50">
        <f t="shared" ref="AK100" si="208">+AK99-AJ99</f>
        <v>0</v>
      </c>
      <c r="AL100" s="50">
        <f t="shared" ref="AL100" si="209">+AL99-AK99</f>
        <v>0</v>
      </c>
      <c r="AM100" s="50">
        <f>+AM99-AL99</f>
        <v>0</v>
      </c>
      <c r="AN100" s="50">
        <f t="shared" ref="AN100" si="210">+AN99-AM99</f>
        <v>0</v>
      </c>
      <c r="AO100" s="18"/>
      <c r="AP100" s="46"/>
      <c r="AQ100" s="18"/>
      <c r="AR100" s="18"/>
      <c r="AS100" s="18"/>
      <c r="AT100" s="18"/>
      <c r="AU100" s="18"/>
      <c r="AV100" s="18"/>
      <c r="AW100" s="18"/>
    </row>
    <row r="101" spans="1:49" s="7" customFormat="1">
      <c r="A101" s="157" t="s">
        <v>517</v>
      </c>
      <c r="B101" s="156"/>
      <c r="C101" s="156"/>
      <c r="D101" s="156"/>
      <c r="E101" s="156"/>
      <c r="F101" s="156"/>
      <c r="G101" s="156"/>
      <c r="H101" s="156"/>
      <c r="I101" s="156"/>
      <c r="J101" s="156"/>
      <c r="K101" s="156"/>
      <c r="L101" s="156"/>
      <c r="M101" s="156"/>
      <c r="N101" s="156"/>
      <c r="O101" s="156"/>
      <c r="P101" s="156"/>
      <c r="Q101" s="156"/>
      <c r="R101" s="156"/>
      <c r="S101" s="156"/>
      <c r="T101" s="156"/>
      <c r="U101" s="156"/>
      <c r="V101" s="156"/>
      <c r="W101" s="156"/>
      <c r="X101" s="156"/>
      <c r="Y101" s="156"/>
      <c r="Z101" s="156"/>
      <c r="AA101" s="156"/>
      <c r="AB101" s="156"/>
      <c r="AC101" s="156"/>
      <c r="AD101" s="156"/>
      <c r="AE101" s="156"/>
      <c r="AF101" s="156"/>
      <c r="AG101" s="156"/>
      <c r="AH101" s="156"/>
      <c r="AI101" s="156"/>
      <c r="AJ101" s="156"/>
      <c r="AK101" s="156"/>
      <c r="AL101" s="156"/>
      <c r="AM101" s="156"/>
      <c r="AN101" s="156"/>
      <c r="AO101" s="18"/>
      <c r="AP101" s="46"/>
    </row>
    <row r="102" spans="1:49" s="16" customFormat="1">
      <c r="A102" s="22" t="s">
        <v>107</v>
      </c>
      <c r="B102" s="56">
        <f t="shared" ref="B102:AE102" si="211">B22</f>
        <v>3911</v>
      </c>
      <c r="C102" s="56">
        <f t="shared" si="211"/>
        <v>4408</v>
      </c>
      <c r="D102" s="56">
        <f t="shared" si="211"/>
        <v>4789</v>
      </c>
      <c r="E102" s="56">
        <f t="shared" si="211"/>
        <v>6400</v>
      </c>
      <c r="F102" s="56">
        <f t="shared" si="211"/>
        <v>5662</v>
      </c>
      <c r="G102" s="56">
        <f t="shared" si="211"/>
        <v>6666.0000000000009</v>
      </c>
      <c r="H102" s="56">
        <f t="shared" si="211"/>
        <v>9646.8520500345221</v>
      </c>
      <c r="I102" s="56">
        <f t="shared" si="211"/>
        <v>9811.8158929999991</v>
      </c>
      <c r="J102" s="56">
        <f t="shared" si="211"/>
        <v>7145.6</v>
      </c>
      <c r="K102" s="56">
        <f t="shared" si="211"/>
        <v>8445.6</v>
      </c>
      <c r="L102" s="56">
        <f t="shared" si="211"/>
        <v>8397.2000000000007</v>
      </c>
      <c r="M102" s="56">
        <f t="shared" si="211"/>
        <v>9398.5122772755367</v>
      </c>
      <c r="N102" s="56">
        <f t="shared" si="211"/>
        <v>10429</v>
      </c>
      <c r="O102" s="56">
        <f t="shared" si="211"/>
        <v>10511</v>
      </c>
      <c r="P102" s="56">
        <f t="shared" si="211"/>
        <v>10593</v>
      </c>
      <c r="Q102" s="56">
        <f t="shared" si="211"/>
        <v>11448</v>
      </c>
      <c r="R102" s="56">
        <f t="shared" si="211"/>
        <v>11783</v>
      </c>
      <c r="S102" s="56">
        <f t="shared" si="211"/>
        <v>9854</v>
      </c>
      <c r="T102" s="56">
        <f t="shared" si="211"/>
        <v>11179</v>
      </c>
      <c r="U102" s="56">
        <f t="shared" si="211"/>
        <v>10939</v>
      </c>
      <c r="V102" s="56">
        <f t="shared" si="211"/>
        <v>9984</v>
      </c>
      <c r="W102" s="56">
        <f t="shared" si="211"/>
        <v>5840</v>
      </c>
      <c r="X102" s="56">
        <f t="shared" si="211"/>
        <v>13204</v>
      </c>
      <c r="Y102" s="56">
        <f t="shared" si="211"/>
        <v>20329</v>
      </c>
      <c r="Z102" s="56">
        <f t="shared" si="211"/>
        <v>16663</v>
      </c>
      <c r="AA102" s="56">
        <f t="shared" si="211"/>
        <v>18127</v>
      </c>
      <c r="AB102" s="56">
        <f t="shared" si="211"/>
        <v>18641</v>
      </c>
      <c r="AC102" s="56">
        <f t="shared" si="211"/>
        <v>8541</v>
      </c>
      <c r="AD102" s="56">
        <f t="shared" si="211"/>
        <v>15501</v>
      </c>
      <c r="AE102" s="56">
        <f t="shared" si="211"/>
        <v>11439</v>
      </c>
      <c r="AF102" s="56">
        <f>AF22</f>
        <v>1590</v>
      </c>
      <c r="AG102" s="56">
        <f>AG22</f>
        <v>10643</v>
      </c>
      <c r="AH102" s="56">
        <f t="shared" ref="AH102" si="212">AH22</f>
        <v>15539</v>
      </c>
      <c r="AI102" s="56">
        <f t="shared" ref="AI102:AN102" si="213">AI22</f>
        <v>15166.688183453078</v>
      </c>
      <c r="AJ102" s="56">
        <f t="shared" si="213"/>
        <v>16102.312115045994</v>
      </c>
      <c r="AK102" s="56">
        <f t="shared" si="213"/>
        <v>16686.626199834707</v>
      </c>
      <c r="AL102" s="56">
        <f t="shared" si="213"/>
        <v>17181.834243912323</v>
      </c>
      <c r="AM102" s="56">
        <f t="shared" si="213"/>
        <v>17686.555358426416</v>
      </c>
      <c r="AN102" s="56">
        <f t="shared" si="213"/>
        <v>18192.819306254452</v>
      </c>
      <c r="AO102" s="18"/>
      <c r="AP102" s="46"/>
      <c r="AQ102" s="23"/>
      <c r="AR102" s="23"/>
      <c r="AS102" s="23"/>
      <c r="AT102" s="18"/>
      <c r="AU102" s="18"/>
      <c r="AV102" s="18"/>
      <c r="AW102" s="18"/>
    </row>
    <row r="103" spans="1:49" s="16" customFormat="1">
      <c r="A103" s="22" t="s">
        <v>518</v>
      </c>
      <c r="B103" s="56">
        <f t="shared" ref="B103:I103" si="214">-B21</f>
        <v>67</v>
      </c>
      <c r="C103" s="56">
        <f t="shared" si="214"/>
        <v>48</v>
      </c>
      <c r="D103" s="56">
        <f t="shared" si="214"/>
        <v>16</v>
      </c>
      <c r="E103" s="56">
        <f t="shared" si="214"/>
        <v>48</v>
      </c>
      <c r="F103" s="56">
        <f t="shared" si="214"/>
        <v>50</v>
      </c>
      <c r="G103" s="56">
        <f t="shared" si="214"/>
        <v>-565</v>
      </c>
      <c r="H103" s="56">
        <f t="shared" si="214"/>
        <v>-973</v>
      </c>
      <c r="I103" s="56">
        <f t="shared" si="214"/>
        <v>-612</v>
      </c>
      <c r="J103" s="56">
        <f>-J21-20</f>
        <v>74</v>
      </c>
      <c r="K103" s="56">
        <f>-K21-7</f>
        <v>151</v>
      </c>
      <c r="L103" s="56">
        <f>-L21-5</f>
        <v>151</v>
      </c>
      <c r="M103" s="56">
        <f>-M21-66</f>
        <v>574.22069271758437</v>
      </c>
      <c r="N103" s="56">
        <f>-N21-218</f>
        <v>765</v>
      </c>
      <c r="O103" s="56">
        <f>-O21-230</f>
        <v>1259</v>
      </c>
      <c r="P103" s="56">
        <f>4762-138</f>
        <v>4624</v>
      </c>
      <c r="Q103" s="56">
        <v>5024</v>
      </c>
      <c r="R103" s="56">
        <f>4245-124</f>
        <v>4121</v>
      </c>
      <c r="S103" s="56">
        <f>3477-69</f>
        <v>3408</v>
      </c>
      <c r="T103" s="56">
        <f>4212-101</f>
        <v>4111</v>
      </c>
      <c r="U103" s="56">
        <f>6005-146</f>
        <v>5859</v>
      </c>
      <c r="V103" s="56">
        <f>6423-322-104</f>
        <v>5997</v>
      </c>
      <c r="W103" s="56">
        <f>6522-173-61</f>
        <v>6288</v>
      </c>
      <c r="X103" s="56">
        <f>4180-131-48</f>
        <v>4001</v>
      </c>
      <c r="Y103" s="56">
        <f>4106-170-46</f>
        <v>3890</v>
      </c>
      <c r="Z103" s="56">
        <f>2261-137-43</f>
        <v>2081</v>
      </c>
      <c r="AA103" s="56">
        <f>2180-151-9</f>
        <v>2020</v>
      </c>
      <c r="AB103" s="56">
        <f>2049-192-13</f>
        <v>1844</v>
      </c>
      <c r="AC103" s="56">
        <f>1983-162-13</f>
        <v>1808</v>
      </c>
      <c r="AD103" s="56">
        <v>1873</v>
      </c>
      <c r="AE103" s="56">
        <f>1744-108-15</f>
        <v>1621</v>
      </c>
      <c r="AF103" s="56">
        <f>2085-243-14</f>
        <v>1828</v>
      </c>
      <c r="AG103" s="56">
        <f>2139-270-15</f>
        <v>1854</v>
      </c>
      <c r="AH103" s="56">
        <f>2254-235-15</f>
        <v>2004</v>
      </c>
      <c r="AI103" s="475">
        <f>-Driver!AI106</f>
        <v>1913.858812169583</v>
      </c>
      <c r="AJ103" s="475">
        <f>-Driver!AJ106</f>
        <v>1824.1634507138988</v>
      </c>
      <c r="AK103" s="475">
        <f>-Driver!AK106</f>
        <v>1858.2521392119243</v>
      </c>
      <c r="AL103" s="475">
        <f>-Driver!AL106</f>
        <v>1882.3671797957927</v>
      </c>
      <c r="AM103" s="475">
        <f>-Driver!AM106</f>
        <v>1882.3671797957927</v>
      </c>
      <c r="AN103" s="475">
        <f>-Driver!AN106</f>
        <v>1882.3671797957927</v>
      </c>
      <c r="AO103" s="18"/>
      <c r="AP103" s="46"/>
      <c r="AQ103" s="23"/>
      <c r="AR103" s="23"/>
      <c r="AS103" s="23"/>
      <c r="AT103" s="18"/>
      <c r="AU103" s="18"/>
      <c r="AV103" s="18"/>
      <c r="AW103" s="18"/>
    </row>
    <row r="104" spans="1:49" s="16" customFormat="1">
      <c r="A104" s="22" t="s">
        <v>338</v>
      </c>
      <c r="B104" s="56">
        <v>-1100</v>
      </c>
      <c r="C104" s="56">
        <v>-1195</v>
      </c>
      <c r="D104" s="56">
        <v>-1433</v>
      </c>
      <c r="E104" s="56">
        <v>-2939</v>
      </c>
      <c r="F104" s="56">
        <v>-1847</v>
      </c>
      <c r="G104" s="56">
        <v>-1972.6000000000001</v>
      </c>
      <c r="H104" s="56">
        <v>-3949.8</v>
      </c>
      <c r="I104" s="56">
        <v>-3365.2918918918917</v>
      </c>
      <c r="J104" s="56">
        <v>-2678.2347267304349</v>
      </c>
      <c r="K104" s="56">
        <v>-4162</v>
      </c>
      <c r="L104" s="56">
        <v>-3360</v>
      </c>
      <c r="M104" s="56">
        <v>-3792</v>
      </c>
      <c r="N104" s="56">
        <v>-3604</v>
      </c>
      <c r="O104" s="56">
        <v>-3239</v>
      </c>
      <c r="P104" s="56">
        <v>-3050</v>
      </c>
      <c r="Q104" s="56">
        <v>-3025</v>
      </c>
      <c r="R104" s="56">
        <v>-2597</v>
      </c>
      <c r="S104" s="56">
        <v>-2415</v>
      </c>
      <c r="T104" s="56">
        <v>-2893</v>
      </c>
      <c r="U104" s="56">
        <v>-3610</v>
      </c>
      <c r="V104" s="56">
        <v>-2984</v>
      </c>
      <c r="W104" s="56">
        <v>-3283</v>
      </c>
      <c r="X104" s="56">
        <v>-2333</v>
      </c>
      <c r="Y104" s="56">
        <v>-2245</v>
      </c>
      <c r="Z104" s="56">
        <v>-1641</v>
      </c>
      <c r="AA104" s="56">
        <v>-1458</v>
      </c>
      <c r="AB104" s="56">
        <v>-2336</v>
      </c>
      <c r="AC104" s="56">
        <v>-2713</v>
      </c>
      <c r="AD104" s="56">
        <v>-2522</v>
      </c>
      <c r="AE104" s="56">
        <v>-1974</v>
      </c>
      <c r="AF104" s="56">
        <v>-2460</v>
      </c>
      <c r="AG104" s="56">
        <v>-3196</v>
      </c>
      <c r="AH104" s="56">
        <v>-2655</v>
      </c>
      <c r="AI104" s="475">
        <f>-Driver!AI37</f>
        <v>-2207.312838062046</v>
      </c>
      <c r="AJ104" s="475">
        <f>-Driver!AJ37</f>
        <v>-2249.1587568426353</v>
      </c>
      <c r="AK104" s="475">
        <f>-Driver!AK37</f>
        <v>-2249.1587568426353</v>
      </c>
      <c r="AL104" s="475">
        <f>-Driver!AL37</f>
        <v>-2249.1587568426353</v>
      </c>
      <c r="AM104" s="475">
        <f>-Driver!AM37</f>
        <v>-2249.1587568426353</v>
      </c>
      <c r="AN104" s="475">
        <f>-Driver!AN37</f>
        <v>-2249.1587568426353</v>
      </c>
      <c r="AO104" s="18"/>
      <c r="AP104" s="46"/>
      <c r="AQ104" s="23"/>
      <c r="AR104" s="23"/>
      <c r="AS104" s="23"/>
      <c r="AT104" s="18"/>
      <c r="AU104" s="18"/>
      <c r="AV104" s="18"/>
      <c r="AW104" s="18"/>
    </row>
    <row r="105" spans="1:49" s="16" customFormat="1">
      <c r="A105" s="22" t="s">
        <v>307</v>
      </c>
      <c r="B105" s="56">
        <f t="shared" ref="B105:R105" si="215">-B12</f>
        <v>852</v>
      </c>
      <c r="C105" s="56">
        <f t="shared" si="215"/>
        <v>953</v>
      </c>
      <c r="D105" s="56">
        <f t="shared" si="215"/>
        <v>783</v>
      </c>
      <c r="E105" s="56">
        <f t="shared" si="215"/>
        <v>888</v>
      </c>
      <c r="F105" s="56">
        <f t="shared" si="215"/>
        <v>1002</v>
      </c>
      <c r="G105" s="56">
        <f t="shared" si="215"/>
        <v>1155</v>
      </c>
      <c r="H105" s="56">
        <f t="shared" si="215"/>
        <v>1270</v>
      </c>
      <c r="I105" s="56">
        <f t="shared" si="215"/>
        <v>1704</v>
      </c>
      <c r="J105" s="56">
        <f t="shared" si="215"/>
        <v>1474</v>
      </c>
      <c r="K105" s="56">
        <f t="shared" si="215"/>
        <v>1624</v>
      </c>
      <c r="L105" s="56">
        <f t="shared" si="215"/>
        <v>1749</v>
      </c>
      <c r="M105" s="56">
        <f t="shared" si="215"/>
        <v>2357</v>
      </c>
      <c r="N105" s="56">
        <f t="shared" si="215"/>
        <v>2570</v>
      </c>
      <c r="O105" s="56">
        <f t="shared" si="215"/>
        <v>2896</v>
      </c>
      <c r="P105" s="56">
        <f t="shared" si="215"/>
        <v>4968</v>
      </c>
      <c r="Q105" s="56">
        <f t="shared" si="215"/>
        <v>4650</v>
      </c>
      <c r="R105" s="56">
        <f t="shared" si="215"/>
        <v>4055</v>
      </c>
      <c r="S105" s="56">
        <v>4332</v>
      </c>
      <c r="T105" s="56">
        <f t="shared" ref="T105:AF105" si="216">-T12</f>
        <v>5065</v>
      </c>
      <c r="U105" s="56">
        <f t="shared" si="216"/>
        <v>6353</v>
      </c>
      <c r="V105" s="56">
        <f t="shared" si="216"/>
        <v>7021</v>
      </c>
      <c r="W105" s="56">
        <f t="shared" si="216"/>
        <v>7592</v>
      </c>
      <c r="X105" s="56">
        <f t="shared" si="216"/>
        <v>6791</v>
      </c>
      <c r="Y105" s="56">
        <f t="shared" si="216"/>
        <v>6765</v>
      </c>
      <c r="Z105" s="56">
        <f t="shared" si="216"/>
        <v>6909</v>
      </c>
      <c r="AA105" s="56">
        <f t="shared" si="216"/>
        <v>7368</v>
      </c>
      <c r="AB105" s="56">
        <f t="shared" si="216"/>
        <v>8005</v>
      </c>
      <c r="AC105" s="56">
        <f t="shared" si="216"/>
        <v>8118</v>
      </c>
      <c r="AD105" s="56">
        <f t="shared" si="216"/>
        <v>8476</v>
      </c>
      <c r="AE105" s="56">
        <f t="shared" si="216"/>
        <v>9308</v>
      </c>
      <c r="AF105" s="56">
        <f t="shared" si="216"/>
        <v>8904</v>
      </c>
      <c r="AG105" s="56">
        <f t="shared" ref="AG105:AH105" si="217">-AG12</f>
        <v>8594</v>
      </c>
      <c r="AH105" s="56">
        <f t="shared" si="217"/>
        <v>9276</v>
      </c>
      <c r="AI105" s="56">
        <f t="shared" ref="AI105:AN105" si="218">-AI12</f>
        <v>9256.8277784836609</v>
      </c>
      <c r="AJ105" s="56">
        <f t="shared" si="218"/>
        <v>9456.9301092379446</v>
      </c>
      <c r="AK105" s="56">
        <f t="shared" si="218"/>
        <v>9579.623257799878</v>
      </c>
      <c r="AL105" s="56">
        <f t="shared" si="218"/>
        <v>9649.1811148487541</v>
      </c>
      <c r="AM105" s="56">
        <f t="shared" si="218"/>
        <v>9673.8921787971231</v>
      </c>
      <c r="AN105" s="56">
        <f t="shared" si="218"/>
        <v>9697.3321493638723</v>
      </c>
      <c r="AO105" s="18"/>
      <c r="AP105" s="46"/>
      <c r="AQ105" s="23"/>
      <c r="AR105" s="23"/>
      <c r="AS105" s="23"/>
      <c r="AT105" s="18"/>
      <c r="AU105" s="18"/>
      <c r="AV105" s="18"/>
      <c r="AW105" s="18"/>
    </row>
    <row r="106" spans="1:49" s="16" customFormat="1">
      <c r="A106" s="22" t="s">
        <v>354</v>
      </c>
      <c r="B106" s="56">
        <v>0</v>
      </c>
      <c r="C106" s="56">
        <v>0</v>
      </c>
      <c r="D106" s="56">
        <v>33</v>
      </c>
      <c r="E106" s="56">
        <v>36</v>
      </c>
      <c r="F106" s="56">
        <v>14</v>
      </c>
      <c r="G106" s="56">
        <v>5</v>
      </c>
      <c r="H106" s="56">
        <v>52</v>
      </c>
      <c r="I106" s="56">
        <f>87-35</f>
        <v>52</v>
      </c>
      <c r="J106" s="56">
        <f>100-7</f>
        <v>93</v>
      </c>
      <c r="K106" s="56">
        <f>107-52</f>
        <v>55</v>
      </c>
      <c r="L106" s="56">
        <v>79</v>
      </c>
      <c r="M106" s="56">
        <f>152+16</f>
        <v>168</v>
      </c>
      <c r="N106" s="56">
        <f>212-214+38</f>
        <v>36</v>
      </c>
      <c r="O106" s="56">
        <f>103-128-37</f>
        <v>-62</v>
      </c>
      <c r="P106" s="56">
        <f>216-25-8</f>
        <v>183</v>
      </c>
      <c r="Q106" s="56">
        <f>353+211-1030-1092</f>
        <v>-1558</v>
      </c>
      <c r="R106" s="56">
        <f>131+140-502-225</f>
        <v>-456</v>
      </c>
      <c r="S106" s="56">
        <f>299+172-153</f>
        <v>318</v>
      </c>
      <c r="T106" s="56">
        <f>204+183-400</f>
        <v>-13</v>
      </c>
      <c r="U106" s="56">
        <f>3233+122-319-457</f>
        <v>2579</v>
      </c>
      <c r="V106" s="56">
        <f>1429+151</f>
        <v>1580</v>
      </c>
      <c r="W106" s="56">
        <f>6289+173-751+23-24</f>
        <v>5710</v>
      </c>
      <c r="X106" s="56">
        <f>3264+282-245-7363+5338</f>
        <v>1276</v>
      </c>
      <c r="Y106" s="56">
        <f>2462+74+343+42-8900-99</f>
        <v>-6078</v>
      </c>
      <c r="Z106" s="56">
        <f>397-78-386+146</f>
        <v>79</v>
      </c>
      <c r="AA106" s="56">
        <f>443+407-369</f>
        <v>481</v>
      </c>
      <c r="AB106" s="56">
        <f>912+416-18</f>
        <v>1310</v>
      </c>
      <c r="AC106" s="56">
        <f>6782+424+83</f>
        <v>7289</v>
      </c>
      <c r="AD106" s="56">
        <f>599+358+121</f>
        <v>1078</v>
      </c>
      <c r="AE106" s="56">
        <f>586+386+34-386</f>
        <v>620</v>
      </c>
      <c r="AF106" s="56">
        <f>265+241+57+185</f>
        <v>748</v>
      </c>
      <c r="AG106" s="56">
        <f>6220+393+25</f>
        <v>6638</v>
      </c>
      <c r="AH106" s="56">
        <f>504+582+67</f>
        <v>1153</v>
      </c>
      <c r="AI106" s="475">
        <f>-Final!AI28</f>
        <v>0</v>
      </c>
      <c r="AJ106" s="475">
        <f>-Final!AJ28</f>
        <v>0</v>
      </c>
      <c r="AK106" s="475">
        <f>-Final!AK28</f>
        <v>0</v>
      </c>
      <c r="AL106" s="475">
        <f>-Final!AL28</f>
        <v>0</v>
      </c>
      <c r="AM106" s="475">
        <f>-Final!AM28</f>
        <v>0</v>
      </c>
      <c r="AN106" s="475">
        <f>-Final!AN28</f>
        <v>0</v>
      </c>
      <c r="AO106" s="18"/>
      <c r="AP106" s="46"/>
      <c r="AQ106" s="23"/>
      <c r="AR106" s="23"/>
      <c r="AS106" s="23"/>
      <c r="AT106" s="18"/>
      <c r="AU106" s="18"/>
      <c r="AV106" s="18"/>
      <c r="AW106" s="18"/>
    </row>
    <row r="107" spans="1:49" s="16" customFormat="1">
      <c r="A107" s="22" t="s">
        <v>319</v>
      </c>
      <c r="B107" s="56">
        <v>0</v>
      </c>
      <c r="C107" s="56">
        <v>0</v>
      </c>
      <c r="D107" s="56">
        <v>0</v>
      </c>
      <c r="E107" s="56">
        <v>0</v>
      </c>
      <c r="F107" s="56">
        <v>0</v>
      </c>
      <c r="G107" s="56">
        <v>0</v>
      </c>
      <c r="H107" s="56">
        <v>0</v>
      </c>
      <c r="I107" s="56">
        <v>0</v>
      </c>
      <c r="J107" s="56">
        <v>0</v>
      </c>
      <c r="K107" s="56">
        <v>0</v>
      </c>
      <c r="L107" s="56">
        <v>-28</v>
      </c>
      <c r="M107" s="56">
        <v>32</v>
      </c>
      <c r="N107" s="56">
        <v>52</v>
      </c>
      <c r="O107" s="56">
        <v>241</v>
      </c>
      <c r="P107" s="46">
        <v>33</v>
      </c>
      <c r="Q107" s="46">
        <v>49</v>
      </c>
      <c r="R107" s="46">
        <v>168</v>
      </c>
      <c r="S107" s="46">
        <v>-48</v>
      </c>
      <c r="T107" s="46">
        <v>-64</v>
      </c>
      <c r="U107" s="46">
        <v>134</v>
      </c>
      <c r="V107" s="46">
        <v>568</v>
      </c>
      <c r="W107" s="46">
        <v>-284</v>
      </c>
      <c r="X107" s="46">
        <v>-513</v>
      </c>
      <c r="Y107" s="46">
        <v>362</v>
      </c>
      <c r="Z107" s="46">
        <v>-211</v>
      </c>
      <c r="AA107" s="46">
        <v>-416</v>
      </c>
      <c r="AB107" s="46">
        <v>-522</v>
      </c>
      <c r="AC107" s="46">
        <v>-230</v>
      </c>
      <c r="AD107" s="56">
        <v>-1150</v>
      </c>
      <c r="AE107" s="56">
        <v>-1805</v>
      </c>
      <c r="AF107" s="17">
        <v>1922</v>
      </c>
      <c r="AG107" s="17">
        <v>-2911</v>
      </c>
      <c r="AH107" s="17">
        <v>-1297</v>
      </c>
      <c r="AI107" s="54">
        <v>0</v>
      </c>
      <c r="AJ107" s="54">
        <f>AI107</f>
        <v>0</v>
      </c>
      <c r="AK107" s="54">
        <f>AJ107</f>
        <v>0</v>
      </c>
      <c r="AL107" s="54">
        <f>AK107</f>
        <v>0</v>
      </c>
      <c r="AM107" s="54">
        <f>AL107</f>
        <v>0</v>
      </c>
      <c r="AN107" s="54">
        <f t="shared" ref="AN107" si="219">AM107</f>
        <v>0</v>
      </c>
      <c r="AO107" s="18"/>
      <c r="AP107" s="46"/>
      <c r="AQ107" s="23"/>
      <c r="AR107" s="23"/>
      <c r="AS107" s="23"/>
      <c r="AT107" s="18"/>
      <c r="AU107" s="18"/>
      <c r="AV107" s="18"/>
      <c r="AW107" s="18"/>
    </row>
    <row r="108" spans="1:49" s="16" customFormat="1">
      <c r="A108" s="22" t="s">
        <v>335</v>
      </c>
      <c r="B108" s="56">
        <f t="shared" ref="B108:N108" si="220">B117-SUM(B102:B107,B109:B116)</f>
        <v>6.8000000001120497E-3</v>
      </c>
      <c r="C108" s="56">
        <f t="shared" si="220"/>
        <v>0</v>
      </c>
      <c r="D108" s="56">
        <f t="shared" si="220"/>
        <v>0</v>
      </c>
      <c r="E108" s="56">
        <f t="shared" si="220"/>
        <v>69</v>
      </c>
      <c r="F108" s="56">
        <f t="shared" si="220"/>
        <v>56</v>
      </c>
      <c r="G108" s="56">
        <f t="shared" si="220"/>
        <v>105.59999999999945</v>
      </c>
      <c r="H108" s="56">
        <f t="shared" si="220"/>
        <v>-36.052050034521926</v>
      </c>
      <c r="I108" s="56">
        <f t="shared" si="220"/>
        <v>-40.524001108107768</v>
      </c>
      <c r="J108" s="56">
        <f t="shared" si="220"/>
        <v>149</v>
      </c>
      <c r="K108" s="56">
        <f t="shared" si="220"/>
        <v>-17</v>
      </c>
      <c r="L108" s="56">
        <f t="shared" si="220"/>
        <v>-202</v>
      </c>
      <c r="M108" s="56">
        <f t="shared" si="220"/>
        <v>-48</v>
      </c>
      <c r="N108" s="56">
        <f t="shared" si="220"/>
        <v>-85</v>
      </c>
      <c r="O108" s="56">
        <f t="shared" ref="O108:Z108" si="221">O117-SUM(O102:O107,O109:O116)</f>
        <v>-0.14822546972936834</v>
      </c>
      <c r="P108" s="56">
        <f t="shared" si="221"/>
        <v>32</v>
      </c>
      <c r="Q108" s="56">
        <f t="shared" si="221"/>
        <v>2</v>
      </c>
      <c r="R108" s="56">
        <f t="shared" si="221"/>
        <v>0</v>
      </c>
      <c r="S108" s="56">
        <f t="shared" si="221"/>
        <v>0</v>
      </c>
      <c r="T108" s="56">
        <f t="shared" si="221"/>
        <v>0</v>
      </c>
      <c r="U108" s="56">
        <f t="shared" si="221"/>
        <v>0</v>
      </c>
      <c r="V108" s="56">
        <f t="shared" si="221"/>
        <v>0</v>
      </c>
      <c r="W108" s="56">
        <f t="shared" si="221"/>
        <v>0</v>
      </c>
      <c r="X108" s="56">
        <f t="shared" si="221"/>
        <v>69</v>
      </c>
      <c r="Y108" s="56">
        <f t="shared" si="221"/>
        <v>121</v>
      </c>
      <c r="Z108" s="56">
        <f t="shared" si="221"/>
        <v>32</v>
      </c>
      <c r="AA108" s="56">
        <v>0</v>
      </c>
      <c r="AB108" s="56">
        <v>0</v>
      </c>
      <c r="AC108" s="56">
        <v>0</v>
      </c>
      <c r="AD108" s="56">
        <v>0</v>
      </c>
      <c r="AE108" s="56">
        <v>1110</v>
      </c>
      <c r="AF108" s="56">
        <f>4312+13+185-AF113</f>
        <v>4513</v>
      </c>
      <c r="AG108" s="56">
        <f>0+164+0-AG113</f>
        <v>204</v>
      </c>
      <c r="AH108" s="56">
        <f>-2-68-2-AH113</f>
        <v>42</v>
      </c>
      <c r="AI108" s="475">
        <v>0</v>
      </c>
      <c r="AJ108" s="475">
        <v>0</v>
      </c>
      <c r="AK108" s="475">
        <v>0</v>
      </c>
      <c r="AL108" s="475">
        <v>0</v>
      </c>
      <c r="AM108" s="475">
        <v>0</v>
      </c>
      <c r="AN108" s="475">
        <v>0</v>
      </c>
      <c r="AO108" s="18"/>
      <c r="AP108" s="46"/>
      <c r="AQ108" s="23"/>
      <c r="AR108" s="23"/>
      <c r="AS108" s="23"/>
      <c r="AT108" s="18"/>
      <c r="AU108" s="18"/>
      <c r="AV108" s="18"/>
      <c r="AW108" s="18"/>
    </row>
    <row r="109" spans="1:49" s="16" customFormat="1">
      <c r="A109" s="57" t="s">
        <v>320</v>
      </c>
      <c r="B109" s="56"/>
      <c r="C109" s="56"/>
      <c r="D109" s="56"/>
      <c r="E109" s="56"/>
      <c r="F109" s="56"/>
      <c r="G109" s="56"/>
      <c r="H109" s="56"/>
      <c r="I109" s="56"/>
      <c r="J109" s="56"/>
      <c r="K109" s="56"/>
      <c r="L109" s="56"/>
      <c r="M109" s="56"/>
      <c r="N109" s="56"/>
      <c r="O109" s="56"/>
      <c r="P109" s="56"/>
      <c r="Q109" s="56"/>
      <c r="R109" s="56"/>
      <c r="S109" s="56"/>
      <c r="T109" s="56"/>
      <c r="U109" s="56"/>
      <c r="V109" s="56"/>
      <c r="W109" s="56"/>
      <c r="X109" s="56"/>
      <c r="Y109" s="56"/>
      <c r="Z109" s="56"/>
      <c r="AA109" s="56"/>
      <c r="AB109" s="56"/>
      <c r="AC109" s="56"/>
      <c r="AD109" s="56"/>
      <c r="AE109" s="56"/>
      <c r="AG109" s="56"/>
      <c r="AH109" s="56"/>
      <c r="AI109" s="56"/>
      <c r="AJ109" s="56"/>
      <c r="AK109" s="56"/>
      <c r="AL109" s="56"/>
      <c r="AM109" s="56"/>
      <c r="AN109" s="56"/>
      <c r="AO109" s="18"/>
      <c r="AP109" s="46"/>
      <c r="AQ109" s="23"/>
      <c r="AR109" s="56"/>
      <c r="AS109" s="23"/>
      <c r="AT109" s="18"/>
      <c r="AU109" s="18"/>
      <c r="AV109" s="18"/>
      <c r="AW109" s="18"/>
    </row>
    <row r="110" spans="1:49" s="16" customFormat="1">
      <c r="A110" s="21" t="s">
        <v>321</v>
      </c>
      <c r="B110" s="56">
        <v>134</v>
      </c>
      <c r="C110" s="56">
        <f t="shared" ref="C110:O110" si="222">C79-B79</f>
        <v>117</v>
      </c>
      <c r="D110" s="56">
        <f t="shared" si="222"/>
        <v>144</v>
      </c>
      <c r="E110" s="56">
        <f t="shared" si="222"/>
        <v>104</v>
      </c>
      <c r="F110" s="56">
        <f t="shared" si="222"/>
        <v>85</v>
      </c>
      <c r="G110" s="56">
        <f t="shared" si="222"/>
        <v>108</v>
      </c>
      <c r="H110" s="56">
        <f t="shared" si="222"/>
        <v>111</v>
      </c>
      <c r="I110" s="56">
        <f t="shared" si="222"/>
        <v>149</v>
      </c>
      <c r="J110" s="56">
        <f t="shared" si="222"/>
        <v>133</v>
      </c>
      <c r="K110" s="56">
        <f t="shared" si="222"/>
        <v>271</v>
      </c>
      <c r="L110" s="56">
        <f t="shared" si="222"/>
        <v>234</v>
      </c>
      <c r="M110" s="56">
        <f t="shared" si="222"/>
        <v>194</v>
      </c>
      <c r="N110" s="56">
        <f t="shared" si="222"/>
        <v>241</v>
      </c>
      <c r="O110" s="56">
        <f t="shared" si="222"/>
        <v>189</v>
      </c>
      <c r="P110" s="56">
        <f>P79-O79-5</f>
        <v>104</v>
      </c>
      <c r="Q110" s="56">
        <f>Q79-P79</f>
        <v>172</v>
      </c>
      <c r="R110" s="56">
        <f>R79-Q79+5</f>
        <v>138</v>
      </c>
      <c r="S110" s="56">
        <v>130</v>
      </c>
      <c r="T110" s="56">
        <v>127</v>
      </c>
      <c r="U110" s="56">
        <v>173</v>
      </c>
      <c r="V110" s="56">
        <v>166</v>
      </c>
      <c r="W110" s="56">
        <v>185</v>
      </c>
      <c r="X110" s="56">
        <v>149</v>
      </c>
      <c r="Y110" s="56">
        <v>177</v>
      </c>
      <c r="Z110" s="56">
        <v>169</v>
      </c>
      <c r="AA110" s="56">
        <v>220</v>
      </c>
      <c r="AB110" s="56">
        <v>256</v>
      </c>
      <c r="AC110" s="56">
        <v>203</v>
      </c>
      <c r="AD110" s="56">
        <v>218</v>
      </c>
      <c r="AE110" s="56">
        <v>356</v>
      </c>
      <c r="AF110" s="56">
        <v>300</v>
      </c>
      <c r="AG110" s="56">
        <v>329</v>
      </c>
      <c r="AH110" s="56">
        <v>327</v>
      </c>
      <c r="AI110" s="475">
        <f>AI79-AH79</f>
        <v>342.54200581395344</v>
      </c>
      <c r="AJ110" s="475">
        <f>AJ79-AI79</f>
        <v>358.8227087065643</v>
      </c>
      <c r="AK110" s="475">
        <f>AK79-AJ79</f>
        <v>375.87721826281995</v>
      </c>
      <c r="AL110" s="475">
        <f>AL79-AK79</f>
        <v>393.74231279362539</v>
      </c>
      <c r="AM110" s="475">
        <f>AM79-AL79</f>
        <v>412.45651864878892</v>
      </c>
      <c r="AN110" s="475">
        <f t="shared" ref="AN110" si="223">AN79-AM79</f>
        <v>432.06019329968331</v>
      </c>
      <c r="AO110" s="18"/>
      <c r="AP110" s="46"/>
      <c r="AQ110" s="23"/>
      <c r="AR110" s="23"/>
      <c r="AS110" s="23"/>
      <c r="AT110" s="18"/>
      <c r="AU110" s="18"/>
      <c r="AV110" s="18"/>
      <c r="AW110" s="18"/>
    </row>
    <row r="111" spans="1:49" s="16" customFormat="1">
      <c r="A111" s="21" t="s">
        <v>188</v>
      </c>
      <c r="B111" s="56">
        <v>138</v>
      </c>
      <c r="C111" s="56">
        <f t="shared" ref="C111:I111" si="224">(C87-B87)-(C61-B61)-(C72-B72)</f>
        <v>523</v>
      </c>
      <c r="D111" s="56">
        <f t="shared" si="224"/>
        <v>52</v>
      </c>
      <c r="E111" s="56">
        <f t="shared" si="224"/>
        <v>-273</v>
      </c>
      <c r="F111" s="56">
        <f t="shared" si="224"/>
        <v>-561</v>
      </c>
      <c r="G111" s="56">
        <f t="shared" si="224"/>
        <v>-715</v>
      </c>
      <c r="H111" s="56">
        <f t="shared" si="224"/>
        <v>236</v>
      </c>
      <c r="I111" s="56">
        <f t="shared" si="224"/>
        <v>304</v>
      </c>
      <c r="J111" s="56">
        <f>(J87-I87)-(J61-I61)-(J72-I72)+20</f>
        <v>310</v>
      </c>
      <c r="K111" s="56">
        <f>(K87-J87)-(K61-J61)-(K72-J72)-12</f>
        <v>473</v>
      </c>
      <c r="L111" s="56">
        <f>(L87-K87)-(L61-K61)-(L72-K72)+194</f>
        <v>258</v>
      </c>
      <c r="M111" s="56">
        <f>(M87-L87)-(M61-L61)-(M72-L72)+532</f>
        <v>894</v>
      </c>
      <c r="N111" s="56">
        <f>(N87-M87)-(N61-M61)-(N72-M72)-40</f>
        <v>-152</v>
      </c>
      <c r="O111" s="56">
        <f>(O87-N87)-(O61-N61)-(O72-N72)-27</f>
        <v>-466</v>
      </c>
      <c r="P111" s="56">
        <f>(P87-O87)-(P61-O61)-(P72-O72)-12</f>
        <v>-41</v>
      </c>
      <c r="Q111" s="56">
        <v>-436</v>
      </c>
      <c r="R111" s="56">
        <f>(R87-Q87)-(R61-Q61)-(R72-Q72)+15</f>
        <v>-653</v>
      </c>
      <c r="S111" s="56">
        <v>796</v>
      </c>
      <c r="T111" s="56">
        <v>-282</v>
      </c>
      <c r="U111" s="56">
        <v>84</v>
      </c>
      <c r="V111" s="56">
        <v>-122</v>
      </c>
      <c r="W111" s="56">
        <v>1770</v>
      </c>
      <c r="X111" s="56">
        <v>1393</v>
      </c>
      <c r="Y111" s="56">
        <v>408</v>
      </c>
      <c r="Z111" s="56">
        <v>1275</v>
      </c>
      <c r="AA111" s="56">
        <v>-782</v>
      </c>
      <c r="AB111" s="56">
        <v>-1382</v>
      </c>
      <c r="AC111" s="56">
        <v>186</v>
      </c>
      <c r="AD111" s="56">
        <v>-817</v>
      </c>
      <c r="AE111" s="56">
        <v>-1455</v>
      </c>
      <c r="AF111" s="56">
        <v>-2357</v>
      </c>
      <c r="AG111" s="56">
        <v>3284</v>
      </c>
      <c r="AH111" s="56">
        <v>-23</v>
      </c>
      <c r="AI111" s="475">
        <f>(AI87-AH87)+(AI81-AH81)-(AI61-AH61)-(AI72-AH72)</f>
        <v>-135.08074313479665</v>
      </c>
      <c r="AJ111" s="475">
        <f>(AJ87-AI87)+(AJ81-AI81)-(AJ61-AI61)-(AJ72-AI72)</f>
        <v>-616.59577247984998</v>
      </c>
      <c r="AK111" s="475">
        <f>(AK87-AJ87)+(AK81-AJ81)-(AK61-AJ61)-(AK72-AJ72)</f>
        <v>-1113.9046074493708</v>
      </c>
      <c r="AL111" s="475">
        <f>(AL87-AK87)+(AL81-AK81)-(AL61-AK61)-(AL72-AK72)</f>
        <v>-1627.4446838057011</v>
      </c>
      <c r="AM111" s="475">
        <f>(AM87-AL87)+(AM81-AL81)-(AM61-AL61)-(AM72-AL72)</f>
        <v>-2157.6697098745317</v>
      </c>
      <c r="AN111" s="475">
        <f t="shared" ref="AN111" si="225">(AN87-AM87)+(AN81-AM81)-(AN61-AM61)-(AN72-AM72)</f>
        <v>-2958.4721745670722</v>
      </c>
      <c r="AO111" s="18"/>
      <c r="AP111" s="46"/>
      <c r="AQ111" s="23"/>
      <c r="AR111" s="23"/>
      <c r="AS111" s="23"/>
      <c r="AT111" s="18"/>
      <c r="AU111" s="18"/>
      <c r="AV111" s="18"/>
      <c r="AW111" s="18"/>
    </row>
    <row r="112" spans="1:49" s="16" customFormat="1">
      <c r="A112" s="21" t="s">
        <v>322</v>
      </c>
      <c r="B112" s="56">
        <v>0</v>
      </c>
      <c r="C112" s="56">
        <v>0</v>
      </c>
      <c r="D112" s="56">
        <v>-410</v>
      </c>
      <c r="E112" s="56">
        <v>0</v>
      </c>
      <c r="F112" s="56">
        <v>0</v>
      </c>
      <c r="G112" s="56">
        <v>-173.49899999999889</v>
      </c>
      <c r="H112" s="56">
        <v>-460.28213636363762</v>
      </c>
      <c r="I112" s="56">
        <v>-705</v>
      </c>
      <c r="J112" s="56">
        <v>-593</v>
      </c>
      <c r="K112" s="56">
        <v>-607</v>
      </c>
      <c r="L112" s="56">
        <v>-1106</v>
      </c>
      <c r="M112" s="56">
        <v>-2044</v>
      </c>
      <c r="N112" s="56">
        <v>-495</v>
      </c>
      <c r="O112" s="56">
        <v>-13</v>
      </c>
      <c r="P112" s="56">
        <v>-551</v>
      </c>
      <c r="Q112" s="56">
        <v>-462</v>
      </c>
      <c r="R112" s="56">
        <v>-493</v>
      </c>
      <c r="S112" s="56">
        <v>0</v>
      </c>
      <c r="T112" s="56">
        <v>0</v>
      </c>
      <c r="U112" s="56">
        <v>0</v>
      </c>
      <c r="V112" s="56">
        <v>0</v>
      </c>
      <c r="W112" s="56">
        <v>0</v>
      </c>
      <c r="X112" s="56">
        <v>0</v>
      </c>
      <c r="Y112" s="56">
        <v>-1264</v>
      </c>
      <c r="Z112" s="56">
        <v>0</v>
      </c>
      <c r="AA112" s="56">
        <v>-786</v>
      </c>
      <c r="AB112" s="56">
        <v>0</v>
      </c>
      <c r="AC112" s="56">
        <f>'SOC Accounts'!AC19</f>
        <v>0</v>
      </c>
      <c r="AD112" s="56">
        <f>'SOC Accounts'!AD19</f>
        <v>0</v>
      </c>
      <c r="AE112" s="56">
        <f>'SOC Accounts'!AE19</f>
        <v>0</v>
      </c>
      <c r="AF112" s="56">
        <f>'SOC Accounts'!AF19</f>
        <v>-715</v>
      </c>
      <c r="AG112" s="56">
        <f>'SOC Accounts'!AG19</f>
        <v>-271</v>
      </c>
      <c r="AH112" s="56">
        <f>'SOC Accounts'!AH19</f>
        <v>-20</v>
      </c>
      <c r="AI112" s="56">
        <f>'SOC Accounts'!AI19</f>
        <v>-20.337067759160199</v>
      </c>
      <c r="AJ112" s="56">
        <f>'SOC Accounts'!AJ19</f>
        <v>-20.691254833028893</v>
      </c>
      <c r="AK112" s="56">
        <f>'SOC Accounts'!AK19</f>
        <v>-21.063030808434561</v>
      </c>
      <c r="AL112" s="56">
        <f>'SOC Accounts'!AL19</f>
        <v>-21.452882839311851</v>
      </c>
      <c r="AM112" s="56">
        <f>'SOC Accounts'!AM19</f>
        <v>-21.861316201669347</v>
      </c>
      <c r="AN112" s="56">
        <f>'SOC Accounts'!AN19</f>
        <v>-22.288854867734734</v>
      </c>
      <c r="AO112" s="18"/>
      <c r="AP112" s="46"/>
      <c r="AQ112" s="23"/>
      <c r="AR112" s="23"/>
      <c r="AS112" s="23"/>
      <c r="AT112" s="18"/>
      <c r="AU112" s="18"/>
      <c r="AV112" s="18"/>
      <c r="AW112" s="18"/>
    </row>
    <row r="113" spans="1:49" s="16" customFormat="1">
      <c r="A113" s="21" t="s">
        <v>323</v>
      </c>
      <c r="B113" s="56">
        <v>-268.0068</v>
      </c>
      <c r="C113" s="56">
        <v>-407</v>
      </c>
      <c r="D113" s="56">
        <v>-345</v>
      </c>
      <c r="E113" s="56">
        <v>-211</v>
      </c>
      <c r="F113" s="56">
        <v>-137</v>
      </c>
      <c r="G113" s="56">
        <v>-142</v>
      </c>
      <c r="H113" s="56">
        <v>-152</v>
      </c>
      <c r="I113" s="56">
        <v>-190.99999999999997</v>
      </c>
      <c r="J113" s="56">
        <v>-162</v>
      </c>
      <c r="K113" s="56">
        <v>-166</v>
      </c>
      <c r="L113" s="56">
        <v>-171</v>
      </c>
      <c r="M113" s="56">
        <v>-173.21</v>
      </c>
      <c r="N113" s="56">
        <v>-176.792</v>
      </c>
      <c r="O113" s="56">
        <v>-334</v>
      </c>
      <c r="P113" s="56">
        <v>-340</v>
      </c>
      <c r="Q113" s="56">
        <v>-433</v>
      </c>
      <c r="R113" s="56">
        <v>-246</v>
      </c>
      <c r="S113" s="56">
        <v>-72</v>
      </c>
      <c r="T113" s="56">
        <v>0</v>
      </c>
      <c r="U113" s="56">
        <v>0</v>
      </c>
      <c r="V113" s="56">
        <v>0</v>
      </c>
      <c r="W113" s="56">
        <v>0</v>
      </c>
      <c r="X113" s="56">
        <v>0</v>
      </c>
      <c r="Y113" s="56">
        <v>2</v>
      </c>
      <c r="Z113" s="56">
        <v>2</v>
      </c>
      <c r="AA113" s="56">
        <v>0</v>
      </c>
      <c r="AB113" s="56">
        <v>0</v>
      </c>
      <c r="AC113" s="56">
        <f>'SOC Accounts'!AC32+'SOC Accounts'!AC33</f>
        <v>-11</v>
      </c>
      <c r="AD113" s="56">
        <f>'SOC Accounts'!AD32+'SOC Accounts'!AD33</f>
        <v>-22</v>
      </c>
      <c r="AE113" s="56">
        <f>'SOC Accounts'!AE32+'SOC Accounts'!AE33</f>
        <v>-18</v>
      </c>
      <c r="AF113" s="56">
        <f>'SOC Accounts'!AF32+'SOC Accounts'!AF33</f>
        <v>-3</v>
      </c>
      <c r="AG113" s="56">
        <f>'SOC Accounts'!AG32+'SOC Accounts'!AG33</f>
        <v>-40</v>
      </c>
      <c r="AH113" s="56">
        <f>'SOC Accounts'!AH32+'SOC Accounts'!AH33</f>
        <v>-114</v>
      </c>
      <c r="AI113" s="56">
        <f>'SOC Accounts'!AI32+'SOC Accounts'!AI33</f>
        <v>-114</v>
      </c>
      <c r="AJ113" s="56">
        <f>'SOC Accounts'!AJ32+'SOC Accounts'!AJ33</f>
        <v>-114</v>
      </c>
      <c r="AK113" s="56">
        <f>'SOC Accounts'!AK32+'SOC Accounts'!AK33</f>
        <v>-114</v>
      </c>
      <c r="AL113" s="56">
        <f>'SOC Accounts'!AL32+'SOC Accounts'!AL33</f>
        <v>-114</v>
      </c>
      <c r="AM113" s="56">
        <f>'SOC Accounts'!AM32+'SOC Accounts'!AM33</f>
        <v>-114</v>
      </c>
      <c r="AN113" s="56">
        <f>'SOC Accounts'!AN32+'SOC Accounts'!AN33</f>
        <v>-114</v>
      </c>
      <c r="AO113" s="18"/>
      <c r="AP113" s="46"/>
      <c r="AQ113" s="23"/>
      <c r="AR113" s="23"/>
      <c r="AS113" s="23"/>
      <c r="AT113" s="18"/>
      <c r="AU113" s="18"/>
      <c r="AV113" s="18"/>
      <c r="AW113" s="18"/>
    </row>
    <row r="114" spans="1:49" s="16" customFormat="1">
      <c r="A114" s="21" t="s">
        <v>340</v>
      </c>
      <c r="B114" s="56">
        <v>0</v>
      </c>
      <c r="C114" s="56">
        <v>0</v>
      </c>
      <c r="D114" s="56">
        <v>0</v>
      </c>
      <c r="E114" s="56">
        <v>0</v>
      </c>
      <c r="F114" s="56">
        <v>0</v>
      </c>
      <c r="G114" s="56">
        <v>0</v>
      </c>
      <c r="H114" s="56">
        <v>0</v>
      </c>
      <c r="I114" s="56">
        <v>0</v>
      </c>
      <c r="J114" s="56">
        <v>-37</v>
      </c>
      <c r="K114" s="56">
        <v>0</v>
      </c>
      <c r="L114" s="56">
        <v>-96</v>
      </c>
      <c r="M114" s="56">
        <v>-494</v>
      </c>
      <c r="N114" s="56">
        <v>-176</v>
      </c>
      <c r="O114" s="56">
        <v>0</v>
      </c>
      <c r="P114" s="56">
        <v>0</v>
      </c>
      <c r="Q114" s="56">
        <v>0</v>
      </c>
      <c r="R114" s="56">
        <v>0</v>
      </c>
      <c r="S114" s="56">
        <v>0</v>
      </c>
      <c r="T114" s="56">
        <v>0</v>
      </c>
      <c r="U114" s="56">
        <v>0</v>
      </c>
      <c r="V114" s="56">
        <v>525</v>
      </c>
      <c r="W114" s="56">
        <v>-525</v>
      </c>
      <c r="X114" s="56">
        <v>72</v>
      </c>
      <c r="Y114" s="56">
        <v>0</v>
      </c>
      <c r="Z114" s="56">
        <v>0</v>
      </c>
      <c r="AA114" s="56">
        <v>155</v>
      </c>
      <c r="AB114" s="56">
        <v>-181</v>
      </c>
      <c r="AC114" s="56">
        <v>-46</v>
      </c>
      <c r="AD114" s="56">
        <v>337</v>
      </c>
      <c r="AE114" s="56">
        <v>-9</v>
      </c>
      <c r="AF114" s="56">
        <f>-242</f>
        <v>-242</v>
      </c>
      <c r="AG114" s="56">
        <f>-126</f>
        <v>-126</v>
      </c>
      <c r="AH114" s="56">
        <v>0</v>
      </c>
      <c r="AI114" s="475">
        <f>+'SOC Accounts'!AI38+'SOC Accounts'!AI39+'SOC Accounts'!AI26</f>
        <v>0</v>
      </c>
      <c r="AJ114" s="475">
        <f>+'SOC Accounts'!AJ38+'SOC Accounts'!AJ39+'SOC Accounts'!AJ26</f>
        <v>0</v>
      </c>
      <c r="AK114" s="475">
        <f>+'SOC Accounts'!AK38+'SOC Accounts'!AK39+'SOC Accounts'!AK26</f>
        <v>0</v>
      </c>
      <c r="AL114" s="475">
        <f>+'SOC Accounts'!AL38+'SOC Accounts'!AL39+'SOC Accounts'!AL26</f>
        <v>0</v>
      </c>
      <c r="AM114" s="475">
        <f>+'SOC Accounts'!AM38+'SOC Accounts'!AM39+'SOC Accounts'!AM26</f>
        <v>0</v>
      </c>
      <c r="AN114" s="475">
        <f>+'SOC Accounts'!AN38+'SOC Accounts'!AN39+'SOC Accounts'!AN26</f>
        <v>0</v>
      </c>
      <c r="AO114" s="18"/>
      <c r="AP114" s="46"/>
      <c r="AQ114" s="23"/>
      <c r="AR114" s="23"/>
      <c r="AS114" s="23"/>
      <c r="AT114" s="18"/>
      <c r="AU114" s="18"/>
      <c r="AV114" s="18"/>
      <c r="AW114" s="18"/>
    </row>
    <row r="115" spans="1:49" s="16" customFormat="1">
      <c r="A115" s="22" t="s">
        <v>339</v>
      </c>
      <c r="B115" s="56">
        <v>243</v>
      </c>
      <c r="C115" s="56">
        <v>283</v>
      </c>
      <c r="D115" s="56">
        <v>272</v>
      </c>
      <c r="E115" s="56">
        <v>215</v>
      </c>
      <c r="F115" s="56">
        <v>174</v>
      </c>
      <c r="G115" s="56">
        <v>134</v>
      </c>
      <c r="H115" s="56">
        <v>158</v>
      </c>
      <c r="I115" s="56">
        <v>290</v>
      </c>
      <c r="J115" s="56">
        <v>280</v>
      </c>
      <c r="K115" s="56">
        <v>305</v>
      </c>
      <c r="L115" s="56">
        <v>319</v>
      </c>
      <c r="M115" s="56">
        <v>287</v>
      </c>
      <c r="N115" s="56">
        <v>253</v>
      </c>
      <c r="O115" s="56">
        <v>0</v>
      </c>
      <c r="P115" s="56">
        <v>0</v>
      </c>
      <c r="Q115" s="56">
        <v>0</v>
      </c>
      <c r="R115" s="56">
        <v>0</v>
      </c>
      <c r="S115" s="56">
        <v>0</v>
      </c>
      <c r="T115" s="56">
        <v>0</v>
      </c>
      <c r="U115" s="56">
        <v>0</v>
      </c>
      <c r="V115" s="56">
        <v>0</v>
      </c>
      <c r="W115" s="56">
        <v>0</v>
      </c>
      <c r="X115" s="56">
        <v>0</v>
      </c>
      <c r="Y115" s="56">
        <v>0</v>
      </c>
      <c r="Z115" s="56">
        <v>0</v>
      </c>
      <c r="AA115" s="56">
        <v>0</v>
      </c>
      <c r="AB115" s="56">
        <v>0</v>
      </c>
      <c r="AC115" s="56">
        <v>0</v>
      </c>
      <c r="AD115" s="56">
        <v>0</v>
      </c>
      <c r="AE115" s="56">
        <v>0</v>
      </c>
      <c r="AF115" s="56">
        <v>0</v>
      </c>
      <c r="AG115" s="56">
        <v>0</v>
      </c>
      <c r="AH115" s="56">
        <v>0</v>
      </c>
      <c r="AI115" s="56">
        <v>0</v>
      </c>
      <c r="AJ115" s="56">
        <v>0</v>
      </c>
      <c r="AK115" s="56">
        <v>0</v>
      </c>
      <c r="AL115" s="56">
        <v>0</v>
      </c>
      <c r="AM115" s="56">
        <v>0</v>
      </c>
      <c r="AN115" s="56">
        <v>0</v>
      </c>
      <c r="AO115" s="18"/>
      <c r="AP115" s="46"/>
      <c r="AQ115" s="23"/>
      <c r="AR115" s="23"/>
      <c r="AS115" s="23"/>
      <c r="AT115" s="18"/>
      <c r="AU115" s="18"/>
      <c r="AV115" s="18"/>
      <c r="AW115" s="18"/>
    </row>
    <row r="116" spans="1:49" s="16" customFormat="1">
      <c r="A116" s="22" t="s">
        <v>324</v>
      </c>
      <c r="B116" s="56">
        <v>373</v>
      </c>
      <c r="C116" s="56">
        <v>625</v>
      </c>
      <c r="D116" s="56">
        <v>-493</v>
      </c>
      <c r="E116" s="56">
        <v>-525</v>
      </c>
      <c r="F116" s="56">
        <v>-493</v>
      </c>
      <c r="G116" s="56">
        <v>-320.50100000000111</v>
      </c>
      <c r="H116" s="56">
        <v>1556.2821363636376</v>
      </c>
      <c r="I116" s="56">
        <v>1497</v>
      </c>
      <c r="J116" s="56">
        <v>1386</v>
      </c>
      <c r="K116" s="56">
        <v>1201</v>
      </c>
      <c r="L116" s="56">
        <v>1420</v>
      </c>
      <c r="M116" s="56">
        <v>572</v>
      </c>
      <c r="N116" s="56">
        <v>219</v>
      </c>
      <c r="O116" s="56">
        <v>527</v>
      </c>
      <c r="P116" s="56">
        <v>-202</v>
      </c>
      <c r="Q116" s="56">
        <v>-353</v>
      </c>
      <c r="R116" s="56">
        <v>168</v>
      </c>
      <c r="S116" s="56">
        <v>39</v>
      </c>
      <c r="T116" s="56">
        <v>-33</v>
      </c>
      <c r="U116" s="56">
        <v>-714</v>
      </c>
      <c r="V116" s="56">
        <v>169</v>
      </c>
      <c r="W116" s="56">
        <v>-693</v>
      </c>
      <c r="X116" s="56">
        <v>1007</v>
      </c>
      <c r="Y116" s="56">
        <v>-181</v>
      </c>
      <c r="Z116" s="56">
        <v>-260</v>
      </c>
      <c r="AA116" s="56">
        <v>-98</v>
      </c>
      <c r="AB116" s="56">
        <v>322</v>
      </c>
      <c r="AC116" s="56">
        <v>714</v>
      </c>
      <c r="AD116" s="56">
        <v>660</v>
      </c>
      <c r="AE116" s="56">
        <v>1183</v>
      </c>
      <c r="AF116" s="56">
        <v>604</v>
      </c>
      <c r="AG116" s="56">
        <v>-48</v>
      </c>
      <c r="AH116" s="56">
        <v>505</v>
      </c>
      <c r="AI116" s="475">
        <f>'SOC Accounts'!AI18+'SOC Accounts'!AI20</f>
        <v>706.07648975506345</v>
      </c>
      <c r="AJ116" s="475">
        <f>'SOC Accounts'!AJ18+'SOC Accounts'!AJ20</f>
        <v>977.91532258979896</v>
      </c>
      <c r="AK116" s="475">
        <f>'SOC Accounts'!AK18+'SOC Accounts'!AK20</f>
        <v>1358.2283266783634</v>
      </c>
      <c r="AL116" s="475">
        <f>'SOC Accounts'!AL18+'SOC Accounts'!AL20</f>
        <v>1814.1757667026413</v>
      </c>
      <c r="AM116" s="475">
        <f>'SOC Accounts'!AM18+'SOC Accounts'!AM20</f>
        <v>2345.64132632152</v>
      </c>
      <c r="AN116" s="475">
        <f>'SOC Accounts'!AN18+'SOC Accounts'!AN20</f>
        <v>2931.0394755499801</v>
      </c>
      <c r="AO116" s="18"/>
      <c r="AP116" s="46"/>
      <c r="AQ116" s="23"/>
      <c r="AR116" s="23"/>
      <c r="AS116" s="23"/>
      <c r="AT116" s="18"/>
      <c r="AU116" s="18"/>
      <c r="AV116" s="18"/>
      <c r="AW116" s="18"/>
    </row>
    <row r="117" spans="1:49" s="19" customFormat="1">
      <c r="A117" s="412" t="s">
        <v>325</v>
      </c>
      <c r="B117" s="413">
        <f t="shared" ref="B117:P117" si="226">B121-SUM(B118:B120)</f>
        <v>4350</v>
      </c>
      <c r="C117" s="413">
        <f t="shared" si="226"/>
        <v>5355</v>
      </c>
      <c r="D117" s="413">
        <f t="shared" si="226"/>
        <v>3408</v>
      </c>
      <c r="E117" s="413">
        <f t="shared" si="226"/>
        <v>3812</v>
      </c>
      <c r="F117" s="413">
        <f t="shared" si="226"/>
        <v>4005</v>
      </c>
      <c r="G117" s="413">
        <f t="shared" si="226"/>
        <v>4285</v>
      </c>
      <c r="H117" s="413">
        <f t="shared" si="226"/>
        <v>7459</v>
      </c>
      <c r="I117" s="413">
        <f t="shared" si="226"/>
        <v>8894</v>
      </c>
      <c r="J117" s="413">
        <f t="shared" si="226"/>
        <v>7574.3652732695655</v>
      </c>
      <c r="K117" s="413">
        <f t="shared" si="226"/>
        <v>7573.6</v>
      </c>
      <c r="L117" s="413">
        <f t="shared" si="226"/>
        <v>7644.2000000000007</v>
      </c>
      <c r="M117" s="413">
        <f t="shared" si="226"/>
        <v>7925.5229699931215</v>
      </c>
      <c r="N117" s="413">
        <f t="shared" si="226"/>
        <v>9876.2080000000005</v>
      </c>
      <c r="O117" s="413">
        <f t="shared" si="226"/>
        <v>11508.851774530271</v>
      </c>
      <c r="P117" s="413">
        <f t="shared" si="226"/>
        <v>16353</v>
      </c>
      <c r="Q117" s="413">
        <f>Q121-SUM(Q118:Q120)</f>
        <v>15078</v>
      </c>
      <c r="R117" s="413">
        <f>R121-SUM(R118:R120)</f>
        <v>15988</v>
      </c>
      <c r="S117" s="413">
        <f t="shared" ref="S117:AB117" si="227">S121-SUM(S118:S120)</f>
        <v>16342</v>
      </c>
      <c r="T117" s="413">
        <f t="shared" si="227"/>
        <v>17197</v>
      </c>
      <c r="U117" s="413">
        <f t="shared" si="227"/>
        <v>21797</v>
      </c>
      <c r="V117" s="413">
        <f t="shared" si="227"/>
        <v>22904</v>
      </c>
      <c r="W117" s="413">
        <f t="shared" si="227"/>
        <v>22600</v>
      </c>
      <c r="X117" s="413">
        <f t="shared" si="227"/>
        <v>25116</v>
      </c>
      <c r="Y117" s="413">
        <f t="shared" si="227"/>
        <v>22286</v>
      </c>
      <c r="Z117" s="413">
        <f t="shared" si="227"/>
        <v>25098</v>
      </c>
      <c r="AA117" s="413">
        <f t="shared" si="227"/>
        <v>24831</v>
      </c>
      <c r="AB117" s="413">
        <f t="shared" si="227"/>
        <v>25957</v>
      </c>
      <c r="AC117" s="413">
        <f>SUM(AC102:AC116)</f>
        <v>23859</v>
      </c>
      <c r="AD117" s="413">
        <f t="shared" ref="AD117:AF117" si="228">SUM(AD102:AD116)</f>
        <v>23632</v>
      </c>
      <c r="AE117" s="413">
        <f t="shared" si="228"/>
        <v>20376</v>
      </c>
      <c r="AF117" s="413">
        <f t="shared" si="228"/>
        <v>14632</v>
      </c>
      <c r="AG117" s="413">
        <f t="shared" ref="AG117" si="229">SUM(AG102:AG116)</f>
        <v>24954</v>
      </c>
      <c r="AH117" s="413">
        <f t="shared" ref="AH117" si="230">SUM(AH102:AH116)</f>
        <v>24737</v>
      </c>
      <c r="AI117" s="413">
        <f t="shared" ref="AI117:AN117" si="231">SUM(AI102:AI116)</f>
        <v>24909.262620719332</v>
      </c>
      <c r="AJ117" s="413">
        <f t="shared" si="231"/>
        <v>25719.697922138686</v>
      </c>
      <c r="AK117" s="413">
        <f t="shared" si="231"/>
        <v>26360.480746687255</v>
      </c>
      <c r="AL117" s="413">
        <f t="shared" si="231"/>
        <v>26909.244294565484</v>
      </c>
      <c r="AM117" s="413">
        <f t="shared" si="231"/>
        <v>27458.222779070806</v>
      </c>
      <c r="AN117" s="413">
        <f t="shared" si="231"/>
        <v>27791.698517986337</v>
      </c>
      <c r="AO117" s="18"/>
      <c r="AP117" s="46"/>
      <c r="AQ117" s="23"/>
      <c r="AR117" s="23"/>
      <c r="AS117" s="23"/>
      <c r="AT117" s="18"/>
      <c r="AU117" s="18"/>
      <c r="AV117" s="18"/>
      <c r="AW117" s="18"/>
    </row>
    <row r="118" spans="1:49" s="16" customFormat="1">
      <c r="A118" s="22" t="s">
        <v>326</v>
      </c>
      <c r="B118" s="56">
        <f>100-255-15-211+78</f>
        <v>-303</v>
      </c>
      <c r="C118" s="56">
        <f>1421-159+10+16-38</f>
        <v>1250</v>
      </c>
      <c r="D118" s="56">
        <f>-71+17-3+462-2</f>
        <v>403</v>
      </c>
      <c r="E118" s="56">
        <f>-106-5+119+330</f>
        <v>338</v>
      </c>
      <c r="F118" s="56">
        <f>-138-13-26</f>
        <v>-177</v>
      </c>
      <c r="G118" s="56">
        <f>-34+68+56</f>
        <v>90</v>
      </c>
      <c r="H118" s="56">
        <f>-592-42-78</f>
        <v>-712</v>
      </c>
      <c r="I118" s="56">
        <f>370-349+54</f>
        <v>75</v>
      </c>
      <c r="J118" s="56">
        <f>220+15-394</f>
        <v>-159</v>
      </c>
      <c r="K118" s="56">
        <f>-408+114+27</f>
        <v>-267</v>
      </c>
      <c r="L118" s="56">
        <f>-150-27+248+134</f>
        <v>205</v>
      </c>
      <c r="M118" s="56">
        <f>-158+29+61</f>
        <v>-68</v>
      </c>
      <c r="N118" s="56">
        <f>1695+95-196+32</f>
        <v>1626</v>
      </c>
      <c r="O118" s="56">
        <f>238+220+109+29</f>
        <v>596</v>
      </c>
      <c r="P118" s="56">
        <f>-110+260+127+185-21</f>
        <v>441</v>
      </c>
      <c r="Q118" s="56">
        <f>4-100+260-52+57+602+100</f>
        <v>871</v>
      </c>
      <c r="R118" s="56">
        <f>-1836+617+145+199+124+679</f>
        <v>-72</v>
      </c>
      <c r="S118" s="56">
        <f>-357+111-836-202+285+55</f>
        <v>-944</v>
      </c>
      <c r="T118" s="56">
        <f>-2270+184+105+211+1371+12</f>
        <v>-387</v>
      </c>
      <c r="U118" s="56">
        <f>-3539+61-29-440+589+278</f>
        <v>-3080</v>
      </c>
      <c r="V118" s="56">
        <f>-1956+114-374-917+4883-216</f>
        <v>1534</v>
      </c>
      <c r="W118" s="56">
        <f>-1175+90+687-564+171-11</f>
        <v>-802</v>
      </c>
      <c r="X118" s="56">
        <f>2212+68-655-3345+35</f>
        <v>-1685</v>
      </c>
      <c r="Y118" s="56">
        <f>-135+54-168-1470+427</f>
        <v>-1292</v>
      </c>
      <c r="Z118" s="56">
        <f>145+45-30+63+32</f>
        <v>255</v>
      </c>
      <c r="AA118" s="56">
        <f>-2263+56-149+443+3917-329</f>
        <v>1675</v>
      </c>
      <c r="AB118" s="56">
        <f>-688+64-51+694+361+247</f>
        <v>627</v>
      </c>
      <c r="AC118" s="56">
        <f>341+119-56-725-47</f>
        <v>-368</v>
      </c>
      <c r="AD118" s="56">
        <f>-144-257+660+535+119</f>
        <v>913</v>
      </c>
      <c r="AE118" s="56">
        <f>-2347+272+2068+128-20</f>
        <v>101</v>
      </c>
      <c r="AF118" s="56">
        <f>-1252-3498-33+2512+1398-204</f>
        <v>-1077</v>
      </c>
      <c r="AG118" s="56">
        <f>375+1839+17-953-397-238</f>
        <v>643</v>
      </c>
      <c r="AH118" s="56">
        <f>-395-552-5+659+396+338</f>
        <v>441</v>
      </c>
      <c r="AI118" s="475">
        <f>AH60-AI60+AH62-AI62+AI83-AH83+AI82-AH82</f>
        <v>-35.205583646275045</v>
      </c>
      <c r="AJ118" s="475">
        <f>AI60-AJ60+AI62-AJ62+AJ83-AI83+AJ82-AI82</f>
        <v>-114.45308618223498</v>
      </c>
      <c r="AK118" s="475">
        <f>AJ60-AK60+AJ62-AK62+AK83-AJ83+AK82-AJ82</f>
        <v>-44.464063090137643</v>
      </c>
      <c r="AL118" s="475">
        <f>AK60-AL60+AK62-AL62+AL83-AK83+AL82-AK82</f>
        <v>-9.8053372701142507</v>
      </c>
      <c r="AM118" s="475">
        <f>AL60-AM60+AL62-AM62+AM83-AL83+AM82-AL82</f>
        <v>8.1595264004354249</v>
      </c>
      <c r="AN118" s="475">
        <f t="shared" ref="AN118" si="232">AM60-AN60+AM62-AN62+AN83-AM83+AN82-AM82</f>
        <v>36.084793272792012</v>
      </c>
      <c r="AO118" s="18"/>
      <c r="AP118" s="46"/>
      <c r="AQ118" s="23"/>
      <c r="AR118" s="23"/>
      <c r="AS118" s="23"/>
      <c r="AT118" s="18"/>
      <c r="AU118" s="18"/>
      <c r="AV118" s="18"/>
      <c r="AW118" s="18"/>
    </row>
    <row r="119" spans="1:49" s="16" customFormat="1">
      <c r="A119" s="22" t="s">
        <v>332</v>
      </c>
      <c r="B119" s="56">
        <v>-133</v>
      </c>
      <c r="C119" s="56">
        <f>-48-26</f>
        <v>-74</v>
      </c>
      <c r="D119" s="56">
        <f>100-116-28</f>
        <v>-44</v>
      </c>
      <c r="E119" s="56">
        <f>117-112-46</f>
        <v>-41</v>
      </c>
      <c r="F119" s="56">
        <f>85-98-76</f>
        <v>-89</v>
      </c>
      <c r="G119" s="56">
        <f>646-306</f>
        <v>340</v>
      </c>
      <c r="H119" s="56">
        <f>1125-326</f>
        <v>799</v>
      </c>
      <c r="I119" s="56">
        <f>920-382</f>
        <v>538</v>
      </c>
      <c r="J119" s="56">
        <f>134-208</f>
        <v>-74</v>
      </c>
      <c r="K119" s="56">
        <f>-192+30</f>
        <v>-162</v>
      </c>
      <c r="L119" s="56">
        <f>-164+15</f>
        <v>-149</v>
      </c>
      <c r="M119" s="56">
        <f>-579+17</f>
        <v>-562</v>
      </c>
      <c r="N119" s="56">
        <f>-807+62</f>
        <v>-745</v>
      </c>
      <c r="O119" s="56">
        <f>-1026+118</f>
        <v>-908</v>
      </c>
      <c r="P119" s="56">
        <f>-4407+143</f>
        <v>-4264</v>
      </c>
      <c r="Q119" s="56">
        <v>-4778</v>
      </c>
      <c r="R119" s="56">
        <v>-3942</v>
      </c>
      <c r="S119" s="56">
        <f>-3354+55</f>
        <v>-3299</v>
      </c>
      <c r="T119" s="56">
        <f>-4199+99</f>
        <v>-4100</v>
      </c>
      <c r="U119" s="56">
        <f>-5438+145</f>
        <v>-5293</v>
      </c>
      <c r="V119" s="56">
        <f>-5928+281</f>
        <v>-5647</v>
      </c>
      <c r="W119" s="56">
        <f>-5612+205</f>
        <v>-5407</v>
      </c>
      <c r="X119" s="56">
        <f>130-3723</f>
        <v>-3593</v>
      </c>
      <c r="Y119" s="56">
        <f>161-3841</f>
        <v>-3680</v>
      </c>
      <c r="Z119" s="56">
        <f>137-1901</f>
        <v>-1764</v>
      </c>
      <c r="AA119" s="56">
        <f>145-1779</f>
        <v>-1634</v>
      </c>
      <c r="AB119" s="56">
        <f>186-1890</f>
        <v>-1704</v>
      </c>
      <c r="AC119" s="56">
        <f>165-1771</f>
        <v>-1606</v>
      </c>
      <c r="AD119" s="56">
        <f>138-1820</f>
        <v>-1682</v>
      </c>
      <c r="AE119" s="56">
        <f>104-1575</f>
        <v>-1471</v>
      </c>
      <c r="AF119" s="56">
        <f>153-1854</f>
        <v>-1701</v>
      </c>
      <c r="AG119" s="56">
        <f>189-1597</f>
        <v>-1408</v>
      </c>
      <c r="AH119" s="56">
        <f>209-1765</f>
        <v>-1556</v>
      </c>
      <c r="AI119" s="475">
        <f>Driver!AI106</f>
        <v>-1913.858812169583</v>
      </c>
      <c r="AJ119" s="475">
        <f>Driver!AJ106</f>
        <v>-1824.1634507138988</v>
      </c>
      <c r="AK119" s="475">
        <f>Driver!AK106</f>
        <v>-1858.2521392119243</v>
      </c>
      <c r="AL119" s="475">
        <f>Driver!AL106</f>
        <v>-1882.3671797957927</v>
      </c>
      <c r="AM119" s="475">
        <f>Driver!AM106</f>
        <v>-1882.3671797957927</v>
      </c>
      <c r="AN119" s="475">
        <f>Driver!AN106</f>
        <v>-1882.3671797957927</v>
      </c>
      <c r="AO119" s="18"/>
      <c r="AP119" s="46"/>
      <c r="AQ119" s="23"/>
      <c r="AR119" s="23"/>
      <c r="AS119" s="23"/>
      <c r="AT119" s="18"/>
      <c r="AU119" s="18"/>
      <c r="AV119" s="18"/>
      <c r="AW119" s="18"/>
    </row>
    <row r="120" spans="1:49" s="16" customFormat="1">
      <c r="A120" s="22" t="s">
        <v>327</v>
      </c>
      <c r="B120" s="56">
        <v>-144</v>
      </c>
      <c r="C120" s="56">
        <v>-160</v>
      </c>
      <c r="D120" s="56">
        <v>-590</v>
      </c>
      <c r="E120" s="56">
        <v>-238</v>
      </c>
      <c r="F120" s="56">
        <v>-114</v>
      </c>
      <c r="G120" s="56">
        <v>-358</v>
      </c>
      <c r="H120" s="56">
        <v>-413</v>
      </c>
      <c r="I120" s="56">
        <v>-1589</v>
      </c>
      <c r="J120" s="56">
        <v>-454</v>
      </c>
      <c r="K120" s="56">
        <v>-1007</v>
      </c>
      <c r="L120" s="56">
        <v>-747</v>
      </c>
      <c r="M120" s="56">
        <v>-860</v>
      </c>
      <c r="N120" s="56">
        <v>-562</v>
      </c>
      <c r="O120" s="56">
        <v>-1085</v>
      </c>
      <c r="P120" s="56">
        <v>-1009</v>
      </c>
      <c r="Q120" s="56">
        <v>-1026</v>
      </c>
      <c r="R120" s="56">
        <v>-810</v>
      </c>
      <c r="S120" s="56">
        <v>-924</v>
      </c>
      <c r="T120" s="56">
        <v>-824</v>
      </c>
      <c r="U120" s="56">
        <v>-800</v>
      </c>
      <c r="V120" s="56">
        <v>-804</v>
      </c>
      <c r="W120" s="56">
        <v>-982</v>
      </c>
      <c r="X120" s="56">
        <v>-1595</v>
      </c>
      <c r="Y120" s="56">
        <v>-1987</v>
      </c>
      <c r="Z120" s="56">
        <v>-1814</v>
      </c>
      <c r="AA120" s="56">
        <v>-2234</v>
      </c>
      <c r="AB120" s="56">
        <v>-2819</v>
      </c>
      <c r="AC120" s="56">
        <v>-2322</v>
      </c>
      <c r="AD120" s="56">
        <v>-2182</v>
      </c>
      <c r="AE120" s="56">
        <v>-2521</v>
      </c>
      <c r="AF120" s="56">
        <v>-974</v>
      </c>
      <c r="AG120" s="56">
        <v>-2219</v>
      </c>
      <c r="AH120" s="56">
        <v>-2247</v>
      </c>
      <c r="AI120" s="475">
        <f t="shared" ref="AI120:AN120" si="233">AI23</f>
        <v>-2901.1357307292401</v>
      </c>
      <c r="AJ120" s="475">
        <f t="shared" si="233"/>
        <v>-3092.4598039750058</v>
      </c>
      <c r="AK120" s="475">
        <f t="shared" si="233"/>
        <v>-3244.3778109403829</v>
      </c>
      <c r="AL120" s="475">
        <f t="shared" si="233"/>
        <v>-3404.047681315461</v>
      </c>
      <c r="AM120" s="475">
        <f t="shared" si="233"/>
        <v>-3578.6410212729143</v>
      </c>
      <c r="AN120" s="475">
        <f t="shared" si="233"/>
        <v>-3763.160651672722</v>
      </c>
      <c r="AO120" s="18"/>
      <c r="AP120" s="46"/>
      <c r="AQ120" s="23"/>
      <c r="AR120" s="23"/>
      <c r="AS120" s="23"/>
      <c r="AT120" s="18"/>
      <c r="AU120" s="18"/>
      <c r="AV120" s="18"/>
      <c r="AW120" s="18"/>
    </row>
    <row r="121" spans="1:49" s="19" customFormat="1">
      <c r="A121" s="412" t="s">
        <v>139</v>
      </c>
      <c r="B121" s="413">
        <v>3770</v>
      </c>
      <c r="C121" s="413">
        <v>6371</v>
      </c>
      <c r="D121" s="413">
        <v>3177</v>
      </c>
      <c r="E121" s="413">
        <v>3871</v>
      </c>
      <c r="F121" s="413">
        <v>3625</v>
      </c>
      <c r="G121" s="413">
        <v>4357</v>
      </c>
      <c r="H121" s="413">
        <v>7133</v>
      </c>
      <c r="I121" s="413">
        <v>7918</v>
      </c>
      <c r="J121" s="413">
        <v>6887.3652732695655</v>
      </c>
      <c r="K121" s="413">
        <v>6137.6</v>
      </c>
      <c r="L121" s="413">
        <v>6953.2000000000007</v>
      </c>
      <c r="M121" s="413">
        <v>6435.5229699931215</v>
      </c>
      <c r="N121" s="413">
        <v>10195.208000000001</v>
      </c>
      <c r="O121" s="413">
        <v>10111.851774530271</v>
      </c>
      <c r="P121" s="413">
        <v>11521</v>
      </c>
      <c r="Q121" s="413">
        <v>10145</v>
      </c>
      <c r="R121" s="413">
        <f>15238-4074</f>
        <v>11164</v>
      </c>
      <c r="S121" s="413">
        <f>14529-3354</f>
        <v>11175</v>
      </c>
      <c r="T121" s="413">
        <f>16085-4199</f>
        <v>11886</v>
      </c>
      <c r="U121" s="413">
        <f>18062-5438</f>
        <v>12624</v>
      </c>
      <c r="V121" s="413">
        <f>23915-5928</f>
        <v>17987</v>
      </c>
      <c r="W121" s="413">
        <f>21021-5612</f>
        <v>15409</v>
      </c>
      <c r="X121" s="413">
        <f>21966-3723</f>
        <v>18243</v>
      </c>
      <c r="Y121" s="413">
        <f>19168-3841</f>
        <v>15327</v>
      </c>
      <c r="Z121" s="413">
        <f>23676-1901</f>
        <v>21775</v>
      </c>
      <c r="AA121" s="413">
        <f>24417-1779</f>
        <v>22638</v>
      </c>
      <c r="AB121" s="413">
        <f>23951-1890</f>
        <v>22061</v>
      </c>
      <c r="AC121" s="413">
        <f>SUM(AC117:AC120)</f>
        <v>19563</v>
      </c>
      <c r="AD121" s="413">
        <f t="shared" ref="AD121:AI121" si="234">SUM(AD117:AD120)</f>
        <v>20681</v>
      </c>
      <c r="AE121" s="413">
        <f t="shared" si="234"/>
        <v>16485</v>
      </c>
      <c r="AF121" s="413">
        <f t="shared" si="234"/>
        <v>10880</v>
      </c>
      <c r="AG121" s="413">
        <f t="shared" ref="AG121" si="235">SUM(AG117:AG120)</f>
        <v>21970</v>
      </c>
      <c r="AH121" s="413">
        <f t="shared" ref="AH121" si="236">SUM(AH117:AH120)</f>
        <v>21375</v>
      </c>
      <c r="AI121" s="413">
        <f t="shared" si="234"/>
        <v>20059.062494174235</v>
      </c>
      <c r="AJ121" s="413">
        <f>SUM(AJ117:AJ120)</f>
        <v>20688.621581267547</v>
      </c>
      <c r="AK121" s="413">
        <f>SUM(AK117:AK120)</f>
        <v>21213.386733444811</v>
      </c>
      <c r="AL121" s="413">
        <f>SUM(AL117:AL120)</f>
        <v>21613.024096184115</v>
      </c>
      <c r="AM121" s="413">
        <f>SUM(AM117:AM120)</f>
        <v>22005.374104402534</v>
      </c>
      <c r="AN121" s="413">
        <f>SUM(AN117:AN120)</f>
        <v>22182.255479790612</v>
      </c>
      <c r="AO121" s="18"/>
      <c r="AP121" s="46"/>
      <c r="AQ121" s="23"/>
      <c r="AR121" s="23"/>
      <c r="AS121" s="23"/>
      <c r="AT121" s="18"/>
      <c r="AU121" s="18"/>
      <c r="AV121" s="18"/>
      <c r="AW121" s="18"/>
    </row>
    <row r="122" spans="1:49" s="16" customFormat="1">
      <c r="B122" s="17"/>
      <c r="C122" s="17"/>
      <c r="D122" s="17"/>
      <c r="E122" s="17"/>
      <c r="F122" s="17"/>
      <c r="G122" s="17"/>
      <c r="H122" s="17"/>
      <c r="I122" s="17"/>
      <c r="J122" s="17"/>
      <c r="K122" s="17"/>
      <c r="L122" s="17"/>
      <c r="M122" s="17"/>
      <c r="N122" s="17"/>
      <c r="O122" s="17"/>
      <c r="P122" s="17"/>
      <c r="Q122" s="17"/>
      <c r="R122" s="17"/>
      <c r="S122" s="17"/>
      <c r="T122" s="58">
        <f>+T121+4199</f>
        <v>16085</v>
      </c>
      <c r="U122" s="58">
        <f>+U121+5438</f>
        <v>18062</v>
      </c>
      <c r="V122" s="58">
        <f>+V121+5928</f>
        <v>23915</v>
      </c>
      <c r="W122" s="58">
        <f>+W121+5612</f>
        <v>21021</v>
      </c>
      <c r="X122" s="58">
        <f>+X121+3723</f>
        <v>21966</v>
      </c>
      <c r="Y122" s="58">
        <f>+Y121+3841</f>
        <v>19168</v>
      </c>
      <c r="Z122" s="58">
        <f>+Z121+1901</f>
        <v>23676</v>
      </c>
      <c r="AA122" s="58"/>
      <c r="AB122" s="17"/>
      <c r="AC122" s="17"/>
      <c r="AD122" s="17"/>
      <c r="AE122" s="17"/>
      <c r="AF122" s="17"/>
      <c r="AG122" s="17"/>
      <c r="AH122" s="17"/>
      <c r="AI122" s="169"/>
      <c r="AJ122" s="17"/>
      <c r="AK122" s="17"/>
      <c r="AL122" s="17"/>
      <c r="AM122" s="17"/>
      <c r="AN122" s="17"/>
      <c r="AO122" s="18"/>
      <c r="AP122" s="46"/>
      <c r="AQ122" s="23"/>
      <c r="AR122" s="23"/>
      <c r="AS122" s="23"/>
      <c r="AT122" s="18"/>
      <c r="AU122" s="18"/>
      <c r="AV122" s="18"/>
      <c r="AW122" s="18"/>
    </row>
    <row r="123" spans="1:49" s="16" customFormat="1">
      <c r="A123" s="16" t="s">
        <v>140</v>
      </c>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c r="AB123" s="17"/>
      <c r="AC123" s="17"/>
      <c r="AD123" s="17"/>
      <c r="AE123" s="17"/>
      <c r="AF123" s="17"/>
      <c r="AG123" s="17"/>
      <c r="AH123" s="17"/>
      <c r="AI123" s="17"/>
      <c r="AJ123" s="17"/>
      <c r="AK123" s="17"/>
      <c r="AL123" s="17"/>
      <c r="AM123" s="17"/>
      <c r="AN123" s="17"/>
      <c r="AO123" s="18"/>
      <c r="AP123" s="46"/>
      <c r="AQ123" s="23"/>
      <c r="AR123" s="23"/>
      <c r="AS123" s="23"/>
      <c r="AT123" s="18"/>
      <c r="AU123" s="18"/>
      <c r="AV123" s="18"/>
      <c r="AW123" s="18"/>
    </row>
    <row r="124" spans="1:49" s="16" customFormat="1">
      <c r="A124" s="16" t="s">
        <v>141</v>
      </c>
      <c r="B124" s="17">
        <f>-2947+105</f>
        <v>-2842</v>
      </c>
      <c r="C124" s="17">
        <f>-2626+9</f>
        <v>-2617</v>
      </c>
      <c r="D124" s="17">
        <f>-2743+9</f>
        <v>-2734</v>
      </c>
      <c r="E124" s="17">
        <f>-3132+11</f>
        <v>-3121</v>
      </c>
      <c r="F124" s="17">
        <f>-3057+26</f>
        <v>-3031</v>
      </c>
      <c r="G124" s="17">
        <f>-2879+55</f>
        <v>-2824</v>
      </c>
      <c r="H124" s="17">
        <f>-1957+19</f>
        <v>-1938</v>
      </c>
      <c r="I124" s="17">
        <f>-3207+103</f>
        <v>-3104</v>
      </c>
      <c r="J124" s="17">
        <f>-2794+42</f>
        <v>-2752</v>
      </c>
      <c r="K124" s="17">
        <f>-4471-119+88</f>
        <v>-4502</v>
      </c>
      <c r="L124" s="17">
        <f>-4734-178+85</f>
        <v>-4827</v>
      </c>
      <c r="M124" s="17">
        <f>-5451-241+402</f>
        <v>-5290</v>
      </c>
      <c r="N124" s="17">
        <f>-5292-266+251</f>
        <v>-5307</v>
      </c>
      <c r="O124" s="17">
        <f>-5204-283+198</f>
        <v>-5289</v>
      </c>
      <c r="P124" s="17">
        <f>-5826-289-10+143</f>
        <v>-5982</v>
      </c>
      <c r="Q124" s="17">
        <f>-6632-295-86+93</f>
        <v>-6920</v>
      </c>
      <c r="R124" s="17">
        <f>-6569-388+175-168-321</f>
        <v>-7271</v>
      </c>
      <c r="S124" s="17">
        <f>-7449-320+121-124-153</f>
        <v>-7925</v>
      </c>
      <c r="T124" s="17">
        <f>-10137-515+267-42-38</f>
        <v>-10465</v>
      </c>
      <c r="U124" s="17">
        <f>-12109-667+490-534-7-15378+123-2094</f>
        <v>-30176</v>
      </c>
      <c r="V124" s="17">
        <f>-9056-400+264-985-207</f>
        <v>-10384</v>
      </c>
      <c r="W124" s="17">
        <f>-8462-236+258-1144+21-954</f>
        <v>-10517</v>
      </c>
      <c r="X124" s="17">
        <f>-9192-294+105-1287-358-8172</f>
        <v>-19198</v>
      </c>
      <c r="Y124" s="17">
        <f>-10871-278+46-166-1</f>
        <v>-11270</v>
      </c>
      <c r="Z124" s="17">
        <f>-9756-244+848-308-236-568-1</f>
        <v>-10265</v>
      </c>
      <c r="AA124" s="17">
        <f>-9538-256+120-549-14</f>
        <v>-10237</v>
      </c>
      <c r="AB124" s="17">
        <f>-10327-262+97-565-85</f>
        <v>-11142</v>
      </c>
      <c r="AC124" s="17">
        <f>-10448-307+45-775-121</f>
        <v>-11606</v>
      </c>
      <c r="AD124" s="17">
        <f>-10586-324+220-451-74</f>
        <v>-11215</v>
      </c>
      <c r="AE124" s="17">
        <f>-12431-298+104-512-184-338</f>
        <v>-13659</v>
      </c>
      <c r="AF124" s="17">
        <f>-14553-409+49-330-165-338</f>
        <v>-15746</v>
      </c>
      <c r="AG124" s="17">
        <f>-11776-601+51-796-81-0</f>
        <v>-13203</v>
      </c>
      <c r="AH124" s="17">
        <f>-15076-564+45-663+161-14</f>
        <v>-16111</v>
      </c>
      <c r="AI124" s="55">
        <f>-Driver!AI90</f>
        <v>-14140</v>
      </c>
      <c r="AJ124" s="55">
        <f>-Driver!AJ90</f>
        <v>-13428</v>
      </c>
      <c r="AK124" s="55">
        <f>-Driver!AK90</f>
        <v>-12858.4</v>
      </c>
      <c r="AL124" s="55">
        <f>-Driver!AL90</f>
        <v>-12164.720000000001</v>
      </c>
      <c r="AM124" s="55">
        <f>-Driver!AM90</f>
        <v>-12231.097600000001</v>
      </c>
      <c r="AN124" s="55">
        <f>-Driver!AN90</f>
        <v>-12093.79968</v>
      </c>
      <c r="AO124" s="18"/>
      <c r="AP124" s="46"/>
      <c r="AQ124" s="23"/>
      <c r="AR124" s="23"/>
      <c r="AS124" s="23"/>
      <c r="AT124" s="18"/>
      <c r="AU124" s="18"/>
      <c r="AV124" s="18"/>
      <c r="AW124" s="18"/>
    </row>
    <row r="125" spans="1:49" s="16" customFormat="1">
      <c r="A125" s="16" t="s">
        <v>613</v>
      </c>
      <c r="B125" s="17">
        <v>19</v>
      </c>
      <c r="C125" s="17">
        <v>-568</v>
      </c>
      <c r="D125" s="17">
        <v>-9</v>
      </c>
      <c r="E125" s="17">
        <v>265</v>
      </c>
      <c r="F125" s="17">
        <v>29</v>
      </c>
      <c r="G125" s="17">
        <f>-261-103</f>
        <v>-364</v>
      </c>
      <c r="H125" s="17">
        <f>-398-1882+250</f>
        <v>-2030</v>
      </c>
      <c r="I125" s="17">
        <f>123-1950-170</f>
        <v>-1997</v>
      </c>
      <c r="J125" s="17">
        <f>-961-125</f>
        <v>-1086</v>
      </c>
      <c r="K125" s="17">
        <f>-3478-61</f>
        <v>-3539</v>
      </c>
      <c r="L125" s="17">
        <f>-3364-100</f>
        <v>-3464</v>
      </c>
      <c r="M125" s="17">
        <v>-983</v>
      </c>
      <c r="N125" s="17">
        <v>-565</v>
      </c>
      <c r="O125" s="17">
        <v>-728</v>
      </c>
      <c r="P125" s="17">
        <v>-846</v>
      </c>
      <c r="Q125" s="17">
        <v>-300</v>
      </c>
      <c r="R125" s="17">
        <v>-1347</v>
      </c>
      <c r="S125" s="17">
        <v>-1992</v>
      </c>
      <c r="T125" s="17">
        <v>-2062</v>
      </c>
      <c r="U125" s="17">
        <f>-87+25</f>
        <v>-62</v>
      </c>
      <c r="V125" s="17">
        <v>-272</v>
      </c>
      <c r="W125" s="17">
        <v>-185</v>
      </c>
      <c r="X125" s="17">
        <v>-1835</v>
      </c>
      <c r="Y125" s="17">
        <v>-930</v>
      </c>
      <c r="Z125" s="17">
        <v>2</v>
      </c>
      <c r="AA125" s="17">
        <v>-5183</v>
      </c>
      <c r="AB125" s="17">
        <f>-1203+958+59-9</f>
        <v>-195</v>
      </c>
      <c r="AC125" s="17">
        <f>-130-70+44-352</f>
        <v>-508</v>
      </c>
      <c r="AD125" s="17">
        <f>-196-458+208</f>
        <v>-446</v>
      </c>
      <c r="AE125" s="17">
        <f>-698-219+362</f>
        <v>-555</v>
      </c>
      <c r="AF125" s="17">
        <f>0-788+0</f>
        <v>-788</v>
      </c>
      <c r="AG125" s="17">
        <f>1635-277+5</f>
        <v>1363</v>
      </c>
      <c r="AH125" s="17">
        <f>-40+29+0</f>
        <v>-11</v>
      </c>
      <c r="AI125" s="55">
        <f>-(Driver!AI117+Driver!AI125)</f>
        <v>-11</v>
      </c>
      <c r="AJ125" s="55">
        <f>-(Driver!AJ117+Driver!AJ125)</f>
        <v>-11</v>
      </c>
      <c r="AK125" s="55">
        <f>-(Driver!AK117+Driver!AK125)</f>
        <v>-11</v>
      </c>
      <c r="AL125" s="55">
        <f>-(Driver!AL117+Driver!AL125)</f>
        <v>-11</v>
      </c>
      <c r="AM125" s="55">
        <f>-(Driver!AM117+Driver!AM125)</f>
        <v>-11</v>
      </c>
      <c r="AN125" s="55">
        <f>-(Driver!AN117+Driver!AN125)</f>
        <v>-11</v>
      </c>
      <c r="AO125" s="18"/>
      <c r="AP125" s="46"/>
      <c r="AQ125" s="23"/>
      <c r="AR125" s="23"/>
      <c r="AS125" s="23"/>
      <c r="AT125" s="18"/>
      <c r="AU125" s="18"/>
      <c r="AV125" s="18"/>
      <c r="AW125" s="18"/>
    </row>
    <row r="126" spans="1:49" s="16" customFormat="1">
      <c r="A126" s="16" t="s">
        <v>138</v>
      </c>
      <c r="B126" s="17">
        <v>826</v>
      </c>
      <c r="C126" s="17">
        <v>897</v>
      </c>
      <c r="D126" s="17">
        <v>1286</v>
      </c>
      <c r="E126" s="17">
        <v>1272</v>
      </c>
      <c r="F126" s="17">
        <v>1357</v>
      </c>
      <c r="G126" s="17">
        <v>1331</v>
      </c>
      <c r="H126" s="17">
        <v>1546</v>
      </c>
      <c r="I126" s="17">
        <v>1901</v>
      </c>
      <c r="J126" s="17">
        <v>3111</v>
      </c>
      <c r="K126" s="17">
        <v>3399</v>
      </c>
      <c r="L126" s="17">
        <v>3969</v>
      </c>
      <c r="M126" s="17">
        <v>3666</v>
      </c>
      <c r="N126" s="17">
        <v>3126</v>
      </c>
      <c r="O126" s="17">
        <v>3117</v>
      </c>
      <c r="P126" s="17">
        <v>2775</v>
      </c>
      <c r="Q126" s="17">
        <v>3759</v>
      </c>
      <c r="R126" s="17">
        <v>2676</v>
      </c>
      <c r="S126" s="17">
        <v>2557</v>
      </c>
      <c r="T126" s="17">
        <v>2594</v>
      </c>
      <c r="U126" s="17">
        <v>3230</v>
      </c>
      <c r="V126" s="17">
        <v>2270</v>
      </c>
      <c r="W126" s="17">
        <v>2738</v>
      </c>
      <c r="X126" s="17">
        <v>2067</v>
      </c>
      <c r="Y126" s="17">
        <f>2440+796+120</f>
        <v>3356</v>
      </c>
      <c r="Z126" s="17">
        <f>1035+889+43</f>
        <v>1967</v>
      </c>
      <c r="AA126" s="17">
        <f>818+910+9</f>
        <v>1737</v>
      </c>
      <c r="AB126" s="17">
        <f>524+930+13</f>
        <v>1467</v>
      </c>
      <c r="AC126" s="17">
        <f>453+1653+13</f>
        <v>2119</v>
      </c>
      <c r="AD126" s="17">
        <f>578+1742+13</f>
        <v>2333</v>
      </c>
      <c r="AE126" s="17">
        <f>835+1721+15</f>
        <v>2571</v>
      </c>
      <c r="AF126" s="17">
        <f>495+1831+14</f>
        <v>2340</v>
      </c>
      <c r="AG126" s="17">
        <f>527+1830+15</f>
        <v>2372</v>
      </c>
      <c r="AH126" s="17">
        <f>770+1659+15</f>
        <v>2444</v>
      </c>
      <c r="AI126" s="55">
        <f>-(Driver!AI119+Driver!AI127)</f>
        <v>911.47842548069241</v>
      </c>
      <c r="AJ126" s="55">
        <f>-(Driver!AJ119+Driver!AJ127)</f>
        <v>753.27470419357905</v>
      </c>
      <c r="AK126" s="55">
        <f>-(Driver!AK119+Driver!AK127)</f>
        <v>787.5031730958849</v>
      </c>
      <c r="AL126" s="55">
        <f>-(Driver!AL119+Driver!AL127)</f>
        <v>787.5031730958849</v>
      </c>
      <c r="AM126" s="55">
        <f>-(Driver!AM119+Driver!AM127)</f>
        <v>787.5031730958849</v>
      </c>
      <c r="AN126" s="55">
        <f>-(Driver!AN119+Driver!AN127)</f>
        <v>787.5031730958849</v>
      </c>
      <c r="AO126" s="18"/>
      <c r="AP126" s="46"/>
      <c r="AR126" s="23"/>
      <c r="AS126" s="23"/>
      <c r="AT126" s="18"/>
      <c r="AU126" s="18"/>
      <c r="AV126" s="18"/>
      <c r="AW126" s="18"/>
    </row>
    <row r="127" spans="1:49" s="16" customFormat="1">
      <c r="A127" s="16" t="s">
        <v>334</v>
      </c>
      <c r="B127" s="17">
        <f>-1997-B128-SUM(B124:B126)</f>
        <v>0</v>
      </c>
      <c r="C127" s="17">
        <f>-2288-C128-SUM(C124:C126)</f>
        <v>0</v>
      </c>
      <c r="D127" s="17">
        <f>-1483-D128-SUM(D124:D126)</f>
        <v>-26</v>
      </c>
      <c r="E127" s="17">
        <f>-1675-E128-SUM(E124:E126)</f>
        <v>-91</v>
      </c>
      <c r="F127" s="17">
        <f>-1714-F128-SUM(F124:F126)</f>
        <v>-69</v>
      </c>
      <c r="G127" s="17">
        <f>-1938-G128-SUM(G124:G126)</f>
        <v>-81</v>
      </c>
      <c r="H127" s="17">
        <f>-2452-H128-SUM(H124:H126)</f>
        <v>-30</v>
      </c>
      <c r="I127" s="17">
        <f>-3995-I128-SUM(I124:I126)</f>
        <v>-22</v>
      </c>
      <c r="J127" s="17">
        <f>-745-J128-SUM(J124:J126)-68</f>
        <v>-86</v>
      </c>
      <c r="K127" s="17">
        <f>-4730-K128-SUM(K124:K126)</f>
        <v>0</v>
      </c>
      <c r="L127" s="17">
        <f>-4509-L128-SUM(L124:L126)</f>
        <v>0</v>
      </c>
      <c r="M127" s="17">
        <f>-1911-M128-SUM(M124:M126)</f>
        <v>1134</v>
      </c>
      <c r="N127" s="17">
        <f>-3250-N128-SUM(N124:N126)</f>
        <v>-504</v>
      </c>
      <c r="O127" s="17">
        <f>-15241-O128-SUM(O124:O126)</f>
        <v>-12341</v>
      </c>
      <c r="P127" s="17">
        <v>-39</v>
      </c>
      <c r="Q127" s="17">
        <f>1913+3203-106</f>
        <v>5010</v>
      </c>
      <c r="R127" s="17">
        <f>-106+895</f>
        <v>789</v>
      </c>
      <c r="S127" s="17">
        <f>-144+156</f>
        <v>12</v>
      </c>
      <c r="T127" s="17">
        <f>-1190+852</f>
        <v>-338</v>
      </c>
      <c r="U127" s="17">
        <f>2192-443</f>
        <v>1749</v>
      </c>
      <c r="V127" s="17">
        <v>-540</v>
      </c>
      <c r="W127" s="17">
        <v>-339</v>
      </c>
      <c r="X127" s="17">
        <v>0</v>
      </c>
      <c r="Y127" s="17">
        <f>9991+202</f>
        <v>10193</v>
      </c>
      <c r="Z127" s="17">
        <v>0</v>
      </c>
      <c r="AA127" s="17">
        <v>0</v>
      </c>
      <c r="AB127" s="17">
        <v>0</v>
      </c>
      <c r="AC127" s="17">
        <v>0</v>
      </c>
      <c r="AD127" s="17">
        <f>AC69-AD69</f>
        <v>0</v>
      </c>
      <c r="AE127" s="17">
        <f>AD69-AE69-1110</f>
        <v>-1110</v>
      </c>
      <c r="AF127" s="17">
        <f>AE69-AF69-1245</f>
        <v>-1245</v>
      </c>
      <c r="AG127" s="17">
        <f>AF69-AG69-0</f>
        <v>0</v>
      </c>
      <c r="AH127" s="17">
        <f>AG69-AH69-3023+481</f>
        <v>-2542</v>
      </c>
      <c r="AI127" s="55">
        <f>AH69-AI69</f>
        <v>0</v>
      </c>
      <c r="AJ127" s="55">
        <f>AI69-AJ69</f>
        <v>0</v>
      </c>
      <c r="AK127" s="55">
        <f>AJ69-AK69</f>
        <v>0</v>
      </c>
      <c r="AL127" s="55">
        <f>AK69-AL69</f>
        <v>0</v>
      </c>
      <c r="AM127" s="55">
        <f>AL69-AM69</f>
        <v>0</v>
      </c>
      <c r="AN127" s="55">
        <f t="shared" ref="AN127" si="237">AM69-AN69</f>
        <v>0</v>
      </c>
      <c r="AO127" s="18"/>
      <c r="AP127" s="46"/>
      <c r="AQ127" s="23"/>
      <c r="AR127" s="23"/>
      <c r="AS127" s="23"/>
      <c r="AT127" s="18"/>
      <c r="AU127" s="18"/>
      <c r="AV127" s="18"/>
      <c r="AW127" s="18"/>
    </row>
    <row r="128" spans="1:49" s="16" customFormat="1">
      <c r="A128" s="16" t="s">
        <v>155</v>
      </c>
      <c r="B128" s="17">
        <v>0</v>
      </c>
      <c r="C128" s="17">
        <f t="shared" ref="C128:I128" si="238">-(C74-B74)</f>
        <v>0</v>
      </c>
      <c r="D128" s="17">
        <f t="shared" si="238"/>
        <v>0</v>
      </c>
      <c r="E128" s="17">
        <f t="shared" si="238"/>
        <v>0</v>
      </c>
      <c r="F128" s="17">
        <f t="shared" si="238"/>
        <v>0</v>
      </c>
      <c r="G128" s="17">
        <f t="shared" si="238"/>
        <v>0</v>
      </c>
      <c r="H128" s="17">
        <f t="shared" si="238"/>
        <v>0</v>
      </c>
      <c r="I128" s="17">
        <f t="shared" si="238"/>
        <v>-773</v>
      </c>
      <c r="J128" s="17">
        <f>-(J74-I74)-130</f>
        <v>0</v>
      </c>
      <c r="K128" s="17">
        <f>-(K74-J74)</f>
        <v>-88</v>
      </c>
      <c r="L128" s="17">
        <v>-187</v>
      </c>
      <c r="M128" s="17">
        <v>-438</v>
      </c>
      <c r="N128" s="17">
        <v>0</v>
      </c>
      <c r="O128" s="17">
        <v>0</v>
      </c>
      <c r="P128" s="17">
        <v>0</v>
      </c>
      <c r="Q128" s="17">
        <v>0</v>
      </c>
      <c r="R128" s="17">
        <v>0</v>
      </c>
      <c r="S128" s="17">
        <v>-8</v>
      </c>
      <c r="T128" s="17">
        <v>8</v>
      </c>
      <c r="U128" s="17">
        <v>0</v>
      </c>
      <c r="V128" s="17">
        <v>0</v>
      </c>
      <c r="W128" s="17">
        <v>1708</v>
      </c>
      <c r="X128" s="17">
        <v>283</v>
      </c>
      <c r="Y128" s="17">
        <v>-283</v>
      </c>
      <c r="Z128" s="17">
        <v>0</v>
      </c>
      <c r="AA128" s="17">
        <v>-3052</v>
      </c>
      <c r="AB128" s="17">
        <v>-1389</v>
      </c>
      <c r="AC128" s="17">
        <v>4171</v>
      </c>
      <c r="AD128" s="17">
        <v>-753</v>
      </c>
      <c r="AE128" s="17">
        <v>931</v>
      </c>
      <c r="AF128" s="17">
        <v>57</v>
      </c>
      <c r="AG128" s="17">
        <v>-4</v>
      </c>
      <c r="AH128" s="17">
        <v>4</v>
      </c>
      <c r="AI128" s="55">
        <f>-(AI74-AH74)-(AI58-AH58)</f>
        <v>0</v>
      </c>
      <c r="AJ128" s="55">
        <f>-(AJ74-AI74)-(AJ58-AI58)</f>
        <v>0</v>
      </c>
      <c r="AK128" s="55">
        <f>-(AK74-AJ74)-(AK58-AJ58)</f>
        <v>0</v>
      </c>
      <c r="AL128" s="55">
        <f>-(AL74-AK74)-(AL58-AK58)</f>
        <v>0</v>
      </c>
      <c r="AM128" s="55">
        <f>-(AM74-AL74)-(AM58-AL58)</f>
        <v>0</v>
      </c>
      <c r="AN128" s="55">
        <f t="shared" ref="AN128" si="239">-(AN74-AM74)-(AN58-AM58)</f>
        <v>0</v>
      </c>
      <c r="AO128" s="18"/>
      <c r="AP128" s="46"/>
      <c r="AQ128" s="23"/>
      <c r="AR128" s="23"/>
      <c r="AS128" s="23"/>
      <c r="AT128" s="18"/>
      <c r="AU128" s="18"/>
      <c r="AV128" s="18"/>
      <c r="AW128" s="18"/>
    </row>
    <row r="129" spans="1:49" s="16" customFormat="1">
      <c r="A129" s="25" t="s">
        <v>156</v>
      </c>
      <c r="B129" s="26">
        <f t="shared" ref="B129:H129" si="240">SUM(B124:B128)</f>
        <v>-1997</v>
      </c>
      <c r="C129" s="26">
        <f t="shared" si="240"/>
        <v>-2288</v>
      </c>
      <c r="D129" s="26">
        <f t="shared" si="240"/>
        <v>-1483</v>
      </c>
      <c r="E129" s="26">
        <f t="shared" si="240"/>
        <v>-1675</v>
      </c>
      <c r="F129" s="26">
        <f t="shared" si="240"/>
        <v>-1714</v>
      </c>
      <c r="G129" s="26">
        <f t="shared" si="240"/>
        <v>-1938</v>
      </c>
      <c r="H129" s="26">
        <f t="shared" si="240"/>
        <v>-2452</v>
      </c>
      <c r="I129" s="26">
        <f t="shared" ref="I129:Q129" si="241">SUM(I124:I128)</f>
        <v>-3995</v>
      </c>
      <c r="J129" s="26">
        <f t="shared" si="241"/>
        <v>-813</v>
      </c>
      <c r="K129" s="26">
        <f t="shared" si="241"/>
        <v>-4730</v>
      </c>
      <c r="L129" s="26">
        <f t="shared" si="241"/>
        <v>-4509</v>
      </c>
      <c r="M129" s="26">
        <f t="shared" si="241"/>
        <v>-1911</v>
      </c>
      <c r="N129" s="26">
        <f t="shared" si="241"/>
        <v>-3250</v>
      </c>
      <c r="O129" s="26">
        <f t="shared" si="241"/>
        <v>-15241</v>
      </c>
      <c r="P129" s="26">
        <f t="shared" si="241"/>
        <v>-4092</v>
      </c>
      <c r="Q129" s="26">
        <f t="shared" si="241"/>
        <v>1549</v>
      </c>
      <c r="R129" s="26">
        <f t="shared" ref="R129:W129" si="242">SUM(R124:R128)</f>
        <v>-5153</v>
      </c>
      <c r="S129" s="26">
        <f t="shared" si="242"/>
        <v>-7356</v>
      </c>
      <c r="T129" s="26">
        <f t="shared" si="242"/>
        <v>-10263</v>
      </c>
      <c r="U129" s="26">
        <f t="shared" si="242"/>
        <v>-25259</v>
      </c>
      <c r="V129" s="26">
        <f t="shared" si="242"/>
        <v>-8926</v>
      </c>
      <c r="W129" s="26">
        <f t="shared" si="242"/>
        <v>-6595</v>
      </c>
      <c r="X129" s="26">
        <f t="shared" ref="X129:AC129" si="243">SUM(X124:X128)</f>
        <v>-18683</v>
      </c>
      <c r="Y129" s="26">
        <f t="shared" si="243"/>
        <v>1066</v>
      </c>
      <c r="Z129" s="26">
        <f t="shared" si="243"/>
        <v>-8296</v>
      </c>
      <c r="AA129" s="26">
        <f t="shared" si="243"/>
        <v>-16735</v>
      </c>
      <c r="AB129" s="26">
        <f t="shared" si="243"/>
        <v>-11259</v>
      </c>
      <c r="AC129" s="26">
        <f t="shared" si="243"/>
        <v>-5824</v>
      </c>
      <c r="AD129" s="26">
        <f t="shared" ref="AD129:AI129" si="244">SUM(AD124:AD128)</f>
        <v>-10081</v>
      </c>
      <c r="AE129" s="26">
        <f t="shared" si="244"/>
        <v>-11822</v>
      </c>
      <c r="AF129" s="26">
        <f>SUM(AF124:AF128)</f>
        <v>-15382</v>
      </c>
      <c r="AG129" s="26">
        <f>SUM(AG124:AG128)</f>
        <v>-9472</v>
      </c>
      <c r="AH129" s="26">
        <f t="shared" ref="AH129" si="245">SUM(AH124:AH128)</f>
        <v>-16216</v>
      </c>
      <c r="AI129" s="26">
        <f t="shared" si="244"/>
        <v>-13239.521574519307</v>
      </c>
      <c r="AJ129" s="26">
        <f>SUM(AJ124:AJ128)</f>
        <v>-12685.72529580642</v>
      </c>
      <c r="AK129" s="26">
        <f>SUM(AK124:AK128)</f>
        <v>-12081.896826904114</v>
      </c>
      <c r="AL129" s="26">
        <f>SUM(AL124:AL128)</f>
        <v>-11388.216826904116</v>
      </c>
      <c r="AM129" s="26">
        <f>SUM(AM124:AM128)</f>
        <v>-11454.594426904116</v>
      </c>
      <c r="AN129" s="26">
        <f>SUM(AN124:AN128)</f>
        <v>-11317.296506904115</v>
      </c>
      <c r="AO129" s="18"/>
      <c r="AP129" s="46"/>
      <c r="AQ129" s="23"/>
      <c r="AR129" s="23"/>
      <c r="AS129" s="23"/>
      <c r="AT129" s="18"/>
      <c r="AU129" s="18"/>
      <c r="AV129" s="18"/>
      <c r="AW129" s="18"/>
    </row>
    <row r="130" spans="1:49" s="16" customFormat="1">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c r="AA130" s="17"/>
      <c r="AB130" s="17"/>
      <c r="AC130" s="17"/>
      <c r="AD130" s="17"/>
      <c r="AE130" s="17"/>
      <c r="AF130" s="17"/>
      <c r="AG130" s="17"/>
      <c r="AH130" s="17"/>
      <c r="AI130" s="17"/>
      <c r="AJ130" s="17"/>
      <c r="AK130" s="17"/>
      <c r="AL130" s="17"/>
      <c r="AM130" s="17"/>
      <c r="AN130" s="17"/>
      <c r="AO130" s="18"/>
      <c r="AP130" s="46"/>
      <c r="AQ130" s="23"/>
      <c r="AR130" s="23"/>
      <c r="AS130" s="23"/>
      <c r="AT130" s="18"/>
      <c r="AU130" s="18"/>
      <c r="AV130" s="18"/>
      <c r="AW130" s="18"/>
    </row>
    <row r="131" spans="1:49" s="16" customFormat="1">
      <c r="A131" s="19"/>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c r="AA131" s="17"/>
      <c r="AB131" s="17"/>
      <c r="AC131" s="17">
        <f t="shared" ref="AC131:AG131" si="246">AC121+AC124+AC133</f>
        <v>175</v>
      </c>
      <c r="AD131" s="17">
        <f t="shared" si="246"/>
        <v>1684</v>
      </c>
      <c r="AE131" s="17">
        <f t="shared" si="246"/>
        <v>-5006</v>
      </c>
      <c r="AF131" s="17">
        <f t="shared" si="246"/>
        <v>-12698</v>
      </c>
      <c r="AG131" s="17">
        <f t="shared" si="246"/>
        <v>935</v>
      </c>
      <c r="AH131" s="17">
        <f>AH121+AH124+AH133</f>
        <v>-2568</v>
      </c>
      <c r="AI131" s="17"/>
      <c r="AJ131" s="17"/>
      <c r="AK131" s="17"/>
      <c r="AL131" s="17"/>
      <c r="AM131" s="17"/>
      <c r="AN131" s="17"/>
      <c r="AO131" s="18"/>
      <c r="AP131" s="46"/>
      <c r="AQ131" s="23"/>
      <c r="AR131" s="23"/>
      <c r="AS131" s="23"/>
      <c r="AT131" s="18"/>
      <c r="AU131" s="18"/>
      <c r="AV131" s="18"/>
      <c r="AW131" s="18"/>
    </row>
    <row r="132" spans="1:49" s="16" customFormat="1">
      <c r="A132" s="16" t="s">
        <v>157</v>
      </c>
      <c r="B132" s="17">
        <v>0</v>
      </c>
      <c r="C132" s="17">
        <v>0</v>
      </c>
      <c r="D132" s="17">
        <v>0</v>
      </c>
      <c r="E132" s="17">
        <v>0</v>
      </c>
      <c r="F132" s="17">
        <v>0</v>
      </c>
      <c r="G132" s="17">
        <f>G94-F94</f>
        <v>16197</v>
      </c>
      <c r="H132" s="17">
        <f>-1289-346</f>
        <v>-1635</v>
      </c>
      <c r="I132" s="17">
        <v>-12816</v>
      </c>
      <c r="J132" s="17">
        <v>0</v>
      </c>
      <c r="K132" s="17">
        <v>-2282</v>
      </c>
      <c r="L132" s="17">
        <v>-397</v>
      </c>
      <c r="M132" s="17">
        <v>0</v>
      </c>
      <c r="N132" s="17">
        <v>0</v>
      </c>
      <c r="O132" s="17">
        <v>0</v>
      </c>
      <c r="P132" s="17">
        <v>0</v>
      </c>
      <c r="Q132" s="17">
        <v>0</v>
      </c>
      <c r="R132" s="17">
        <v>-101</v>
      </c>
      <c r="S132" s="17">
        <v>0</v>
      </c>
      <c r="T132" s="17">
        <v>0</v>
      </c>
      <c r="U132" s="17">
        <v>0</v>
      </c>
      <c r="V132" s="17">
        <v>7556.04</v>
      </c>
      <c r="W132" s="17">
        <v>0</v>
      </c>
      <c r="X132" s="17">
        <v>0</v>
      </c>
      <c r="Y132" s="17">
        <v>0</v>
      </c>
      <c r="Z132" s="17">
        <v>0</v>
      </c>
      <c r="AA132" s="17">
        <f t="shared" ref="AA132:AH132" si="247">AA94-Z94</f>
        <v>0</v>
      </c>
      <c r="AB132" s="17">
        <f t="shared" si="247"/>
        <v>0</v>
      </c>
      <c r="AC132" s="17">
        <f>AC94-AB94</f>
        <v>0</v>
      </c>
      <c r="AD132" s="17">
        <f>AD94-AC94</f>
        <v>0</v>
      </c>
      <c r="AE132" s="17">
        <f t="shared" si="247"/>
        <v>0</v>
      </c>
      <c r="AF132" s="17">
        <f t="shared" si="247"/>
        <v>0</v>
      </c>
      <c r="AG132" s="17">
        <f t="shared" si="247"/>
        <v>0</v>
      </c>
      <c r="AH132" s="17">
        <f t="shared" si="247"/>
        <v>0</v>
      </c>
      <c r="AI132" s="17">
        <f t="shared" ref="AI132:AN132" si="248">AI94-AH94</f>
        <v>0</v>
      </c>
      <c r="AJ132" s="17">
        <f>AJ94-AI94</f>
        <v>0</v>
      </c>
      <c r="AK132" s="17">
        <f>AK94-AJ94</f>
        <v>0</v>
      </c>
      <c r="AL132" s="17">
        <f>AL94-AK94</f>
        <v>0</v>
      </c>
      <c r="AM132" s="17">
        <f>AM94-AL94</f>
        <v>0</v>
      </c>
      <c r="AN132" s="17">
        <f t="shared" si="248"/>
        <v>0</v>
      </c>
      <c r="AO132" s="18"/>
      <c r="AP132" s="46"/>
      <c r="AQ132" s="23"/>
      <c r="AR132" s="23"/>
      <c r="AS132" s="23"/>
      <c r="AT132" s="18"/>
      <c r="AU132" s="18"/>
      <c r="AV132" s="18"/>
      <c r="AW132" s="18"/>
    </row>
    <row r="133" spans="1:49" s="16" customFormat="1">
      <c r="A133" s="16" t="s">
        <v>158</v>
      </c>
      <c r="B133" s="17">
        <v>-1642</v>
      </c>
      <c r="C133" s="17">
        <v>-1924</v>
      </c>
      <c r="D133" s="17">
        <v>-2250</v>
      </c>
      <c r="E133" s="17">
        <v>-3225</v>
      </c>
      <c r="F133" s="17">
        <v>-2647</v>
      </c>
      <c r="G133" s="17">
        <v>-3245</v>
      </c>
      <c r="H133" s="17">
        <v>-5111</v>
      </c>
      <c r="I133" s="17">
        <v>-5002</v>
      </c>
      <c r="J133" s="17">
        <v>-4620</v>
      </c>
      <c r="K133" s="17">
        <v>-4207</v>
      </c>
      <c r="L133" s="17">
        <v>-5274</v>
      </c>
      <c r="M133" s="17">
        <v>-4744</v>
      </c>
      <c r="N133" s="17">
        <v>-5057</v>
      </c>
      <c r="O133" s="17">
        <v>-5587</v>
      </c>
      <c r="P133" s="17">
        <v>-5876</v>
      </c>
      <c r="Q133" s="17">
        <v>-5954</v>
      </c>
      <c r="R133" s="17">
        <v>-5973</v>
      </c>
      <c r="S133" s="17">
        <v>-5967</v>
      </c>
      <c r="T133" s="17">
        <v>-5967</v>
      </c>
      <c r="U133" s="17">
        <v>-5967</v>
      </c>
      <c r="V133" s="17">
        <v>-6135</v>
      </c>
      <c r="W133" s="17">
        <v>-6493</v>
      </c>
      <c r="X133" s="17">
        <v>-6569</v>
      </c>
      <c r="Y133" s="17">
        <v>-6695</v>
      </c>
      <c r="Z133" s="17">
        <v>-6973</v>
      </c>
      <c r="AA133" s="17">
        <v>-7226</v>
      </c>
      <c r="AB133" s="17">
        <v>-7503</v>
      </c>
      <c r="AC133" s="17">
        <v>-7782</v>
      </c>
      <c r="AD133" s="17">
        <v>-7782</v>
      </c>
      <c r="AE133" s="17">
        <v>-7832</v>
      </c>
      <c r="AF133" s="17">
        <v>-7832</v>
      </c>
      <c r="AG133" s="17">
        <v>-7832</v>
      </c>
      <c r="AH133" s="17">
        <f t="shared" ref="AH133:AN133" si="249">-AG39-AH38</f>
        <v>-7832</v>
      </c>
      <c r="AI133" s="17">
        <f>-AH39-AI38</f>
        <v>-7958</v>
      </c>
      <c r="AJ133" s="17">
        <f>-AI39-AJ38</f>
        <v>-8101.2499999999991</v>
      </c>
      <c r="AK133" s="17">
        <f>-AJ39-AK38</f>
        <v>-8344.2875000000004</v>
      </c>
      <c r="AL133" s="17">
        <f>-AK39-AL38</f>
        <v>-8594.6161250000005</v>
      </c>
      <c r="AM133" s="17">
        <f>-AL39-AM38</f>
        <v>-8852.4546087499984</v>
      </c>
      <c r="AN133" s="17">
        <f t="shared" si="249"/>
        <v>-9118.0282470125003</v>
      </c>
      <c r="AO133" s="18"/>
      <c r="AP133" s="46"/>
      <c r="AQ133" s="23"/>
      <c r="AR133" s="23"/>
      <c r="AS133" s="23"/>
      <c r="AT133" s="18"/>
      <c r="AU133" s="18"/>
      <c r="AV133" s="18"/>
      <c r="AW133" s="18"/>
    </row>
    <row r="134" spans="1:49" s="16" customFormat="1">
      <c r="A134" s="16" t="s">
        <v>2</v>
      </c>
      <c r="B134" s="17">
        <v>0</v>
      </c>
      <c r="C134" s="17">
        <v>0</v>
      </c>
      <c r="D134" s="17">
        <v>0</v>
      </c>
      <c r="E134" s="17">
        <v>0</v>
      </c>
      <c r="F134" s="17">
        <v>0</v>
      </c>
      <c r="G134" s="17">
        <v>0</v>
      </c>
      <c r="H134" s="17">
        <v>0</v>
      </c>
      <c r="I134" s="17">
        <v>0</v>
      </c>
      <c r="J134" s="17">
        <v>0</v>
      </c>
      <c r="K134" s="17">
        <v>0</v>
      </c>
      <c r="L134" s="17">
        <v>0</v>
      </c>
      <c r="M134" s="17">
        <v>0</v>
      </c>
      <c r="N134" s="17">
        <v>0</v>
      </c>
      <c r="O134" s="17">
        <v>-1759</v>
      </c>
      <c r="P134" s="17">
        <v>-1958</v>
      </c>
      <c r="Q134" s="17">
        <v>-1270</v>
      </c>
      <c r="R134" s="17">
        <v>-1558</v>
      </c>
      <c r="S134" s="17">
        <v>-1516</v>
      </c>
      <c r="T134" s="17">
        <v>-1790</v>
      </c>
      <c r="U134" s="17">
        <v>-2251</v>
      </c>
      <c r="V134" s="17">
        <v>-2302</v>
      </c>
      <c r="W134" s="17">
        <v>-2546</v>
      </c>
      <c r="X134" s="17">
        <v>-811</v>
      </c>
      <c r="Y134" s="17">
        <v>0</v>
      </c>
      <c r="Z134" s="17">
        <v>0</v>
      </c>
      <c r="AA134" s="17">
        <v>0</v>
      </c>
      <c r="AB134" s="17">
        <v>0</v>
      </c>
      <c r="AC134" s="17">
        <v>-126</v>
      </c>
      <c r="AD134" s="17">
        <v>0</v>
      </c>
      <c r="AE134" s="17">
        <v>0</v>
      </c>
      <c r="AF134" s="158">
        <v>0</v>
      </c>
      <c r="AG134" s="158">
        <v>0</v>
      </c>
      <c r="AH134" s="158">
        <v>0</v>
      </c>
      <c r="AI134" s="158">
        <v>0</v>
      </c>
      <c r="AJ134" s="158">
        <v>0</v>
      </c>
      <c r="AK134" s="158">
        <v>0</v>
      </c>
      <c r="AL134" s="158">
        <v>0</v>
      </c>
      <c r="AM134" s="158">
        <v>0</v>
      </c>
      <c r="AN134" s="158">
        <v>0</v>
      </c>
      <c r="AO134" s="18"/>
      <c r="AP134" s="46"/>
      <c r="AQ134" s="23"/>
      <c r="AR134" s="23"/>
      <c r="AS134" s="23"/>
      <c r="AT134" s="18"/>
      <c r="AU134" s="18"/>
      <c r="AV134" s="18"/>
      <c r="AW134" s="18"/>
    </row>
    <row r="135" spans="1:49" s="16" customFormat="1">
      <c r="A135" s="21" t="s">
        <v>159</v>
      </c>
      <c r="B135" s="17">
        <f>B97-0</f>
        <v>0</v>
      </c>
      <c r="C135" s="17">
        <f>C97-B97</f>
        <v>0</v>
      </c>
      <c r="D135" s="17">
        <f>D97-C97</f>
        <v>10</v>
      </c>
      <c r="E135" s="17">
        <f>E97-D97</f>
        <v>0</v>
      </c>
      <c r="F135" s="17">
        <f>F97-E97</f>
        <v>0</v>
      </c>
      <c r="G135" s="17">
        <v>0</v>
      </c>
      <c r="H135" s="17">
        <f>H97-G97</f>
        <v>0</v>
      </c>
      <c r="I135" s="17">
        <f>I97-H97</f>
        <v>0</v>
      </c>
      <c r="J135" s="17">
        <f>J97-I97</f>
        <v>0</v>
      </c>
      <c r="K135" s="17">
        <f>K97-J97</f>
        <v>0</v>
      </c>
      <c r="L135" s="17">
        <f>L97-K97</f>
        <v>0</v>
      </c>
      <c r="M135" s="17">
        <v>0</v>
      </c>
      <c r="N135" s="17">
        <v>0</v>
      </c>
      <c r="O135" s="17">
        <v>0</v>
      </c>
      <c r="P135" s="17">
        <v>0</v>
      </c>
      <c r="Q135" s="17">
        <v>0</v>
      </c>
      <c r="R135" s="17">
        <v>0</v>
      </c>
      <c r="S135" s="17">
        <v>0</v>
      </c>
      <c r="T135" s="17">
        <v>-17</v>
      </c>
      <c r="U135" s="17">
        <v>-10</v>
      </c>
      <c r="V135" s="17">
        <v>0</v>
      </c>
      <c r="W135" s="17">
        <v>-4</v>
      </c>
      <c r="X135" s="17">
        <f>-696-5338-336-115</f>
        <v>-6485</v>
      </c>
      <c r="Y135" s="17">
        <f>-974-247+21</f>
        <v>-1200</v>
      </c>
      <c r="Z135" s="17">
        <f>-956-247-31+9</f>
        <v>-1225</v>
      </c>
      <c r="AA135" s="17">
        <f>-967-249-79+28</f>
        <v>-1267</v>
      </c>
      <c r="AB135" s="17">
        <f>-970-250-1+1433</f>
        <v>212</v>
      </c>
      <c r="AC135" s="17">
        <f>-250-809-178+1449-86</f>
        <v>126</v>
      </c>
      <c r="AD135" s="17">
        <f>-103-868-323+0-0</f>
        <v>-1294</v>
      </c>
      <c r="AE135" s="17">
        <f>-138-894-189+0-0</f>
        <v>-1221</v>
      </c>
      <c r="AF135" s="17">
        <f>-139-958+28+0-0</f>
        <v>-1069</v>
      </c>
      <c r="AG135" s="17">
        <f>-139-973-271+0-0</f>
        <v>-1383</v>
      </c>
      <c r="AH135" s="17">
        <f>-139-987-278</f>
        <v>-1404</v>
      </c>
      <c r="AI135" s="55">
        <f>AI25+AI26+Driver!AI87*0.4</f>
        <v>-1150.8662688670911</v>
      </c>
      <c r="AJ135" s="55">
        <f>AJ25+AJ26+Driver!AJ87*0.4</f>
        <v>-1191.2076018418707</v>
      </c>
      <c r="AK135" s="55">
        <f>AK25+AK26+Driver!AK87*0.4</f>
        <v>-1205.4378376899085</v>
      </c>
      <c r="AL135" s="55">
        <f>AL25+AL26+Driver!AL87*0.4</f>
        <v>-1217.6767769352361</v>
      </c>
      <c r="AM135" s="55">
        <f>AM25+AM26+Driver!AM87*0.4</f>
        <v>-1228.9105422731186</v>
      </c>
      <c r="AN135" s="55">
        <f>AN25+AN26+Driver!AN87*0.4</f>
        <v>-1238.8613923479918</v>
      </c>
      <c r="AO135" s="18"/>
      <c r="AP135" s="46"/>
      <c r="AQ135" s="23"/>
      <c r="AR135" s="23"/>
      <c r="AS135" s="23"/>
      <c r="AT135" s="18"/>
      <c r="AU135" s="18"/>
      <c r="AV135" s="18"/>
      <c r="AW135" s="18"/>
    </row>
    <row r="136" spans="1:49" s="16" customFormat="1">
      <c r="A136" s="16" t="s">
        <v>160</v>
      </c>
      <c r="B136" s="17">
        <v>-57</v>
      </c>
      <c r="C136" s="17">
        <v>-189</v>
      </c>
      <c r="D136" s="17">
        <v>438</v>
      </c>
      <c r="E136" s="17">
        <f>E85-D85+E76-D76</f>
        <v>173</v>
      </c>
      <c r="F136" s="17">
        <v>1634</v>
      </c>
      <c r="G136" s="17">
        <v>579</v>
      </c>
      <c r="H136" s="17">
        <v>-1154</v>
      </c>
      <c r="I136" s="17">
        <v>13</v>
      </c>
      <c r="J136" s="17">
        <v>-187</v>
      </c>
      <c r="K136" s="17">
        <f>K85-J85+K76-J76</f>
        <v>2989</v>
      </c>
      <c r="L136" s="17">
        <f>4595-156-776</f>
        <v>3663</v>
      </c>
      <c r="M136" s="17">
        <f>2019-1562</f>
        <v>457</v>
      </c>
      <c r="N136" s="17">
        <f>2700-2798-145</f>
        <v>-243</v>
      </c>
      <c r="O136" s="17">
        <f>21272-11070+239</f>
        <v>10441</v>
      </c>
      <c r="P136" s="17">
        <f>16354-17161+787</f>
        <v>-20</v>
      </c>
      <c r="Q136" s="17">
        <f>14076-16342-1126</f>
        <v>-3392</v>
      </c>
      <c r="R136" s="17">
        <f>9591-11083+1872</f>
        <v>380</v>
      </c>
      <c r="S136" s="17">
        <f>18105-7694-535</f>
        <v>9876</v>
      </c>
      <c r="T136" s="17">
        <f>14422-11105-458</f>
        <v>2859</v>
      </c>
      <c r="U136" s="17">
        <f>53013-34588+1612</f>
        <v>20037</v>
      </c>
      <c r="V136" s="17">
        <f>27388-24698-2106</f>
        <v>584</v>
      </c>
      <c r="W136" s="17">
        <f>11275-18712+648</f>
        <v>-6789</v>
      </c>
      <c r="X136" s="17">
        <f>30305-23572+1160+5791</f>
        <v>13684</v>
      </c>
      <c r="Y136" s="17">
        <f>41405-50384+210</f>
        <v>-8769</v>
      </c>
      <c r="Z136" s="17">
        <f>12226-15651-764</f>
        <v>-4189</v>
      </c>
      <c r="AA136" s="17">
        <f>20290-16340+459</f>
        <v>4409</v>
      </c>
      <c r="AB136" s="17">
        <f>3906-6660+300+130</f>
        <v>-2324</v>
      </c>
      <c r="AC136" s="17">
        <f>6410-8796-5874-968-50+3887</f>
        <v>-5391</v>
      </c>
      <c r="AD136" s="17">
        <f>14004-12309-0-959+149+0</f>
        <v>885</v>
      </c>
      <c r="AE136" s="17">
        <f>7796-5329-271+314-366+0</f>
        <v>2144</v>
      </c>
      <c r="AF136" s="465">
        <f>20121-12782-261+2957-267-1854</f>
        <v>7914</v>
      </c>
      <c r="AG136" s="465">
        <f>5744-5843-321-1573-337-1597</f>
        <v>-3927</v>
      </c>
      <c r="AH136" s="465">
        <f>9817-7131+2269-346-648</f>
        <v>3961</v>
      </c>
      <c r="AI136" s="55">
        <f>AI85-AH85+AI76-AH76</f>
        <v>936.45326186271268</v>
      </c>
      <c r="AJ136" s="55">
        <f>AJ85-AI85+AJ76-AI76</f>
        <v>1208.76772253729</v>
      </c>
      <c r="AK136" s="55">
        <f>AK85-AJ85+AK76-AJ76</f>
        <v>1000</v>
      </c>
      <c r="AL136" s="55">
        <f>AL85-AK85+AL76-AK76</f>
        <v>0</v>
      </c>
      <c r="AM136" s="55">
        <f>AM85-AL85+AM76-AL76</f>
        <v>0</v>
      </c>
      <c r="AN136" s="55">
        <f t="shared" ref="AN136" si="250">AN85-AM85+AN76-AM76</f>
        <v>0</v>
      </c>
      <c r="AO136" s="18"/>
      <c r="AP136" s="46"/>
      <c r="AQ136" s="23"/>
      <c r="AR136" s="23"/>
      <c r="AS136" s="23"/>
      <c r="AT136" s="18"/>
      <c r="AU136" s="18"/>
      <c r="AV136" s="18"/>
      <c r="AW136" s="18"/>
    </row>
    <row r="137" spans="1:49" s="16" customFormat="1">
      <c r="A137" s="25" t="s">
        <v>161</v>
      </c>
      <c r="B137" s="26">
        <f t="shared" ref="B137:S137" si="251">SUM(B132:B136)</f>
        <v>-1699</v>
      </c>
      <c r="C137" s="26">
        <f t="shared" si="251"/>
        <v>-2113</v>
      </c>
      <c r="D137" s="26">
        <f t="shared" si="251"/>
        <v>-1802</v>
      </c>
      <c r="E137" s="26">
        <f t="shared" si="251"/>
        <v>-3052</v>
      </c>
      <c r="F137" s="26">
        <f t="shared" si="251"/>
        <v>-1013</v>
      </c>
      <c r="G137" s="26">
        <f t="shared" si="251"/>
        <v>13531</v>
      </c>
      <c r="H137" s="26">
        <f t="shared" si="251"/>
        <v>-7900</v>
      </c>
      <c r="I137" s="26">
        <f t="shared" si="251"/>
        <v>-17805</v>
      </c>
      <c r="J137" s="26">
        <f t="shared" si="251"/>
        <v>-4807</v>
      </c>
      <c r="K137" s="26">
        <f t="shared" si="251"/>
        <v>-3500</v>
      </c>
      <c r="L137" s="26">
        <f t="shared" si="251"/>
        <v>-2008</v>
      </c>
      <c r="M137" s="26">
        <f t="shared" si="251"/>
        <v>-4287</v>
      </c>
      <c r="N137" s="26">
        <f t="shared" si="251"/>
        <v>-5300</v>
      </c>
      <c r="O137" s="26">
        <f t="shared" si="251"/>
        <v>3095</v>
      </c>
      <c r="P137" s="26">
        <f t="shared" si="251"/>
        <v>-7854</v>
      </c>
      <c r="Q137" s="26">
        <f t="shared" si="251"/>
        <v>-10616</v>
      </c>
      <c r="R137" s="26">
        <f t="shared" si="251"/>
        <v>-7252</v>
      </c>
      <c r="S137" s="26">
        <f t="shared" si="251"/>
        <v>2393</v>
      </c>
      <c r="T137" s="26">
        <f t="shared" ref="T137:AB137" si="252">SUM(T132:T136)</f>
        <v>-4915</v>
      </c>
      <c r="U137" s="26">
        <f t="shared" si="252"/>
        <v>11809</v>
      </c>
      <c r="V137" s="26">
        <f t="shared" si="252"/>
        <v>-296.96000000000004</v>
      </c>
      <c r="W137" s="26">
        <f t="shared" si="252"/>
        <v>-15832</v>
      </c>
      <c r="X137" s="26">
        <f t="shared" si="252"/>
        <v>-181</v>
      </c>
      <c r="Y137" s="26">
        <f t="shared" si="252"/>
        <v>-16664</v>
      </c>
      <c r="Z137" s="26">
        <f t="shared" si="252"/>
        <v>-12387</v>
      </c>
      <c r="AA137" s="26">
        <f t="shared" si="252"/>
        <v>-4084</v>
      </c>
      <c r="AB137" s="26">
        <f t="shared" si="252"/>
        <v>-9615</v>
      </c>
      <c r="AC137" s="26">
        <f>SUM(AC132:AC136)</f>
        <v>-13173</v>
      </c>
      <c r="AD137" s="26">
        <f t="shared" ref="AD137:AI137" si="253">SUM(AD132:AD136)</f>
        <v>-8191</v>
      </c>
      <c r="AE137" s="26">
        <f t="shared" si="253"/>
        <v>-6909</v>
      </c>
      <c r="AF137" s="26">
        <f>SUM(AF132:AF136)</f>
        <v>-987</v>
      </c>
      <c r="AG137" s="26">
        <f>SUM(AG132:AG136)</f>
        <v>-13142</v>
      </c>
      <c r="AH137" s="26">
        <f t="shared" ref="AH137" si="254">SUM(AH132:AH136)</f>
        <v>-5275</v>
      </c>
      <c r="AI137" s="26">
        <f t="shared" si="253"/>
        <v>-8172.4130070043793</v>
      </c>
      <c r="AJ137" s="26">
        <f>SUM(AJ132:AJ136)</f>
        <v>-8083.6898793045802</v>
      </c>
      <c r="AK137" s="26">
        <f>SUM(AK132:AK136)</f>
        <v>-8549.7253376899098</v>
      </c>
      <c r="AL137" s="26">
        <f>SUM(AL132:AL136)</f>
        <v>-9812.2929019352359</v>
      </c>
      <c r="AM137" s="26">
        <f>SUM(AM132:AM136)</f>
        <v>-10081.365151023118</v>
      </c>
      <c r="AN137" s="26">
        <f>SUM(AN132:AN136)</f>
        <v>-10356.889639360492</v>
      </c>
      <c r="AO137" s="18"/>
      <c r="AP137" s="46"/>
      <c r="AQ137" s="23"/>
      <c r="AR137" s="23"/>
      <c r="AS137" s="23"/>
      <c r="AT137" s="18"/>
      <c r="AU137" s="18"/>
      <c r="AV137" s="18"/>
      <c r="AW137" s="18"/>
    </row>
    <row r="138" spans="1:49" s="16" customFormat="1">
      <c r="A138" s="19"/>
      <c r="B138" s="20"/>
      <c r="C138" s="20"/>
      <c r="D138" s="20"/>
      <c r="E138" s="20"/>
      <c r="F138" s="20"/>
      <c r="G138" s="20"/>
      <c r="H138" s="20"/>
      <c r="I138" s="20"/>
      <c r="J138" s="20"/>
      <c r="K138" s="20"/>
      <c r="L138" s="20"/>
      <c r="M138" s="20"/>
      <c r="N138" s="20"/>
      <c r="O138" s="20"/>
      <c r="P138" s="20"/>
      <c r="Q138" s="20"/>
      <c r="R138" s="20"/>
      <c r="S138" s="20"/>
      <c r="T138" s="20"/>
      <c r="U138" s="20"/>
      <c r="V138" s="20"/>
      <c r="W138" s="20"/>
      <c r="X138" s="59"/>
      <c r="Y138" s="59"/>
      <c r="Z138" s="59"/>
      <c r="AA138" s="59"/>
      <c r="AB138" s="20"/>
      <c r="AC138" s="20"/>
      <c r="AD138" s="20"/>
      <c r="AE138" s="17"/>
      <c r="AF138" s="465"/>
      <c r="AG138" s="465"/>
      <c r="AH138" s="465"/>
      <c r="AI138" s="20"/>
      <c r="AJ138" s="20"/>
      <c r="AK138" s="20"/>
      <c r="AL138" s="20"/>
      <c r="AM138" s="20"/>
      <c r="AN138" s="20"/>
      <c r="AO138" s="18"/>
      <c r="AP138" s="46"/>
      <c r="AQ138" s="23"/>
      <c r="AR138" s="23"/>
      <c r="AS138" s="23"/>
      <c r="AT138" s="18"/>
      <c r="AU138" s="18"/>
      <c r="AV138" s="18"/>
      <c r="AW138" s="18"/>
    </row>
    <row r="139" spans="1:49" s="16" customFormat="1">
      <c r="A139" s="16" t="s">
        <v>333</v>
      </c>
      <c r="B139" s="17"/>
      <c r="C139" s="17"/>
      <c r="D139" s="17"/>
      <c r="E139" s="17"/>
      <c r="F139" s="17"/>
      <c r="G139" s="17"/>
      <c r="H139" s="17"/>
      <c r="I139" s="17"/>
      <c r="J139" s="17"/>
      <c r="K139" s="17">
        <v>0</v>
      </c>
      <c r="L139" s="17">
        <v>0</v>
      </c>
      <c r="M139" s="17">
        <v>33</v>
      </c>
      <c r="N139" s="17">
        <v>88</v>
      </c>
      <c r="O139" s="17">
        <v>-86</v>
      </c>
      <c r="P139" s="17">
        <v>46</v>
      </c>
      <c r="Q139" s="17">
        <v>88</v>
      </c>
      <c r="R139" s="17">
        <v>-139</v>
      </c>
      <c r="S139" s="17">
        <v>156</v>
      </c>
      <c r="T139" s="17">
        <v>167</v>
      </c>
      <c r="U139" s="17">
        <v>-93</v>
      </c>
      <c r="V139" s="17">
        <v>22</v>
      </c>
      <c r="W139" s="17">
        <v>-88</v>
      </c>
      <c r="X139" s="17">
        <v>-127</v>
      </c>
      <c r="Y139" s="17">
        <f>-200</f>
        <v>-200</v>
      </c>
      <c r="Z139" s="17">
        <v>-190</v>
      </c>
      <c r="AA139" s="17">
        <v>243</v>
      </c>
      <c r="AB139" s="17">
        <v>-351</v>
      </c>
      <c r="AC139" s="55">
        <v>0</v>
      </c>
      <c r="AD139" s="55">
        <v>0</v>
      </c>
      <c r="AE139" s="17">
        <v>0</v>
      </c>
      <c r="AF139" s="55">
        <v>0</v>
      </c>
      <c r="AG139" s="55">
        <v>-22</v>
      </c>
      <c r="AH139" s="55">
        <v>-90</v>
      </c>
      <c r="AI139" s="55">
        <v>0</v>
      </c>
      <c r="AJ139" s="55">
        <v>0</v>
      </c>
      <c r="AK139" s="55">
        <v>0</v>
      </c>
      <c r="AL139" s="55">
        <v>0</v>
      </c>
      <c r="AM139" s="55">
        <v>0</v>
      </c>
      <c r="AN139" s="55">
        <v>0</v>
      </c>
      <c r="AO139" s="18"/>
      <c r="AP139" s="46"/>
      <c r="AQ139" s="23"/>
      <c r="AR139" s="23"/>
      <c r="AS139" s="23"/>
      <c r="AT139" s="18"/>
      <c r="AU139" s="18"/>
      <c r="AV139" s="18"/>
      <c r="AW139" s="18"/>
    </row>
    <row r="140" spans="1:49" s="19" customFormat="1">
      <c r="A140" s="25" t="s">
        <v>162</v>
      </c>
      <c r="B140" s="26">
        <f>B137+B129+B121</f>
        <v>74</v>
      </c>
      <c r="C140" s="26">
        <f t="shared" ref="C140:AA140" si="255">C137+C129+C121+C139</f>
        <v>1970</v>
      </c>
      <c r="D140" s="26">
        <f t="shared" si="255"/>
        <v>-108</v>
      </c>
      <c r="E140" s="26">
        <f t="shared" si="255"/>
        <v>-856</v>
      </c>
      <c r="F140" s="26">
        <f t="shared" si="255"/>
        <v>898</v>
      </c>
      <c r="G140" s="26">
        <f t="shared" si="255"/>
        <v>15950</v>
      </c>
      <c r="H140" s="26">
        <f t="shared" si="255"/>
        <v>-3219</v>
      </c>
      <c r="I140" s="26">
        <f t="shared" si="255"/>
        <v>-13882</v>
      </c>
      <c r="J140" s="26">
        <f t="shared" si="255"/>
        <v>1267.3652732695655</v>
      </c>
      <c r="K140" s="26">
        <f t="shared" si="255"/>
        <v>-2092.3999999999996</v>
      </c>
      <c r="L140" s="26">
        <f t="shared" si="255"/>
        <v>436.20000000000073</v>
      </c>
      <c r="M140" s="26">
        <f t="shared" si="255"/>
        <v>270.52296999312148</v>
      </c>
      <c r="N140" s="26">
        <f t="shared" si="255"/>
        <v>1733.2080000000005</v>
      </c>
      <c r="O140" s="26">
        <f t="shared" si="255"/>
        <v>-2120.1482254697294</v>
      </c>
      <c r="P140" s="26">
        <f t="shared" si="255"/>
        <v>-379</v>
      </c>
      <c r="Q140" s="26">
        <f t="shared" si="255"/>
        <v>1166</v>
      </c>
      <c r="R140" s="26">
        <f t="shared" si="255"/>
        <v>-1380</v>
      </c>
      <c r="S140" s="26">
        <f t="shared" si="255"/>
        <v>6368</v>
      </c>
      <c r="T140" s="26">
        <f t="shared" si="255"/>
        <v>-3125</v>
      </c>
      <c r="U140" s="26">
        <f t="shared" si="255"/>
        <v>-919</v>
      </c>
      <c r="V140" s="26">
        <f t="shared" si="255"/>
        <v>8786.0400000000009</v>
      </c>
      <c r="W140" s="26">
        <f t="shared" si="255"/>
        <v>-7106</v>
      </c>
      <c r="X140" s="26">
        <f t="shared" si="255"/>
        <v>-748</v>
      </c>
      <c r="Y140" s="26">
        <f t="shared" si="255"/>
        <v>-471</v>
      </c>
      <c r="Z140" s="26">
        <f t="shared" si="255"/>
        <v>902</v>
      </c>
      <c r="AA140" s="26">
        <f t="shared" si="255"/>
        <v>2062</v>
      </c>
      <c r="AB140" s="26">
        <f t="shared" ref="AB140:AE140" si="256">AB137+AB129+AB121+AB139</f>
        <v>836</v>
      </c>
      <c r="AC140" s="26">
        <f>AC137+AC129+AC121+AC139</f>
        <v>566</v>
      </c>
      <c r="AD140" s="26">
        <f>AD137+AD129+AD121+AD139</f>
        <v>2409</v>
      </c>
      <c r="AE140" s="26">
        <f t="shared" si="256"/>
        <v>-2246</v>
      </c>
      <c r="AF140" s="26">
        <f t="shared" ref="AF140:AN140" si="257">AF137+AF129+AF121+AF139</f>
        <v>-5489</v>
      </c>
      <c r="AG140" s="26">
        <f t="shared" si="257"/>
        <v>-666</v>
      </c>
      <c r="AH140" s="26">
        <f t="shared" si="257"/>
        <v>-206</v>
      </c>
      <c r="AI140" s="26">
        <f t="shared" si="257"/>
        <v>-1352.8720873494531</v>
      </c>
      <c r="AJ140" s="26">
        <f t="shared" si="257"/>
        <v>-80.793593843452982</v>
      </c>
      <c r="AK140" s="26">
        <f t="shared" si="257"/>
        <v>581.76456885078733</v>
      </c>
      <c r="AL140" s="26">
        <f t="shared" si="257"/>
        <v>412.51436734476374</v>
      </c>
      <c r="AM140" s="26">
        <f t="shared" si="257"/>
        <v>469.41452647529877</v>
      </c>
      <c r="AN140" s="26">
        <f t="shared" si="257"/>
        <v>508.06933352600754</v>
      </c>
      <c r="AO140" s="18"/>
      <c r="AP140" s="46"/>
      <c r="AQ140" s="23"/>
      <c r="AR140" s="23"/>
      <c r="AS140" s="23"/>
      <c r="AT140" s="18"/>
      <c r="AU140" s="18"/>
      <c r="AV140" s="18"/>
      <c r="AW140" s="18"/>
    </row>
    <row r="141" spans="1:49" s="16" customFormat="1">
      <c r="A141" s="19"/>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c r="AA141" s="17"/>
      <c r="AB141" s="17"/>
      <c r="AC141" s="17"/>
      <c r="AD141" s="17"/>
      <c r="AE141" s="17"/>
      <c r="AF141" s="17"/>
      <c r="AG141" s="17"/>
      <c r="AH141" s="17"/>
      <c r="AI141" s="17"/>
      <c r="AJ141" s="17"/>
      <c r="AK141" s="17"/>
      <c r="AL141" s="17"/>
      <c r="AM141" s="17"/>
      <c r="AN141" s="17"/>
      <c r="AO141" s="18"/>
      <c r="AP141" s="46"/>
      <c r="AQ141" s="18"/>
      <c r="AR141" s="18"/>
      <c r="AS141" s="18"/>
      <c r="AT141" s="18"/>
      <c r="AU141" s="18"/>
      <c r="AV141" s="18"/>
      <c r="AW141" s="18"/>
    </row>
    <row r="142" spans="1:49">
      <c r="A142" s="60"/>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c r="AH142" s="17"/>
      <c r="AI142" s="17"/>
      <c r="AJ142" s="17"/>
      <c r="AK142" s="17"/>
      <c r="AL142" s="17"/>
      <c r="AM142" s="17"/>
      <c r="AN142" s="17"/>
      <c r="AO142" s="18"/>
      <c r="AP142" s="46"/>
      <c r="AQ142" s="18"/>
      <c r="AR142" s="18"/>
      <c r="AS142" s="18"/>
      <c r="AT142" s="18"/>
      <c r="AU142" s="18"/>
      <c r="AV142" s="18"/>
      <c r="AW142" s="18"/>
    </row>
    <row r="143" spans="1:49">
      <c r="A143" s="51"/>
      <c r="B143" s="46"/>
      <c r="C143" s="46"/>
      <c r="D143" s="46"/>
      <c r="E143" s="46"/>
      <c r="F143" s="46"/>
      <c r="G143" s="46"/>
      <c r="H143" s="46"/>
      <c r="I143" s="46"/>
      <c r="J143" s="46"/>
      <c r="K143" s="46"/>
      <c r="L143" s="46"/>
      <c r="M143" s="46"/>
      <c r="N143" s="46"/>
      <c r="O143" s="46"/>
      <c r="P143" s="46"/>
      <c r="Q143" s="46"/>
      <c r="R143" s="46"/>
      <c r="S143" s="46"/>
      <c r="T143" s="46"/>
      <c r="U143" s="46"/>
      <c r="V143" s="46"/>
      <c r="W143" s="46"/>
      <c r="X143" s="46"/>
      <c r="Y143" s="46"/>
      <c r="Z143" s="46"/>
      <c r="AA143" s="46"/>
      <c r="AB143" s="46"/>
      <c r="AC143" s="46"/>
      <c r="AD143" s="46"/>
      <c r="AE143" s="46"/>
      <c r="AF143" s="46"/>
      <c r="AG143" s="46"/>
      <c r="AH143" s="46"/>
      <c r="AI143" s="46"/>
      <c r="AJ143" s="46"/>
      <c r="AK143" s="46"/>
      <c r="AL143" s="46"/>
      <c r="AM143" s="46"/>
      <c r="AN143" s="46"/>
      <c r="AO143" s="18"/>
      <c r="AP143" s="46"/>
      <c r="AQ143" s="18"/>
      <c r="AR143" s="18"/>
      <c r="AS143" s="18"/>
      <c r="AT143" s="18"/>
      <c r="AU143" s="18"/>
      <c r="AV143" s="18"/>
      <c r="AW143" s="18"/>
    </row>
    <row r="144" spans="1:49">
      <c r="A144" s="62" t="s">
        <v>294</v>
      </c>
      <c r="B144" s="30"/>
      <c r="C144" s="30"/>
      <c r="D144" s="30"/>
      <c r="E144" s="30"/>
      <c r="F144" s="30"/>
      <c r="G144" s="30"/>
      <c r="H144" s="30"/>
      <c r="I144" s="30"/>
      <c r="J144" s="30"/>
      <c r="K144" s="30"/>
      <c r="L144" s="30"/>
      <c r="M144" s="30"/>
      <c r="N144" s="30"/>
      <c r="O144" s="30"/>
      <c r="P144" s="30"/>
      <c r="Q144" s="30"/>
      <c r="R144" s="30"/>
      <c r="S144" s="46"/>
      <c r="T144" s="17">
        <f t="shared" ref="T144:AE144" si="258">+T96+T86+T85+T82+T77+T76-T57-T73-T74+T97-T67-T68+T79+T89</f>
        <v>125474</v>
      </c>
      <c r="U144" s="17">
        <f t="shared" si="258"/>
        <v>155847</v>
      </c>
      <c r="V144" s="17">
        <f t="shared" si="258"/>
        <v>155926</v>
      </c>
      <c r="W144" s="17">
        <f t="shared" si="258"/>
        <v>147136</v>
      </c>
      <c r="X144" s="17">
        <f t="shared" si="258"/>
        <v>147998</v>
      </c>
      <c r="Y144" s="17">
        <f t="shared" si="258"/>
        <v>143242</v>
      </c>
      <c r="Z144" s="17">
        <f t="shared" si="258"/>
        <v>142508</v>
      </c>
      <c r="AA144" s="17">
        <f t="shared" si="258"/>
        <v>155315</v>
      </c>
      <c r="AB144" s="17">
        <f t="shared" si="258"/>
        <v>155861</v>
      </c>
      <c r="AC144" s="17">
        <f t="shared" si="258"/>
        <v>148832</v>
      </c>
      <c r="AD144" s="17">
        <f t="shared" si="258"/>
        <v>153626</v>
      </c>
      <c r="AE144" s="17">
        <f t="shared" si="258"/>
        <v>160937</v>
      </c>
      <c r="AF144" s="17">
        <f>+AF96+AF86+AF85+AF82+AF77+AF76-AF57-AF73-AF74+AF97-AF67-AF68+AF79+AF89</f>
        <v>157840</v>
      </c>
      <c r="AG144" s="17">
        <f>+AG96+AG86+AG85+AG82+AG77+AG76-AG57-AG73-AG74+AG97-AG67-AG68+AG79+AG89</f>
        <v>148503</v>
      </c>
      <c r="AH144" s="17">
        <f t="shared" ref="AH144" si="259">+AH96+AH86+AH85+AH82+AH77+AH76-AH57-AH73-AH74+AH97-AH67-AH68+AH79+AH89</f>
        <v>155964</v>
      </c>
      <c r="AI144" s="17">
        <f t="shared" ref="AI144:AN144" si="260">+AI96+AI86+AI85+AI82+AI77+AI76-AI57-AI73-AI74+AI97-AI67-AI68+AI79+AI89</f>
        <v>160445.7191263015</v>
      </c>
      <c r="AJ144" s="17">
        <f t="shared" si="260"/>
        <v>164304.61380796891</v>
      </c>
      <c r="AK144" s="17">
        <f t="shared" si="260"/>
        <v>167518.59392483855</v>
      </c>
      <c r="AL144" s="17">
        <f t="shared" si="260"/>
        <v>169992.65994720231</v>
      </c>
      <c r="AM144" s="17">
        <f t="shared" si="260"/>
        <v>172489.59554175945</v>
      </c>
      <c r="AN144" s="17">
        <f t="shared" si="260"/>
        <v>175013.69983300759</v>
      </c>
      <c r="AO144" s="18"/>
      <c r="AP144" s="46"/>
    </row>
    <row r="145" spans="1:42" s="61" customFormat="1">
      <c r="A145" s="29" t="s">
        <v>768</v>
      </c>
      <c r="B145" s="30"/>
      <c r="C145" s="30"/>
      <c r="D145" s="30"/>
      <c r="E145" s="30"/>
      <c r="F145" s="30"/>
      <c r="G145" s="30"/>
      <c r="H145" s="30"/>
      <c r="I145" s="30"/>
      <c r="J145" s="30"/>
      <c r="K145" s="30"/>
      <c r="L145" s="30"/>
      <c r="M145" s="30"/>
      <c r="N145" s="30"/>
      <c r="O145" s="30"/>
      <c r="P145" s="30"/>
      <c r="Q145" s="30"/>
      <c r="R145" s="30"/>
      <c r="S145" s="38"/>
      <c r="T145" s="38"/>
      <c r="U145" s="17"/>
      <c r="V145" s="17"/>
      <c r="W145" s="17"/>
      <c r="X145" s="17"/>
      <c r="Y145" s="17"/>
      <c r="Z145" s="17"/>
      <c r="AA145" s="17"/>
      <c r="AB145" s="17"/>
      <c r="AC145" s="17"/>
      <c r="AD145" s="17"/>
      <c r="AE145" s="17"/>
      <c r="AF145" s="17"/>
      <c r="AG145" s="17"/>
      <c r="AH145" s="17"/>
      <c r="AI145" s="17">
        <f t="shared" ref="AI145:AM145" si="261">AI121+AI129-AI119*(1-AI23/AI22)</f>
        <v>9099.4891586259309</v>
      </c>
      <c r="AJ145" s="17">
        <f t="shared" si="261"/>
        <v>10177.391546098272</v>
      </c>
      <c r="AK145" s="17">
        <f t="shared" si="261"/>
        <v>11351.041683881471</v>
      </c>
      <c r="AL145" s="17">
        <f t="shared" si="261"/>
        <v>12480.10713733278</v>
      </c>
      <c r="AM145" s="17">
        <f t="shared" si="261"/>
        <v>12814.019009626894</v>
      </c>
      <c r="AN145" s="17">
        <f>AN121+AN129-AN119*(1-AN23/AN22)</f>
        <v>13136.691318342591</v>
      </c>
      <c r="AO145" s="18"/>
      <c r="AP145" s="46"/>
    </row>
    <row r="146" spans="1:42">
      <c r="A146" s="29" t="s">
        <v>70</v>
      </c>
      <c r="B146" s="30"/>
      <c r="C146" s="30"/>
      <c r="D146" s="30"/>
      <c r="E146" s="30"/>
      <c r="F146" s="30"/>
      <c r="G146" s="30"/>
      <c r="H146" s="30"/>
      <c r="I146" s="30"/>
      <c r="J146" s="30"/>
      <c r="K146" s="30"/>
      <c r="L146" s="30"/>
      <c r="M146" s="30"/>
      <c r="N146" s="30"/>
      <c r="O146" s="30"/>
      <c r="P146" s="30"/>
      <c r="Q146" s="30"/>
      <c r="R146" s="30"/>
      <c r="S146" s="46"/>
      <c r="T146" s="46">
        <f t="shared" ref="T146:AI146" si="262">+T85+T76</f>
        <v>44623</v>
      </c>
      <c r="U146" s="46">
        <f t="shared" si="262"/>
        <v>65521</v>
      </c>
      <c r="V146" s="46">
        <f t="shared" si="262"/>
        <v>66198</v>
      </c>
      <c r="W146" s="46">
        <f t="shared" si="262"/>
        <v>56051</v>
      </c>
      <c r="X146" s="46">
        <f t="shared" si="262"/>
        <v>67435</v>
      </c>
      <c r="Y146" s="46">
        <f t="shared" si="262"/>
        <v>55483</v>
      </c>
      <c r="Z146" s="46">
        <f t="shared" si="262"/>
        <v>51646</v>
      </c>
      <c r="AA146" s="46">
        <f t="shared" si="262"/>
        <v>57341</v>
      </c>
      <c r="AB146" s="46">
        <f t="shared" si="262"/>
        <v>55298</v>
      </c>
      <c r="AC146" s="46">
        <f t="shared" si="262"/>
        <v>52349</v>
      </c>
      <c r="AD146" s="46">
        <f t="shared" si="262"/>
        <v>54348</v>
      </c>
      <c r="AE146" s="46">
        <f t="shared" si="262"/>
        <v>58215</v>
      </c>
      <c r="AF146" s="46">
        <f t="shared" si="262"/>
        <v>59217</v>
      </c>
      <c r="AG146" s="46">
        <f t="shared" ref="AG146" si="263">+AG85+AG76</f>
        <v>57515</v>
      </c>
      <c r="AH146" s="46">
        <f t="shared" ref="AH146" si="264">+AH85+AH76</f>
        <v>65154</v>
      </c>
      <c r="AI146" s="46">
        <f t="shared" si="262"/>
        <v>66090.453261862713</v>
      </c>
      <c r="AJ146" s="46">
        <f>+AJ85+AJ76</f>
        <v>67299.220984400003</v>
      </c>
      <c r="AK146" s="46">
        <f>+AK85+AK76</f>
        <v>68299.220984400003</v>
      </c>
      <c r="AL146" s="46">
        <f>+AL85+AL76</f>
        <v>68299.220984400003</v>
      </c>
      <c r="AM146" s="46">
        <f>+AM85+AM76</f>
        <v>68299.220984400003</v>
      </c>
      <c r="AN146" s="46">
        <f>+AN85+AN76</f>
        <v>68299.220984400003</v>
      </c>
      <c r="AO146" s="18"/>
      <c r="AP146" s="46"/>
    </row>
    <row r="147" spans="1:42">
      <c r="A147" s="29" t="s">
        <v>245</v>
      </c>
      <c r="B147" s="30"/>
      <c r="C147" s="30"/>
      <c r="D147" s="30"/>
      <c r="E147" s="30"/>
      <c r="F147" s="30"/>
      <c r="G147" s="30"/>
      <c r="H147" s="30"/>
      <c r="I147" s="30"/>
      <c r="J147" s="30"/>
      <c r="K147" s="30"/>
      <c r="L147" s="30"/>
      <c r="M147" s="30"/>
      <c r="N147" s="30"/>
      <c r="O147" s="30"/>
      <c r="P147" s="30"/>
      <c r="Q147" s="30"/>
      <c r="R147" s="30"/>
      <c r="S147" s="46"/>
      <c r="T147" s="46">
        <f t="shared" ref="T147:AI147" si="265">+T76+T85-T57</f>
        <v>39867</v>
      </c>
      <c r="U147" s="46">
        <f t="shared" si="265"/>
        <v>61655</v>
      </c>
      <c r="V147" s="46">
        <f t="shared" si="265"/>
        <v>53172</v>
      </c>
      <c r="W147" s="46">
        <f t="shared" si="265"/>
        <v>50818</v>
      </c>
      <c r="X147" s="46">
        <f t="shared" si="265"/>
        <v>63042</v>
      </c>
      <c r="Y147" s="46">
        <f t="shared" si="265"/>
        <v>51684</v>
      </c>
      <c r="Z147" s="46">
        <f t="shared" si="265"/>
        <v>46979</v>
      </c>
      <c r="AA147" s="46">
        <f t="shared" si="265"/>
        <v>47411</v>
      </c>
      <c r="AB147" s="46">
        <f t="shared" si="265"/>
        <v>43172</v>
      </c>
      <c r="AC147" s="46">
        <f t="shared" si="265"/>
        <v>44023</v>
      </c>
      <c r="AD147" s="46">
        <f t="shared" si="265"/>
        <v>42640</v>
      </c>
      <c r="AE147" s="46">
        <f t="shared" si="265"/>
        <v>49955</v>
      </c>
      <c r="AF147" s="46">
        <f t="shared" si="265"/>
        <v>54931</v>
      </c>
      <c r="AG147" s="46">
        <f t="shared" ref="AG147" si="266">+AG76+AG85-AG57</f>
        <v>52311</v>
      </c>
      <c r="AH147" s="46">
        <f t="shared" ref="AH147" si="267">+AH76+AH85-AH57</f>
        <v>60155</v>
      </c>
      <c r="AI147" s="46">
        <f t="shared" si="265"/>
        <v>62444.325349212166</v>
      </c>
      <c r="AJ147" s="46">
        <f>+AJ76+AJ85-AJ57</f>
        <v>63733.886665592909</v>
      </c>
      <c r="AK147" s="46">
        <f>+AK76+AK85-AK57</f>
        <v>64152.122096742125</v>
      </c>
      <c r="AL147" s="46">
        <f>+AL76+AL85-AL57</f>
        <v>63739.607729397358</v>
      </c>
      <c r="AM147" s="46">
        <f>+AM76+AM85-AM57</f>
        <v>63270.193202922062</v>
      </c>
      <c r="AN147" s="46">
        <f>+AN76+AN85-AN57</f>
        <v>62762.123869396048</v>
      </c>
      <c r="AO147" s="18"/>
      <c r="AP147" s="46"/>
    </row>
    <row r="148" spans="1:42">
      <c r="A148" s="29" t="s">
        <v>677</v>
      </c>
      <c r="B148" s="29"/>
      <c r="C148" s="29"/>
      <c r="D148" s="29"/>
      <c r="E148" s="29"/>
      <c r="F148" s="29"/>
      <c r="G148" s="29"/>
      <c r="H148" s="29"/>
      <c r="I148" s="29"/>
      <c r="J148" s="29"/>
      <c r="K148" s="29"/>
      <c r="L148" s="29"/>
      <c r="M148" s="29"/>
      <c r="N148" s="29"/>
      <c r="O148" s="29"/>
      <c r="P148" s="29"/>
      <c r="Q148" s="29"/>
      <c r="R148" s="29"/>
      <c r="T148" s="13">
        <f t="shared" ref="T148:AF148" si="268">+T147/SUM(T96:T97)</f>
        <v>0.49984954487324157</v>
      </c>
      <c r="U148" s="13">
        <f t="shared" si="268"/>
        <v>0.75787933916805983</v>
      </c>
      <c r="V148" s="13">
        <f t="shared" si="268"/>
        <v>0.58301992302715977</v>
      </c>
      <c r="W148" s="13">
        <f t="shared" si="268"/>
        <v>0.58090328185548867</v>
      </c>
      <c r="X148" s="13">
        <f t="shared" si="268"/>
        <v>0.65696808011755026</v>
      </c>
      <c r="Y148" s="13">
        <f t="shared" si="268"/>
        <v>0.51206753061467125</v>
      </c>
      <c r="Z148" s="13">
        <f t="shared" si="268"/>
        <v>0.44414926304444424</v>
      </c>
      <c r="AA148" s="13">
        <f t="shared" si="268"/>
        <v>0.39019151160015475</v>
      </c>
      <c r="AB148" s="13">
        <f t="shared" si="268"/>
        <v>0.345563986808824</v>
      </c>
      <c r="AC148" s="13">
        <f t="shared" si="268"/>
        <v>0.36892121780958526</v>
      </c>
      <c r="AD148" s="13">
        <f t="shared" si="268"/>
        <v>0.33848791795002064</v>
      </c>
      <c r="AE148" s="13">
        <f t="shared" si="268"/>
        <v>0.39424981650869317</v>
      </c>
      <c r="AF148" s="13">
        <f t="shared" si="268"/>
        <v>0.4747955814476118</v>
      </c>
      <c r="AG148" s="13">
        <f t="shared" ref="AG148" si="269">+AG147/SUM(AG96:AG97)</f>
        <v>0.46547489811535653</v>
      </c>
      <c r="AH148" s="13">
        <f t="shared" ref="AH148" si="270">+AH147/SUM(AH96:AH97)</f>
        <v>0.54627762945204239</v>
      </c>
      <c r="AI148" s="13">
        <f t="shared" ref="AI148:AN148" si="271">+AI147/SUM(AI96:AI97)</f>
        <v>0.55126460688541168</v>
      </c>
      <c r="AJ148" s="13">
        <f t="shared" si="271"/>
        <v>0.54477094670909076</v>
      </c>
      <c r="AK148" s="13">
        <f t="shared" si="271"/>
        <v>0.53068893807441897</v>
      </c>
      <c r="AL148" s="13">
        <f t="shared" si="271"/>
        <v>0.51052909811156821</v>
      </c>
      <c r="AM148" s="13">
        <f t="shared" si="271"/>
        <v>0.4909360600100599</v>
      </c>
      <c r="AN148" s="13">
        <f t="shared" si="271"/>
        <v>0.47207521363490118</v>
      </c>
      <c r="AO148" s="18"/>
      <c r="AP148" s="46"/>
    </row>
    <row r="149" spans="1:42">
      <c r="A149" s="29" t="s">
        <v>71</v>
      </c>
      <c r="B149" s="29"/>
      <c r="C149" s="29"/>
      <c r="D149" s="29"/>
      <c r="E149" s="29"/>
      <c r="F149" s="29"/>
      <c r="G149" s="29"/>
      <c r="H149" s="29"/>
      <c r="I149" s="29"/>
      <c r="J149" s="29"/>
      <c r="K149" s="29"/>
      <c r="L149" s="29"/>
      <c r="M149" s="29"/>
      <c r="N149" s="29"/>
      <c r="O149" s="29"/>
      <c r="P149" s="29"/>
      <c r="Q149" s="29"/>
      <c r="R149" s="29"/>
      <c r="T149" s="13">
        <f t="shared" ref="T149:AI149" si="272">+T146/(T146+T96+T97)</f>
        <v>0.35876058240406494</v>
      </c>
      <c r="U149" s="13">
        <f t="shared" si="272"/>
        <v>0.44610650017361936</v>
      </c>
      <c r="V149" s="13">
        <f t="shared" si="272"/>
        <v>0.42057446362429241</v>
      </c>
      <c r="W149" s="13">
        <f t="shared" si="272"/>
        <v>0.39051222027143773</v>
      </c>
      <c r="X149" s="13">
        <f t="shared" si="272"/>
        <v>0.4127140531476064</v>
      </c>
      <c r="Y149" s="13">
        <f t="shared" si="272"/>
        <v>0.35471661925007192</v>
      </c>
      <c r="Z149" s="13">
        <f t="shared" si="272"/>
        <v>0.32807983788488049</v>
      </c>
      <c r="AA149" s="13">
        <f t="shared" si="272"/>
        <v>0.32061303453211665</v>
      </c>
      <c r="AB149" s="13">
        <f t="shared" si="272"/>
        <v>0.30681906452865781</v>
      </c>
      <c r="AC149" s="13">
        <f t="shared" si="272"/>
        <v>0.30492550006407343</v>
      </c>
      <c r="AD149" s="13">
        <f t="shared" si="272"/>
        <v>0.3013975155279503</v>
      </c>
      <c r="AE149" s="13">
        <f t="shared" si="272"/>
        <v>0.31480500097337283</v>
      </c>
      <c r="AF149" s="13">
        <f t="shared" si="272"/>
        <v>0.33855503656145125</v>
      </c>
      <c r="AG149" s="13">
        <f t="shared" ref="AG149" si="273">+AG146/(AG146+AG96+AG97)</f>
        <v>0.33852863793945742</v>
      </c>
      <c r="AH149" s="13">
        <f t="shared" ref="AH149" si="274">+AH146/(AH146+AH96+AH97)</f>
        <v>0.37173079556346705</v>
      </c>
      <c r="AI149" s="13">
        <f t="shared" si="272"/>
        <v>0.36846877529322469</v>
      </c>
      <c r="AJ149" s="13">
        <f>+AJ146/(AJ146+AJ96+AJ97)</f>
        <v>0.3651784989241626</v>
      </c>
      <c r="AK149" s="13">
        <f>+AK146/(AK146+AK96+AK97)</f>
        <v>0.36102040441430061</v>
      </c>
      <c r="AL149" s="13">
        <f>+AL146/(AL146+AL96+AL97)</f>
        <v>0.35360839729188287</v>
      </c>
      <c r="AM149" s="13">
        <f>+AM146/(AM146+AM96+AM97)</f>
        <v>0.34638732292620156</v>
      </c>
      <c r="AN149" s="13">
        <f>+AN146/(AN146+AN96+AN97)</f>
        <v>0.33937730994635495</v>
      </c>
      <c r="AO149" s="18"/>
      <c r="AP149" s="46"/>
    </row>
    <row r="150" spans="1:42">
      <c r="A150" s="29"/>
      <c r="B150" s="29"/>
      <c r="C150" s="29"/>
      <c r="D150" s="29"/>
      <c r="E150" s="29"/>
      <c r="F150" s="29"/>
      <c r="G150" s="29"/>
      <c r="H150" s="29"/>
      <c r="I150" s="29"/>
      <c r="J150" s="29"/>
      <c r="K150" s="29"/>
      <c r="L150" s="29"/>
      <c r="M150" s="29"/>
      <c r="N150" s="29"/>
      <c r="O150" s="29"/>
      <c r="P150" s="29"/>
      <c r="Q150" s="29"/>
      <c r="R150" s="29"/>
      <c r="T150" s="13"/>
      <c r="U150" s="13"/>
      <c r="V150" s="13"/>
      <c r="W150" s="13"/>
      <c r="X150" s="13"/>
      <c r="Y150" s="13"/>
      <c r="Z150" s="13"/>
      <c r="AA150" s="13"/>
      <c r="AB150" s="13"/>
      <c r="AC150" s="13"/>
      <c r="AD150" s="13"/>
      <c r="AE150" s="13"/>
      <c r="AF150" s="13"/>
      <c r="AG150" s="13"/>
      <c r="AH150" s="13"/>
      <c r="AI150" s="13"/>
      <c r="AJ150" s="13"/>
      <c r="AK150" s="13"/>
      <c r="AL150" s="13"/>
      <c r="AM150" s="13"/>
      <c r="AN150" s="13"/>
      <c r="AP150" s="46"/>
    </row>
    <row r="151" spans="1:42" s="61" customFormat="1">
      <c r="A151" s="6" t="s">
        <v>416</v>
      </c>
      <c r="B151" s="8"/>
      <c r="C151" s="8"/>
      <c r="D151" s="8"/>
      <c r="E151" s="8"/>
      <c r="F151" s="8"/>
      <c r="G151" s="8"/>
      <c r="H151" s="8"/>
      <c r="I151" s="8"/>
      <c r="J151" s="8"/>
      <c r="K151" s="8"/>
      <c r="L151" s="8"/>
      <c r="M151" s="8"/>
      <c r="N151" s="8"/>
      <c r="O151" s="8"/>
      <c r="P151" s="8"/>
      <c r="Q151" s="8"/>
      <c r="R151" s="8"/>
      <c r="S151" s="63"/>
      <c r="T151" s="63"/>
      <c r="U151" s="64"/>
      <c r="V151" s="64"/>
      <c r="W151" s="64"/>
      <c r="X151" s="64"/>
      <c r="Y151" s="64"/>
      <c r="Z151" s="64"/>
      <c r="AA151" s="64"/>
      <c r="AB151" s="64"/>
      <c r="AC151" s="64"/>
      <c r="AD151" s="64"/>
      <c r="AE151" s="64"/>
      <c r="AF151" s="64"/>
      <c r="AG151" s="64"/>
      <c r="AH151" s="64"/>
      <c r="AI151" s="64"/>
      <c r="AJ151" s="64"/>
      <c r="AK151" s="64"/>
      <c r="AL151" s="64"/>
      <c r="AM151" s="64"/>
      <c r="AN151" s="64"/>
      <c r="AO151" s="12"/>
    </row>
    <row r="152" spans="1:42" s="422" customFormat="1">
      <c r="A152" s="422" t="s">
        <v>41</v>
      </c>
      <c r="B152" s="108"/>
      <c r="C152" s="108"/>
      <c r="D152" s="108"/>
      <c r="E152" s="108"/>
      <c r="F152" s="108"/>
      <c r="G152" s="108"/>
      <c r="H152" s="108"/>
      <c r="I152" s="108"/>
      <c r="J152" s="108"/>
      <c r="K152" s="108"/>
      <c r="L152" s="108"/>
      <c r="M152" s="108"/>
      <c r="N152" s="108"/>
      <c r="O152" s="423">
        <v>16626</v>
      </c>
      <c r="P152" s="423">
        <v>21412</v>
      </c>
      <c r="Q152" s="423">
        <v>24672</v>
      </c>
      <c r="R152" s="423">
        <v>27534</v>
      </c>
      <c r="S152" s="423">
        <v>23503</v>
      </c>
      <c r="T152" s="424">
        <v>27618</v>
      </c>
      <c r="U152" s="424">
        <v>40245</v>
      </c>
      <c r="V152" s="424">
        <v>46156</v>
      </c>
      <c r="W152" s="424">
        <v>51706</v>
      </c>
      <c r="X152" s="424">
        <v>47102</v>
      </c>
      <c r="Y152" s="424">
        <v>39985</v>
      </c>
      <c r="Z152" s="424">
        <v>38671</v>
      </c>
      <c r="AA152" s="20">
        <v>43337</v>
      </c>
      <c r="AB152" s="20">
        <v>46464</v>
      </c>
      <c r="AC152" s="20">
        <v>43838</v>
      </c>
      <c r="AD152" s="20"/>
      <c r="AE152" s="20"/>
      <c r="AF152" s="20"/>
      <c r="AG152" s="20"/>
      <c r="AH152" s="20"/>
      <c r="AI152" s="20"/>
      <c r="AJ152" s="20"/>
      <c r="AK152" s="20"/>
      <c r="AL152" s="20"/>
      <c r="AM152" s="20"/>
      <c r="AN152" s="20"/>
    </row>
    <row r="153" spans="1:42">
      <c r="A153" s="12" t="s">
        <v>40</v>
      </c>
      <c r="B153" s="30"/>
      <c r="C153" s="30"/>
      <c r="D153" s="30"/>
      <c r="E153" s="30"/>
      <c r="F153" s="30"/>
      <c r="G153" s="30"/>
      <c r="H153" s="30"/>
      <c r="I153" s="30"/>
      <c r="J153" s="30"/>
      <c r="K153" s="30"/>
      <c r="L153" s="30"/>
      <c r="M153" s="30"/>
      <c r="N153" s="30"/>
      <c r="O153" s="67">
        <f t="shared" ref="O153:AB153" si="275">O152/O7</f>
        <v>0.43090400165871862</v>
      </c>
      <c r="P153" s="67">
        <f t="shared" si="275"/>
        <v>0.46851341297973831</v>
      </c>
      <c r="Q153" s="67">
        <f t="shared" si="275"/>
        <v>0.48577447872570834</v>
      </c>
      <c r="R153" s="67">
        <f t="shared" si="275"/>
        <v>0.50709983977015305</v>
      </c>
      <c r="S153" s="67">
        <f t="shared" si="275"/>
        <v>0.46386279308439249</v>
      </c>
      <c r="T153" s="67">
        <f t="shared" si="275"/>
        <v>0.47282999486389315</v>
      </c>
      <c r="U153" s="67">
        <f t="shared" si="275"/>
        <v>0.43919287600672241</v>
      </c>
      <c r="V153" s="67">
        <f t="shared" si="275"/>
        <v>0.44016364520651147</v>
      </c>
      <c r="W153" s="67">
        <f t="shared" ca="1" si="275"/>
        <v>0.4946522529417392</v>
      </c>
      <c r="X153" s="67">
        <f t="shared" ca="1" si="275"/>
        <v>0.51054097703205104</v>
      </c>
      <c r="Y153" s="67">
        <f t="shared" ca="1" si="275"/>
        <v>0.49547707558859977</v>
      </c>
      <c r="Z153" s="67">
        <f t="shared" ca="1" si="275"/>
        <v>0.48683183523428253</v>
      </c>
      <c r="AA153" s="67">
        <f t="shared" si="275"/>
        <v>0.47068087278572435</v>
      </c>
      <c r="AB153" s="67">
        <f t="shared" si="275"/>
        <v>0.50821985233798195</v>
      </c>
      <c r="AC153" s="67">
        <f>AC152/AC7</f>
        <v>0.51159425363815658</v>
      </c>
      <c r="AD153" s="17"/>
      <c r="AE153" s="17"/>
      <c r="AF153" s="17"/>
      <c r="AG153" s="17"/>
      <c r="AH153" s="17"/>
      <c r="AI153" s="17"/>
      <c r="AJ153" s="17"/>
      <c r="AK153" s="17"/>
      <c r="AL153" s="17"/>
      <c r="AM153" s="17"/>
      <c r="AN153" s="17"/>
    </row>
    <row r="154" spans="1:42" s="422" customFormat="1">
      <c r="A154" s="422" t="s">
        <v>37</v>
      </c>
      <c r="B154" s="108"/>
      <c r="C154" s="108"/>
      <c r="D154" s="108"/>
      <c r="E154" s="108"/>
      <c r="F154" s="108"/>
      <c r="G154" s="108"/>
      <c r="H154" s="108"/>
      <c r="I154" s="108"/>
      <c r="J154" s="108"/>
      <c r="K154" s="108"/>
      <c r="L154" s="108"/>
      <c r="M154" s="108"/>
      <c r="N154" s="108"/>
      <c r="O154" s="425"/>
      <c r="P154" s="425"/>
      <c r="Q154" s="425"/>
      <c r="R154" s="425">
        <v>6422</v>
      </c>
      <c r="S154" s="425">
        <v>4714</v>
      </c>
      <c r="T154" s="20">
        <v>5621</v>
      </c>
      <c r="U154" s="20">
        <v>6515</v>
      </c>
      <c r="V154" s="20">
        <v>5377</v>
      </c>
      <c r="W154" s="20">
        <v>6196</v>
      </c>
      <c r="X154" s="20">
        <v>7161</v>
      </c>
      <c r="Y154" s="20">
        <v>7817</v>
      </c>
      <c r="Z154" s="20">
        <v>8008</v>
      </c>
      <c r="AA154" s="20">
        <v>8150</v>
      </c>
      <c r="AB154" s="20">
        <v>9914</v>
      </c>
      <c r="AC154" s="20">
        <f>483+6381</f>
        <v>6864</v>
      </c>
      <c r="AD154" s="20"/>
      <c r="AE154" s="20"/>
      <c r="AF154" s="20"/>
      <c r="AG154" s="20"/>
      <c r="AH154" s="20"/>
      <c r="AI154" s="20"/>
      <c r="AJ154" s="20"/>
      <c r="AK154" s="20"/>
      <c r="AL154" s="20"/>
      <c r="AM154" s="20"/>
      <c r="AN154" s="20"/>
    </row>
    <row r="155" spans="1:42">
      <c r="A155" s="12" t="s">
        <v>40</v>
      </c>
      <c r="B155" s="30"/>
      <c r="C155" s="30"/>
      <c r="D155" s="30"/>
      <c r="E155" s="30"/>
      <c r="F155" s="30"/>
      <c r="G155" s="30"/>
      <c r="H155" s="30"/>
      <c r="I155" s="30"/>
      <c r="J155" s="30"/>
      <c r="K155" s="30"/>
      <c r="L155" s="30"/>
      <c r="M155" s="30"/>
      <c r="N155" s="30"/>
      <c r="O155" s="69"/>
      <c r="P155" s="69"/>
      <c r="Q155" s="69"/>
      <c r="R155" s="67">
        <f>R154/R15</f>
        <v>0.51049284578696341</v>
      </c>
      <c r="S155" s="67">
        <f>S154/S15</f>
        <v>0.43696700037078234</v>
      </c>
      <c r="T155" s="67">
        <f>T154/T15</f>
        <v>0.46853380011669582</v>
      </c>
      <c r="U155" s="67">
        <f ca="1">U154/U15</f>
        <v>0.42938113754695839</v>
      </c>
      <c r="V155" s="67">
        <f ca="1">V154/V15</f>
        <v>0.41042668498587892</v>
      </c>
      <c r="W155" s="67">
        <f ca="1">W154/(W15+4437)</f>
        <v>0.46436333658097878</v>
      </c>
      <c r="X155" s="67">
        <f ca="1">X154/(X15+4437)</f>
        <v>0.37042209807572934</v>
      </c>
      <c r="Y155" s="67">
        <f ca="1">Y154/(Y15)</f>
        <v>0.35499545867393278</v>
      </c>
      <c r="Z155" s="67">
        <f ca="1">Z154/(Z15)</f>
        <v>0.46704770792021461</v>
      </c>
      <c r="AA155" s="67">
        <f ca="1">AA154/(AA15)</f>
        <v>0.43587549470531606</v>
      </c>
      <c r="AB155" s="67">
        <f>AB154/(AB15)</f>
        <v>0.54586499284219803</v>
      </c>
      <c r="AC155" s="67">
        <f>AC154/(AC15)</f>
        <v>0.48923734853884532</v>
      </c>
      <c r="AD155" s="17"/>
      <c r="AE155" s="17"/>
      <c r="AF155" s="17"/>
      <c r="AG155" s="17"/>
      <c r="AH155" s="17"/>
      <c r="AI155" s="17"/>
      <c r="AJ155" s="17"/>
      <c r="AK155" s="17"/>
      <c r="AL155" s="17"/>
      <c r="AM155" s="17"/>
      <c r="AN155" s="17"/>
    </row>
    <row r="156" spans="1:42" s="61" customFormat="1">
      <c r="A156" s="12" t="s">
        <v>38</v>
      </c>
      <c r="B156" s="30"/>
      <c r="C156" s="30"/>
      <c r="D156" s="30"/>
      <c r="E156" s="30"/>
      <c r="F156" s="30"/>
      <c r="G156" s="30"/>
      <c r="H156" s="30"/>
      <c r="I156" s="30"/>
      <c r="J156" s="30"/>
      <c r="K156" s="30"/>
      <c r="L156" s="30"/>
      <c r="M156" s="30"/>
      <c r="N156" s="30"/>
      <c r="O156" s="65">
        <v>4577</v>
      </c>
      <c r="P156" s="65">
        <v>4975</v>
      </c>
      <c r="Q156" s="65">
        <v>7191</v>
      </c>
      <c r="R156" s="65">
        <v>5610</v>
      </c>
      <c r="S156" s="65">
        <v>3235</v>
      </c>
      <c r="T156" s="65">
        <v>5921</v>
      </c>
      <c r="U156" s="38">
        <v>5800</v>
      </c>
      <c r="V156" s="38">
        <v>3356</v>
      </c>
      <c r="W156" s="38">
        <v>3767</v>
      </c>
      <c r="X156" s="38">
        <f ca="1">+X158</f>
        <v>4768</v>
      </c>
      <c r="Y156" s="38">
        <f ca="1">+Y158</f>
        <v>5525</v>
      </c>
      <c r="Z156" s="38">
        <f ca="1">+Z158</f>
        <v>6149</v>
      </c>
      <c r="AA156" s="38">
        <f ca="1">+AA158</f>
        <v>5914</v>
      </c>
      <c r="AB156" s="17">
        <v>7886</v>
      </c>
      <c r="AC156" s="17">
        <v>5474</v>
      </c>
      <c r="AD156" s="17"/>
      <c r="AE156" s="17"/>
      <c r="AF156" s="17"/>
      <c r="AG156" s="17"/>
      <c r="AH156" s="17"/>
      <c r="AI156" s="17"/>
      <c r="AJ156" s="17"/>
      <c r="AK156" s="17"/>
      <c r="AL156" s="17"/>
      <c r="AM156" s="17"/>
      <c r="AN156" s="17"/>
    </row>
    <row r="157" spans="1:42">
      <c r="A157" s="12" t="s">
        <v>36</v>
      </c>
      <c r="B157" s="30"/>
      <c r="C157" s="30"/>
      <c r="D157" s="30"/>
      <c r="E157" s="30"/>
      <c r="F157" s="30"/>
      <c r="G157" s="30"/>
      <c r="H157" s="30"/>
      <c r="I157" s="30"/>
      <c r="J157" s="30"/>
      <c r="K157" s="30"/>
      <c r="L157" s="30"/>
      <c r="M157" s="30"/>
      <c r="N157" s="30"/>
      <c r="O157" s="66">
        <v>0</v>
      </c>
      <c r="P157" s="65">
        <v>0</v>
      </c>
      <c r="Q157" s="65">
        <f>-1030*(1+Q23/Q22)</f>
        <v>-954.69339622641519</v>
      </c>
      <c r="R157" s="65">
        <f>-745*(1+R23/R22)</f>
        <v>-659.70720529576511</v>
      </c>
      <c r="S157" s="65">
        <f>+S158-S156</f>
        <v>368</v>
      </c>
      <c r="T157" s="65">
        <f>+T158-T156</f>
        <v>-1486</v>
      </c>
      <c r="U157" s="65">
        <f ca="1">+U158-U156</f>
        <v>-800</v>
      </c>
      <c r="V157" s="46">
        <f ca="1">+V158-V156</f>
        <v>541</v>
      </c>
      <c r="W157" s="46">
        <f ca="1">+W158-W156</f>
        <v>129</v>
      </c>
      <c r="X157" s="46">
        <v>0</v>
      </c>
      <c r="Y157" s="46">
        <v>0</v>
      </c>
      <c r="Z157" s="46">
        <v>0</v>
      </c>
      <c r="AA157" s="46">
        <v>0</v>
      </c>
      <c r="AB157" s="46">
        <v>0</v>
      </c>
      <c r="AC157" s="46">
        <v>0</v>
      </c>
      <c r="AD157" s="17"/>
      <c r="AE157" s="17"/>
      <c r="AF157" s="17"/>
      <c r="AG157" s="17"/>
      <c r="AH157" s="17"/>
      <c r="AI157" s="17"/>
      <c r="AJ157" s="17"/>
      <c r="AK157" s="17"/>
      <c r="AL157" s="17"/>
      <c r="AM157" s="17"/>
      <c r="AN157" s="17"/>
    </row>
    <row r="158" spans="1:42" s="422" customFormat="1">
      <c r="A158" s="422" t="s">
        <v>39</v>
      </c>
      <c r="B158" s="108"/>
      <c r="C158" s="108"/>
      <c r="D158" s="108"/>
      <c r="E158" s="108"/>
      <c r="F158" s="108"/>
      <c r="G158" s="108"/>
      <c r="H158" s="108"/>
      <c r="I158" s="108"/>
      <c r="J158" s="108"/>
      <c r="K158" s="108"/>
      <c r="L158" s="108"/>
      <c r="M158" s="108"/>
      <c r="N158" s="108"/>
      <c r="O158" s="423">
        <f>SUM(O156:O157)</f>
        <v>4577</v>
      </c>
      <c r="P158" s="423">
        <f>SUM(P156:P157)</f>
        <v>4975</v>
      </c>
      <c r="Q158" s="423">
        <f>SUM(Q156:Q157)</f>
        <v>6236.3066037735844</v>
      </c>
      <c r="R158" s="423">
        <f>SUM(R156:R157)</f>
        <v>4950.2927947042353</v>
      </c>
      <c r="S158" s="423">
        <v>3603</v>
      </c>
      <c r="T158" s="424">
        <v>4435</v>
      </c>
      <c r="U158" s="424">
        <v>5000</v>
      </c>
      <c r="V158" s="424">
        <v>3897</v>
      </c>
      <c r="W158" s="424">
        <v>3896</v>
      </c>
      <c r="X158" s="424">
        <v>4768</v>
      </c>
      <c r="Y158" s="424">
        <v>5525</v>
      </c>
      <c r="Z158" s="424">
        <v>6149</v>
      </c>
      <c r="AA158" s="20">
        <v>5914</v>
      </c>
      <c r="AB158" s="20">
        <v>7886</v>
      </c>
      <c r="AC158" s="20">
        <v>5474</v>
      </c>
      <c r="AD158" s="20"/>
      <c r="AE158" s="20"/>
      <c r="AF158" s="20"/>
      <c r="AG158" s="20"/>
      <c r="AH158" s="20"/>
      <c r="AI158" s="20"/>
      <c r="AJ158" s="20"/>
      <c r="AK158" s="20"/>
      <c r="AL158" s="20"/>
      <c r="AM158" s="20"/>
      <c r="AN158" s="20"/>
    </row>
    <row r="159" spans="1:42">
      <c r="A159" s="12" t="s">
        <v>40</v>
      </c>
      <c r="B159" s="30"/>
      <c r="C159" s="30"/>
      <c r="D159" s="30"/>
      <c r="E159" s="30"/>
      <c r="F159" s="30"/>
      <c r="G159" s="30"/>
      <c r="H159" s="30"/>
      <c r="I159" s="30"/>
      <c r="J159" s="30"/>
      <c r="K159" s="30"/>
      <c r="L159" s="30"/>
      <c r="M159" s="30"/>
      <c r="N159" s="30"/>
      <c r="O159" s="67">
        <f>O158/O31</f>
        <v>0.49950889446687768</v>
      </c>
      <c r="P159" s="67">
        <f>P158/P31</f>
        <v>0.53818693206404156</v>
      </c>
      <c r="Q159" s="67">
        <f>Q158/Q31</f>
        <v>0.66956265876890531</v>
      </c>
      <c r="R159" s="67">
        <f>R158/R31</f>
        <v>0.5276372622792832</v>
      </c>
      <c r="S159" s="67">
        <f>+S158/S31</f>
        <v>0.43191081275473509</v>
      </c>
      <c r="T159" s="67">
        <f>+T158/T31</f>
        <v>0.47873488773747841</v>
      </c>
      <c r="U159" s="67">
        <f>+U158/U31</f>
        <v>0.48487199379363849</v>
      </c>
      <c r="V159" s="67">
        <f ca="1">+(V158+200*0.7+626*0.7)/V31</f>
        <v>0.47578141611737185</v>
      </c>
      <c r="W159" s="67">
        <f t="shared" ref="W159:AC159" ca="1" si="276">+W158/W31</f>
        <v>0.41860964865155259</v>
      </c>
      <c r="X159" s="67">
        <f t="shared" ca="1" si="276"/>
        <v>0.4738620552574041</v>
      </c>
      <c r="Y159" s="67">
        <f t="shared" ca="1" si="276"/>
        <v>0.47964233006337353</v>
      </c>
      <c r="Z159" s="67">
        <f t="shared" ca="1" si="276"/>
        <v>0.49854061942597699</v>
      </c>
      <c r="AA159" s="67">
        <f t="shared" si="276"/>
        <v>0.44442774479597202</v>
      </c>
      <c r="AB159" s="67">
        <f t="shared" si="276"/>
        <v>0.56401087112001147</v>
      </c>
      <c r="AC159" s="67">
        <f t="shared" si="276"/>
        <v>0.49222192248898483</v>
      </c>
      <c r="AD159" s="17"/>
      <c r="AE159" s="17"/>
      <c r="AF159" s="17"/>
      <c r="AG159" s="17"/>
      <c r="AH159" s="17"/>
      <c r="AI159" s="17"/>
      <c r="AJ159" s="17"/>
      <c r="AK159" s="17"/>
      <c r="AL159" s="17"/>
      <c r="AM159" s="17"/>
      <c r="AN159" s="17"/>
    </row>
    <row r="160" spans="1:42">
      <c r="B160" s="30"/>
      <c r="C160" s="30"/>
      <c r="D160" s="30"/>
      <c r="E160" s="30"/>
      <c r="F160" s="30"/>
      <c r="G160" s="30"/>
      <c r="H160" s="30"/>
      <c r="I160" s="30"/>
      <c r="J160" s="30"/>
      <c r="K160" s="30"/>
      <c r="L160" s="30"/>
      <c r="M160" s="30"/>
      <c r="N160" s="30"/>
      <c r="O160" s="66"/>
      <c r="P160" s="65"/>
      <c r="Q160" s="65"/>
      <c r="R160" s="65"/>
      <c r="S160" s="46"/>
      <c r="T160" s="46"/>
      <c r="U160" s="46"/>
      <c r="V160" s="46"/>
      <c r="W160" s="46"/>
      <c r="X160" s="46"/>
      <c r="Y160" s="46"/>
      <c r="Z160" s="17"/>
      <c r="AA160" s="17"/>
      <c r="AB160" s="17"/>
      <c r="AC160" s="17"/>
      <c r="AD160" s="17"/>
      <c r="AE160" s="17"/>
      <c r="AF160" s="17"/>
      <c r="AG160" s="17"/>
      <c r="AH160" s="17"/>
      <c r="AI160" s="17"/>
      <c r="AJ160" s="17"/>
      <c r="AK160" s="17"/>
      <c r="AL160" s="17"/>
      <c r="AM160" s="17"/>
      <c r="AN160" s="17"/>
    </row>
    <row r="161" spans="1:40">
      <c r="A161" s="422" t="s">
        <v>684</v>
      </c>
      <c r="B161" s="30"/>
      <c r="C161" s="30"/>
      <c r="D161" s="30"/>
      <c r="E161" s="30"/>
      <c r="F161" s="30"/>
      <c r="G161" s="30"/>
      <c r="H161" s="30"/>
      <c r="I161" s="30"/>
      <c r="J161" s="30"/>
      <c r="K161" s="30"/>
      <c r="L161" s="30"/>
      <c r="M161" s="30"/>
      <c r="N161" s="30"/>
      <c r="O161" s="66"/>
      <c r="P161" s="65"/>
      <c r="Q161" s="65"/>
      <c r="R161" s="65"/>
      <c r="S161" s="46"/>
      <c r="T161" s="46"/>
      <c r="U161" s="46"/>
      <c r="V161" s="46"/>
      <c r="W161" s="46"/>
      <c r="X161" s="46"/>
      <c r="Y161" s="46"/>
      <c r="Z161" s="17"/>
      <c r="AA161" s="17"/>
      <c r="AB161" s="17"/>
      <c r="AC161" s="17"/>
      <c r="AD161" s="17"/>
      <c r="AE161" s="17"/>
      <c r="AF161" s="17"/>
      <c r="AG161" s="17"/>
      <c r="AH161" s="17"/>
      <c r="AI161" s="17"/>
      <c r="AJ161" s="17"/>
      <c r="AK161" s="17"/>
      <c r="AL161" s="17"/>
      <c r="AM161" s="17"/>
      <c r="AN161" s="17"/>
    </row>
    <row r="162" spans="1:40" s="422" customFormat="1">
      <c r="A162" s="426" t="s">
        <v>47</v>
      </c>
      <c r="B162" s="108"/>
      <c r="C162" s="108"/>
      <c r="D162" s="108"/>
      <c r="E162" s="108"/>
      <c r="F162" s="108"/>
      <c r="G162" s="108"/>
      <c r="H162" s="108"/>
      <c r="I162" s="108"/>
      <c r="J162" s="108"/>
      <c r="K162" s="108"/>
      <c r="L162" s="108"/>
      <c r="M162" s="108"/>
      <c r="N162" s="108"/>
      <c r="O162" s="108"/>
      <c r="P162" s="424"/>
      <c r="Q162" s="424">
        <v>3756</v>
      </c>
      <c r="R162" s="424">
        <v>4040</v>
      </c>
      <c r="S162" s="424">
        <v>2925</v>
      </c>
      <c r="T162" s="20">
        <v>3014</v>
      </c>
      <c r="U162" s="20">
        <v>3114</v>
      </c>
      <c r="V162" s="20">
        <v>3240</v>
      </c>
      <c r="W162" s="20">
        <v>3417</v>
      </c>
      <c r="X162" s="20">
        <v>3674</v>
      </c>
      <c r="Y162" s="20">
        <v>4052</v>
      </c>
      <c r="Z162" s="20">
        <v>4276</v>
      </c>
      <c r="AA162" s="20">
        <v>4356</v>
      </c>
      <c r="AB162" s="20">
        <v>4497</v>
      </c>
      <c r="AC162" s="20">
        <v>3587</v>
      </c>
      <c r="AD162" s="20"/>
      <c r="AE162" s="20"/>
      <c r="AF162" s="20"/>
      <c r="AG162" s="20"/>
      <c r="AH162" s="20"/>
      <c r="AI162" s="20"/>
      <c r="AJ162" s="20"/>
      <c r="AK162" s="20"/>
      <c r="AL162" s="20"/>
      <c r="AM162" s="20"/>
      <c r="AN162" s="20"/>
    </row>
    <row r="163" spans="1:40">
      <c r="A163" s="427" t="s">
        <v>48</v>
      </c>
      <c r="B163" s="30"/>
      <c r="C163" s="30"/>
      <c r="D163" s="30"/>
      <c r="E163" s="30"/>
      <c r="F163" s="30"/>
      <c r="G163" s="30"/>
      <c r="H163" s="30"/>
      <c r="I163" s="30"/>
      <c r="J163" s="30"/>
      <c r="K163" s="30"/>
      <c r="L163" s="30"/>
      <c r="M163" s="30"/>
      <c r="N163" s="30"/>
      <c r="O163" s="30"/>
      <c r="P163" s="46"/>
      <c r="Q163" s="13">
        <f>+Q162/SOC!Q46</f>
        <v>0.49085206481965499</v>
      </c>
      <c r="R163" s="13">
        <f>+R162/SOC!R46</f>
        <v>0.53517022122135383</v>
      </c>
      <c r="S163" s="13">
        <f>+S162/SOC!S46</f>
        <v>0.4904426559356137</v>
      </c>
      <c r="T163" s="13">
        <f>+T162/SOC!T46</f>
        <v>0.49176048294991026</v>
      </c>
      <c r="U163" s="13">
        <f>+U162/SOC!U46</f>
        <v>0.49124467581637482</v>
      </c>
      <c r="V163" s="13">
        <f>+V162/SOC!V46</f>
        <v>0.48692515779981965</v>
      </c>
      <c r="W163" s="13">
        <f>+W162/SOC!W46</f>
        <v>0.49052540913006032</v>
      </c>
      <c r="X163" s="13">
        <f>+X162/SOC!X46</f>
        <v>0.46377177480434234</v>
      </c>
      <c r="Y163" s="13">
        <f>+Y162/SOC!Y46</f>
        <v>0.47749234032524157</v>
      </c>
      <c r="Z163" s="13">
        <f>+Z162/SOC!Z46</f>
        <v>0.49014213663457129</v>
      </c>
      <c r="AA163" s="13">
        <f>+AA162/SOC!AA46</f>
        <v>0.4870848708487085</v>
      </c>
      <c r="AB163" s="13">
        <f>+AB162/SOC!AB46</f>
        <v>0.52096848934198337</v>
      </c>
      <c r="AC163" s="13">
        <f>+AC162/SOC!AC46</f>
        <v>0.47973786277918951</v>
      </c>
      <c r="AD163" s="17"/>
      <c r="AE163" s="17"/>
      <c r="AF163" s="17"/>
      <c r="AG163" s="17"/>
      <c r="AH163" s="17"/>
      <c r="AI163" s="17"/>
      <c r="AJ163" s="17"/>
      <c r="AK163" s="17"/>
      <c r="AL163" s="17"/>
      <c r="AM163" s="17"/>
      <c r="AN163" s="17"/>
    </row>
    <row r="164" spans="1:40" s="422" customFormat="1">
      <c r="A164" s="426" t="s">
        <v>678</v>
      </c>
      <c r="B164" s="108"/>
      <c r="C164" s="108"/>
      <c r="D164" s="108"/>
      <c r="E164" s="108"/>
      <c r="F164" s="108"/>
      <c r="G164" s="108"/>
      <c r="H164" s="108"/>
      <c r="I164" s="108"/>
      <c r="J164" s="108"/>
      <c r="K164" s="108"/>
      <c r="L164" s="108"/>
      <c r="M164" s="108"/>
      <c r="N164" s="108"/>
      <c r="O164" s="108"/>
      <c r="P164" s="424"/>
      <c r="Q164" s="260"/>
      <c r="R164" s="260"/>
      <c r="S164" s="260"/>
      <c r="T164" s="428">
        <f>351-319+25+53</f>
        <v>110</v>
      </c>
      <c r="U164" s="20">
        <f>49+59</f>
        <v>108</v>
      </c>
      <c r="V164" s="20">
        <f>58-64</f>
        <v>-6</v>
      </c>
      <c r="W164" s="20">
        <f>55+24</f>
        <v>79</v>
      </c>
      <c r="X164" s="20">
        <f>48-33</f>
        <v>15</v>
      </c>
      <c r="Y164" s="20">
        <f>-6+84</f>
        <v>78</v>
      </c>
      <c r="Z164" s="20">
        <f>113+43</f>
        <v>156</v>
      </c>
      <c r="AA164" s="20">
        <f>148-37</f>
        <v>111</v>
      </c>
      <c r="AB164" s="20">
        <v>131</v>
      </c>
      <c r="AC164" s="20">
        <v>102</v>
      </c>
      <c r="AD164" s="20"/>
      <c r="AE164" s="20"/>
      <c r="AF164" s="20"/>
      <c r="AG164" s="20"/>
      <c r="AH164" s="20"/>
      <c r="AI164" s="20"/>
      <c r="AJ164" s="20"/>
      <c r="AK164" s="20"/>
      <c r="AL164" s="20"/>
      <c r="AM164" s="20"/>
      <c r="AN164" s="20"/>
    </row>
    <row r="165" spans="1:40">
      <c r="A165" s="427" t="s">
        <v>48</v>
      </c>
      <c r="B165" s="30"/>
      <c r="C165" s="30"/>
      <c r="D165" s="30"/>
      <c r="E165" s="30"/>
      <c r="F165" s="30"/>
      <c r="G165" s="30"/>
      <c r="H165" s="30"/>
      <c r="I165" s="30"/>
      <c r="J165" s="30"/>
      <c r="K165" s="30"/>
      <c r="L165" s="30"/>
      <c r="M165" s="30"/>
      <c r="N165" s="30"/>
      <c r="O165" s="30"/>
      <c r="P165" s="46"/>
      <c r="Q165" s="13"/>
      <c r="R165" s="13"/>
      <c r="S165" s="13"/>
      <c r="T165" s="13"/>
      <c r="U165" s="13">
        <f>U164/(Driver!U56+CN!U41)</f>
        <v>1.5</v>
      </c>
      <c r="V165" s="13">
        <f>V164/(Driver!V56+CN!V41)</f>
        <v>-4.9586776859504134E-2</v>
      </c>
      <c r="W165" s="13">
        <f>W164/(Driver!W56+CN!W41)</f>
        <v>0.73148148148148151</v>
      </c>
      <c r="X165" s="13">
        <f>X164/(Driver!X56+CN!X41)</f>
        <v>3</v>
      </c>
      <c r="Y165" s="13">
        <f>Y164/(Driver!Y56+CN!Y41)</f>
        <v>0.53424657534246578</v>
      </c>
      <c r="Z165" s="13">
        <f>Z164/(Driver!Z56+CN!Z41)</f>
        <v>0.76847290640394084</v>
      </c>
      <c r="AA165" s="13">
        <f>AA164/(Driver!AA56+CN!AA41)</f>
        <v>0.33134328358208953</v>
      </c>
      <c r="AB165" s="13">
        <f>AB164/(Driver!AB56+CN!AB41)</f>
        <v>0.5770925110132159</v>
      </c>
      <c r="AC165" s="13">
        <f>AC164/(Driver!AC56+CN!AC41)</f>
        <v>0.48341232227488151</v>
      </c>
      <c r="AD165" s="17"/>
      <c r="AE165" s="17"/>
      <c r="AF165" s="17"/>
      <c r="AG165" s="17"/>
      <c r="AH165" s="17"/>
      <c r="AI165" s="17"/>
      <c r="AJ165" s="17"/>
      <c r="AK165" s="17"/>
      <c r="AL165" s="17"/>
      <c r="AM165" s="17"/>
      <c r="AN165" s="17"/>
    </row>
    <row r="166" spans="1:40" s="422" customFormat="1">
      <c r="A166" s="426" t="s">
        <v>679</v>
      </c>
      <c r="B166" s="108"/>
      <c r="C166" s="108"/>
      <c r="D166" s="108"/>
      <c r="E166" s="108"/>
      <c r="F166" s="108"/>
      <c r="G166" s="108"/>
      <c r="H166" s="108"/>
      <c r="I166" s="108"/>
      <c r="J166" s="108"/>
      <c r="K166" s="108"/>
      <c r="L166" s="108"/>
      <c r="M166" s="108"/>
      <c r="N166" s="108"/>
      <c r="O166" s="108"/>
      <c r="P166" s="424"/>
      <c r="Q166" s="260"/>
      <c r="R166" s="260"/>
      <c r="S166" s="260"/>
      <c r="T166" s="428">
        <f>458+319</f>
        <v>777</v>
      </c>
      <c r="U166" s="20">
        <f>349+319</f>
        <v>668</v>
      </c>
      <c r="V166" s="20">
        <f>393+268</f>
        <v>661</v>
      </c>
      <c r="W166" s="20">
        <v>835</v>
      </c>
      <c r="X166" s="20">
        <v>662</v>
      </c>
      <c r="Y166" s="20">
        <v>941</v>
      </c>
      <c r="Z166" s="20">
        <v>841</v>
      </c>
      <c r="AA166" s="20">
        <v>637</v>
      </c>
      <c r="AB166" s="20">
        <v>1116</v>
      </c>
      <c r="AC166" s="20">
        <v>1174</v>
      </c>
      <c r="AD166" s="20"/>
      <c r="AE166" s="20"/>
      <c r="AF166" s="20"/>
      <c r="AG166" s="20"/>
      <c r="AH166" s="20"/>
      <c r="AI166" s="20"/>
      <c r="AJ166" s="20"/>
      <c r="AK166" s="20"/>
      <c r="AL166" s="20"/>
      <c r="AM166" s="20"/>
      <c r="AN166" s="20"/>
    </row>
    <row r="167" spans="1:40">
      <c r="A167" s="427" t="s">
        <v>48</v>
      </c>
      <c r="B167" s="30"/>
      <c r="C167" s="30"/>
      <c r="D167" s="30"/>
      <c r="E167" s="30"/>
      <c r="F167" s="30"/>
      <c r="G167" s="30"/>
      <c r="H167" s="30"/>
      <c r="I167" s="30"/>
      <c r="J167" s="30"/>
      <c r="K167" s="30"/>
      <c r="L167" s="30"/>
      <c r="M167" s="30"/>
      <c r="N167" s="30"/>
      <c r="O167" s="30"/>
      <c r="P167" s="46"/>
      <c r="Q167" s="13"/>
      <c r="R167" s="13"/>
      <c r="S167" s="13"/>
      <c r="T167" s="13">
        <f>T166/CN!T40</f>
        <v>0.44122657580919933</v>
      </c>
      <c r="U167" s="13">
        <f>U166/CN!U40</f>
        <v>0.5783549783549784</v>
      </c>
      <c r="V167" s="13">
        <f>V166/CN!V40</f>
        <v>0.50189825360668183</v>
      </c>
      <c r="W167" s="13">
        <f>W166/CN!W40</f>
        <v>0.39183481933364617</v>
      </c>
      <c r="X167" s="13">
        <f>X166/CN!X40</f>
        <v>0.41925269157694744</v>
      </c>
      <c r="Y167" s="13">
        <f>Y166/CN!Y40</f>
        <v>0.47597369752149721</v>
      </c>
      <c r="Z167" s="13">
        <f>Z166/CN!Z40</f>
        <v>0.55292570677186059</v>
      </c>
      <c r="AA167" s="431">
        <f>AA166/(CN!AA40-CN!AA31)</f>
        <v>0.52906976744186052</v>
      </c>
      <c r="AB167" s="13">
        <f>AB166/CN!AB40</f>
        <v>0.51595006934812759</v>
      </c>
      <c r="AC167" s="13">
        <f>AC166/CN!AC40</f>
        <v>0.51559068950373299</v>
      </c>
      <c r="AD167" s="17"/>
      <c r="AE167" s="17"/>
      <c r="AF167" s="17"/>
      <c r="AG167" s="17"/>
      <c r="AH167" s="17"/>
      <c r="AI167" s="17"/>
      <c r="AJ167" s="17"/>
      <c r="AK167" s="17"/>
      <c r="AL167" s="17"/>
      <c r="AM167" s="17"/>
      <c r="AN167" s="17"/>
    </row>
    <row r="168" spans="1:40" s="422" customFormat="1">
      <c r="A168" s="426" t="s">
        <v>680</v>
      </c>
      <c r="B168" s="108"/>
      <c r="C168" s="108"/>
      <c r="D168" s="108"/>
      <c r="E168" s="108"/>
      <c r="F168" s="108"/>
      <c r="G168" s="108"/>
      <c r="H168" s="108"/>
      <c r="I168" s="108"/>
      <c r="J168" s="108"/>
      <c r="K168" s="108"/>
      <c r="L168" s="108"/>
      <c r="M168" s="108"/>
      <c r="N168" s="108"/>
      <c r="O168" s="108"/>
      <c r="P168" s="424"/>
      <c r="Q168" s="260"/>
      <c r="R168" s="260"/>
      <c r="S168" s="260"/>
      <c r="T168" s="20">
        <v>461</v>
      </c>
      <c r="U168" s="20">
        <v>1191</v>
      </c>
      <c r="V168" s="20">
        <v>268</v>
      </c>
      <c r="W168" s="20">
        <v>-45</v>
      </c>
      <c r="X168" s="20">
        <v>585</v>
      </c>
      <c r="Y168" s="20">
        <v>493</v>
      </c>
      <c r="Z168" s="20">
        <v>897</v>
      </c>
      <c r="AA168" s="20">
        <v>758</v>
      </c>
      <c r="AB168" s="20">
        <v>2257</v>
      </c>
      <c r="AC168" s="20">
        <v>824</v>
      </c>
      <c r="AD168" s="436"/>
      <c r="AE168" s="20"/>
      <c r="AF168" s="20"/>
      <c r="AG168" s="20"/>
      <c r="AH168" s="20"/>
      <c r="AI168" s="20"/>
      <c r="AJ168" s="20"/>
      <c r="AK168" s="20"/>
      <c r="AL168" s="20"/>
      <c r="AM168" s="20"/>
      <c r="AN168" s="20"/>
    </row>
    <row r="169" spans="1:40">
      <c r="A169" s="427" t="s">
        <v>48</v>
      </c>
      <c r="B169" s="30"/>
      <c r="C169" s="30"/>
      <c r="D169" s="30"/>
      <c r="E169" s="30"/>
      <c r="F169" s="30"/>
      <c r="G169" s="30"/>
      <c r="H169" s="30"/>
      <c r="I169" s="30"/>
      <c r="J169" s="30"/>
      <c r="K169" s="30"/>
      <c r="L169" s="30"/>
      <c r="M169" s="30"/>
      <c r="N169" s="30"/>
      <c r="O169" s="30"/>
      <c r="P169" s="46"/>
      <c r="Q169" s="13"/>
      <c r="R169" s="13"/>
      <c r="S169" s="13"/>
      <c r="T169" s="13">
        <f>T168/Driver!T52</f>
        <v>0.35379892555640829</v>
      </c>
      <c r="U169" s="13">
        <f>U168/Driver!U52</f>
        <v>0.40913775334936447</v>
      </c>
      <c r="V169" s="13">
        <f>V168/Driver!V52</f>
        <v>0.15905044510385757</v>
      </c>
      <c r="W169" s="13">
        <f>W168/Driver!W52</f>
        <v>-0.35714285714285715</v>
      </c>
      <c r="X169" s="13">
        <f>X168/Driver!X52</f>
        <v>0.77380952380952384</v>
      </c>
      <c r="Y169" s="13">
        <f>Y168/Driver!Y52</f>
        <v>0.58971291866028708</v>
      </c>
      <c r="Z169" s="13">
        <f>Z168/Driver!Z52</f>
        <v>0.48512709572742024</v>
      </c>
      <c r="AA169" s="13">
        <f>AA168/Driver!AA52</f>
        <v>0.27684441197954712</v>
      </c>
      <c r="AB169" s="13">
        <f>AB168/Driver!AB52</f>
        <v>0.68352513628104183</v>
      </c>
      <c r="AC169" s="13">
        <f>AC168/Driver!AC52</f>
        <v>0.5261813537675607</v>
      </c>
      <c r="AD169" s="17"/>
      <c r="AE169" s="17"/>
      <c r="AF169" s="17"/>
      <c r="AG169" s="17"/>
      <c r="AH169" s="17"/>
      <c r="AI169" s="17"/>
      <c r="AJ169" s="17"/>
      <c r="AK169" s="17"/>
      <c r="AL169" s="17"/>
      <c r="AM169" s="17"/>
      <c r="AN169" s="17"/>
    </row>
    <row r="170" spans="1:40" s="422" customFormat="1">
      <c r="A170" s="426" t="s">
        <v>681</v>
      </c>
      <c r="B170" s="108"/>
      <c r="C170" s="108"/>
      <c r="D170" s="108"/>
      <c r="E170" s="108"/>
      <c r="F170" s="108"/>
      <c r="G170" s="108"/>
      <c r="H170" s="108"/>
      <c r="I170" s="108"/>
      <c r="J170" s="108"/>
      <c r="K170" s="108"/>
      <c r="L170" s="108"/>
      <c r="M170" s="108"/>
      <c r="N170" s="108"/>
      <c r="O170" s="108"/>
      <c r="P170" s="424"/>
      <c r="Q170" s="260"/>
      <c r="R170" s="260"/>
      <c r="S170" s="260"/>
      <c r="T170" s="20">
        <v>115</v>
      </c>
      <c r="U170" s="20">
        <v>183</v>
      </c>
      <c r="V170" s="20">
        <v>-19</v>
      </c>
      <c r="W170" s="20">
        <v>-212</v>
      </c>
      <c r="X170" s="20">
        <v>82</v>
      </c>
      <c r="Y170" s="20">
        <v>92</v>
      </c>
      <c r="Z170" s="20">
        <v>200</v>
      </c>
      <c r="AA170" s="20">
        <v>242</v>
      </c>
      <c r="AB170" s="20">
        <v>251</v>
      </c>
      <c r="AC170" s="20">
        <v>120</v>
      </c>
      <c r="AD170" s="20"/>
      <c r="AE170" s="20"/>
      <c r="AF170" s="20"/>
      <c r="AG170" s="20"/>
      <c r="AH170" s="20"/>
      <c r="AI170" s="20"/>
      <c r="AJ170" s="20"/>
      <c r="AK170" s="20"/>
      <c r="AL170" s="20"/>
      <c r="AM170" s="20"/>
      <c r="AN170" s="20"/>
    </row>
    <row r="171" spans="1:40">
      <c r="A171" s="427" t="s">
        <v>48</v>
      </c>
      <c r="B171" s="30"/>
      <c r="C171" s="30"/>
      <c r="D171" s="30"/>
      <c r="E171" s="30"/>
      <c r="F171" s="30"/>
      <c r="G171" s="30"/>
      <c r="H171" s="30"/>
      <c r="I171" s="30"/>
      <c r="J171" s="30"/>
      <c r="K171" s="30"/>
      <c r="L171" s="30"/>
      <c r="M171" s="30"/>
      <c r="N171" s="30"/>
      <c r="O171" s="30"/>
      <c r="P171" s="46"/>
      <c r="Q171" s="13"/>
      <c r="R171" s="13"/>
      <c r="S171" s="13"/>
      <c r="T171" s="13">
        <f>T170/Driver!T54</f>
        <v>0.48117154811715479</v>
      </c>
      <c r="U171" s="13">
        <f>U170/Driver!U54</f>
        <v>0.76249999999999996</v>
      </c>
      <c r="V171" s="13">
        <f>V170/Driver!V54</f>
        <v>7.1969696969696975E-2</v>
      </c>
      <c r="W171" s="13">
        <f>W170/Driver!W54</f>
        <v>-1.1521739130434783</v>
      </c>
      <c r="X171" s="13">
        <f>X170/Driver!X54</f>
        <v>0.3037037037037037</v>
      </c>
      <c r="Y171" s="13">
        <f>Y170/Driver!Y54</f>
        <v>0.14983713355048861</v>
      </c>
      <c r="Z171" s="13">
        <f>Z170/Driver!Z54</f>
        <v>0.42643923240938164</v>
      </c>
      <c r="AA171" s="13">
        <f>AA170/Driver!AA54</f>
        <v>0.37403400309119011</v>
      </c>
      <c r="AB171" s="13">
        <f>AB170/Driver!AB54</f>
        <v>0.4388111888111888</v>
      </c>
      <c r="AC171" s="13">
        <f>AC170/Driver!AC54</f>
        <v>0.45627376425855515</v>
      </c>
      <c r="AD171" s="17"/>
      <c r="AE171" s="17"/>
      <c r="AF171" s="17"/>
      <c r="AG171" s="17"/>
      <c r="AH171" s="17"/>
      <c r="AI171" s="17"/>
      <c r="AJ171" s="17"/>
      <c r="AK171" s="17"/>
      <c r="AL171" s="17"/>
      <c r="AM171" s="17"/>
      <c r="AN171" s="17"/>
    </row>
    <row r="172" spans="1:40" s="422" customFormat="1">
      <c r="A172" s="426" t="s">
        <v>682</v>
      </c>
      <c r="B172" s="108"/>
      <c r="C172" s="108"/>
      <c r="D172" s="108"/>
      <c r="E172" s="108"/>
      <c r="F172" s="108"/>
      <c r="G172" s="108"/>
      <c r="H172" s="108"/>
      <c r="I172" s="108"/>
      <c r="J172" s="108"/>
      <c r="K172" s="108"/>
      <c r="L172" s="108"/>
      <c r="M172" s="108"/>
      <c r="N172" s="108"/>
      <c r="O172" s="108"/>
      <c r="P172" s="424"/>
      <c r="Q172" s="260"/>
      <c r="R172" s="260"/>
      <c r="S172" s="260"/>
      <c r="T172" s="20">
        <v>191</v>
      </c>
      <c r="U172" s="20">
        <v>28</v>
      </c>
      <c r="V172" s="20">
        <v>73</v>
      </c>
      <c r="W172" s="20">
        <v>63</v>
      </c>
      <c r="X172" s="20">
        <v>113</v>
      </c>
      <c r="Y172" s="20">
        <v>140</v>
      </c>
      <c r="Z172" s="20">
        <v>119</v>
      </c>
      <c r="AA172" s="20">
        <v>81</v>
      </c>
      <c r="AB172" s="20">
        <v>68</v>
      </c>
      <c r="AC172" s="20">
        <v>140</v>
      </c>
      <c r="AD172" s="20"/>
      <c r="AE172" s="20"/>
      <c r="AF172" s="20"/>
      <c r="AG172" s="20"/>
      <c r="AH172" s="20"/>
      <c r="AI172" s="20"/>
      <c r="AJ172" s="20"/>
      <c r="AK172" s="20"/>
      <c r="AL172" s="20"/>
      <c r="AM172" s="20"/>
      <c r="AN172" s="20"/>
    </row>
    <row r="173" spans="1:40">
      <c r="A173" s="427" t="s">
        <v>48</v>
      </c>
      <c r="B173" s="30"/>
      <c r="C173" s="30"/>
      <c r="D173" s="30"/>
      <c r="E173" s="30"/>
      <c r="F173" s="30"/>
      <c r="G173" s="30"/>
      <c r="H173" s="30"/>
      <c r="I173" s="30"/>
      <c r="J173" s="30"/>
      <c r="K173" s="30"/>
      <c r="L173" s="30"/>
      <c r="M173" s="30"/>
      <c r="N173" s="30"/>
      <c r="O173" s="30"/>
      <c r="P173" s="46"/>
      <c r="Q173" s="13"/>
      <c r="R173" s="13"/>
      <c r="S173" s="13"/>
      <c r="T173" s="13">
        <f>T172/Driver!T55</f>
        <v>0.48974358974358972</v>
      </c>
      <c r="U173" s="13">
        <f>U172/Driver!U55</f>
        <v>0.32558139534883723</v>
      </c>
      <c r="V173" s="13">
        <f>V172/Driver!V55</f>
        <v>0.30041152263374488</v>
      </c>
      <c r="W173" s="13">
        <f>W172/Driver!W55</f>
        <v>0.26141078838174275</v>
      </c>
      <c r="X173" s="13">
        <f>X172/Driver!X55</f>
        <v>0.38047138047138046</v>
      </c>
      <c r="Y173" s="13">
        <f>Y172/Driver!Y55</f>
        <v>0.44871794871794873</v>
      </c>
      <c r="Z173" s="13">
        <f>Z172/Driver!Z55</f>
        <v>0.43430656934306572</v>
      </c>
      <c r="AA173" s="13">
        <f>AA172/Driver!AA55</f>
        <v>0.50624999999999998</v>
      </c>
      <c r="AB173" s="13">
        <f>AB172/Driver!AB55</f>
        <v>0.41975308641975306</v>
      </c>
      <c r="AC173" s="13">
        <f>AC172/Driver!AC55</f>
        <v>0.41791044776119401</v>
      </c>
      <c r="AD173" s="17"/>
      <c r="AE173" s="17"/>
      <c r="AF173" s="17"/>
      <c r="AG173" s="17"/>
      <c r="AH173" s="17"/>
      <c r="AI173" s="17"/>
      <c r="AJ173" s="17"/>
      <c r="AK173" s="17"/>
      <c r="AL173" s="17"/>
      <c r="AM173" s="17"/>
      <c r="AN173" s="17"/>
    </row>
    <row r="174" spans="1:40" s="422" customFormat="1">
      <c r="A174" s="426" t="s">
        <v>683</v>
      </c>
      <c r="B174" s="108"/>
      <c r="C174" s="108"/>
      <c r="D174" s="108"/>
      <c r="E174" s="108"/>
      <c r="F174" s="108"/>
      <c r="G174" s="108"/>
      <c r="H174" s="108"/>
      <c r="I174" s="108"/>
      <c r="J174" s="108"/>
      <c r="K174" s="108"/>
      <c r="L174" s="108"/>
      <c r="M174" s="108"/>
      <c r="N174" s="108"/>
      <c r="O174" s="108"/>
      <c r="P174" s="424"/>
      <c r="Q174" s="260"/>
      <c r="R174" s="260"/>
      <c r="S174" s="260"/>
      <c r="T174" s="20">
        <f t="shared" ref="T174:AC174" si="277">T158-T162-T164-T166-T168-T170-T172</f>
        <v>-233</v>
      </c>
      <c r="U174" s="20">
        <f t="shared" si="277"/>
        <v>-292</v>
      </c>
      <c r="V174" s="20">
        <f ca="1">V158-V162-V164-V166-V168-V170-V172</f>
        <v>-320</v>
      </c>
      <c r="W174" s="20">
        <f t="shared" ca="1" si="277"/>
        <v>-241</v>
      </c>
      <c r="X174" s="20">
        <f t="shared" ca="1" si="277"/>
        <v>-363</v>
      </c>
      <c r="Y174" s="20">
        <f t="shared" ca="1" si="277"/>
        <v>-271</v>
      </c>
      <c r="Z174" s="20">
        <f t="shared" ca="1" si="277"/>
        <v>-340</v>
      </c>
      <c r="AA174" s="20">
        <f t="shared" si="277"/>
        <v>-271</v>
      </c>
      <c r="AB174" s="20">
        <f t="shared" si="277"/>
        <v>-434</v>
      </c>
      <c r="AC174" s="20">
        <f t="shared" si="277"/>
        <v>-473</v>
      </c>
      <c r="AD174" s="20"/>
      <c r="AE174" s="20"/>
      <c r="AF174" s="20"/>
      <c r="AG174" s="20"/>
      <c r="AH174" s="20"/>
      <c r="AI174" s="20"/>
      <c r="AJ174" s="20"/>
      <c r="AK174" s="20"/>
      <c r="AL174" s="20"/>
      <c r="AM174" s="20"/>
      <c r="AN174" s="20"/>
    </row>
    <row r="175" spans="1:40">
      <c r="A175" s="427" t="s">
        <v>48</v>
      </c>
      <c r="B175" s="30"/>
      <c r="C175" s="30"/>
      <c r="D175" s="30"/>
      <c r="E175" s="30"/>
      <c r="F175" s="30"/>
      <c r="G175" s="30"/>
      <c r="H175" s="30"/>
      <c r="I175" s="30"/>
      <c r="J175" s="30"/>
      <c r="K175" s="30"/>
      <c r="L175" s="30"/>
      <c r="M175" s="30"/>
      <c r="N175" s="30"/>
      <c r="O175" s="30"/>
      <c r="P175" s="46"/>
      <c r="Q175" s="13"/>
      <c r="R175" s="13"/>
      <c r="S175" s="13"/>
      <c r="T175" s="13">
        <f>T174/Driver!T57</f>
        <v>0.36808846761453395</v>
      </c>
      <c r="U175" s="13">
        <f>U174/Driver!U57</f>
        <v>0.59470468431771895</v>
      </c>
      <c r="V175" s="13">
        <f ca="1">V174/Driver!V57</f>
        <v>0.91428571428571426</v>
      </c>
      <c r="W175" s="13">
        <f ca="1">W174/Driver!W57</f>
        <v>0.53674832962138086</v>
      </c>
      <c r="X175" s="13">
        <f ca="1">X174/Driver!X57</f>
        <v>0.47327249022164275</v>
      </c>
      <c r="Y175" s="13">
        <f ca="1">Y174/Driver!Y57</f>
        <v>0.318075117370892</v>
      </c>
      <c r="Z175" s="13">
        <f ca="1">Z174/Driver!Z57</f>
        <v>0.48158640226628896</v>
      </c>
      <c r="AA175" s="13">
        <f>AA174/Driver!AA57</f>
        <v>0.35941644562334218</v>
      </c>
      <c r="AB175" s="13">
        <f>AB174/Driver!AB57</f>
        <v>0.40334572490706322</v>
      </c>
      <c r="AC175" s="13">
        <f>AC174/Driver!AC57</f>
        <v>0.46924603174603174</v>
      </c>
      <c r="AD175" s="17"/>
      <c r="AE175" s="17"/>
      <c r="AF175" s="17"/>
      <c r="AG175" s="17"/>
      <c r="AH175" s="17"/>
      <c r="AI175" s="17"/>
      <c r="AJ175" s="17"/>
      <c r="AK175" s="17"/>
      <c r="AL175" s="17"/>
      <c r="AM175" s="17"/>
      <c r="AN175" s="17"/>
    </row>
    <row r="176" spans="1:40">
      <c r="B176" s="30"/>
      <c r="C176" s="30"/>
      <c r="D176" s="30"/>
      <c r="E176" s="30"/>
      <c r="F176" s="30"/>
      <c r="G176" s="30"/>
      <c r="H176" s="30"/>
      <c r="I176" s="30"/>
      <c r="J176" s="30"/>
      <c r="K176" s="30"/>
      <c r="L176" s="30"/>
      <c r="M176" s="30"/>
      <c r="N176" s="30"/>
      <c r="O176" s="30"/>
      <c r="P176" s="46"/>
      <c r="Q176" s="13"/>
      <c r="R176" s="13"/>
      <c r="S176" s="13"/>
      <c r="T176" s="13"/>
      <c r="U176" s="13"/>
      <c r="V176" s="13"/>
      <c r="W176" s="13"/>
      <c r="X176" s="13"/>
      <c r="Y176" s="13"/>
      <c r="Z176" s="13"/>
      <c r="AB176" s="17"/>
      <c r="AC176" s="17"/>
      <c r="AD176" s="17"/>
      <c r="AE176" s="17"/>
      <c r="AF176" s="17"/>
      <c r="AG176" s="17"/>
      <c r="AH176" s="17"/>
      <c r="AI176" s="17"/>
      <c r="AJ176" s="17"/>
      <c r="AK176" s="17"/>
      <c r="AL176" s="17"/>
      <c r="AM176" s="17"/>
      <c r="AN176" s="17"/>
    </row>
    <row r="177" spans="1:40">
      <c r="A177" s="400" t="s">
        <v>651</v>
      </c>
      <c r="B177" s="29"/>
      <c r="C177" s="29"/>
      <c r="D177" s="29"/>
      <c r="E177" s="29"/>
      <c r="F177" s="29"/>
      <c r="G177" s="29"/>
      <c r="H177" s="29"/>
      <c r="I177" s="29"/>
      <c r="J177" s="29"/>
      <c r="K177" s="29"/>
      <c r="L177" s="29"/>
      <c r="M177" s="29"/>
      <c r="N177" s="29"/>
      <c r="O177" s="29"/>
      <c r="P177" s="29"/>
      <c r="Q177" s="29"/>
      <c r="R177" s="29"/>
      <c r="T177" s="401" t="s">
        <v>652</v>
      </c>
    </row>
    <row r="178" spans="1:40">
      <c r="A178" s="29"/>
      <c r="B178" s="29"/>
      <c r="C178" s="29"/>
      <c r="D178" s="29"/>
      <c r="E178" s="29"/>
      <c r="F178" s="29"/>
      <c r="G178" s="29"/>
      <c r="H178" s="29"/>
      <c r="I178" s="29"/>
      <c r="J178" s="29"/>
      <c r="K178" s="29"/>
      <c r="L178" s="29"/>
      <c r="M178" s="29"/>
      <c r="N178" s="29"/>
      <c r="O178" s="29"/>
      <c r="P178" s="29"/>
      <c r="Q178" s="29"/>
      <c r="R178" s="29"/>
      <c r="T178" s="401" t="s">
        <v>653</v>
      </c>
    </row>
    <row r="179" spans="1:40">
      <c r="A179" s="29"/>
      <c r="B179" s="29"/>
      <c r="C179" s="29"/>
      <c r="D179" s="29"/>
      <c r="E179" s="29"/>
      <c r="F179" s="29"/>
      <c r="G179" s="29"/>
      <c r="H179" s="29"/>
      <c r="I179" s="29"/>
      <c r="J179" s="29"/>
      <c r="K179" s="29"/>
      <c r="L179" s="29"/>
      <c r="M179" s="29"/>
      <c r="N179" s="29"/>
      <c r="O179" s="29"/>
      <c r="P179" s="29"/>
      <c r="Q179" s="29"/>
      <c r="R179" s="29"/>
      <c r="T179" s="401" t="s">
        <v>663</v>
      </c>
    </row>
    <row r="180" spans="1:40">
      <c r="A180" s="29"/>
      <c r="B180" s="29"/>
      <c r="C180" s="29"/>
      <c r="D180" s="29"/>
      <c r="E180" s="29"/>
      <c r="F180" s="29"/>
      <c r="G180" s="29"/>
      <c r="H180" s="29"/>
      <c r="I180" s="29"/>
      <c r="J180" s="29"/>
      <c r="K180" s="29"/>
      <c r="L180" s="29"/>
      <c r="M180" s="29"/>
      <c r="N180" s="29"/>
      <c r="O180" s="29"/>
      <c r="P180" s="29"/>
      <c r="Q180" s="29"/>
      <c r="R180" s="29"/>
      <c r="T180" s="401" t="s">
        <v>664</v>
      </c>
      <c r="Z180" s="12"/>
      <c r="AA180" s="12"/>
      <c r="AB180" s="12"/>
      <c r="AC180" s="12"/>
      <c r="AD180" s="12"/>
      <c r="AE180" s="12"/>
      <c r="AF180" s="12"/>
      <c r="AG180" s="12"/>
      <c r="AH180" s="12"/>
      <c r="AI180" s="12"/>
      <c r="AJ180" s="12"/>
      <c r="AK180" s="12"/>
      <c r="AL180" s="12"/>
      <c r="AM180" s="12"/>
      <c r="AN180" s="12"/>
    </row>
    <row r="181" spans="1:40">
      <c r="A181" s="29"/>
      <c r="B181" s="29"/>
      <c r="C181" s="29"/>
      <c r="D181" s="29"/>
      <c r="E181" s="29"/>
      <c r="F181" s="29"/>
      <c r="G181" s="29"/>
      <c r="H181" s="29"/>
      <c r="I181" s="29"/>
      <c r="J181" s="29"/>
      <c r="K181" s="29"/>
      <c r="L181" s="29"/>
      <c r="M181" s="29"/>
      <c r="N181" s="29"/>
      <c r="O181" s="29"/>
      <c r="P181" s="29"/>
      <c r="Q181" s="29"/>
      <c r="R181" s="29"/>
      <c r="Z181" s="12"/>
      <c r="AA181" s="12"/>
      <c r="AB181" s="12"/>
      <c r="AC181" s="12"/>
      <c r="AD181" s="12"/>
      <c r="AE181" s="12"/>
      <c r="AF181" s="12"/>
      <c r="AG181" s="12"/>
      <c r="AH181" s="12"/>
      <c r="AI181" s="12"/>
      <c r="AJ181" s="12"/>
      <c r="AK181" s="12"/>
      <c r="AL181" s="12"/>
      <c r="AM181" s="12"/>
      <c r="AN181" s="12"/>
    </row>
    <row r="182" spans="1:40">
      <c r="A182" s="29"/>
      <c r="B182" s="29"/>
      <c r="C182" s="29"/>
      <c r="D182" s="29"/>
      <c r="E182" s="29"/>
      <c r="F182" s="29"/>
      <c r="G182" s="29"/>
      <c r="H182" s="29"/>
      <c r="I182" s="29"/>
      <c r="J182" s="29"/>
      <c r="K182" s="29"/>
      <c r="L182" s="29"/>
      <c r="M182" s="29"/>
      <c r="N182" s="29"/>
      <c r="O182" s="29"/>
      <c r="P182" s="29"/>
      <c r="Q182" s="29"/>
      <c r="R182" s="29"/>
      <c r="Z182" s="12"/>
      <c r="AA182" s="12"/>
      <c r="AB182" s="12"/>
      <c r="AC182" s="12"/>
      <c r="AD182" s="12"/>
      <c r="AE182" s="12"/>
      <c r="AF182" s="12"/>
      <c r="AG182" s="12"/>
      <c r="AH182" s="12"/>
      <c r="AI182" s="12"/>
      <c r="AJ182" s="12"/>
      <c r="AK182" s="12"/>
      <c r="AL182" s="12"/>
      <c r="AM182" s="12"/>
      <c r="AN182" s="12"/>
    </row>
    <row r="183" spans="1:40">
      <c r="A183" s="29"/>
      <c r="B183" s="29"/>
      <c r="C183" s="29"/>
      <c r="D183" s="29"/>
      <c r="E183" s="29"/>
      <c r="F183" s="29"/>
      <c r="G183" s="29"/>
      <c r="H183" s="29"/>
      <c r="I183" s="29"/>
      <c r="J183" s="29"/>
      <c r="K183" s="29"/>
      <c r="L183" s="29"/>
      <c r="M183" s="29"/>
      <c r="N183" s="29"/>
      <c r="O183" s="29"/>
      <c r="P183" s="29"/>
      <c r="Q183" s="29"/>
      <c r="R183" s="29"/>
      <c r="W183" s="421"/>
      <c r="X183" s="421"/>
      <c r="Z183" s="12"/>
      <c r="AA183" s="12"/>
      <c r="AB183" s="12"/>
      <c r="AC183" s="12"/>
      <c r="AD183" s="12"/>
      <c r="AE183" s="12"/>
      <c r="AF183" s="12"/>
      <c r="AG183" s="12"/>
      <c r="AH183" s="12"/>
      <c r="AI183" s="12"/>
      <c r="AJ183" s="12"/>
      <c r="AK183" s="12"/>
      <c r="AL183" s="12"/>
      <c r="AM183" s="12"/>
      <c r="AN183" s="12"/>
    </row>
    <row r="184" spans="1:40">
      <c r="A184" s="29"/>
      <c r="B184" s="29"/>
      <c r="C184" s="29"/>
      <c r="D184" s="29"/>
      <c r="E184" s="29"/>
      <c r="F184" s="29"/>
      <c r="G184" s="29"/>
      <c r="H184" s="29"/>
      <c r="I184" s="29"/>
      <c r="J184" s="29"/>
      <c r="K184" s="29"/>
      <c r="L184" s="29"/>
      <c r="M184" s="29"/>
      <c r="N184" s="29"/>
      <c r="O184" s="29"/>
      <c r="P184" s="29"/>
      <c r="Q184" s="29"/>
      <c r="R184" s="29"/>
      <c r="W184" s="421"/>
      <c r="X184" s="421"/>
      <c r="Y184" s="421"/>
      <c r="Z184" s="12"/>
      <c r="AA184" s="12"/>
      <c r="AB184" s="12"/>
      <c r="AC184" s="12"/>
      <c r="AD184" s="12"/>
      <c r="AE184" s="12"/>
      <c r="AF184" s="12"/>
      <c r="AG184" s="12"/>
      <c r="AH184" s="12"/>
      <c r="AI184" s="12"/>
      <c r="AJ184" s="12"/>
      <c r="AK184" s="12"/>
      <c r="AL184" s="12"/>
      <c r="AM184" s="12"/>
      <c r="AN184" s="12"/>
    </row>
    <row r="185" spans="1:40">
      <c r="A185" s="29"/>
      <c r="B185" s="29"/>
      <c r="C185" s="29"/>
      <c r="D185" s="29"/>
      <c r="E185" s="29"/>
      <c r="F185" s="29"/>
      <c r="G185" s="29"/>
      <c r="H185" s="29"/>
      <c r="I185" s="29"/>
      <c r="J185" s="29"/>
      <c r="K185" s="29"/>
      <c r="L185" s="29"/>
      <c r="M185" s="29"/>
      <c r="N185" s="29"/>
      <c r="O185" s="29"/>
      <c r="P185" s="29"/>
      <c r="Q185" s="29"/>
      <c r="R185" s="29"/>
      <c r="Z185" s="12"/>
      <c r="AA185" s="12"/>
      <c r="AB185" s="12"/>
      <c r="AC185" s="12"/>
      <c r="AD185" s="12"/>
      <c r="AE185" s="12"/>
      <c r="AF185" s="12"/>
      <c r="AG185" s="12"/>
      <c r="AH185" s="12"/>
      <c r="AI185" s="12"/>
      <c r="AJ185" s="12"/>
      <c r="AK185" s="12"/>
      <c r="AL185" s="12"/>
      <c r="AM185" s="12"/>
      <c r="AN185" s="12"/>
    </row>
    <row r="186" spans="1:40">
      <c r="A186" s="29"/>
      <c r="B186" s="29"/>
      <c r="C186" s="29"/>
      <c r="D186" s="29"/>
      <c r="E186" s="29"/>
      <c r="F186" s="29"/>
      <c r="G186" s="29"/>
      <c r="H186" s="29"/>
      <c r="I186" s="29"/>
      <c r="J186" s="29"/>
      <c r="K186" s="29"/>
      <c r="L186" s="29"/>
      <c r="M186" s="29"/>
      <c r="N186" s="29"/>
      <c r="O186" s="29"/>
      <c r="P186" s="29"/>
      <c r="Q186" s="29"/>
      <c r="R186" s="29"/>
      <c r="Z186" s="12"/>
      <c r="AA186" s="12"/>
      <c r="AB186" s="12"/>
      <c r="AC186" s="12"/>
      <c r="AD186" s="12"/>
      <c r="AE186" s="12"/>
      <c r="AF186" s="12"/>
      <c r="AG186" s="12"/>
      <c r="AH186" s="12"/>
      <c r="AI186" s="12"/>
      <c r="AJ186" s="12"/>
      <c r="AK186" s="12"/>
      <c r="AL186" s="12"/>
      <c r="AM186" s="12"/>
      <c r="AN186" s="12"/>
    </row>
    <row r="187" spans="1:40">
      <c r="A187" s="29"/>
      <c r="B187" s="29"/>
      <c r="C187" s="29"/>
      <c r="D187" s="29"/>
      <c r="E187" s="29"/>
      <c r="F187" s="29"/>
      <c r="G187" s="29"/>
      <c r="H187" s="29"/>
      <c r="I187" s="29"/>
      <c r="J187" s="29"/>
      <c r="K187" s="29"/>
      <c r="L187" s="29"/>
      <c r="M187" s="29"/>
      <c r="N187" s="29"/>
      <c r="O187" s="29"/>
      <c r="P187" s="29"/>
      <c r="Q187" s="29"/>
      <c r="R187" s="29"/>
      <c r="Z187" s="12"/>
      <c r="AA187" s="12"/>
      <c r="AB187" s="12"/>
      <c r="AC187" s="12"/>
      <c r="AD187" s="12"/>
      <c r="AE187" s="12"/>
      <c r="AF187" s="12"/>
      <c r="AG187" s="12"/>
      <c r="AH187" s="12"/>
      <c r="AI187" s="12"/>
      <c r="AJ187" s="12"/>
      <c r="AK187" s="12"/>
      <c r="AL187" s="12"/>
      <c r="AM187" s="12"/>
      <c r="AN187" s="12"/>
    </row>
    <row r="188" spans="1:40">
      <c r="A188" s="29"/>
      <c r="B188" s="29"/>
      <c r="C188" s="29"/>
      <c r="D188" s="29"/>
      <c r="E188" s="29"/>
      <c r="F188" s="29"/>
      <c r="G188" s="29"/>
      <c r="H188" s="29"/>
      <c r="I188" s="29"/>
      <c r="J188" s="29"/>
      <c r="K188" s="29"/>
      <c r="L188" s="29"/>
      <c r="M188" s="29"/>
      <c r="N188" s="29"/>
      <c r="O188" s="29"/>
      <c r="P188" s="29"/>
      <c r="Q188" s="29"/>
      <c r="R188" s="29"/>
      <c r="Z188" s="12"/>
      <c r="AA188" s="12"/>
      <c r="AB188" s="12"/>
      <c r="AC188" s="12"/>
      <c r="AD188" s="12"/>
      <c r="AE188" s="12"/>
      <c r="AF188" s="12"/>
      <c r="AG188" s="12"/>
      <c r="AH188" s="12"/>
      <c r="AI188" s="12"/>
      <c r="AJ188" s="12"/>
      <c r="AK188" s="12"/>
      <c r="AL188" s="12"/>
      <c r="AM188" s="12"/>
      <c r="AN188" s="12"/>
    </row>
    <row r="189" spans="1:40">
      <c r="A189" s="29"/>
      <c r="B189" s="29"/>
      <c r="C189" s="29"/>
      <c r="D189" s="29"/>
      <c r="E189" s="29"/>
      <c r="F189" s="29"/>
      <c r="G189" s="29"/>
      <c r="H189" s="29"/>
      <c r="I189" s="29"/>
      <c r="J189" s="29"/>
      <c r="K189" s="29"/>
      <c r="L189" s="29"/>
      <c r="M189" s="29"/>
      <c r="N189" s="29"/>
      <c r="O189" s="29"/>
      <c r="P189" s="29"/>
      <c r="Q189" s="29"/>
      <c r="R189" s="29"/>
      <c r="Z189" s="12"/>
      <c r="AA189" s="12"/>
      <c r="AB189" s="12"/>
      <c r="AC189" s="12"/>
      <c r="AD189" s="12"/>
      <c r="AE189" s="12"/>
      <c r="AF189" s="12"/>
      <c r="AG189" s="12"/>
      <c r="AH189" s="12"/>
      <c r="AI189" s="12"/>
      <c r="AJ189" s="12"/>
      <c r="AK189" s="12"/>
      <c r="AL189" s="12"/>
      <c r="AM189" s="12"/>
      <c r="AN189" s="12"/>
    </row>
    <row r="190" spans="1:40">
      <c r="A190" s="29"/>
      <c r="B190" s="29"/>
      <c r="C190" s="29"/>
      <c r="D190" s="29"/>
      <c r="E190" s="29"/>
      <c r="F190" s="29"/>
      <c r="G190" s="29"/>
      <c r="H190" s="29"/>
      <c r="I190" s="29"/>
      <c r="J190" s="29"/>
      <c r="K190" s="29"/>
      <c r="L190" s="29"/>
      <c r="M190" s="29"/>
      <c r="N190" s="29"/>
      <c r="O190" s="29"/>
      <c r="P190" s="29"/>
      <c r="Q190" s="29"/>
      <c r="R190" s="29"/>
      <c r="Z190" s="12"/>
      <c r="AA190" s="12"/>
      <c r="AB190" s="12"/>
      <c r="AC190" s="12"/>
      <c r="AD190" s="12"/>
      <c r="AE190" s="12"/>
      <c r="AF190" s="12"/>
      <c r="AG190" s="12"/>
      <c r="AH190" s="12"/>
      <c r="AI190" s="12"/>
      <c r="AJ190" s="12"/>
      <c r="AK190" s="12"/>
      <c r="AL190" s="12"/>
      <c r="AM190" s="12"/>
      <c r="AN190" s="12"/>
    </row>
    <row r="191" spans="1:40">
      <c r="A191" s="29"/>
      <c r="B191" s="29"/>
      <c r="C191" s="29"/>
      <c r="D191" s="29"/>
      <c r="E191" s="29"/>
      <c r="F191" s="29"/>
      <c r="G191" s="29"/>
      <c r="H191" s="29"/>
      <c r="I191" s="29"/>
      <c r="J191" s="29"/>
      <c r="K191" s="29"/>
      <c r="L191" s="29"/>
      <c r="M191" s="29"/>
      <c r="N191" s="29"/>
      <c r="O191" s="29"/>
      <c r="P191" s="29"/>
      <c r="Q191" s="29"/>
      <c r="R191" s="29"/>
      <c r="Z191" s="12"/>
      <c r="AA191" s="12"/>
      <c r="AB191" s="12"/>
      <c r="AC191" s="12"/>
      <c r="AD191" s="12"/>
      <c r="AE191" s="12"/>
      <c r="AF191" s="12"/>
      <c r="AG191" s="12"/>
      <c r="AH191" s="12"/>
      <c r="AI191" s="12"/>
      <c r="AJ191" s="12"/>
      <c r="AK191" s="12"/>
      <c r="AL191" s="12"/>
      <c r="AM191" s="12"/>
      <c r="AN191" s="12"/>
    </row>
    <row r="192" spans="1:40">
      <c r="A192" s="29"/>
      <c r="B192" s="29"/>
      <c r="C192" s="29"/>
      <c r="D192" s="29"/>
      <c r="E192" s="29"/>
      <c r="F192" s="29"/>
      <c r="G192" s="29"/>
      <c r="H192" s="29"/>
      <c r="I192" s="29"/>
      <c r="J192" s="29"/>
      <c r="K192" s="29"/>
      <c r="L192" s="29"/>
      <c r="M192" s="29"/>
      <c r="N192" s="29"/>
      <c r="O192" s="29"/>
      <c r="P192" s="29"/>
      <c r="Q192" s="29"/>
      <c r="R192" s="29"/>
      <c r="Z192" s="12"/>
      <c r="AA192" s="12"/>
      <c r="AB192" s="12"/>
      <c r="AC192" s="12"/>
      <c r="AD192" s="12"/>
      <c r="AE192" s="12"/>
      <c r="AF192" s="12"/>
      <c r="AG192" s="12"/>
      <c r="AH192" s="12"/>
      <c r="AI192" s="12"/>
      <c r="AJ192" s="12"/>
      <c r="AK192" s="12"/>
      <c r="AL192" s="12"/>
      <c r="AM192" s="12"/>
      <c r="AN192" s="12"/>
    </row>
    <row r="193" spans="1:40">
      <c r="A193" s="29"/>
      <c r="B193" s="29"/>
      <c r="C193" s="29"/>
      <c r="D193" s="29"/>
      <c r="E193" s="29"/>
      <c r="F193" s="29"/>
      <c r="G193" s="29"/>
      <c r="H193" s="29"/>
      <c r="I193" s="29"/>
      <c r="J193" s="29"/>
      <c r="K193" s="29"/>
      <c r="L193" s="29"/>
      <c r="M193" s="29"/>
      <c r="N193" s="29"/>
      <c r="O193" s="29"/>
      <c r="P193" s="29"/>
      <c r="Q193" s="29"/>
      <c r="R193" s="29"/>
      <c r="Z193" s="12"/>
      <c r="AA193" s="12"/>
      <c r="AB193" s="12"/>
      <c r="AC193" s="12"/>
      <c r="AD193" s="12"/>
      <c r="AE193" s="12"/>
      <c r="AF193" s="12"/>
      <c r="AG193" s="12"/>
      <c r="AH193" s="12"/>
      <c r="AI193" s="12"/>
      <c r="AJ193" s="12"/>
      <c r="AK193" s="12"/>
      <c r="AL193" s="12"/>
      <c r="AM193" s="12"/>
      <c r="AN193" s="12"/>
    </row>
    <row r="194" spans="1:40">
      <c r="A194" s="29"/>
      <c r="B194" s="29"/>
      <c r="C194" s="29"/>
      <c r="D194" s="29"/>
      <c r="E194" s="29"/>
      <c r="F194" s="29"/>
      <c r="G194" s="29"/>
      <c r="H194" s="29"/>
      <c r="I194" s="29"/>
      <c r="J194" s="29"/>
      <c r="K194" s="29"/>
      <c r="L194" s="29"/>
      <c r="M194" s="29"/>
      <c r="N194" s="29"/>
      <c r="O194" s="29"/>
      <c r="P194" s="29"/>
      <c r="Q194" s="29"/>
      <c r="R194" s="29"/>
      <c r="Z194" s="12"/>
      <c r="AA194" s="12"/>
      <c r="AB194" s="12"/>
      <c r="AC194" s="12"/>
      <c r="AD194" s="12"/>
      <c r="AE194" s="12"/>
      <c r="AF194" s="12"/>
      <c r="AG194" s="12"/>
      <c r="AH194" s="12"/>
      <c r="AI194" s="12"/>
      <c r="AJ194" s="12"/>
      <c r="AK194" s="12"/>
      <c r="AL194" s="12"/>
      <c r="AM194" s="12"/>
      <c r="AN194" s="12"/>
    </row>
    <row r="195" spans="1:40">
      <c r="A195" s="29"/>
      <c r="B195" s="29"/>
      <c r="C195" s="29"/>
      <c r="D195" s="29"/>
      <c r="E195" s="29"/>
      <c r="F195" s="29"/>
      <c r="G195" s="29"/>
      <c r="H195" s="29"/>
      <c r="I195" s="29"/>
      <c r="J195" s="29"/>
      <c r="K195" s="29"/>
      <c r="L195" s="29"/>
      <c r="M195" s="29"/>
      <c r="N195" s="29"/>
      <c r="O195" s="29"/>
      <c r="P195" s="29"/>
      <c r="Q195" s="29"/>
      <c r="R195" s="29"/>
      <c r="Z195" s="12"/>
      <c r="AA195" s="12"/>
      <c r="AB195" s="12"/>
      <c r="AC195" s="12"/>
      <c r="AD195" s="12"/>
      <c r="AE195" s="12"/>
      <c r="AF195" s="12"/>
      <c r="AG195" s="12"/>
      <c r="AH195" s="12"/>
      <c r="AI195" s="12"/>
      <c r="AJ195" s="12"/>
      <c r="AK195" s="12"/>
      <c r="AL195" s="12"/>
      <c r="AM195" s="12"/>
      <c r="AN195" s="12"/>
    </row>
    <row r="196" spans="1:40">
      <c r="A196" s="29"/>
      <c r="B196" s="29"/>
      <c r="C196" s="29"/>
      <c r="D196" s="29"/>
      <c r="E196" s="29"/>
      <c r="F196" s="29"/>
      <c r="G196" s="29"/>
      <c r="H196" s="29"/>
      <c r="I196" s="29"/>
      <c r="J196" s="29"/>
      <c r="K196" s="29"/>
      <c r="L196" s="29"/>
      <c r="M196" s="29"/>
      <c r="N196" s="29"/>
      <c r="O196" s="29"/>
      <c r="P196" s="29"/>
      <c r="Q196" s="29"/>
      <c r="R196" s="29"/>
      <c r="Z196" s="12"/>
      <c r="AA196" s="12"/>
      <c r="AB196" s="12"/>
      <c r="AC196" s="12"/>
      <c r="AD196" s="12"/>
      <c r="AE196" s="12"/>
      <c r="AF196" s="12"/>
      <c r="AG196" s="12"/>
      <c r="AH196" s="12"/>
      <c r="AI196" s="12"/>
      <c r="AJ196" s="12"/>
      <c r="AK196" s="12"/>
      <c r="AL196" s="12"/>
      <c r="AM196" s="12"/>
      <c r="AN196" s="12"/>
    </row>
    <row r="197" spans="1:40">
      <c r="A197" s="29"/>
      <c r="B197" s="29"/>
      <c r="C197" s="29"/>
      <c r="D197" s="29"/>
      <c r="E197" s="29"/>
      <c r="F197" s="29"/>
      <c r="G197" s="29"/>
      <c r="H197" s="29"/>
      <c r="I197" s="29"/>
      <c r="J197" s="29"/>
      <c r="K197" s="29"/>
      <c r="L197" s="29"/>
      <c r="M197" s="29"/>
      <c r="N197" s="29"/>
      <c r="O197" s="29"/>
      <c r="P197" s="29"/>
      <c r="Q197" s="29"/>
      <c r="R197" s="29"/>
      <c r="Z197" s="12"/>
      <c r="AA197" s="12"/>
      <c r="AB197" s="12"/>
      <c r="AC197" s="12"/>
      <c r="AD197" s="12"/>
      <c r="AE197" s="12"/>
      <c r="AF197" s="12"/>
      <c r="AG197" s="12"/>
      <c r="AH197" s="12"/>
      <c r="AI197" s="12"/>
      <c r="AJ197" s="12"/>
      <c r="AK197" s="12"/>
      <c r="AL197" s="12"/>
      <c r="AM197" s="12"/>
      <c r="AN197" s="12"/>
    </row>
    <row r="198" spans="1:40">
      <c r="A198" s="29"/>
      <c r="B198" s="29"/>
      <c r="C198" s="29"/>
      <c r="D198" s="29"/>
      <c r="E198" s="29"/>
      <c r="F198" s="29"/>
      <c r="G198" s="29"/>
      <c r="H198" s="29"/>
      <c r="I198" s="29"/>
      <c r="J198" s="29"/>
      <c r="K198" s="29"/>
      <c r="L198" s="29"/>
      <c r="M198" s="29"/>
      <c r="N198" s="29"/>
      <c r="O198" s="29"/>
      <c r="P198" s="29"/>
      <c r="Q198" s="29"/>
      <c r="R198" s="29"/>
      <c r="Z198" s="12"/>
      <c r="AA198" s="12"/>
      <c r="AB198" s="12"/>
      <c r="AC198" s="12"/>
      <c r="AD198" s="12"/>
      <c r="AE198" s="12"/>
      <c r="AF198" s="12"/>
      <c r="AG198" s="12"/>
      <c r="AH198" s="12"/>
      <c r="AI198" s="12"/>
      <c r="AJ198" s="12"/>
      <c r="AK198" s="12"/>
      <c r="AL198" s="12"/>
      <c r="AM198" s="12"/>
      <c r="AN198" s="12"/>
    </row>
    <row r="199" spans="1:40">
      <c r="A199" s="29"/>
      <c r="B199" s="29"/>
      <c r="C199" s="29"/>
      <c r="D199" s="29"/>
      <c r="E199" s="29"/>
      <c r="F199" s="29"/>
      <c r="G199" s="29"/>
      <c r="H199" s="29"/>
      <c r="I199" s="29"/>
      <c r="J199" s="29"/>
      <c r="K199" s="29"/>
      <c r="L199" s="29"/>
      <c r="M199" s="29"/>
      <c r="N199" s="29"/>
      <c r="O199" s="29"/>
      <c r="P199" s="29"/>
      <c r="Q199" s="29"/>
      <c r="R199" s="29"/>
      <c r="Z199" s="12"/>
      <c r="AA199" s="12"/>
      <c r="AB199" s="12"/>
      <c r="AC199" s="12"/>
      <c r="AD199" s="12"/>
      <c r="AE199" s="12"/>
      <c r="AF199" s="12"/>
      <c r="AG199" s="12"/>
      <c r="AH199" s="12"/>
      <c r="AI199" s="12"/>
      <c r="AJ199" s="12"/>
      <c r="AK199" s="12"/>
      <c r="AL199" s="12"/>
      <c r="AM199" s="12"/>
      <c r="AN199" s="12"/>
    </row>
    <row r="200" spans="1:40">
      <c r="A200" s="29"/>
      <c r="B200" s="29"/>
      <c r="C200" s="29"/>
      <c r="D200" s="29"/>
      <c r="E200" s="29"/>
      <c r="F200" s="29"/>
      <c r="G200" s="29"/>
      <c r="H200" s="29"/>
      <c r="I200" s="29"/>
      <c r="J200" s="29"/>
      <c r="K200" s="29"/>
      <c r="L200" s="29"/>
      <c r="M200" s="29"/>
      <c r="N200" s="29"/>
      <c r="O200" s="29"/>
      <c r="P200" s="29"/>
      <c r="Q200" s="29"/>
      <c r="R200" s="29"/>
      <c r="Z200" s="12"/>
      <c r="AA200" s="12"/>
      <c r="AB200" s="12"/>
      <c r="AC200" s="12"/>
      <c r="AD200" s="12"/>
      <c r="AE200" s="12"/>
      <c r="AF200" s="12"/>
      <c r="AG200" s="12"/>
      <c r="AH200" s="12"/>
      <c r="AI200" s="12"/>
      <c r="AJ200" s="12"/>
      <c r="AK200" s="12"/>
      <c r="AL200" s="12"/>
      <c r="AM200" s="12"/>
      <c r="AN200" s="12"/>
    </row>
    <row r="201" spans="1:40">
      <c r="A201" s="29"/>
      <c r="B201" s="29"/>
      <c r="C201" s="29"/>
      <c r="D201" s="29"/>
      <c r="E201" s="29"/>
      <c r="F201" s="29"/>
      <c r="G201" s="29"/>
      <c r="H201" s="29"/>
      <c r="I201" s="29"/>
      <c r="J201" s="29"/>
      <c r="K201" s="29"/>
      <c r="L201" s="29"/>
      <c r="M201" s="29"/>
      <c r="N201" s="29"/>
      <c r="O201" s="29"/>
      <c r="P201" s="29"/>
      <c r="Q201" s="29"/>
      <c r="R201" s="29"/>
      <c r="Z201" s="12"/>
      <c r="AA201" s="12"/>
      <c r="AB201" s="12"/>
      <c r="AC201" s="12"/>
      <c r="AD201" s="12"/>
      <c r="AE201" s="12"/>
      <c r="AF201" s="12"/>
      <c r="AG201" s="12"/>
      <c r="AH201" s="12"/>
      <c r="AI201" s="12"/>
      <c r="AJ201" s="12"/>
      <c r="AK201" s="12"/>
      <c r="AL201" s="12"/>
      <c r="AM201" s="12"/>
      <c r="AN201" s="12"/>
    </row>
    <row r="202" spans="1:40">
      <c r="A202" s="29"/>
      <c r="B202" s="29"/>
      <c r="C202" s="29"/>
      <c r="D202" s="29"/>
      <c r="E202" s="29"/>
      <c r="F202" s="29"/>
      <c r="G202" s="29"/>
      <c r="H202" s="29"/>
      <c r="I202" s="29"/>
      <c r="J202" s="29"/>
      <c r="K202" s="29"/>
      <c r="L202" s="29"/>
      <c r="M202" s="29"/>
      <c r="N202" s="29"/>
      <c r="O202" s="29"/>
      <c r="P202" s="29"/>
      <c r="Q202" s="29"/>
      <c r="R202" s="29"/>
      <c r="Z202" s="12"/>
      <c r="AA202" s="12"/>
      <c r="AB202" s="12"/>
      <c r="AC202" s="12"/>
      <c r="AD202" s="12"/>
      <c r="AE202" s="12"/>
      <c r="AF202" s="12"/>
      <c r="AG202" s="12"/>
      <c r="AH202" s="12"/>
      <c r="AI202" s="12"/>
      <c r="AJ202" s="12"/>
      <c r="AK202" s="12"/>
      <c r="AL202" s="12"/>
      <c r="AM202" s="12"/>
      <c r="AN202" s="12"/>
    </row>
    <row r="203" spans="1:40">
      <c r="A203" s="29"/>
      <c r="B203" s="29"/>
      <c r="C203" s="29"/>
      <c r="D203" s="29"/>
      <c r="E203" s="29"/>
      <c r="F203" s="29"/>
      <c r="G203" s="29"/>
      <c r="H203" s="29"/>
      <c r="I203" s="29"/>
      <c r="J203" s="29"/>
      <c r="K203" s="29"/>
      <c r="L203" s="29"/>
      <c r="M203" s="29"/>
      <c r="N203" s="29"/>
      <c r="O203" s="29"/>
      <c r="P203" s="29"/>
      <c r="Q203" s="29"/>
      <c r="R203" s="29"/>
      <c r="Z203" s="12"/>
      <c r="AA203" s="12"/>
      <c r="AB203" s="12"/>
      <c r="AC203" s="12"/>
      <c r="AD203" s="12"/>
      <c r="AE203" s="12"/>
      <c r="AF203" s="12"/>
      <c r="AG203" s="12"/>
      <c r="AH203" s="12"/>
      <c r="AI203" s="12"/>
      <c r="AJ203" s="12"/>
      <c r="AK203" s="12"/>
      <c r="AL203" s="12"/>
      <c r="AM203" s="12"/>
      <c r="AN203" s="12"/>
    </row>
    <row r="204" spans="1:40">
      <c r="A204" s="29"/>
      <c r="B204" s="29"/>
      <c r="C204" s="29"/>
      <c r="D204" s="29"/>
      <c r="E204" s="29"/>
      <c r="F204" s="29"/>
      <c r="G204" s="29"/>
      <c r="H204" s="29"/>
      <c r="I204" s="29"/>
      <c r="J204" s="29"/>
      <c r="K204" s="29"/>
      <c r="L204" s="29"/>
      <c r="M204" s="29"/>
      <c r="N204" s="29"/>
      <c r="O204" s="29"/>
      <c r="P204" s="29"/>
      <c r="Q204" s="29"/>
      <c r="R204" s="29"/>
      <c r="Z204" s="12"/>
      <c r="AA204" s="12"/>
      <c r="AB204" s="12"/>
      <c r="AC204" s="12"/>
      <c r="AD204" s="12"/>
      <c r="AE204" s="12"/>
      <c r="AF204" s="12"/>
      <c r="AG204" s="12"/>
      <c r="AH204" s="12"/>
      <c r="AI204" s="12"/>
      <c r="AJ204" s="12"/>
      <c r="AK204" s="12"/>
      <c r="AL204" s="12"/>
      <c r="AM204" s="12"/>
      <c r="AN204" s="12"/>
    </row>
    <row r="205" spans="1:40">
      <c r="A205" s="29"/>
      <c r="B205" s="29"/>
      <c r="C205" s="29"/>
      <c r="D205" s="29"/>
      <c r="E205" s="29"/>
      <c r="F205" s="29"/>
      <c r="G205" s="29"/>
      <c r="H205" s="29"/>
      <c r="I205" s="29"/>
      <c r="J205" s="29"/>
      <c r="K205" s="29"/>
      <c r="L205" s="29"/>
      <c r="M205" s="29"/>
      <c r="N205" s="29"/>
      <c r="O205" s="29"/>
      <c r="P205" s="29"/>
      <c r="Q205" s="29"/>
      <c r="R205" s="29"/>
      <c r="Z205" s="12"/>
      <c r="AA205" s="12"/>
      <c r="AB205" s="12"/>
      <c r="AC205" s="12"/>
      <c r="AD205" s="12"/>
      <c r="AE205" s="12"/>
      <c r="AF205" s="12"/>
      <c r="AG205" s="12"/>
      <c r="AH205" s="12"/>
      <c r="AI205" s="12"/>
      <c r="AJ205" s="12"/>
      <c r="AK205" s="12"/>
      <c r="AL205" s="12"/>
      <c r="AM205" s="12"/>
      <c r="AN205" s="12"/>
    </row>
    <row r="206" spans="1:40">
      <c r="A206" s="29"/>
      <c r="B206" s="29"/>
      <c r="C206" s="29"/>
      <c r="D206" s="29"/>
      <c r="E206" s="29"/>
      <c r="F206" s="29"/>
      <c r="G206" s="29"/>
      <c r="H206" s="29"/>
      <c r="I206" s="29"/>
      <c r="J206" s="29"/>
      <c r="K206" s="29"/>
      <c r="L206" s="29"/>
      <c r="M206" s="29"/>
      <c r="N206" s="29"/>
      <c r="O206" s="29"/>
      <c r="P206" s="29"/>
      <c r="Q206" s="29"/>
      <c r="R206" s="29"/>
      <c r="Z206" s="12"/>
      <c r="AA206" s="12"/>
      <c r="AB206" s="12"/>
      <c r="AC206" s="12"/>
      <c r="AD206" s="12"/>
      <c r="AE206" s="12"/>
      <c r="AF206" s="12"/>
      <c r="AG206" s="12"/>
      <c r="AH206" s="12"/>
      <c r="AI206" s="12"/>
      <c r="AJ206" s="12"/>
      <c r="AK206" s="12"/>
      <c r="AL206" s="12"/>
      <c r="AM206" s="12"/>
      <c r="AN206" s="12"/>
    </row>
    <row r="207" spans="1:40">
      <c r="A207" s="29"/>
      <c r="B207" s="29"/>
      <c r="C207" s="29"/>
      <c r="D207" s="29"/>
      <c r="E207" s="29"/>
      <c r="F207" s="29"/>
      <c r="G207" s="29"/>
      <c r="H207" s="29"/>
      <c r="I207" s="29"/>
      <c r="J207" s="29"/>
      <c r="K207" s="29"/>
      <c r="L207" s="29"/>
      <c r="M207" s="29"/>
      <c r="N207" s="29"/>
      <c r="O207" s="29"/>
      <c r="P207" s="29"/>
      <c r="Q207" s="29"/>
      <c r="R207" s="29"/>
      <c r="Z207" s="12"/>
      <c r="AA207" s="12"/>
      <c r="AB207" s="12"/>
      <c r="AC207" s="12"/>
      <c r="AD207" s="12"/>
      <c r="AE207" s="12"/>
      <c r="AF207" s="12"/>
      <c r="AG207" s="12"/>
      <c r="AH207" s="12"/>
      <c r="AI207" s="12"/>
      <c r="AJ207" s="12"/>
      <c r="AK207" s="12"/>
      <c r="AL207" s="12"/>
      <c r="AM207" s="12"/>
      <c r="AN207" s="12"/>
    </row>
    <row r="208" spans="1:40">
      <c r="A208" s="29"/>
      <c r="B208" s="29"/>
      <c r="C208" s="29"/>
      <c r="D208" s="29"/>
      <c r="E208" s="29"/>
      <c r="F208" s="29"/>
      <c r="G208" s="29"/>
      <c r="H208" s="29"/>
      <c r="I208" s="29"/>
      <c r="J208" s="29"/>
      <c r="K208" s="29"/>
      <c r="L208" s="29"/>
      <c r="M208" s="29"/>
      <c r="N208" s="29"/>
      <c r="O208" s="29"/>
      <c r="P208" s="29"/>
      <c r="Q208" s="29"/>
      <c r="R208" s="29"/>
      <c r="Z208" s="12"/>
      <c r="AA208" s="12"/>
      <c r="AB208" s="12"/>
      <c r="AC208" s="12"/>
      <c r="AD208" s="12"/>
      <c r="AE208" s="12"/>
      <c r="AF208" s="12"/>
      <c r="AG208" s="12"/>
      <c r="AH208" s="12"/>
      <c r="AI208" s="12"/>
      <c r="AJ208" s="12"/>
      <c r="AK208" s="12"/>
      <c r="AL208" s="12"/>
      <c r="AM208" s="12"/>
      <c r="AN208" s="12"/>
    </row>
    <row r="209" spans="1:40">
      <c r="A209" s="29"/>
      <c r="B209" s="29"/>
      <c r="C209" s="29"/>
      <c r="D209" s="29"/>
      <c r="E209" s="29"/>
      <c r="F209" s="29"/>
      <c r="G209" s="29"/>
      <c r="H209" s="29"/>
      <c r="I209" s="29"/>
      <c r="J209" s="29"/>
      <c r="K209" s="29"/>
      <c r="L209" s="29"/>
      <c r="M209" s="29"/>
      <c r="N209" s="29"/>
      <c r="O209" s="29"/>
      <c r="P209" s="29"/>
      <c r="Q209" s="29"/>
      <c r="R209" s="29"/>
      <c r="Z209" s="12"/>
      <c r="AA209" s="12"/>
      <c r="AB209" s="12"/>
      <c r="AC209" s="12"/>
      <c r="AD209" s="12"/>
      <c r="AE209" s="12"/>
      <c r="AF209" s="12"/>
      <c r="AG209" s="12"/>
      <c r="AH209" s="12"/>
      <c r="AI209" s="12"/>
      <c r="AJ209" s="12"/>
      <c r="AK209" s="12"/>
      <c r="AL209" s="12"/>
      <c r="AM209" s="12"/>
      <c r="AN209" s="12"/>
    </row>
    <row r="210" spans="1:40">
      <c r="A210" s="29"/>
      <c r="B210" s="29"/>
      <c r="C210" s="29"/>
      <c r="D210" s="29"/>
      <c r="E210" s="29"/>
      <c r="F210" s="29"/>
      <c r="G210" s="29"/>
      <c r="H210" s="29"/>
      <c r="I210" s="29"/>
      <c r="J210" s="29"/>
      <c r="K210" s="29"/>
      <c r="L210" s="29"/>
      <c r="M210" s="29"/>
      <c r="N210" s="29"/>
      <c r="O210" s="29"/>
      <c r="P210" s="29"/>
      <c r="Q210" s="29"/>
      <c r="R210" s="29"/>
      <c r="Z210" s="12"/>
      <c r="AA210" s="12"/>
      <c r="AB210" s="12"/>
      <c r="AC210" s="12"/>
      <c r="AD210" s="12"/>
      <c r="AE210" s="12"/>
      <c r="AF210" s="12"/>
      <c r="AG210" s="12"/>
      <c r="AH210" s="12"/>
      <c r="AI210" s="12"/>
      <c r="AJ210" s="12"/>
      <c r="AK210" s="12"/>
      <c r="AL210" s="12"/>
      <c r="AM210" s="12"/>
      <c r="AN210" s="12"/>
    </row>
    <row r="211" spans="1:40">
      <c r="A211" s="29"/>
      <c r="B211" s="29"/>
      <c r="C211" s="29"/>
      <c r="D211" s="29"/>
      <c r="E211" s="29"/>
      <c r="F211" s="29"/>
      <c r="G211" s="29"/>
      <c r="H211" s="29"/>
      <c r="I211" s="29"/>
      <c r="J211" s="29"/>
      <c r="K211" s="29"/>
      <c r="L211" s="29"/>
      <c r="M211" s="29"/>
      <c r="N211" s="29"/>
      <c r="O211" s="29"/>
      <c r="P211" s="29"/>
      <c r="Q211" s="29"/>
      <c r="R211" s="29"/>
      <c r="Z211" s="12"/>
      <c r="AA211" s="12"/>
      <c r="AB211" s="12"/>
      <c r="AC211" s="12"/>
      <c r="AD211" s="12"/>
      <c r="AE211" s="12"/>
      <c r="AF211" s="12"/>
      <c r="AG211" s="12"/>
      <c r="AH211" s="12"/>
      <c r="AI211" s="12"/>
      <c r="AJ211" s="12"/>
      <c r="AK211" s="12"/>
      <c r="AL211" s="12"/>
      <c r="AM211" s="12"/>
      <c r="AN211" s="12"/>
    </row>
    <row r="212" spans="1:40">
      <c r="A212" s="29"/>
      <c r="B212" s="29"/>
      <c r="C212" s="29"/>
      <c r="D212" s="29"/>
      <c r="E212" s="29"/>
      <c r="F212" s="29"/>
      <c r="G212" s="29"/>
      <c r="H212" s="29"/>
      <c r="I212" s="29"/>
      <c r="J212" s="29"/>
      <c r="K212" s="29"/>
      <c r="L212" s="29"/>
      <c r="M212" s="29"/>
      <c r="N212" s="29"/>
      <c r="O212" s="29"/>
      <c r="P212" s="29"/>
      <c r="Q212" s="29"/>
      <c r="R212" s="29"/>
      <c r="Z212" s="12"/>
      <c r="AA212" s="12"/>
      <c r="AB212" s="12"/>
      <c r="AC212" s="12"/>
      <c r="AD212" s="12"/>
      <c r="AE212" s="12"/>
      <c r="AF212" s="12"/>
      <c r="AG212" s="12"/>
      <c r="AH212" s="12"/>
      <c r="AI212" s="12"/>
      <c r="AJ212" s="12"/>
      <c r="AK212" s="12"/>
      <c r="AL212" s="12"/>
      <c r="AM212" s="12"/>
      <c r="AN212" s="12"/>
    </row>
    <row r="213" spans="1:40">
      <c r="A213" s="29"/>
      <c r="B213" s="29"/>
      <c r="C213" s="29"/>
      <c r="D213" s="29"/>
      <c r="E213" s="29"/>
      <c r="F213" s="29"/>
      <c r="G213" s="29"/>
      <c r="H213" s="29"/>
      <c r="I213" s="29"/>
      <c r="J213" s="29"/>
      <c r="K213" s="29"/>
      <c r="L213" s="29"/>
      <c r="M213" s="29"/>
      <c r="N213" s="29"/>
      <c r="O213" s="29"/>
      <c r="P213" s="29"/>
      <c r="Q213" s="29"/>
      <c r="R213" s="29"/>
      <c r="Z213" s="12"/>
      <c r="AA213" s="12"/>
      <c r="AB213" s="12"/>
      <c r="AC213" s="12"/>
      <c r="AD213" s="12"/>
      <c r="AE213" s="12"/>
      <c r="AF213" s="12"/>
      <c r="AG213" s="12"/>
      <c r="AH213" s="12"/>
      <c r="AI213" s="12"/>
      <c r="AJ213" s="12"/>
      <c r="AK213" s="12"/>
      <c r="AL213" s="12"/>
      <c r="AM213" s="12"/>
      <c r="AN213" s="12"/>
    </row>
    <row r="214" spans="1:40">
      <c r="A214" s="29"/>
      <c r="B214" s="29"/>
      <c r="C214" s="29"/>
      <c r="D214" s="29"/>
      <c r="E214" s="29"/>
      <c r="F214" s="29"/>
      <c r="G214" s="29"/>
      <c r="H214" s="29"/>
      <c r="I214" s="29"/>
      <c r="J214" s="29"/>
      <c r="K214" s="29"/>
      <c r="L214" s="29"/>
      <c r="M214" s="29"/>
      <c r="N214" s="29"/>
      <c r="O214" s="29"/>
      <c r="P214" s="29"/>
      <c r="Q214" s="29"/>
      <c r="R214" s="29"/>
      <c r="Z214" s="12"/>
      <c r="AA214" s="12"/>
      <c r="AB214" s="12"/>
      <c r="AC214" s="12"/>
      <c r="AD214" s="12"/>
      <c r="AE214" s="12"/>
      <c r="AF214" s="12"/>
      <c r="AG214" s="12"/>
      <c r="AH214" s="12"/>
      <c r="AI214" s="12"/>
      <c r="AJ214" s="12"/>
      <c r="AK214" s="12"/>
      <c r="AL214" s="12"/>
      <c r="AM214" s="12"/>
      <c r="AN214" s="12"/>
    </row>
    <row r="215" spans="1:40">
      <c r="A215" s="29"/>
      <c r="B215" s="29"/>
      <c r="C215" s="29"/>
      <c r="D215" s="29"/>
      <c r="E215" s="29"/>
      <c r="F215" s="29"/>
      <c r="G215" s="29"/>
      <c r="H215" s="29"/>
      <c r="I215" s="29"/>
      <c r="J215" s="29"/>
      <c r="K215" s="29"/>
      <c r="L215" s="29"/>
      <c r="M215" s="29"/>
      <c r="N215" s="29"/>
      <c r="O215" s="29"/>
      <c r="P215" s="29"/>
      <c r="Q215" s="29"/>
      <c r="R215" s="29"/>
      <c r="Z215" s="12"/>
      <c r="AA215" s="12"/>
      <c r="AB215" s="12"/>
      <c r="AC215" s="12"/>
      <c r="AD215" s="12"/>
      <c r="AE215" s="12"/>
      <c r="AF215" s="12"/>
      <c r="AG215" s="12"/>
      <c r="AH215" s="12"/>
      <c r="AI215" s="12"/>
      <c r="AJ215" s="12"/>
      <c r="AK215" s="12"/>
      <c r="AL215" s="12"/>
      <c r="AM215" s="12"/>
      <c r="AN215" s="12"/>
    </row>
    <row r="216" spans="1:40">
      <c r="A216" s="29"/>
      <c r="B216" s="29"/>
      <c r="C216" s="29"/>
      <c r="D216" s="29"/>
      <c r="E216" s="29"/>
      <c r="F216" s="29"/>
      <c r="G216" s="29"/>
      <c r="H216" s="29"/>
      <c r="I216" s="29"/>
      <c r="J216" s="29"/>
      <c r="K216" s="29"/>
      <c r="L216" s="29"/>
      <c r="M216" s="29"/>
      <c r="N216" s="29"/>
      <c r="O216" s="29"/>
      <c r="P216" s="29"/>
      <c r="Q216" s="29"/>
      <c r="R216" s="29"/>
      <c r="Z216" s="12"/>
      <c r="AA216" s="12"/>
      <c r="AB216" s="12"/>
      <c r="AC216" s="12"/>
      <c r="AD216" s="12"/>
      <c r="AE216" s="12"/>
      <c r="AF216" s="12"/>
      <c r="AG216" s="12"/>
      <c r="AH216" s="12"/>
      <c r="AI216" s="12"/>
      <c r="AJ216" s="12"/>
      <c r="AK216" s="12"/>
      <c r="AL216" s="12"/>
      <c r="AM216" s="12"/>
      <c r="AN216" s="12"/>
    </row>
    <row r="217" spans="1:40">
      <c r="A217" s="29"/>
      <c r="B217" s="29"/>
      <c r="C217" s="29"/>
      <c r="D217" s="29"/>
      <c r="E217" s="29"/>
      <c r="F217" s="29"/>
      <c r="G217" s="29"/>
      <c r="H217" s="29"/>
      <c r="I217" s="29"/>
      <c r="J217" s="29"/>
      <c r="K217" s="29"/>
      <c r="L217" s="29"/>
      <c r="M217" s="29"/>
      <c r="N217" s="29"/>
      <c r="O217" s="29"/>
      <c r="P217" s="29"/>
      <c r="Q217" s="29"/>
      <c r="R217" s="29"/>
      <c r="Z217" s="12"/>
      <c r="AA217" s="12"/>
      <c r="AB217" s="12"/>
      <c r="AC217" s="12"/>
      <c r="AD217" s="12"/>
      <c r="AE217" s="12"/>
      <c r="AF217" s="12"/>
      <c r="AG217" s="12"/>
      <c r="AH217" s="12"/>
      <c r="AI217" s="12"/>
      <c r="AJ217" s="12"/>
      <c r="AK217" s="12"/>
      <c r="AL217" s="12"/>
      <c r="AM217" s="12"/>
      <c r="AN217" s="12"/>
    </row>
    <row r="218" spans="1:40">
      <c r="A218" s="29"/>
      <c r="B218" s="29"/>
      <c r="C218" s="29"/>
      <c r="D218" s="29"/>
      <c r="E218" s="29"/>
      <c r="F218" s="29"/>
      <c r="G218" s="29"/>
      <c r="H218" s="29"/>
      <c r="I218" s="29"/>
      <c r="J218" s="29"/>
      <c r="K218" s="29"/>
      <c r="L218" s="29"/>
      <c r="M218" s="29"/>
      <c r="N218" s="29"/>
      <c r="O218" s="29"/>
      <c r="P218" s="29"/>
      <c r="Q218" s="29"/>
      <c r="R218" s="29"/>
      <c r="Z218" s="12"/>
      <c r="AA218" s="12"/>
      <c r="AB218" s="12"/>
      <c r="AC218" s="12"/>
      <c r="AD218" s="12"/>
      <c r="AE218" s="12"/>
      <c r="AF218" s="12"/>
      <c r="AG218" s="12"/>
      <c r="AH218" s="12"/>
      <c r="AI218" s="12"/>
      <c r="AJ218" s="12"/>
      <c r="AK218" s="12"/>
      <c r="AL218" s="12"/>
      <c r="AM218" s="12"/>
      <c r="AN218" s="12"/>
    </row>
    <row r="219" spans="1:40">
      <c r="A219" s="29"/>
      <c r="B219" s="29"/>
      <c r="C219" s="29"/>
      <c r="D219" s="29"/>
      <c r="E219" s="29"/>
      <c r="F219" s="29"/>
      <c r="G219" s="29"/>
      <c r="H219" s="29"/>
      <c r="I219" s="29"/>
      <c r="J219" s="29"/>
      <c r="K219" s="29"/>
      <c r="L219" s="29"/>
      <c r="M219" s="29"/>
      <c r="N219" s="29"/>
      <c r="O219" s="29"/>
      <c r="P219" s="29"/>
      <c r="Q219" s="29"/>
      <c r="R219" s="29"/>
      <c r="Z219" s="12"/>
      <c r="AA219" s="12"/>
      <c r="AB219" s="12"/>
      <c r="AC219" s="12"/>
      <c r="AD219" s="12"/>
      <c r="AE219" s="12"/>
      <c r="AF219" s="12"/>
      <c r="AG219" s="12"/>
      <c r="AH219" s="12"/>
      <c r="AI219" s="12"/>
      <c r="AJ219" s="12"/>
      <c r="AK219" s="12"/>
      <c r="AL219" s="12"/>
      <c r="AM219" s="12"/>
      <c r="AN219" s="12"/>
    </row>
    <row r="220" spans="1:40">
      <c r="A220" s="29"/>
      <c r="B220" s="29"/>
      <c r="C220" s="29"/>
      <c r="D220" s="29"/>
      <c r="E220" s="29"/>
      <c r="F220" s="29"/>
      <c r="G220" s="29"/>
      <c r="H220" s="29"/>
      <c r="I220" s="29"/>
      <c r="J220" s="29"/>
      <c r="K220" s="29"/>
      <c r="L220" s="29"/>
      <c r="M220" s="29"/>
      <c r="N220" s="29"/>
      <c r="O220" s="29"/>
      <c r="P220" s="29"/>
      <c r="Q220" s="29"/>
      <c r="R220" s="29"/>
      <c r="Z220" s="12"/>
      <c r="AA220" s="12"/>
      <c r="AB220" s="12"/>
      <c r="AC220" s="12"/>
      <c r="AD220" s="12"/>
      <c r="AE220" s="12"/>
      <c r="AF220" s="12"/>
      <c r="AG220" s="12"/>
      <c r="AH220" s="12"/>
      <c r="AI220" s="12"/>
      <c r="AJ220" s="12"/>
      <c r="AK220" s="12"/>
      <c r="AL220" s="12"/>
      <c r="AM220" s="12"/>
      <c r="AN220" s="12"/>
    </row>
    <row r="221" spans="1:40">
      <c r="A221" s="29"/>
      <c r="B221" s="29"/>
      <c r="C221" s="29"/>
      <c r="D221" s="29"/>
      <c r="E221" s="29"/>
      <c r="F221" s="29"/>
      <c r="G221" s="29"/>
      <c r="H221" s="29"/>
      <c r="I221" s="29"/>
      <c r="J221" s="29"/>
      <c r="K221" s="29"/>
      <c r="L221" s="29"/>
      <c r="M221" s="29"/>
      <c r="N221" s="29"/>
      <c r="O221" s="29"/>
      <c r="P221" s="29"/>
      <c r="Q221" s="29"/>
      <c r="R221" s="29"/>
      <c r="Z221" s="12"/>
      <c r="AA221" s="12"/>
      <c r="AB221" s="12"/>
      <c r="AC221" s="12"/>
      <c r="AD221" s="12"/>
      <c r="AE221" s="12"/>
      <c r="AF221" s="12"/>
      <c r="AG221" s="12"/>
      <c r="AH221" s="12"/>
      <c r="AI221" s="12"/>
      <c r="AJ221" s="12"/>
      <c r="AK221" s="12"/>
      <c r="AL221" s="12"/>
      <c r="AM221" s="12"/>
      <c r="AN221" s="12"/>
    </row>
    <row r="222" spans="1:40">
      <c r="A222" s="29"/>
      <c r="B222" s="29"/>
      <c r="C222" s="29"/>
      <c r="D222" s="29"/>
      <c r="E222" s="29"/>
      <c r="F222" s="29"/>
      <c r="G222" s="29"/>
      <c r="H222" s="29"/>
      <c r="I222" s="29"/>
      <c r="J222" s="29"/>
      <c r="K222" s="29"/>
      <c r="L222" s="29"/>
      <c r="M222" s="29"/>
      <c r="N222" s="29"/>
      <c r="O222" s="29"/>
      <c r="P222" s="29"/>
      <c r="Q222" s="29"/>
      <c r="R222" s="29"/>
      <c r="Z222" s="12"/>
      <c r="AA222" s="12"/>
      <c r="AB222" s="12"/>
      <c r="AC222" s="12"/>
      <c r="AD222" s="12"/>
      <c r="AE222" s="12"/>
      <c r="AF222" s="12"/>
      <c r="AG222" s="12"/>
      <c r="AH222" s="12"/>
      <c r="AI222" s="12"/>
      <c r="AJ222" s="12"/>
      <c r="AK222" s="12"/>
      <c r="AL222" s="12"/>
      <c r="AM222" s="12"/>
      <c r="AN222" s="12"/>
    </row>
    <row r="223" spans="1:40">
      <c r="A223" s="29"/>
      <c r="B223" s="29"/>
      <c r="C223" s="29"/>
      <c r="D223" s="29"/>
      <c r="E223" s="29"/>
      <c r="F223" s="29"/>
      <c r="G223" s="29"/>
      <c r="H223" s="29"/>
      <c r="I223" s="29"/>
      <c r="J223" s="29"/>
      <c r="K223" s="29"/>
      <c r="L223" s="29"/>
      <c r="M223" s="29"/>
      <c r="N223" s="29"/>
      <c r="O223" s="29"/>
      <c r="P223" s="29"/>
      <c r="Q223" s="29"/>
      <c r="R223" s="29"/>
      <c r="Z223" s="12"/>
      <c r="AA223" s="12"/>
      <c r="AB223" s="12"/>
      <c r="AC223" s="12"/>
      <c r="AD223" s="12"/>
      <c r="AE223" s="12"/>
      <c r="AF223" s="12"/>
      <c r="AG223" s="12"/>
      <c r="AH223" s="12"/>
      <c r="AI223" s="12"/>
      <c r="AJ223" s="12"/>
      <c r="AK223" s="12"/>
      <c r="AL223" s="12"/>
      <c r="AM223" s="12"/>
      <c r="AN223" s="12"/>
    </row>
    <row r="224" spans="1:40">
      <c r="A224" s="29"/>
      <c r="B224" s="29"/>
      <c r="C224" s="29"/>
      <c r="D224" s="29"/>
      <c r="E224" s="29"/>
      <c r="F224" s="29"/>
      <c r="G224" s="29"/>
      <c r="H224" s="29"/>
      <c r="I224" s="29"/>
      <c r="J224" s="29"/>
      <c r="K224" s="29"/>
      <c r="L224" s="29"/>
      <c r="M224" s="29"/>
      <c r="N224" s="29"/>
      <c r="O224" s="29"/>
      <c r="P224" s="29"/>
      <c r="Q224" s="29"/>
      <c r="R224" s="29"/>
      <c r="Z224" s="12"/>
      <c r="AA224" s="12"/>
      <c r="AB224" s="12"/>
      <c r="AC224" s="12"/>
      <c r="AD224" s="12"/>
      <c r="AE224" s="12"/>
      <c r="AF224" s="12"/>
      <c r="AG224" s="12"/>
      <c r="AH224" s="12"/>
      <c r="AI224" s="12"/>
      <c r="AJ224" s="12"/>
      <c r="AK224" s="12"/>
      <c r="AL224" s="12"/>
      <c r="AM224" s="12"/>
      <c r="AN224" s="12"/>
    </row>
    <row r="225" spans="1:40">
      <c r="A225" s="29"/>
      <c r="B225" s="29"/>
      <c r="C225" s="29"/>
      <c r="D225" s="29"/>
      <c r="E225" s="29"/>
      <c r="F225" s="29"/>
      <c r="G225" s="29"/>
      <c r="H225" s="29"/>
      <c r="I225" s="29"/>
      <c r="J225" s="29"/>
      <c r="K225" s="29"/>
      <c r="L225" s="29"/>
      <c r="M225" s="29"/>
      <c r="N225" s="29"/>
      <c r="O225" s="29"/>
      <c r="P225" s="29"/>
      <c r="Q225" s="29"/>
      <c r="R225" s="29"/>
      <c r="Z225" s="12"/>
      <c r="AA225" s="12"/>
      <c r="AB225" s="12"/>
      <c r="AC225" s="12"/>
      <c r="AD225" s="12"/>
      <c r="AE225" s="12"/>
      <c r="AF225" s="12"/>
      <c r="AG225" s="12"/>
      <c r="AH225" s="12"/>
      <c r="AI225" s="12"/>
      <c r="AJ225" s="12"/>
      <c r="AK225" s="12"/>
      <c r="AL225" s="12"/>
      <c r="AM225" s="12"/>
      <c r="AN225" s="12"/>
    </row>
    <row r="226" spans="1:40">
      <c r="A226" s="29"/>
      <c r="B226" s="29"/>
      <c r="C226" s="29"/>
      <c r="D226" s="29"/>
      <c r="E226" s="29"/>
      <c r="F226" s="29"/>
      <c r="G226" s="29"/>
      <c r="H226" s="29"/>
      <c r="I226" s="29"/>
      <c r="J226" s="29"/>
      <c r="K226" s="29"/>
      <c r="L226" s="29"/>
      <c r="M226" s="29"/>
      <c r="N226" s="29"/>
      <c r="O226" s="29"/>
      <c r="P226" s="29"/>
      <c r="Q226" s="29"/>
      <c r="R226" s="29"/>
      <c r="Z226" s="12"/>
      <c r="AA226" s="12"/>
      <c r="AB226" s="12"/>
      <c r="AC226" s="12"/>
      <c r="AD226" s="12"/>
      <c r="AE226" s="12"/>
      <c r="AF226" s="12"/>
      <c r="AG226" s="12"/>
      <c r="AH226" s="12"/>
      <c r="AI226" s="12"/>
      <c r="AJ226" s="12"/>
      <c r="AK226" s="12"/>
      <c r="AL226" s="12"/>
      <c r="AM226" s="12"/>
      <c r="AN226" s="12"/>
    </row>
    <row r="227" spans="1:40">
      <c r="A227" s="29"/>
      <c r="B227" s="29"/>
      <c r="C227" s="29"/>
      <c r="D227" s="29"/>
      <c r="E227" s="29"/>
      <c r="F227" s="29"/>
      <c r="G227" s="29"/>
      <c r="H227" s="29"/>
      <c r="I227" s="29"/>
      <c r="J227" s="29"/>
      <c r="K227" s="29"/>
      <c r="L227" s="29"/>
      <c r="M227" s="29"/>
      <c r="N227" s="29"/>
      <c r="O227" s="29"/>
      <c r="P227" s="29"/>
      <c r="Q227" s="29"/>
      <c r="R227" s="29"/>
      <c r="Z227" s="12"/>
      <c r="AA227" s="12"/>
      <c r="AB227" s="12"/>
      <c r="AC227" s="12"/>
      <c r="AD227" s="12"/>
      <c r="AE227" s="12"/>
      <c r="AF227" s="12"/>
      <c r="AG227" s="12"/>
      <c r="AH227" s="12"/>
      <c r="AI227" s="12"/>
      <c r="AJ227" s="12"/>
      <c r="AK227" s="12"/>
      <c r="AL227" s="12"/>
      <c r="AM227" s="12"/>
      <c r="AN227" s="12"/>
    </row>
    <row r="228" spans="1:40">
      <c r="A228" s="29"/>
      <c r="B228" s="29"/>
      <c r="C228" s="29"/>
      <c r="D228" s="29"/>
      <c r="E228" s="29"/>
      <c r="F228" s="29"/>
      <c r="G228" s="29"/>
      <c r="H228" s="29"/>
      <c r="I228" s="29"/>
      <c r="J228" s="29"/>
      <c r="K228" s="29"/>
      <c r="L228" s="29"/>
      <c r="M228" s="29"/>
      <c r="N228" s="29"/>
      <c r="O228" s="29"/>
      <c r="P228" s="29"/>
      <c r="Q228" s="29"/>
      <c r="R228" s="29"/>
      <c r="Z228" s="12"/>
      <c r="AA228" s="12"/>
      <c r="AB228" s="12"/>
      <c r="AC228" s="12"/>
      <c r="AD228" s="12"/>
      <c r="AE228" s="12"/>
      <c r="AF228" s="12"/>
      <c r="AG228" s="12"/>
      <c r="AH228" s="12"/>
      <c r="AI228" s="12"/>
      <c r="AJ228" s="12"/>
      <c r="AK228" s="12"/>
      <c r="AL228" s="12"/>
      <c r="AM228" s="12"/>
      <c r="AN228" s="12"/>
    </row>
    <row r="229" spans="1:40">
      <c r="A229" s="29"/>
      <c r="B229" s="29"/>
      <c r="C229" s="29"/>
      <c r="D229" s="29"/>
      <c r="E229" s="29"/>
      <c r="F229" s="29"/>
      <c r="G229" s="29"/>
      <c r="H229" s="29"/>
      <c r="I229" s="29"/>
      <c r="J229" s="29"/>
      <c r="K229" s="29"/>
      <c r="L229" s="29"/>
      <c r="M229" s="29"/>
      <c r="N229" s="29"/>
      <c r="O229" s="29"/>
      <c r="P229" s="29"/>
      <c r="Q229" s="29"/>
      <c r="R229" s="29"/>
      <c r="Z229" s="12"/>
      <c r="AA229" s="12"/>
      <c r="AB229" s="12"/>
      <c r="AC229" s="12"/>
      <c r="AD229" s="12"/>
      <c r="AE229" s="12"/>
      <c r="AF229" s="12"/>
      <c r="AG229" s="12"/>
      <c r="AH229" s="12"/>
      <c r="AI229" s="12"/>
      <c r="AJ229" s="12"/>
      <c r="AK229" s="12"/>
      <c r="AL229" s="12"/>
      <c r="AM229" s="12"/>
      <c r="AN229" s="12"/>
    </row>
    <row r="230" spans="1:40">
      <c r="A230" s="29"/>
      <c r="B230" s="29"/>
      <c r="C230" s="29"/>
      <c r="D230" s="29"/>
      <c r="E230" s="29"/>
      <c r="F230" s="29"/>
      <c r="G230" s="29"/>
      <c r="H230" s="29"/>
      <c r="I230" s="29"/>
      <c r="J230" s="29"/>
      <c r="K230" s="29"/>
      <c r="L230" s="29"/>
      <c r="M230" s="29"/>
      <c r="N230" s="29"/>
      <c r="O230" s="29"/>
      <c r="P230" s="29"/>
      <c r="Q230" s="29"/>
      <c r="R230" s="29"/>
      <c r="Z230" s="12"/>
      <c r="AA230" s="12"/>
      <c r="AB230" s="12"/>
      <c r="AC230" s="12"/>
      <c r="AD230" s="12"/>
      <c r="AE230" s="12"/>
      <c r="AF230" s="12"/>
      <c r="AG230" s="12"/>
      <c r="AH230" s="12"/>
      <c r="AI230" s="12"/>
      <c r="AJ230" s="12"/>
      <c r="AK230" s="12"/>
      <c r="AL230" s="12"/>
      <c r="AM230" s="12"/>
      <c r="AN230" s="12"/>
    </row>
    <row r="231" spans="1:40">
      <c r="A231" s="29"/>
      <c r="B231" s="29"/>
      <c r="C231" s="29"/>
      <c r="D231" s="29"/>
      <c r="E231" s="29"/>
      <c r="F231" s="29"/>
      <c r="G231" s="29"/>
      <c r="H231" s="29"/>
      <c r="I231" s="29"/>
      <c r="J231" s="29"/>
      <c r="K231" s="29"/>
      <c r="L231" s="29"/>
      <c r="M231" s="29"/>
      <c r="N231" s="29"/>
      <c r="O231" s="29"/>
      <c r="P231" s="29"/>
      <c r="Q231" s="29"/>
      <c r="R231" s="29"/>
      <c r="Z231" s="12"/>
      <c r="AA231" s="12"/>
      <c r="AB231" s="12"/>
      <c r="AC231" s="12"/>
      <c r="AD231" s="12"/>
      <c r="AE231" s="12"/>
      <c r="AF231" s="12"/>
      <c r="AG231" s="12"/>
      <c r="AH231" s="12"/>
      <c r="AI231" s="12"/>
      <c r="AJ231" s="12"/>
      <c r="AK231" s="12"/>
      <c r="AL231" s="12"/>
      <c r="AM231" s="12"/>
      <c r="AN231" s="12"/>
    </row>
    <row r="232" spans="1:40">
      <c r="A232" s="29"/>
      <c r="B232" s="29"/>
      <c r="C232" s="29"/>
      <c r="D232" s="29"/>
      <c r="E232" s="29"/>
      <c r="F232" s="29"/>
      <c r="G232" s="29"/>
      <c r="H232" s="29"/>
      <c r="I232" s="29"/>
      <c r="J232" s="29"/>
      <c r="K232" s="29"/>
      <c r="L232" s="29"/>
      <c r="M232" s="29"/>
      <c r="N232" s="29"/>
      <c r="O232" s="29"/>
      <c r="P232" s="29"/>
      <c r="Q232" s="29"/>
      <c r="R232" s="29"/>
      <c r="Z232" s="12"/>
      <c r="AA232" s="12"/>
      <c r="AB232" s="12"/>
      <c r="AC232" s="12"/>
      <c r="AD232" s="12"/>
      <c r="AE232" s="12"/>
      <c r="AF232" s="12"/>
      <c r="AG232" s="12"/>
      <c r="AH232" s="12"/>
      <c r="AI232" s="12"/>
      <c r="AJ232" s="12"/>
      <c r="AK232" s="12"/>
      <c r="AL232" s="12"/>
      <c r="AM232" s="12"/>
      <c r="AN232" s="12"/>
    </row>
    <row r="233" spans="1:40">
      <c r="A233" s="29"/>
      <c r="B233" s="29"/>
      <c r="C233" s="29"/>
      <c r="D233" s="29"/>
      <c r="E233" s="29"/>
      <c r="F233" s="29"/>
      <c r="G233" s="29"/>
      <c r="H233" s="29"/>
      <c r="I233" s="29"/>
      <c r="J233" s="29"/>
      <c r="K233" s="29"/>
      <c r="L233" s="29"/>
      <c r="M233" s="29"/>
      <c r="N233" s="29"/>
      <c r="O233" s="29"/>
      <c r="P233" s="29"/>
      <c r="Q233" s="29"/>
      <c r="R233" s="29"/>
      <c r="Z233" s="12"/>
      <c r="AA233" s="12"/>
      <c r="AB233" s="12"/>
      <c r="AC233" s="12"/>
      <c r="AD233" s="12"/>
      <c r="AE233" s="12"/>
      <c r="AF233" s="12"/>
      <c r="AG233" s="12"/>
      <c r="AH233" s="12"/>
      <c r="AI233" s="12"/>
      <c r="AJ233" s="12"/>
      <c r="AK233" s="12"/>
      <c r="AL233" s="12"/>
      <c r="AM233" s="12"/>
      <c r="AN233" s="12"/>
    </row>
    <row r="234" spans="1:40">
      <c r="A234" s="29"/>
      <c r="B234" s="29"/>
      <c r="C234" s="29"/>
      <c r="D234" s="29"/>
      <c r="E234" s="29"/>
      <c r="F234" s="29"/>
      <c r="G234" s="29"/>
      <c r="H234" s="29"/>
      <c r="I234" s="29"/>
      <c r="J234" s="29"/>
      <c r="K234" s="29"/>
      <c r="L234" s="29"/>
      <c r="M234" s="29"/>
      <c r="N234" s="29"/>
      <c r="O234" s="29"/>
      <c r="P234" s="29"/>
      <c r="Q234" s="29"/>
      <c r="R234" s="29"/>
      <c r="Z234" s="12"/>
      <c r="AA234" s="12"/>
      <c r="AB234" s="12"/>
      <c r="AC234" s="12"/>
      <c r="AD234" s="12"/>
      <c r="AE234" s="12"/>
      <c r="AF234" s="12"/>
      <c r="AG234" s="12"/>
      <c r="AH234" s="12"/>
      <c r="AI234" s="12"/>
      <c r="AJ234" s="12"/>
      <c r="AK234" s="12"/>
      <c r="AL234" s="12"/>
      <c r="AM234" s="12"/>
      <c r="AN234" s="12"/>
    </row>
    <row r="235" spans="1:40">
      <c r="A235" s="29"/>
      <c r="B235" s="29"/>
      <c r="C235" s="29"/>
      <c r="D235" s="29"/>
      <c r="E235" s="29"/>
      <c r="F235" s="29"/>
      <c r="G235" s="29"/>
      <c r="H235" s="29"/>
      <c r="I235" s="29"/>
      <c r="J235" s="29"/>
      <c r="K235" s="29"/>
      <c r="L235" s="29"/>
      <c r="M235" s="29"/>
      <c r="N235" s="29"/>
      <c r="O235" s="29"/>
      <c r="P235" s="29"/>
      <c r="Q235" s="29"/>
      <c r="R235" s="29"/>
      <c r="Z235" s="12"/>
      <c r="AA235" s="12"/>
      <c r="AB235" s="12"/>
      <c r="AC235" s="12"/>
      <c r="AD235" s="12"/>
      <c r="AE235" s="12"/>
      <c r="AF235" s="12"/>
      <c r="AG235" s="12"/>
      <c r="AH235" s="12"/>
      <c r="AI235" s="12"/>
      <c r="AJ235" s="12"/>
      <c r="AK235" s="12"/>
      <c r="AL235" s="12"/>
      <c r="AM235" s="12"/>
      <c r="AN235" s="12"/>
    </row>
    <row r="236" spans="1:40">
      <c r="A236" s="29"/>
      <c r="B236" s="29"/>
      <c r="C236" s="29"/>
      <c r="D236" s="29"/>
      <c r="E236" s="29"/>
      <c r="F236" s="29"/>
      <c r="G236" s="29"/>
      <c r="H236" s="29"/>
      <c r="I236" s="29"/>
      <c r="J236" s="29"/>
      <c r="K236" s="29"/>
      <c r="L236" s="29"/>
      <c r="M236" s="29"/>
      <c r="N236" s="29"/>
      <c r="O236" s="29"/>
      <c r="P236" s="29"/>
      <c r="Q236" s="29"/>
      <c r="R236" s="29"/>
      <c r="Z236" s="12"/>
      <c r="AA236" s="12"/>
      <c r="AB236" s="12"/>
      <c r="AC236" s="12"/>
      <c r="AD236" s="12"/>
      <c r="AE236" s="12"/>
      <c r="AF236" s="12"/>
      <c r="AG236" s="12"/>
      <c r="AH236" s="12"/>
      <c r="AI236" s="12"/>
      <c r="AJ236" s="12"/>
      <c r="AK236" s="12"/>
      <c r="AL236" s="12"/>
      <c r="AM236" s="12"/>
      <c r="AN236" s="12"/>
    </row>
    <row r="237" spans="1:40">
      <c r="A237" s="29"/>
      <c r="B237" s="29"/>
      <c r="C237" s="29"/>
      <c r="D237" s="29"/>
      <c r="E237" s="29"/>
      <c r="F237" s="29"/>
      <c r="G237" s="29"/>
      <c r="H237" s="29"/>
      <c r="I237" s="29"/>
      <c r="J237" s="29"/>
      <c r="K237" s="29"/>
      <c r="L237" s="29"/>
      <c r="M237" s="29"/>
      <c r="N237" s="29"/>
      <c r="O237" s="29"/>
      <c r="P237" s="29"/>
      <c r="Q237" s="29"/>
      <c r="R237" s="29"/>
      <c r="Z237" s="12"/>
      <c r="AA237" s="12"/>
      <c r="AB237" s="12"/>
      <c r="AC237" s="12"/>
      <c r="AD237" s="12"/>
      <c r="AE237" s="12"/>
      <c r="AF237" s="12"/>
      <c r="AG237" s="12"/>
      <c r="AH237" s="12"/>
      <c r="AI237" s="12"/>
      <c r="AJ237" s="12"/>
      <c r="AK237" s="12"/>
      <c r="AL237" s="12"/>
      <c r="AM237" s="12"/>
      <c r="AN237" s="12"/>
    </row>
    <row r="238" spans="1:40">
      <c r="A238" s="29"/>
      <c r="B238" s="29"/>
      <c r="C238" s="29"/>
      <c r="D238" s="29"/>
      <c r="E238" s="29"/>
      <c r="F238" s="29"/>
      <c r="G238" s="29"/>
      <c r="H238" s="29"/>
      <c r="I238" s="29"/>
      <c r="J238" s="29"/>
      <c r="K238" s="29"/>
      <c r="L238" s="29"/>
      <c r="M238" s="29"/>
      <c r="N238" s="29"/>
      <c r="O238" s="29"/>
      <c r="P238" s="29"/>
      <c r="Q238" s="29"/>
      <c r="R238" s="29"/>
      <c r="Z238" s="12"/>
      <c r="AA238" s="12"/>
      <c r="AB238" s="12"/>
      <c r="AC238" s="12"/>
      <c r="AD238" s="12"/>
      <c r="AE238" s="12"/>
      <c r="AF238" s="12"/>
      <c r="AG238" s="12"/>
      <c r="AH238" s="12"/>
      <c r="AI238" s="12"/>
      <c r="AJ238" s="12"/>
      <c r="AK238" s="12"/>
      <c r="AL238" s="12"/>
      <c r="AM238" s="12"/>
      <c r="AN238" s="12"/>
    </row>
    <row r="239" spans="1:40">
      <c r="A239" s="29"/>
      <c r="B239" s="29"/>
      <c r="C239" s="29"/>
      <c r="D239" s="29"/>
      <c r="E239" s="29"/>
      <c r="F239" s="29"/>
      <c r="G239" s="29"/>
      <c r="H239" s="29"/>
      <c r="I239" s="29"/>
      <c r="J239" s="29"/>
      <c r="K239" s="29"/>
      <c r="L239" s="29"/>
      <c r="M239" s="29"/>
      <c r="N239" s="29"/>
      <c r="O239" s="29"/>
      <c r="P239" s="29"/>
      <c r="Q239" s="29"/>
      <c r="R239" s="29"/>
      <c r="Z239" s="12"/>
      <c r="AA239" s="12"/>
      <c r="AB239" s="12"/>
      <c r="AC239" s="12"/>
      <c r="AD239" s="12"/>
      <c r="AE239" s="12"/>
      <c r="AF239" s="12"/>
      <c r="AG239" s="12"/>
      <c r="AH239" s="12"/>
      <c r="AI239" s="12"/>
      <c r="AJ239" s="12"/>
      <c r="AK239" s="12"/>
      <c r="AL239" s="12"/>
      <c r="AM239" s="12"/>
      <c r="AN239" s="12"/>
    </row>
    <row r="240" spans="1:40">
      <c r="A240" s="29"/>
      <c r="B240" s="29"/>
      <c r="C240" s="29"/>
      <c r="D240" s="29"/>
      <c r="E240" s="29"/>
      <c r="F240" s="29"/>
      <c r="G240" s="29"/>
      <c r="H240" s="29"/>
      <c r="I240" s="29"/>
      <c r="J240" s="29"/>
      <c r="K240" s="29"/>
      <c r="L240" s="29"/>
      <c r="M240" s="29"/>
      <c r="N240" s="29"/>
      <c r="O240" s="29"/>
      <c r="P240" s="29"/>
      <c r="Q240" s="29"/>
      <c r="R240" s="29"/>
      <c r="Z240" s="12"/>
      <c r="AA240" s="12"/>
      <c r="AB240" s="12"/>
      <c r="AC240" s="12"/>
      <c r="AD240" s="12"/>
      <c r="AE240" s="12"/>
      <c r="AF240" s="12"/>
      <c r="AG240" s="12"/>
      <c r="AH240" s="12"/>
      <c r="AI240" s="12"/>
      <c r="AJ240" s="12"/>
      <c r="AK240" s="12"/>
      <c r="AL240" s="12"/>
      <c r="AM240" s="12"/>
      <c r="AN240" s="12"/>
    </row>
    <row r="241" spans="1:40">
      <c r="A241" s="29"/>
      <c r="B241" s="29"/>
      <c r="C241" s="29"/>
      <c r="D241" s="29"/>
      <c r="E241" s="29"/>
      <c r="F241" s="29"/>
      <c r="G241" s="29"/>
      <c r="H241" s="29"/>
      <c r="I241" s="29"/>
      <c r="J241" s="29"/>
      <c r="K241" s="29"/>
      <c r="L241" s="29"/>
      <c r="M241" s="29"/>
      <c r="N241" s="29"/>
      <c r="O241" s="29"/>
      <c r="P241" s="29"/>
      <c r="Q241" s="29"/>
      <c r="R241" s="29"/>
      <c r="Z241" s="12"/>
      <c r="AA241" s="12"/>
      <c r="AB241" s="12"/>
      <c r="AC241" s="12"/>
      <c r="AD241" s="12"/>
      <c r="AE241" s="12"/>
      <c r="AF241" s="12"/>
      <c r="AG241" s="12"/>
      <c r="AH241" s="12"/>
      <c r="AI241" s="12"/>
      <c r="AJ241" s="12"/>
      <c r="AK241" s="12"/>
      <c r="AL241" s="12"/>
      <c r="AM241" s="12"/>
      <c r="AN241" s="12"/>
    </row>
    <row r="242" spans="1:40">
      <c r="A242" s="29"/>
      <c r="B242" s="29"/>
      <c r="C242" s="29"/>
      <c r="D242" s="29"/>
      <c r="E242" s="29"/>
      <c r="F242" s="29"/>
      <c r="G242" s="29"/>
      <c r="H242" s="29"/>
      <c r="I242" s="29"/>
      <c r="J242" s="29"/>
      <c r="K242" s="29"/>
      <c r="L242" s="29"/>
      <c r="M242" s="29"/>
      <c r="N242" s="29"/>
      <c r="O242" s="29"/>
      <c r="P242" s="29"/>
      <c r="Q242" s="29"/>
      <c r="R242" s="29"/>
      <c r="Z242" s="12"/>
      <c r="AA242" s="12"/>
      <c r="AB242" s="12"/>
      <c r="AC242" s="12"/>
      <c r="AD242" s="12"/>
      <c r="AE242" s="12"/>
      <c r="AF242" s="12"/>
      <c r="AG242" s="12"/>
      <c r="AH242" s="12"/>
      <c r="AI242" s="12"/>
      <c r="AJ242" s="12"/>
      <c r="AK242" s="12"/>
      <c r="AL242" s="12"/>
      <c r="AM242" s="12"/>
      <c r="AN242" s="12"/>
    </row>
    <row r="243" spans="1:40">
      <c r="A243" s="29"/>
      <c r="B243" s="29"/>
      <c r="C243" s="29"/>
      <c r="D243" s="29"/>
      <c r="E243" s="29"/>
      <c r="F243" s="29"/>
      <c r="G243" s="29"/>
      <c r="H243" s="29"/>
      <c r="I243" s="29"/>
      <c r="J243" s="29"/>
      <c r="K243" s="29"/>
      <c r="L243" s="29"/>
      <c r="M243" s="29"/>
      <c r="N243" s="29"/>
      <c r="O243" s="29"/>
      <c r="P243" s="29"/>
      <c r="Q243" s="29"/>
      <c r="R243" s="29"/>
      <c r="Z243" s="12"/>
      <c r="AA243" s="12"/>
      <c r="AB243" s="12"/>
      <c r="AC243" s="12"/>
      <c r="AD243" s="12"/>
      <c r="AE243" s="12"/>
      <c r="AF243" s="12"/>
      <c r="AG243" s="12"/>
      <c r="AH243" s="12"/>
      <c r="AI243" s="12"/>
      <c r="AJ243" s="12"/>
      <c r="AK243" s="12"/>
      <c r="AL243" s="12"/>
      <c r="AM243" s="12"/>
      <c r="AN243" s="12"/>
    </row>
    <row r="244" spans="1:40">
      <c r="A244" s="29"/>
      <c r="B244" s="29"/>
      <c r="C244" s="29"/>
      <c r="D244" s="29"/>
      <c r="E244" s="29"/>
      <c r="F244" s="29"/>
      <c r="G244" s="29"/>
      <c r="H244" s="29"/>
      <c r="I244" s="29"/>
      <c r="J244" s="29"/>
      <c r="K244" s="29"/>
      <c r="L244" s="29"/>
      <c r="M244" s="29"/>
      <c r="N244" s="29"/>
      <c r="O244" s="29"/>
      <c r="P244" s="29"/>
      <c r="Q244" s="29"/>
      <c r="R244" s="29"/>
      <c r="Z244" s="12"/>
      <c r="AA244" s="12"/>
      <c r="AB244" s="12"/>
      <c r="AC244" s="12"/>
      <c r="AD244" s="12"/>
      <c r="AE244" s="12"/>
      <c r="AF244" s="12"/>
      <c r="AG244" s="12"/>
      <c r="AH244" s="12"/>
      <c r="AI244" s="12"/>
      <c r="AJ244" s="12"/>
      <c r="AK244" s="12"/>
      <c r="AL244" s="12"/>
      <c r="AM244" s="12"/>
      <c r="AN244" s="12"/>
    </row>
    <row r="245" spans="1:40">
      <c r="A245" s="29"/>
      <c r="B245" s="29"/>
      <c r="C245" s="29"/>
      <c r="D245" s="29"/>
      <c r="E245" s="29"/>
      <c r="F245" s="29"/>
      <c r="G245" s="29"/>
      <c r="H245" s="29"/>
      <c r="I245" s="29"/>
      <c r="J245" s="29"/>
      <c r="K245" s="29"/>
      <c r="L245" s="29"/>
      <c r="M245" s="29"/>
      <c r="N245" s="29"/>
      <c r="O245" s="29"/>
      <c r="P245" s="29"/>
      <c r="Q245" s="29"/>
      <c r="R245" s="29"/>
      <c r="Z245" s="12"/>
      <c r="AA245" s="12"/>
      <c r="AB245" s="12"/>
      <c r="AC245" s="12"/>
      <c r="AD245" s="12"/>
      <c r="AE245" s="12"/>
      <c r="AF245" s="12"/>
      <c r="AG245" s="12"/>
      <c r="AH245" s="12"/>
      <c r="AI245" s="12"/>
      <c r="AJ245" s="12"/>
      <c r="AK245" s="12"/>
      <c r="AL245" s="12"/>
      <c r="AM245" s="12"/>
      <c r="AN245" s="12"/>
    </row>
    <row r="246" spans="1:40">
      <c r="A246" s="29"/>
      <c r="B246" s="29"/>
      <c r="C246" s="29"/>
      <c r="D246" s="29"/>
      <c r="E246" s="29"/>
      <c r="F246" s="29"/>
      <c r="G246" s="29"/>
      <c r="H246" s="29"/>
      <c r="I246" s="29"/>
      <c r="J246" s="29"/>
      <c r="K246" s="29"/>
      <c r="L246" s="29"/>
      <c r="M246" s="29"/>
      <c r="N246" s="29"/>
      <c r="O246" s="29"/>
      <c r="P246" s="29"/>
      <c r="Q246" s="29"/>
      <c r="R246" s="29"/>
      <c r="Z246" s="12"/>
      <c r="AA246" s="12"/>
      <c r="AB246" s="12"/>
      <c r="AC246" s="12"/>
      <c r="AD246" s="12"/>
      <c r="AE246" s="12"/>
      <c r="AF246" s="12"/>
      <c r="AG246" s="12"/>
      <c r="AH246" s="12"/>
      <c r="AI246" s="12"/>
      <c r="AJ246" s="12"/>
      <c r="AK246" s="12"/>
      <c r="AL246" s="12"/>
      <c r="AM246" s="12"/>
      <c r="AN246" s="12"/>
    </row>
    <row r="247" spans="1:40">
      <c r="A247" s="29"/>
      <c r="B247" s="29"/>
      <c r="C247" s="29"/>
      <c r="D247" s="29"/>
      <c r="E247" s="29"/>
      <c r="F247" s="29"/>
      <c r="G247" s="29"/>
      <c r="H247" s="29"/>
      <c r="I247" s="29"/>
      <c r="J247" s="29"/>
      <c r="K247" s="29"/>
      <c r="L247" s="29"/>
      <c r="M247" s="29"/>
      <c r="N247" s="29"/>
      <c r="O247" s="29"/>
      <c r="P247" s="29"/>
      <c r="Q247" s="29"/>
      <c r="R247" s="29"/>
      <c r="Z247" s="12"/>
      <c r="AA247" s="12"/>
      <c r="AB247" s="12"/>
      <c r="AC247" s="12"/>
      <c r="AD247" s="12"/>
      <c r="AE247" s="12"/>
      <c r="AF247" s="12"/>
      <c r="AG247" s="12"/>
      <c r="AH247" s="12"/>
      <c r="AI247" s="12"/>
      <c r="AJ247" s="12"/>
      <c r="AK247" s="12"/>
      <c r="AL247" s="12"/>
      <c r="AM247" s="12"/>
      <c r="AN247" s="12"/>
    </row>
    <row r="248" spans="1:40">
      <c r="A248" s="29"/>
      <c r="B248" s="29"/>
      <c r="C248" s="29"/>
      <c r="D248" s="29"/>
      <c r="E248" s="29"/>
      <c r="F248" s="29"/>
      <c r="G248" s="29"/>
      <c r="H248" s="29"/>
      <c r="I248" s="29"/>
      <c r="J248" s="29"/>
      <c r="K248" s="29"/>
      <c r="L248" s="29"/>
      <c r="M248" s="29"/>
      <c r="N248" s="29"/>
      <c r="O248" s="29"/>
      <c r="P248" s="29"/>
      <c r="Q248" s="29"/>
      <c r="R248" s="29"/>
      <c r="Z248" s="12"/>
      <c r="AA248" s="12"/>
      <c r="AB248" s="12"/>
      <c r="AC248" s="12"/>
      <c r="AD248" s="12"/>
      <c r="AE248" s="12"/>
      <c r="AF248" s="12"/>
      <c r="AG248" s="12"/>
      <c r="AH248" s="12"/>
      <c r="AI248" s="12"/>
      <c r="AJ248" s="12"/>
      <c r="AK248" s="12"/>
      <c r="AL248" s="12"/>
      <c r="AM248" s="12"/>
      <c r="AN248" s="12"/>
    </row>
    <row r="249" spans="1:40">
      <c r="A249" s="29"/>
      <c r="B249" s="29"/>
      <c r="C249" s="29"/>
      <c r="D249" s="29"/>
      <c r="E249" s="29"/>
      <c r="F249" s="29"/>
      <c r="G249" s="29"/>
      <c r="H249" s="29"/>
      <c r="I249" s="29"/>
      <c r="J249" s="29"/>
      <c r="K249" s="29"/>
      <c r="L249" s="29"/>
      <c r="M249" s="29"/>
      <c r="N249" s="29"/>
      <c r="O249" s="29"/>
      <c r="P249" s="29"/>
      <c r="Q249" s="29"/>
      <c r="R249" s="29"/>
      <c r="Z249" s="12"/>
      <c r="AA249" s="12"/>
      <c r="AB249" s="12"/>
      <c r="AC249" s="12"/>
      <c r="AD249" s="12"/>
      <c r="AE249" s="12"/>
      <c r="AF249" s="12"/>
      <c r="AG249" s="12"/>
      <c r="AH249" s="12"/>
      <c r="AI249" s="12"/>
      <c r="AJ249" s="12"/>
      <c r="AK249" s="12"/>
      <c r="AL249" s="12"/>
      <c r="AM249" s="12"/>
      <c r="AN249" s="12"/>
    </row>
    <row r="250" spans="1:40">
      <c r="A250" s="29"/>
      <c r="B250" s="29"/>
      <c r="C250" s="29"/>
      <c r="D250" s="29"/>
      <c r="E250" s="29"/>
      <c r="F250" s="29"/>
      <c r="G250" s="29"/>
      <c r="H250" s="29"/>
      <c r="I250" s="29"/>
      <c r="J250" s="29"/>
      <c r="K250" s="29"/>
      <c r="L250" s="29"/>
      <c r="M250" s="29"/>
      <c r="N250" s="29"/>
      <c r="O250" s="29"/>
      <c r="P250" s="29"/>
      <c r="Q250" s="29"/>
      <c r="R250" s="29"/>
      <c r="Z250" s="12"/>
      <c r="AA250" s="12"/>
      <c r="AB250" s="12"/>
      <c r="AC250" s="12"/>
      <c r="AD250" s="12"/>
      <c r="AE250" s="12"/>
      <c r="AF250" s="12"/>
      <c r="AG250" s="12"/>
      <c r="AH250" s="12"/>
      <c r="AI250" s="12"/>
      <c r="AJ250" s="12"/>
      <c r="AK250" s="12"/>
      <c r="AL250" s="12"/>
      <c r="AM250" s="12"/>
      <c r="AN250" s="12"/>
    </row>
    <row r="251" spans="1:40">
      <c r="A251" s="29"/>
      <c r="B251" s="29"/>
      <c r="C251" s="29"/>
      <c r="D251" s="29"/>
      <c r="E251" s="29"/>
      <c r="F251" s="29"/>
      <c r="G251" s="29"/>
      <c r="H251" s="29"/>
      <c r="I251" s="29"/>
      <c r="J251" s="29"/>
      <c r="K251" s="29"/>
      <c r="L251" s="29"/>
      <c r="M251" s="29"/>
      <c r="N251" s="29"/>
      <c r="O251" s="29"/>
      <c r="P251" s="29"/>
      <c r="Q251" s="29"/>
      <c r="R251" s="29"/>
      <c r="Z251" s="12"/>
      <c r="AA251" s="12"/>
      <c r="AB251" s="12"/>
      <c r="AC251" s="12"/>
      <c r="AD251" s="12"/>
      <c r="AE251" s="12"/>
      <c r="AF251" s="12"/>
      <c r="AG251" s="12"/>
      <c r="AH251" s="12"/>
      <c r="AI251" s="12"/>
      <c r="AJ251" s="12"/>
      <c r="AK251" s="12"/>
      <c r="AL251" s="12"/>
      <c r="AM251" s="12"/>
      <c r="AN251" s="12"/>
    </row>
    <row r="252" spans="1:40">
      <c r="A252" s="29"/>
      <c r="B252" s="29"/>
      <c r="C252" s="29"/>
      <c r="D252" s="29"/>
      <c r="E252" s="29"/>
      <c r="F252" s="29"/>
      <c r="G252" s="29"/>
      <c r="H252" s="29"/>
      <c r="I252" s="29"/>
      <c r="J252" s="29"/>
      <c r="K252" s="29"/>
      <c r="L252" s="29"/>
      <c r="M252" s="29"/>
      <c r="N252" s="29"/>
      <c r="O252" s="29"/>
      <c r="P252" s="29"/>
      <c r="Q252" s="29"/>
      <c r="R252" s="29"/>
      <c r="Z252" s="12"/>
      <c r="AA252" s="12"/>
      <c r="AB252" s="12"/>
      <c r="AC252" s="12"/>
      <c r="AD252" s="12"/>
      <c r="AE252" s="12"/>
      <c r="AF252" s="12"/>
      <c r="AG252" s="12"/>
      <c r="AH252" s="12"/>
      <c r="AI252" s="12"/>
      <c r="AJ252" s="12"/>
      <c r="AK252" s="12"/>
      <c r="AL252" s="12"/>
      <c r="AM252" s="12"/>
      <c r="AN252" s="12"/>
    </row>
    <row r="253" spans="1:40">
      <c r="A253" s="29"/>
      <c r="B253" s="29"/>
      <c r="C253" s="29"/>
      <c r="D253" s="29"/>
      <c r="E253" s="29"/>
      <c r="F253" s="29"/>
      <c r="G253" s="29"/>
      <c r="H253" s="29"/>
      <c r="I253" s="29"/>
      <c r="J253" s="29"/>
      <c r="K253" s="29"/>
      <c r="L253" s="29"/>
      <c r="M253" s="29"/>
      <c r="N253" s="29"/>
      <c r="O253" s="29"/>
      <c r="P253" s="29"/>
      <c r="Q253" s="29"/>
      <c r="R253" s="29"/>
      <c r="Z253" s="12"/>
      <c r="AA253" s="12"/>
      <c r="AB253" s="12"/>
      <c r="AC253" s="12"/>
      <c r="AD253" s="12"/>
      <c r="AE253" s="12"/>
      <c r="AF253" s="12"/>
      <c r="AG253" s="12"/>
      <c r="AH253" s="12"/>
      <c r="AI253" s="12"/>
      <c r="AJ253" s="12"/>
      <c r="AK253" s="12"/>
      <c r="AL253" s="12"/>
      <c r="AM253" s="12"/>
      <c r="AN253" s="12"/>
    </row>
    <row r="254" spans="1:40">
      <c r="A254" s="29"/>
      <c r="B254" s="29"/>
      <c r="C254" s="29"/>
      <c r="D254" s="29"/>
      <c r="E254" s="29"/>
      <c r="F254" s="29"/>
      <c r="G254" s="29"/>
      <c r="H254" s="29"/>
      <c r="I254" s="29"/>
      <c r="J254" s="29"/>
      <c r="K254" s="29"/>
      <c r="L254" s="29"/>
      <c r="M254" s="29"/>
      <c r="N254" s="29"/>
      <c r="O254" s="29"/>
      <c r="P254" s="29"/>
      <c r="Q254" s="29"/>
      <c r="R254" s="29"/>
      <c r="Z254" s="12"/>
      <c r="AA254" s="12"/>
      <c r="AB254" s="12"/>
      <c r="AC254" s="12"/>
      <c r="AD254" s="12"/>
      <c r="AE254" s="12"/>
      <c r="AF254" s="12"/>
      <c r="AG254" s="12"/>
      <c r="AH254" s="12"/>
      <c r="AI254" s="12"/>
      <c r="AJ254" s="12"/>
      <c r="AK254" s="12"/>
      <c r="AL254" s="12"/>
      <c r="AM254" s="12"/>
      <c r="AN254" s="12"/>
    </row>
    <row r="255" spans="1:40">
      <c r="A255" s="29"/>
      <c r="B255" s="29"/>
      <c r="C255" s="29"/>
      <c r="D255" s="29"/>
      <c r="E255" s="29"/>
      <c r="F255" s="29"/>
      <c r="G255" s="29"/>
      <c r="H255" s="29"/>
      <c r="I255" s="29"/>
      <c r="J255" s="29"/>
      <c r="K255" s="29"/>
      <c r="L255" s="29"/>
      <c r="M255" s="29"/>
      <c r="N255" s="29"/>
      <c r="O255" s="29"/>
      <c r="P255" s="29"/>
      <c r="Q255" s="29"/>
      <c r="R255" s="29"/>
      <c r="Z255" s="12"/>
      <c r="AA255" s="12"/>
      <c r="AB255" s="12"/>
      <c r="AC255" s="12"/>
      <c r="AD255" s="12"/>
      <c r="AE255" s="12"/>
      <c r="AF255" s="12"/>
      <c r="AG255" s="12"/>
      <c r="AH255" s="12"/>
      <c r="AI255" s="12"/>
      <c r="AJ255" s="12"/>
      <c r="AK255" s="12"/>
      <c r="AL255" s="12"/>
      <c r="AM255" s="12"/>
      <c r="AN255" s="12"/>
    </row>
    <row r="256" spans="1:40">
      <c r="A256" s="29"/>
      <c r="B256" s="29"/>
      <c r="C256" s="29"/>
      <c r="D256" s="29"/>
      <c r="E256" s="29"/>
      <c r="F256" s="29"/>
      <c r="G256" s="29"/>
      <c r="H256" s="29"/>
      <c r="I256" s="29"/>
      <c r="J256" s="29"/>
      <c r="K256" s="29"/>
      <c r="L256" s="29"/>
      <c r="M256" s="29"/>
      <c r="N256" s="29"/>
      <c r="O256" s="29"/>
      <c r="P256" s="29"/>
      <c r="Q256" s="29"/>
      <c r="R256" s="29"/>
      <c r="Z256" s="12"/>
      <c r="AA256" s="12"/>
      <c r="AB256" s="12"/>
      <c r="AC256" s="12"/>
      <c r="AD256" s="12"/>
      <c r="AE256" s="12"/>
      <c r="AF256" s="12"/>
      <c r="AG256" s="12"/>
      <c r="AH256" s="12"/>
      <c r="AI256" s="12"/>
      <c r="AJ256" s="12"/>
      <c r="AK256" s="12"/>
      <c r="AL256" s="12"/>
      <c r="AM256" s="12"/>
      <c r="AN256" s="12"/>
    </row>
    <row r="257" spans="1:40">
      <c r="A257" s="29"/>
      <c r="B257" s="29"/>
      <c r="C257" s="29"/>
      <c r="D257" s="29"/>
      <c r="E257" s="29"/>
      <c r="F257" s="29"/>
      <c r="G257" s="29"/>
      <c r="H257" s="29"/>
      <c r="I257" s="29"/>
      <c r="J257" s="29"/>
      <c r="K257" s="29"/>
      <c r="L257" s="29"/>
      <c r="M257" s="29"/>
      <c r="N257" s="29"/>
      <c r="O257" s="29"/>
      <c r="P257" s="29"/>
      <c r="Q257" s="29"/>
      <c r="R257" s="29"/>
      <c r="Z257" s="12"/>
      <c r="AA257" s="12"/>
      <c r="AB257" s="12"/>
      <c r="AC257" s="12"/>
      <c r="AD257" s="12"/>
      <c r="AE257" s="12"/>
      <c r="AF257" s="12"/>
      <c r="AG257" s="12"/>
      <c r="AH257" s="12"/>
      <c r="AI257" s="12"/>
      <c r="AJ257" s="12"/>
      <c r="AK257" s="12"/>
      <c r="AL257" s="12"/>
      <c r="AM257" s="12"/>
      <c r="AN257" s="12"/>
    </row>
    <row r="258" spans="1:40">
      <c r="A258" s="29"/>
      <c r="B258" s="29"/>
      <c r="C258" s="29"/>
      <c r="D258" s="29"/>
      <c r="E258" s="29"/>
      <c r="F258" s="29"/>
      <c r="G258" s="29"/>
      <c r="H258" s="29"/>
      <c r="I258" s="29"/>
      <c r="J258" s="29"/>
      <c r="K258" s="29"/>
      <c r="L258" s="29"/>
      <c r="M258" s="29"/>
      <c r="N258" s="29"/>
      <c r="O258" s="29"/>
      <c r="P258" s="29"/>
      <c r="Q258" s="29"/>
      <c r="R258" s="29"/>
      <c r="Z258" s="12"/>
      <c r="AA258" s="12"/>
      <c r="AB258" s="12"/>
      <c r="AC258" s="12"/>
      <c r="AD258" s="12"/>
      <c r="AE258" s="12"/>
      <c r="AF258" s="12"/>
      <c r="AG258" s="12"/>
      <c r="AH258" s="12"/>
      <c r="AI258" s="12"/>
      <c r="AJ258" s="12"/>
      <c r="AK258" s="12"/>
      <c r="AL258" s="12"/>
      <c r="AM258" s="12"/>
      <c r="AN258" s="12"/>
    </row>
    <row r="259" spans="1:40">
      <c r="A259" s="29"/>
      <c r="B259" s="29"/>
      <c r="C259" s="29"/>
      <c r="D259" s="29"/>
      <c r="E259" s="29"/>
      <c r="F259" s="29"/>
      <c r="G259" s="29"/>
      <c r="H259" s="29"/>
      <c r="I259" s="29"/>
      <c r="J259" s="29"/>
      <c r="K259" s="29"/>
      <c r="L259" s="29"/>
      <c r="M259" s="29"/>
      <c r="N259" s="29"/>
      <c r="O259" s="29"/>
      <c r="P259" s="29"/>
      <c r="Q259" s="29"/>
      <c r="R259" s="29"/>
      <c r="Z259" s="12"/>
      <c r="AA259" s="12"/>
      <c r="AB259" s="12"/>
      <c r="AC259" s="12"/>
      <c r="AD259" s="12"/>
      <c r="AE259" s="12"/>
      <c r="AF259" s="12"/>
      <c r="AG259" s="12"/>
      <c r="AH259" s="12"/>
      <c r="AI259" s="12"/>
      <c r="AJ259" s="12"/>
      <c r="AK259" s="12"/>
      <c r="AL259" s="12"/>
      <c r="AM259" s="12"/>
      <c r="AN259" s="12"/>
    </row>
    <row r="260" spans="1:40">
      <c r="A260" s="29"/>
      <c r="B260" s="29"/>
      <c r="C260" s="29"/>
      <c r="D260" s="29"/>
      <c r="E260" s="29"/>
      <c r="F260" s="29"/>
      <c r="G260" s="29"/>
      <c r="H260" s="29"/>
      <c r="I260" s="29"/>
      <c r="J260" s="29"/>
      <c r="K260" s="29"/>
      <c r="L260" s="29"/>
      <c r="M260" s="29"/>
      <c r="N260" s="29"/>
      <c r="O260" s="29"/>
      <c r="P260" s="29"/>
      <c r="Q260" s="29"/>
      <c r="R260" s="29"/>
      <c r="Z260" s="12"/>
      <c r="AA260" s="12"/>
      <c r="AB260" s="12"/>
      <c r="AC260" s="12"/>
      <c r="AD260" s="12"/>
      <c r="AE260" s="12"/>
      <c r="AF260" s="12"/>
      <c r="AG260" s="12"/>
      <c r="AH260" s="12"/>
      <c r="AI260" s="12"/>
      <c r="AJ260" s="12"/>
      <c r="AK260" s="12"/>
      <c r="AL260" s="12"/>
      <c r="AM260" s="12"/>
      <c r="AN260" s="12"/>
    </row>
    <row r="261" spans="1:40">
      <c r="A261" s="29"/>
      <c r="B261" s="29"/>
      <c r="C261" s="29"/>
      <c r="D261" s="29"/>
      <c r="E261" s="29"/>
      <c r="F261" s="29"/>
      <c r="G261" s="29"/>
      <c r="H261" s="29"/>
      <c r="I261" s="29"/>
      <c r="J261" s="29"/>
      <c r="K261" s="29"/>
      <c r="L261" s="29"/>
      <c r="M261" s="29"/>
      <c r="N261" s="29"/>
      <c r="O261" s="29"/>
      <c r="P261" s="29"/>
      <c r="Q261" s="29"/>
      <c r="R261" s="29"/>
      <c r="Z261" s="12"/>
      <c r="AA261" s="12"/>
      <c r="AB261" s="12"/>
      <c r="AC261" s="12"/>
      <c r="AD261" s="12"/>
      <c r="AE261" s="12"/>
      <c r="AF261" s="12"/>
      <c r="AG261" s="12"/>
      <c r="AH261" s="12"/>
      <c r="AI261" s="12"/>
      <c r="AJ261" s="12"/>
      <c r="AK261" s="12"/>
      <c r="AL261" s="12"/>
      <c r="AM261" s="12"/>
      <c r="AN261" s="12"/>
    </row>
    <row r="262" spans="1:40">
      <c r="A262" s="29"/>
      <c r="B262" s="29"/>
      <c r="C262" s="29"/>
      <c r="D262" s="29"/>
      <c r="E262" s="29"/>
      <c r="F262" s="29"/>
      <c r="G262" s="29"/>
      <c r="H262" s="29"/>
      <c r="I262" s="29"/>
      <c r="J262" s="29"/>
      <c r="K262" s="29"/>
      <c r="L262" s="29"/>
      <c r="M262" s="29"/>
      <c r="N262" s="29"/>
      <c r="O262" s="29"/>
      <c r="P262" s="29"/>
      <c r="Q262" s="29"/>
      <c r="R262" s="29"/>
      <c r="Z262" s="12"/>
      <c r="AA262" s="12"/>
      <c r="AB262" s="12"/>
      <c r="AC262" s="12"/>
      <c r="AD262" s="12"/>
      <c r="AE262" s="12"/>
      <c r="AF262" s="12"/>
      <c r="AG262" s="12"/>
      <c r="AH262" s="12"/>
      <c r="AI262" s="12"/>
      <c r="AJ262" s="12"/>
      <c r="AK262" s="12"/>
      <c r="AL262" s="12"/>
      <c r="AM262" s="12"/>
      <c r="AN262" s="12"/>
    </row>
    <row r="263" spans="1:40">
      <c r="A263" s="29"/>
      <c r="B263" s="29"/>
      <c r="C263" s="29"/>
      <c r="D263" s="29"/>
      <c r="E263" s="29"/>
      <c r="F263" s="29"/>
      <c r="G263" s="29"/>
      <c r="H263" s="29"/>
      <c r="I263" s="29"/>
      <c r="J263" s="29"/>
      <c r="K263" s="29"/>
      <c r="L263" s="29"/>
      <c r="M263" s="29"/>
      <c r="N263" s="29"/>
      <c r="O263" s="29"/>
      <c r="P263" s="29"/>
      <c r="Q263" s="29"/>
      <c r="R263" s="29"/>
      <c r="Z263" s="12"/>
      <c r="AA263" s="12"/>
      <c r="AB263" s="12"/>
      <c r="AC263" s="12"/>
      <c r="AD263" s="12"/>
      <c r="AE263" s="12"/>
      <c r="AF263" s="12"/>
      <c r="AG263" s="12"/>
      <c r="AH263" s="12"/>
      <c r="AI263" s="12"/>
      <c r="AJ263" s="12"/>
      <c r="AK263" s="12"/>
      <c r="AL263" s="12"/>
      <c r="AM263" s="12"/>
      <c r="AN263" s="12"/>
    </row>
    <row r="264" spans="1:40">
      <c r="A264" s="29"/>
      <c r="B264" s="29"/>
      <c r="C264" s="29"/>
      <c r="D264" s="29"/>
      <c r="E264" s="29"/>
      <c r="F264" s="29"/>
      <c r="G264" s="29"/>
      <c r="H264" s="29"/>
      <c r="I264" s="29"/>
      <c r="J264" s="29"/>
      <c r="K264" s="29"/>
      <c r="L264" s="29"/>
      <c r="M264" s="29"/>
      <c r="N264" s="29"/>
      <c r="O264" s="29"/>
      <c r="P264" s="29"/>
      <c r="Q264" s="29"/>
      <c r="R264" s="29"/>
      <c r="Z264" s="12"/>
      <c r="AA264" s="12"/>
      <c r="AB264" s="12"/>
      <c r="AC264" s="12"/>
      <c r="AD264" s="12"/>
      <c r="AE264" s="12"/>
      <c r="AF264" s="12"/>
      <c r="AG264" s="12"/>
      <c r="AH264" s="12"/>
      <c r="AI264" s="12"/>
      <c r="AJ264" s="12"/>
      <c r="AK264" s="12"/>
      <c r="AL264" s="12"/>
      <c r="AM264" s="12"/>
      <c r="AN264" s="12"/>
    </row>
    <row r="265" spans="1:40">
      <c r="A265" s="29"/>
      <c r="B265" s="29"/>
      <c r="C265" s="29"/>
      <c r="D265" s="29"/>
      <c r="E265" s="29"/>
      <c r="F265" s="29"/>
      <c r="G265" s="29"/>
      <c r="H265" s="29"/>
      <c r="I265" s="29"/>
      <c r="J265" s="29"/>
      <c r="K265" s="29"/>
      <c r="L265" s="29"/>
      <c r="M265" s="29"/>
      <c r="N265" s="29"/>
      <c r="O265" s="29"/>
      <c r="P265" s="29"/>
      <c r="Q265" s="29"/>
      <c r="R265" s="29"/>
      <c r="Z265" s="12"/>
      <c r="AA265" s="12"/>
      <c r="AB265" s="12"/>
      <c r="AC265" s="12"/>
      <c r="AD265" s="12"/>
      <c r="AE265" s="12"/>
      <c r="AF265" s="12"/>
      <c r="AG265" s="12"/>
      <c r="AH265" s="12"/>
      <c r="AI265" s="12"/>
      <c r="AJ265" s="12"/>
      <c r="AK265" s="12"/>
      <c r="AL265" s="12"/>
      <c r="AM265" s="12"/>
      <c r="AN265" s="12"/>
    </row>
    <row r="266" spans="1:40">
      <c r="A266" s="29"/>
      <c r="B266" s="29"/>
      <c r="C266" s="29"/>
      <c r="D266" s="29"/>
      <c r="E266" s="29"/>
      <c r="F266" s="29"/>
      <c r="G266" s="29"/>
      <c r="H266" s="29"/>
      <c r="I266" s="29"/>
      <c r="J266" s="29"/>
      <c r="K266" s="29"/>
      <c r="L266" s="29"/>
      <c r="M266" s="29"/>
      <c r="N266" s="29"/>
      <c r="O266" s="29"/>
      <c r="P266" s="29"/>
      <c r="Q266" s="29"/>
      <c r="R266" s="29"/>
      <c r="Z266" s="12"/>
      <c r="AA266" s="12"/>
      <c r="AB266" s="12"/>
      <c r="AC266" s="12"/>
      <c r="AD266" s="12"/>
      <c r="AE266" s="12"/>
      <c r="AF266" s="12"/>
      <c r="AG266" s="12"/>
      <c r="AH266" s="12"/>
      <c r="AI266" s="12"/>
      <c r="AJ266" s="12"/>
      <c r="AK266" s="12"/>
      <c r="AL266" s="12"/>
      <c r="AM266" s="12"/>
      <c r="AN266" s="12"/>
    </row>
    <row r="267" spans="1:40">
      <c r="A267" s="29"/>
      <c r="B267" s="29"/>
      <c r="C267" s="29"/>
      <c r="D267" s="29"/>
      <c r="E267" s="29"/>
      <c r="F267" s="29"/>
      <c r="G267" s="29"/>
      <c r="H267" s="29"/>
      <c r="I267" s="29"/>
      <c r="J267" s="29"/>
      <c r="K267" s="29"/>
      <c r="L267" s="29"/>
      <c r="M267" s="29"/>
      <c r="N267" s="29"/>
      <c r="O267" s="29"/>
      <c r="P267" s="29"/>
      <c r="Q267" s="29"/>
      <c r="R267" s="29"/>
      <c r="Z267" s="12"/>
      <c r="AA267" s="12"/>
      <c r="AB267" s="12"/>
      <c r="AC267" s="12"/>
      <c r="AD267" s="12"/>
      <c r="AE267" s="12"/>
      <c r="AF267" s="12"/>
      <c r="AG267" s="12"/>
      <c r="AH267" s="12"/>
      <c r="AI267" s="12"/>
      <c r="AJ267" s="12"/>
      <c r="AK267" s="12"/>
      <c r="AL267" s="12"/>
      <c r="AM267" s="12"/>
      <c r="AN267" s="12"/>
    </row>
    <row r="268" spans="1:40">
      <c r="A268" s="29"/>
      <c r="B268" s="29"/>
      <c r="C268" s="29"/>
      <c r="D268" s="29"/>
      <c r="E268" s="29"/>
      <c r="F268" s="29"/>
      <c r="G268" s="29"/>
      <c r="H268" s="29"/>
      <c r="I268" s="29"/>
      <c r="J268" s="29"/>
      <c r="K268" s="29"/>
      <c r="L268" s="29"/>
      <c r="M268" s="29"/>
      <c r="N268" s="29"/>
      <c r="O268" s="29"/>
      <c r="P268" s="29"/>
      <c r="Q268" s="29"/>
      <c r="R268" s="29"/>
      <c r="Z268" s="12"/>
      <c r="AA268" s="12"/>
      <c r="AB268" s="12"/>
      <c r="AC268" s="12"/>
      <c r="AD268" s="12"/>
      <c r="AE268" s="12"/>
      <c r="AF268" s="12"/>
      <c r="AG268" s="12"/>
      <c r="AH268" s="12"/>
      <c r="AI268" s="12"/>
      <c r="AJ268" s="12"/>
      <c r="AK268" s="12"/>
      <c r="AL268" s="12"/>
      <c r="AM268" s="12"/>
      <c r="AN268" s="12"/>
    </row>
    <row r="269" spans="1:40">
      <c r="A269" s="29"/>
      <c r="B269" s="29"/>
      <c r="C269" s="29"/>
      <c r="D269" s="29"/>
      <c r="E269" s="29"/>
      <c r="F269" s="29"/>
      <c r="G269" s="29"/>
      <c r="H269" s="29"/>
      <c r="I269" s="29"/>
      <c r="J269" s="29"/>
      <c r="K269" s="29"/>
      <c r="L269" s="29"/>
      <c r="M269" s="29"/>
      <c r="N269" s="29"/>
      <c r="O269" s="29"/>
      <c r="P269" s="29"/>
      <c r="Q269" s="29"/>
      <c r="R269" s="29"/>
      <c r="Z269" s="12"/>
      <c r="AA269" s="12"/>
      <c r="AB269" s="12"/>
      <c r="AC269" s="12"/>
      <c r="AD269" s="12"/>
      <c r="AE269" s="12"/>
      <c r="AF269" s="12"/>
      <c r="AG269" s="12"/>
      <c r="AH269" s="12"/>
      <c r="AI269" s="12"/>
      <c r="AJ269" s="12"/>
      <c r="AK269" s="12"/>
      <c r="AL269" s="12"/>
      <c r="AM269" s="12"/>
      <c r="AN269" s="12"/>
    </row>
    <row r="270" spans="1:40">
      <c r="A270" s="29"/>
      <c r="B270" s="29"/>
      <c r="C270" s="29"/>
      <c r="D270" s="29"/>
      <c r="E270" s="29"/>
      <c r="F270" s="29"/>
      <c r="G270" s="29"/>
      <c r="H270" s="29"/>
      <c r="I270" s="29"/>
      <c r="J270" s="29"/>
      <c r="K270" s="29"/>
      <c r="L270" s="29"/>
      <c r="M270" s="29"/>
      <c r="N270" s="29"/>
      <c r="O270" s="29"/>
      <c r="P270" s="29"/>
      <c r="Q270" s="29"/>
      <c r="R270" s="29"/>
      <c r="Z270" s="12"/>
      <c r="AA270" s="12"/>
      <c r="AB270" s="12"/>
      <c r="AC270" s="12"/>
      <c r="AD270" s="12"/>
      <c r="AE270" s="12"/>
      <c r="AF270" s="12"/>
      <c r="AG270" s="12"/>
      <c r="AH270" s="12"/>
      <c r="AI270" s="12"/>
      <c r="AJ270" s="12"/>
      <c r="AK270" s="12"/>
      <c r="AL270" s="12"/>
      <c r="AM270" s="12"/>
      <c r="AN270" s="12"/>
    </row>
    <row r="271" spans="1:40">
      <c r="A271" s="29"/>
      <c r="B271" s="29"/>
      <c r="C271" s="29"/>
      <c r="D271" s="29"/>
      <c r="E271" s="29"/>
      <c r="F271" s="29"/>
      <c r="G271" s="29"/>
      <c r="H271" s="29"/>
      <c r="I271" s="29"/>
      <c r="J271" s="29"/>
      <c r="K271" s="29"/>
      <c r="L271" s="29"/>
      <c r="M271" s="29"/>
      <c r="N271" s="29"/>
      <c r="O271" s="29"/>
      <c r="P271" s="29"/>
      <c r="Q271" s="29"/>
      <c r="R271" s="29"/>
      <c r="Z271" s="12"/>
      <c r="AA271" s="12"/>
      <c r="AB271" s="12"/>
      <c r="AC271" s="12"/>
      <c r="AD271" s="12"/>
      <c r="AE271" s="12"/>
      <c r="AF271" s="12"/>
      <c r="AG271" s="12"/>
      <c r="AH271" s="12"/>
      <c r="AI271" s="12"/>
      <c r="AJ271" s="12"/>
      <c r="AK271" s="12"/>
      <c r="AL271" s="12"/>
      <c r="AM271" s="12"/>
      <c r="AN271" s="12"/>
    </row>
    <row r="272" spans="1:40">
      <c r="A272" s="29"/>
      <c r="B272" s="29"/>
      <c r="C272" s="29"/>
      <c r="D272" s="29"/>
      <c r="E272" s="29"/>
      <c r="F272" s="29"/>
      <c r="G272" s="29"/>
      <c r="H272" s="29"/>
      <c r="I272" s="29"/>
      <c r="J272" s="29"/>
      <c r="K272" s="29"/>
      <c r="L272" s="29"/>
      <c r="M272" s="29"/>
      <c r="N272" s="29"/>
      <c r="O272" s="29"/>
      <c r="P272" s="29"/>
      <c r="Q272" s="29"/>
      <c r="R272" s="29"/>
      <c r="Z272" s="12"/>
      <c r="AA272" s="12"/>
      <c r="AB272" s="12"/>
      <c r="AC272" s="12"/>
      <c r="AD272" s="12"/>
      <c r="AE272" s="12"/>
      <c r="AF272" s="12"/>
      <c r="AG272" s="12"/>
      <c r="AH272" s="12"/>
      <c r="AI272" s="12"/>
      <c r="AJ272" s="12"/>
      <c r="AK272" s="12"/>
      <c r="AL272" s="12"/>
      <c r="AM272" s="12"/>
      <c r="AN272" s="12"/>
    </row>
    <row r="273" spans="1:40">
      <c r="A273" s="29"/>
      <c r="B273" s="29"/>
      <c r="C273" s="29"/>
      <c r="D273" s="29"/>
      <c r="E273" s="29"/>
      <c r="F273" s="29"/>
      <c r="G273" s="29"/>
      <c r="H273" s="29"/>
      <c r="I273" s="29"/>
      <c r="J273" s="29"/>
      <c r="K273" s="29"/>
      <c r="L273" s="29"/>
      <c r="M273" s="29"/>
      <c r="N273" s="29"/>
      <c r="O273" s="29"/>
      <c r="P273" s="29"/>
      <c r="Q273" s="29"/>
      <c r="R273" s="29"/>
      <c r="Z273" s="12"/>
      <c r="AA273" s="12"/>
      <c r="AB273" s="12"/>
      <c r="AC273" s="12"/>
      <c r="AD273" s="12"/>
      <c r="AE273" s="12"/>
      <c r="AF273" s="12"/>
      <c r="AG273" s="12"/>
      <c r="AH273" s="12"/>
      <c r="AI273" s="12"/>
      <c r="AJ273" s="12"/>
      <c r="AK273" s="12"/>
      <c r="AL273" s="12"/>
      <c r="AM273" s="12"/>
      <c r="AN273" s="12"/>
    </row>
    <row r="274" spans="1:40">
      <c r="A274" s="29"/>
      <c r="B274" s="29"/>
      <c r="C274" s="29"/>
      <c r="D274" s="29"/>
      <c r="E274" s="29"/>
      <c r="F274" s="29"/>
      <c r="G274" s="29"/>
      <c r="H274" s="29"/>
      <c r="I274" s="29"/>
      <c r="J274" s="29"/>
      <c r="K274" s="29"/>
      <c r="L274" s="29"/>
      <c r="M274" s="29"/>
      <c r="N274" s="29"/>
      <c r="O274" s="29"/>
      <c r="P274" s="29"/>
      <c r="Q274" s="29"/>
      <c r="R274" s="29"/>
      <c r="Z274" s="12"/>
      <c r="AA274" s="12"/>
      <c r="AB274" s="12"/>
      <c r="AC274" s="12"/>
      <c r="AD274" s="12"/>
      <c r="AE274" s="12"/>
      <c r="AF274" s="12"/>
      <c r="AG274" s="12"/>
      <c r="AH274" s="12"/>
      <c r="AI274" s="12"/>
      <c r="AJ274" s="12"/>
      <c r="AK274" s="12"/>
      <c r="AL274" s="12"/>
      <c r="AM274" s="12"/>
      <c r="AN274" s="12"/>
    </row>
    <row r="275" spans="1:40">
      <c r="A275" s="29"/>
      <c r="B275" s="29"/>
      <c r="C275" s="29"/>
      <c r="D275" s="29"/>
      <c r="E275" s="29"/>
      <c r="F275" s="29"/>
      <c r="G275" s="29"/>
      <c r="H275" s="29"/>
      <c r="I275" s="29"/>
      <c r="J275" s="29"/>
      <c r="K275" s="29"/>
      <c r="L275" s="29"/>
      <c r="M275" s="29"/>
      <c r="N275" s="29"/>
      <c r="O275" s="29"/>
      <c r="P275" s="29"/>
      <c r="Q275" s="29"/>
      <c r="R275" s="29"/>
      <c r="Z275" s="12"/>
      <c r="AA275" s="12"/>
      <c r="AB275" s="12"/>
      <c r="AC275" s="12"/>
      <c r="AD275" s="12"/>
      <c r="AE275" s="12"/>
      <c r="AF275" s="12"/>
      <c r="AG275" s="12"/>
      <c r="AH275" s="12"/>
      <c r="AI275" s="12"/>
      <c r="AJ275" s="12"/>
      <c r="AK275" s="12"/>
      <c r="AL275" s="12"/>
      <c r="AM275" s="12"/>
      <c r="AN275" s="12"/>
    </row>
    <row r="276" spans="1:40">
      <c r="A276" s="29"/>
      <c r="B276" s="29"/>
      <c r="C276" s="29"/>
      <c r="D276" s="29"/>
      <c r="E276" s="29"/>
      <c r="F276" s="29"/>
      <c r="G276" s="29"/>
      <c r="H276" s="29"/>
      <c r="I276" s="29"/>
      <c r="J276" s="29"/>
      <c r="K276" s="29"/>
      <c r="L276" s="29"/>
      <c r="M276" s="29"/>
      <c r="N276" s="29"/>
      <c r="O276" s="29"/>
      <c r="P276" s="29"/>
      <c r="Q276" s="29"/>
      <c r="R276" s="29"/>
      <c r="Z276" s="12"/>
      <c r="AA276" s="12"/>
      <c r="AB276" s="12"/>
      <c r="AC276" s="12"/>
      <c r="AD276" s="12"/>
      <c r="AE276" s="12"/>
      <c r="AF276" s="12"/>
      <c r="AG276" s="12"/>
      <c r="AH276" s="12"/>
      <c r="AI276" s="12"/>
      <c r="AJ276" s="12"/>
      <c r="AK276" s="12"/>
      <c r="AL276" s="12"/>
      <c r="AM276" s="12"/>
      <c r="AN276" s="12"/>
    </row>
    <row r="277" spans="1:40">
      <c r="A277" s="29"/>
      <c r="B277" s="29"/>
      <c r="C277" s="29"/>
      <c r="D277" s="29"/>
      <c r="E277" s="29"/>
      <c r="F277" s="29"/>
      <c r="G277" s="29"/>
      <c r="H277" s="29"/>
      <c r="I277" s="29"/>
      <c r="J277" s="29"/>
      <c r="K277" s="29"/>
      <c r="L277" s="29"/>
      <c r="M277" s="29"/>
      <c r="N277" s="29"/>
      <c r="O277" s="29"/>
      <c r="P277" s="29"/>
      <c r="Q277" s="29"/>
      <c r="R277" s="29"/>
      <c r="Z277" s="12"/>
      <c r="AA277" s="12"/>
      <c r="AB277" s="12"/>
      <c r="AC277" s="12"/>
      <c r="AD277" s="12"/>
      <c r="AE277" s="12"/>
      <c r="AF277" s="12"/>
      <c r="AG277" s="12"/>
      <c r="AH277" s="12"/>
      <c r="AI277" s="12"/>
      <c r="AJ277" s="12"/>
      <c r="AK277" s="12"/>
      <c r="AL277" s="12"/>
      <c r="AM277" s="12"/>
      <c r="AN277" s="12"/>
    </row>
    <row r="278" spans="1:40">
      <c r="A278" s="29"/>
      <c r="B278" s="29"/>
      <c r="C278" s="29"/>
      <c r="D278" s="29"/>
      <c r="E278" s="29"/>
      <c r="F278" s="29"/>
      <c r="G278" s="29"/>
      <c r="H278" s="29"/>
      <c r="I278" s="29"/>
      <c r="J278" s="29"/>
      <c r="K278" s="29"/>
      <c r="L278" s="29"/>
      <c r="M278" s="29"/>
      <c r="N278" s="29"/>
      <c r="O278" s="29"/>
      <c r="P278" s="29"/>
      <c r="Q278" s="29"/>
      <c r="R278" s="29"/>
      <c r="Z278" s="12"/>
      <c r="AA278" s="12"/>
      <c r="AB278" s="12"/>
      <c r="AC278" s="12"/>
      <c r="AD278" s="12"/>
      <c r="AE278" s="12"/>
      <c r="AF278" s="12"/>
      <c r="AG278" s="12"/>
      <c r="AH278" s="12"/>
      <c r="AI278" s="12"/>
      <c r="AJ278" s="12"/>
      <c r="AK278" s="12"/>
      <c r="AL278" s="12"/>
      <c r="AM278" s="12"/>
      <c r="AN278" s="12"/>
    </row>
    <row r="279" spans="1:40">
      <c r="A279" s="29"/>
      <c r="B279" s="29"/>
      <c r="C279" s="29"/>
      <c r="D279" s="29"/>
      <c r="E279" s="29"/>
      <c r="F279" s="29"/>
      <c r="G279" s="29"/>
      <c r="H279" s="29"/>
      <c r="I279" s="29"/>
      <c r="J279" s="29"/>
      <c r="K279" s="29"/>
      <c r="L279" s="29"/>
      <c r="M279" s="29"/>
      <c r="N279" s="29"/>
      <c r="O279" s="29"/>
      <c r="P279" s="29"/>
      <c r="Q279" s="29"/>
      <c r="R279" s="29"/>
      <c r="Z279" s="12"/>
      <c r="AA279" s="12"/>
      <c r="AB279" s="12"/>
      <c r="AC279" s="12"/>
      <c r="AD279" s="12"/>
      <c r="AE279" s="12"/>
      <c r="AF279" s="12"/>
      <c r="AG279" s="12"/>
      <c r="AH279" s="12"/>
      <c r="AI279" s="12"/>
      <c r="AJ279" s="12"/>
      <c r="AK279" s="12"/>
      <c r="AL279" s="12"/>
      <c r="AM279" s="12"/>
      <c r="AN279" s="12"/>
    </row>
    <row r="280" spans="1:40">
      <c r="A280" s="29"/>
      <c r="B280" s="29"/>
      <c r="C280" s="29"/>
      <c r="D280" s="29"/>
      <c r="E280" s="29"/>
      <c r="F280" s="29"/>
      <c r="G280" s="29"/>
      <c r="H280" s="29"/>
      <c r="I280" s="29"/>
      <c r="J280" s="29"/>
      <c r="K280" s="29"/>
      <c r="L280" s="29"/>
      <c r="M280" s="29"/>
      <c r="N280" s="29"/>
      <c r="O280" s="29"/>
      <c r="P280" s="29"/>
      <c r="Q280" s="29"/>
      <c r="R280" s="29"/>
      <c r="Z280" s="12"/>
      <c r="AA280" s="12"/>
      <c r="AB280" s="12"/>
      <c r="AC280" s="12"/>
      <c r="AD280" s="12"/>
      <c r="AE280" s="12"/>
      <c r="AF280" s="12"/>
      <c r="AG280" s="12"/>
      <c r="AH280" s="12"/>
      <c r="AI280" s="12"/>
      <c r="AJ280" s="12"/>
      <c r="AK280" s="12"/>
      <c r="AL280" s="12"/>
      <c r="AM280" s="12"/>
      <c r="AN280" s="12"/>
    </row>
    <row r="281" spans="1:40">
      <c r="A281" s="29"/>
      <c r="B281" s="29"/>
      <c r="C281" s="29"/>
      <c r="D281" s="29"/>
      <c r="E281" s="29"/>
      <c r="F281" s="29"/>
      <c r="G281" s="29"/>
      <c r="H281" s="29"/>
      <c r="I281" s="29"/>
      <c r="J281" s="29"/>
      <c r="K281" s="29"/>
      <c r="L281" s="29"/>
      <c r="M281" s="29"/>
      <c r="N281" s="29"/>
      <c r="O281" s="29"/>
      <c r="P281" s="29"/>
      <c r="Q281" s="29"/>
      <c r="R281" s="29"/>
      <c r="Z281" s="12"/>
      <c r="AA281" s="12"/>
      <c r="AB281" s="12"/>
      <c r="AC281" s="12"/>
      <c r="AD281" s="12"/>
      <c r="AE281" s="12"/>
      <c r="AF281" s="12"/>
      <c r="AG281" s="12"/>
      <c r="AH281" s="12"/>
      <c r="AI281" s="12"/>
      <c r="AJ281" s="12"/>
      <c r="AK281" s="12"/>
      <c r="AL281" s="12"/>
      <c r="AM281" s="12"/>
      <c r="AN281" s="12"/>
    </row>
    <row r="282" spans="1:40">
      <c r="A282" s="29"/>
      <c r="B282" s="29"/>
      <c r="C282" s="29"/>
      <c r="D282" s="29"/>
      <c r="E282" s="29"/>
      <c r="F282" s="29"/>
      <c r="G282" s="29"/>
      <c r="H282" s="29"/>
      <c r="I282" s="29"/>
      <c r="J282" s="29"/>
      <c r="K282" s="29"/>
      <c r="L282" s="29"/>
      <c r="M282" s="29"/>
      <c r="N282" s="29"/>
      <c r="O282" s="29"/>
      <c r="P282" s="29"/>
      <c r="Q282" s="29"/>
      <c r="R282" s="29"/>
      <c r="Z282" s="12"/>
      <c r="AA282" s="12"/>
      <c r="AB282" s="12"/>
      <c r="AC282" s="12"/>
      <c r="AD282" s="12"/>
      <c r="AE282" s="12"/>
      <c r="AF282" s="12"/>
      <c r="AG282" s="12"/>
      <c r="AH282" s="12"/>
      <c r="AI282" s="12"/>
      <c r="AJ282" s="12"/>
      <c r="AK282" s="12"/>
      <c r="AL282" s="12"/>
      <c r="AM282" s="12"/>
      <c r="AN282" s="12"/>
    </row>
    <row r="283" spans="1:40">
      <c r="A283" s="29"/>
      <c r="B283" s="29"/>
      <c r="C283" s="29"/>
      <c r="D283" s="29"/>
      <c r="E283" s="29"/>
      <c r="F283" s="29"/>
      <c r="G283" s="29"/>
      <c r="H283" s="29"/>
      <c r="I283" s="29"/>
      <c r="J283" s="29"/>
      <c r="K283" s="29"/>
      <c r="L283" s="29"/>
      <c r="M283" s="29"/>
      <c r="N283" s="29"/>
      <c r="O283" s="29"/>
      <c r="P283" s="29"/>
      <c r="Q283" s="29"/>
      <c r="R283" s="29"/>
      <c r="Z283" s="12"/>
      <c r="AA283" s="12"/>
      <c r="AB283" s="12"/>
      <c r="AC283" s="12"/>
      <c r="AD283" s="12"/>
      <c r="AE283" s="12"/>
      <c r="AF283" s="12"/>
      <c r="AG283" s="12"/>
      <c r="AH283" s="12"/>
      <c r="AI283" s="12"/>
      <c r="AJ283" s="12"/>
      <c r="AK283" s="12"/>
      <c r="AL283" s="12"/>
      <c r="AM283" s="12"/>
      <c r="AN283" s="12"/>
    </row>
    <row r="284" spans="1:40">
      <c r="A284" s="29"/>
      <c r="B284" s="29"/>
      <c r="C284" s="29"/>
      <c r="D284" s="29"/>
      <c r="E284" s="29"/>
      <c r="F284" s="29"/>
      <c r="G284" s="29"/>
      <c r="H284" s="29"/>
      <c r="I284" s="29"/>
      <c r="J284" s="29"/>
      <c r="K284" s="29"/>
      <c r="L284" s="29"/>
      <c r="M284" s="29"/>
      <c r="N284" s="29"/>
      <c r="O284" s="29"/>
      <c r="P284" s="29"/>
      <c r="Q284" s="29"/>
      <c r="R284" s="29"/>
      <c r="Z284" s="12"/>
      <c r="AA284" s="12"/>
      <c r="AB284" s="12"/>
      <c r="AC284" s="12"/>
      <c r="AD284" s="12"/>
      <c r="AE284" s="12"/>
      <c r="AF284" s="12"/>
      <c r="AG284" s="12"/>
      <c r="AH284" s="12"/>
      <c r="AI284" s="12"/>
      <c r="AJ284" s="12"/>
      <c r="AK284" s="12"/>
      <c r="AL284" s="12"/>
      <c r="AM284" s="12"/>
      <c r="AN284" s="12"/>
    </row>
    <row r="285" spans="1:40">
      <c r="A285" s="29"/>
      <c r="B285" s="29"/>
      <c r="C285" s="29"/>
      <c r="D285" s="29"/>
      <c r="E285" s="29"/>
      <c r="F285" s="29"/>
      <c r="G285" s="29"/>
      <c r="H285" s="29"/>
      <c r="I285" s="29"/>
      <c r="J285" s="29"/>
      <c r="K285" s="29"/>
      <c r="L285" s="29"/>
      <c r="M285" s="29"/>
      <c r="N285" s="29"/>
      <c r="O285" s="29"/>
      <c r="P285" s="29"/>
      <c r="Q285" s="29"/>
      <c r="R285" s="29"/>
      <c r="Z285" s="12"/>
      <c r="AA285" s="12"/>
      <c r="AB285" s="12"/>
      <c r="AC285" s="12"/>
      <c r="AD285" s="12"/>
      <c r="AE285" s="12"/>
      <c r="AF285" s="12"/>
      <c r="AG285" s="12"/>
      <c r="AH285" s="12"/>
      <c r="AI285" s="12"/>
      <c r="AJ285" s="12"/>
      <c r="AK285" s="12"/>
      <c r="AL285" s="12"/>
      <c r="AM285" s="12"/>
      <c r="AN285" s="12"/>
    </row>
    <row r="286" spans="1:40">
      <c r="A286" s="29"/>
      <c r="B286" s="29"/>
      <c r="C286" s="29"/>
      <c r="D286" s="29"/>
      <c r="E286" s="29"/>
      <c r="F286" s="29"/>
      <c r="G286" s="29"/>
      <c r="H286" s="29"/>
      <c r="I286" s="29"/>
      <c r="J286" s="29"/>
      <c r="K286" s="29"/>
      <c r="L286" s="29"/>
      <c r="M286" s="29"/>
      <c r="N286" s="29"/>
      <c r="O286" s="29"/>
      <c r="P286" s="29"/>
      <c r="Q286" s="29"/>
      <c r="R286" s="29"/>
      <c r="Z286" s="12"/>
      <c r="AA286" s="12"/>
      <c r="AB286" s="12"/>
      <c r="AC286" s="12"/>
      <c r="AD286" s="12"/>
      <c r="AE286" s="12"/>
      <c r="AF286" s="12"/>
      <c r="AG286" s="12"/>
      <c r="AH286" s="12"/>
      <c r="AI286" s="12"/>
      <c r="AJ286" s="12"/>
      <c r="AK286" s="12"/>
      <c r="AL286" s="12"/>
      <c r="AM286" s="12"/>
      <c r="AN286" s="12"/>
    </row>
    <row r="287" spans="1:40">
      <c r="A287" s="29"/>
      <c r="B287" s="29"/>
      <c r="C287" s="29"/>
      <c r="D287" s="29"/>
      <c r="E287" s="29"/>
      <c r="F287" s="29"/>
      <c r="G287" s="29"/>
      <c r="H287" s="29"/>
      <c r="I287" s="29"/>
      <c r="J287" s="29"/>
      <c r="K287" s="29"/>
      <c r="L287" s="29"/>
      <c r="M287" s="29"/>
      <c r="N287" s="29"/>
      <c r="O287" s="29"/>
      <c r="P287" s="29"/>
      <c r="Q287" s="29"/>
      <c r="R287" s="29"/>
      <c r="Z287" s="12"/>
      <c r="AA287" s="12"/>
      <c r="AB287" s="12"/>
      <c r="AC287" s="12"/>
      <c r="AD287" s="12"/>
      <c r="AE287" s="12"/>
      <c r="AF287" s="12"/>
      <c r="AG287" s="12"/>
      <c r="AH287" s="12"/>
      <c r="AI287" s="12"/>
      <c r="AJ287" s="12"/>
      <c r="AK287" s="12"/>
      <c r="AL287" s="12"/>
      <c r="AM287" s="12"/>
      <c r="AN287" s="12"/>
    </row>
    <row r="288" spans="1:40">
      <c r="A288" s="29"/>
      <c r="B288" s="29"/>
      <c r="C288" s="29"/>
      <c r="D288" s="29"/>
      <c r="E288" s="29"/>
      <c r="F288" s="29"/>
      <c r="G288" s="29"/>
      <c r="H288" s="29"/>
      <c r="I288" s="29"/>
      <c r="J288" s="29"/>
      <c r="K288" s="29"/>
      <c r="L288" s="29"/>
      <c r="M288" s="29"/>
      <c r="N288" s="29"/>
      <c r="O288" s="29"/>
      <c r="P288" s="29"/>
      <c r="Q288" s="29"/>
      <c r="R288" s="29"/>
      <c r="Z288" s="12"/>
      <c r="AA288" s="12"/>
      <c r="AB288" s="12"/>
      <c r="AC288" s="12"/>
      <c r="AD288" s="12"/>
      <c r="AE288" s="12"/>
      <c r="AF288" s="12"/>
      <c r="AG288" s="12"/>
      <c r="AH288" s="12"/>
      <c r="AI288" s="12"/>
      <c r="AJ288" s="12"/>
      <c r="AK288" s="12"/>
      <c r="AL288" s="12"/>
      <c r="AM288" s="12"/>
      <c r="AN288" s="12"/>
    </row>
    <row r="289" spans="1:40">
      <c r="A289" s="29"/>
      <c r="B289" s="29"/>
      <c r="C289" s="29"/>
      <c r="D289" s="29"/>
      <c r="E289" s="29"/>
      <c r="F289" s="29"/>
      <c r="G289" s="29"/>
      <c r="H289" s="29"/>
      <c r="I289" s="29"/>
      <c r="J289" s="29"/>
      <c r="K289" s="29"/>
      <c r="L289" s="29"/>
      <c r="M289" s="29"/>
      <c r="N289" s="29"/>
      <c r="O289" s="29"/>
      <c r="P289" s="29"/>
      <c r="Q289" s="29"/>
      <c r="R289" s="29"/>
      <c r="Z289" s="12"/>
      <c r="AA289" s="12"/>
      <c r="AB289" s="12"/>
      <c r="AC289" s="12"/>
      <c r="AD289" s="12"/>
      <c r="AE289" s="12"/>
      <c r="AF289" s="12"/>
      <c r="AG289" s="12"/>
      <c r="AH289" s="12"/>
      <c r="AI289" s="12"/>
      <c r="AJ289" s="12"/>
      <c r="AK289" s="12"/>
      <c r="AL289" s="12"/>
      <c r="AM289" s="12"/>
      <c r="AN289" s="12"/>
    </row>
    <row r="290" spans="1:40">
      <c r="A290" s="29"/>
      <c r="B290" s="29"/>
      <c r="C290" s="29"/>
      <c r="D290" s="29"/>
      <c r="E290" s="29"/>
      <c r="F290" s="29"/>
      <c r="G290" s="29"/>
      <c r="H290" s="29"/>
      <c r="I290" s="29"/>
      <c r="J290" s="29"/>
      <c r="K290" s="29"/>
      <c r="L290" s="29"/>
      <c r="M290" s="29"/>
      <c r="N290" s="29"/>
      <c r="O290" s="29"/>
      <c r="P290" s="29"/>
      <c r="Q290" s="29"/>
      <c r="R290" s="29"/>
      <c r="Z290" s="12"/>
      <c r="AA290" s="12"/>
      <c r="AB290" s="12"/>
      <c r="AC290" s="12"/>
      <c r="AD290" s="12"/>
      <c r="AE290" s="12"/>
      <c r="AF290" s="12"/>
      <c r="AG290" s="12"/>
      <c r="AH290" s="12"/>
      <c r="AI290" s="12"/>
      <c r="AJ290" s="12"/>
      <c r="AK290" s="12"/>
      <c r="AL290" s="12"/>
      <c r="AM290" s="12"/>
      <c r="AN290" s="12"/>
    </row>
    <row r="291" spans="1:40">
      <c r="A291" s="29"/>
      <c r="B291" s="29"/>
      <c r="C291" s="29"/>
      <c r="D291" s="29"/>
      <c r="E291" s="29"/>
      <c r="F291" s="29"/>
      <c r="G291" s="29"/>
      <c r="H291" s="29"/>
      <c r="I291" s="29"/>
      <c r="J291" s="29"/>
      <c r="K291" s="29"/>
      <c r="L291" s="29"/>
      <c r="M291" s="29"/>
      <c r="N291" s="29"/>
      <c r="O291" s="29"/>
      <c r="P291" s="29"/>
      <c r="Q291" s="29"/>
      <c r="R291" s="29"/>
      <c r="Z291" s="12"/>
      <c r="AA291" s="12"/>
      <c r="AB291" s="12"/>
      <c r="AC291" s="12"/>
      <c r="AD291" s="12"/>
      <c r="AE291" s="12"/>
      <c r="AF291" s="12"/>
      <c r="AG291" s="12"/>
      <c r="AH291" s="12"/>
      <c r="AI291" s="12"/>
      <c r="AJ291" s="12"/>
      <c r="AK291" s="12"/>
      <c r="AL291" s="12"/>
      <c r="AM291" s="12"/>
      <c r="AN291" s="12"/>
    </row>
    <row r="292" spans="1:40">
      <c r="A292" s="29"/>
      <c r="B292" s="29"/>
      <c r="C292" s="29"/>
      <c r="D292" s="29"/>
      <c r="E292" s="29"/>
      <c r="F292" s="29"/>
      <c r="G292" s="29"/>
      <c r="H292" s="29"/>
      <c r="I292" s="29"/>
      <c r="J292" s="29"/>
      <c r="K292" s="29"/>
      <c r="L292" s="29"/>
      <c r="M292" s="29"/>
      <c r="N292" s="29"/>
      <c r="O292" s="29"/>
      <c r="P292" s="29"/>
      <c r="Q292" s="29"/>
      <c r="R292" s="29"/>
      <c r="Z292" s="12"/>
      <c r="AA292" s="12"/>
      <c r="AB292" s="12"/>
      <c r="AC292" s="12"/>
      <c r="AD292" s="12"/>
      <c r="AE292" s="12"/>
      <c r="AF292" s="12"/>
      <c r="AG292" s="12"/>
      <c r="AH292" s="12"/>
      <c r="AI292" s="12"/>
      <c r="AJ292" s="12"/>
      <c r="AK292" s="12"/>
      <c r="AL292" s="12"/>
      <c r="AM292" s="12"/>
      <c r="AN292" s="12"/>
    </row>
    <row r="293" spans="1:40">
      <c r="A293" s="29"/>
      <c r="B293" s="29"/>
      <c r="C293" s="29"/>
      <c r="D293" s="29"/>
      <c r="E293" s="29"/>
      <c r="F293" s="29"/>
      <c r="G293" s="29"/>
      <c r="H293" s="29"/>
      <c r="I293" s="29"/>
      <c r="J293" s="29"/>
      <c r="K293" s="29"/>
      <c r="L293" s="29"/>
      <c r="M293" s="29"/>
      <c r="N293" s="29"/>
      <c r="O293" s="29"/>
      <c r="P293" s="29"/>
      <c r="Q293" s="29"/>
      <c r="R293" s="29"/>
      <c r="Z293" s="12"/>
      <c r="AA293" s="12"/>
      <c r="AB293" s="12"/>
      <c r="AC293" s="12"/>
      <c r="AD293" s="12"/>
      <c r="AE293" s="12"/>
      <c r="AF293" s="12"/>
      <c r="AG293" s="12"/>
      <c r="AH293" s="12"/>
      <c r="AI293" s="12"/>
      <c r="AJ293" s="12"/>
      <c r="AK293" s="12"/>
      <c r="AL293" s="12"/>
      <c r="AM293" s="12"/>
      <c r="AN293" s="12"/>
    </row>
    <row r="294" spans="1:40">
      <c r="A294" s="29"/>
      <c r="B294" s="29"/>
      <c r="C294" s="29"/>
      <c r="D294" s="29"/>
      <c r="E294" s="29"/>
      <c r="F294" s="29"/>
      <c r="G294" s="29"/>
      <c r="H294" s="29"/>
      <c r="I294" s="29"/>
      <c r="J294" s="29"/>
      <c r="K294" s="29"/>
      <c r="L294" s="29"/>
      <c r="M294" s="29"/>
      <c r="N294" s="29"/>
      <c r="O294" s="29"/>
      <c r="P294" s="29"/>
      <c r="Q294" s="29"/>
      <c r="R294" s="29"/>
      <c r="Z294" s="12"/>
      <c r="AA294" s="12"/>
      <c r="AB294" s="12"/>
      <c r="AC294" s="12"/>
      <c r="AD294" s="12"/>
      <c r="AE294" s="12"/>
      <c r="AF294" s="12"/>
      <c r="AG294" s="12"/>
      <c r="AH294" s="12"/>
      <c r="AI294" s="12"/>
      <c r="AJ294" s="12"/>
      <c r="AK294" s="12"/>
      <c r="AL294" s="12"/>
      <c r="AM294" s="12"/>
      <c r="AN294" s="12"/>
    </row>
    <row r="295" spans="1:40">
      <c r="A295" s="29"/>
      <c r="B295" s="29"/>
      <c r="C295" s="29"/>
      <c r="D295" s="29"/>
      <c r="E295" s="29"/>
      <c r="F295" s="29"/>
      <c r="G295" s="29"/>
      <c r="H295" s="29"/>
      <c r="I295" s="29"/>
      <c r="J295" s="29"/>
      <c r="K295" s="29"/>
      <c r="L295" s="29"/>
      <c r="M295" s="29"/>
      <c r="N295" s="29"/>
      <c r="O295" s="29"/>
      <c r="P295" s="29"/>
      <c r="Q295" s="29"/>
      <c r="R295" s="29"/>
      <c r="Z295" s="12"/>
      <c r="AA295" s="12"/>
      <c r="AB295" s="12"/>
      <c r="AC295" s="12"/>
      <c r="AD295" s="12"/>
      <c r="AE295" s="12"/>
      <c r="AF295" s="12"/>
      <c r="AG295" s="12"/>
      <c r="AH295" s="12"/>
      <c r="AI295" s="12"/>
      <c r="AJ295" s="12"/>
      <c r="AK295" s="12"/>
      <c r="AL295" s="12"/>
      <c r="AM295" s="12"/>
      <c r="AN295" s="12"/>
    </row>
    <row r="296" spans="1:40">
      <c r="A296" s="29"/>
      <c r="B296" s="29"/>
      <c r="C296" s="29"/>
      <c r="D296" s="29"/>
      <c r="E296" s="29"/>
      <c r="F296" s="29"/>
      <c r="G296" s="29"/>
      <c r="H296" s="29"/>
      <c r="I296" s="29"/>
      <c r="J296" s="29"/>
      <c r="K296" s="29"/>
      <c r="L296" s="29"/>
      <c r="M296" s="29"/>
      <c r="N296" s="29"/>
      <c r="O296" s="29"/>
      <c r="P296" s="29"/>
      <c r="Q296" s="29"/>
      <c r="R296" s="29"/>
      <c r="Z296" s="12"/>
      <c r="AA296" s="12"/>
      <c r="AB296" s="12"/>
      <c r="AC296" s="12"/>
      <c r="AD296" s="12"/>
      <c r="AE296" s="12"/>
      <c r="AF296" s="12"/>
      <c r="AG296" s="12"/>
      <c r="AH296" s="12"/>
      <c r="AI296" s="12"/>
      <c r="AJ296" s="12"/>
      <c r="AK296" s="12"/>
      <c r="AL296" s="12"/>
      <c r="AM296" s="12"/>
      <c r="AN296" s="12"/>
    </row>
    <row r="297" spans="1:40">
      <c r="A297" s="29"/>
      <c r="B297" s="29"/>
      <c r="C297" s="29"/>
      <c r="D297" s="29"/>
      <c r="E297" s="29"/>
      <c r="F297" s="29"/>
      <c r="G297" s="29"/>
      <c r="H297" s="29"/>
      <c r="I297" s="29"/>
      <c r="J297" s="29"/>
      <c r="K297" s="29"/>
      <c r="L297" s="29"/>
      <c r="M297" s="29"/>
      <c r="N297" s="29"/>
      <c r="O297" s="29"/>
      <c r="P297" s="29"/>
      <c r="Q297" s="29"/>
      <c r="R297" s="29"/>
      <c r="Z297" s="12"/>
      <c r="AA297" s="12"/>
      <c r="AB297" s="12"/>
      <c r="AC297" s="12"/>
      <c r="AD297" s="12"/>
      <c r="AE297" s="12"/>
      <c r="AF297" s="12"/>
      <c r="AG297" s="12"/>
      <c r="AH297" s="12"/>
      <c r="AI297" s="12"/>
      <c r="AJ297" s="12"/>
      <c r="AK297" s="12"/>
      <c r="AL297" s="12"/>
      <c r="AM297" s="12"/>
      <c r="AN297" s="12"/>
    </row>
  </sheetData>
  <phoneticPr fontId="0" type="noConversion"/>
  <printOptions headings="1" gridLines="1"/>
  <pageMargins left="0.74803149606299213" right="0.74803149606299213" top="0.51181102362204722" bottom="0.70866141732283472" header="0.51181102362204722" footer="0.51181102362204722"/>
  <pageSetup paperSize="9" orientation="landscape" r:id="rId1"/>
  <headerFooter alignWithMargins="0"/>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S130"/>
  <sheetViews>
    <sheetView showOutlineSymbols="0" zoomScale="130" zoomScaleNormal="130" workbookViewId="0">
      <pane xSplit="26" ySplit="1" topLeftCell="AC2" activePane="bottomRight" state="frozen"/>
      <selection pane="topRight" activeCell="AA1" sqref="AA1"/>
      <selection pane="bottomLeft" activeCell="A2" sqref="A2"/>
      <selection pane="bottomRight" activeCell="AC2" sqref="AC2"/>
    </sheetView>
  </sheetViews>
  <sheetFormatPr defaultColWidth="9.140625" defaultRowHeight="12.75" outlineLevelCol="1"/>
  <cols>
    <col min="1" max="1" width="28.42578125" style="43" bestFit="1" customWidth="1"/>
    <col min="2" max="20" width="9.140625" style="7" hidden="1" customWidth="1" outlineLevel="1"/>
    <col min="21" max="21" width="9.140625" style="7" hidden="1" customWidth="1" outlineLevel="1" collapsed="1"/>
    <col min="22" max="26" width="9.140625" style="7" hidden="1" customWidth="1" outlineLevel="1"/>
    <col min="27" max="27" width="0" style="7" hidden="1" customWidth="1" collapsed="1"/>
    <col min="28" max="28" width="0" style="7" hidden="1" customWidth="1"/>
    <col min="29" max="31" width="9.140625" style="7"/>
    <col min="32" max="40" width="8.5703125" style="7" bestFit="1" customWidth="1"/>
    <col min="41" max="16384" width="9.140625" style="7"/>
  </cols>
  <sheetData>
    <row r="1" spans="1:40" s="42" customFormat="1">
      <c r="A1" s="4" t="s">
        <v>63</v>
      </c>
      <c r="B1" s="5">
        <f>Final!B2</f>
        <v>1992</v>
      </c>
      <c r="C1" s="5">
        <f>Final!C2</f>
        <v>1993</v>
      </c>
      <c r="D1" s="5">
        <f>Final!D2</f>
        <v>1994</v>
      </c>
      <c r="E1" s="5">
        <f>Final!E2</f>
        <v>1995</v>
      </c>
      <c r="F1" s="5">
        <f>Final!F2</f>
        <v>1996</v>
      </c>
      <c r="G1" s="5">
        <f>Final!G2</f>
        <v>1997</v>
      </c>
      <c r="H1" s="5">
        <f>Final!H2</f>
        <v>1998</v>
      </c>
      <c r="I1" s="5" t="str">
        <f>Final!I2</f>
        <v>1999*</v>
      </c>
      <c r="J1" s="5">
        <f>Final!J2</f>
        <v>2000</v>
      </c>
      <c r="K1" s="5">
        <f>Final!K2</f>
        <v>2001</v>
      </c>
      <c r="L1" s="5">
        <f>Final!L2</f>
        <v>2002</v>
      </c>
      <c r="M1" s="5">
        <f>Final!M2</f>
        <v>2003</v>
      </c>
      <c r="N1" s="5">
        <f>Final!N2</f>
        <v>2004</v>
      </c>
      <c r="O1" s="5">
        <f>Final!O2</f>
        <v>2005</v>
      </c>
      <c r="P1" s="5">
        <f>Final!P2</f>
        <v>2006</v>
      </c>
      <c r="Q1" s="5">
        <f>Final!Q2</f>
        <v>2007</v>
      </c>
      <c r="R1" s="5">
        <f>Final!R2</f>
        <v>2008</v>
      </c>
      <c r="S1" s="5">
        <f>Final!S2</f>
        <v>2009</v>
      </c>
      <c r="T1" s="5">
        <f>Final!T2</f>
        <v>2010</v>
      </c>
      <c r="U1" s="5">
        <f>Final!U2</f>
        <v>2011</v>
      </c>
      <c r="V1" s="5">
        <f>Final!V2</f>
        <v>2012</v>
      </c>
      <c r="W1" s="5">
        <f>Final!W2</f>
        <v>2013</v>
      </c>
      <c r="X1" s="5">
        <f>Final!X2</f>
        <v>2014</v>
      </c>
      <c r="Y1" s="5">
        <f>Final!Y2</f>
        <v>2015</v>
      </c>
      <c r="Z1" s="5">
        <f>Final!Z2</f>
        <v>2016</v>
      </c>
      <c r="AA1" s="5">
        <f>Final!AA2</f>
        <v>2017</v>
      </c>
      <c r="AB1" s="5">
        <f>Final!AB2</f>
        <v>2018</v>
      </c>
      <c r="AC1" s="5">
        <f>Final!AC2</f>
        <v>2019</v>
      </c>
      <c r="AD1" s="5">
        <f>Final!AD2</f>
        <v>2020</v>
      </c>
      <c r="AE1" s="5">
        <f>Final!AE2</f>
        <v>2021</v>
      </c>
      <c r="AF1" s="5">
        <f>Final!AF2</f>
        <v>2022</v>
      </c>
      <c r="AG1" s="5">
        <f>Final!AG2</f>
        <v>2023</v>
      </c>
      <c r="AH1" s="5">
        <f>Final!AH2</f>
        <v>2024</v>
      </c>
      <c r="AI1" s="5" t="str">
        <f>Final!AI2</f>
        <v>2025E</v>
      </c>
      <c r="AJ1" s="5" t="str">
        <f>Final!AJ2</f>
        <v>2026E</v>
      </c>
      <c r="AK1" s="5" t="str">
        <f>Final!AK2</f>
        <v>2027E</v>
      </c>
      <c r="AL1" s="5" t="str">
        <f>Final!AL2</f>
        <v>2028E</v>
      </c>
      <c r="AM1" s="5" t="str">
        <f>Final!AM2</f>
        <v>2029E</v>
      </c>
      <c r="AN1" s="5" t="str">
        <f>Final!AN2</f>
        <v>2030E</v>
      </c>
    </row>
    <row r="2" spans="1:40">
      <c r="A2" s="157" t="s">
        <v>604</v>
      </c>
      <c r="B2" s="156"/>
      <c r="C2" s="156"/>
      <c r="D2" s="156"/>
      <c r="E2" s="156"/>
      <c r="F2" s="156"/>
      <c r="G2" s="156"/>
      <c r="H2" s="156"/>
      <c r="I2" s="156"/>
      <c r="J2" s="156"/>
      <c r="K2" s="156"/>
      <c r="L2" s="156"/>
      <c r="M2" s="156"/>
      <c r="N2" s="156"/>
      <c r="O2" s="156"/>
      <c r="P2" s="156"/>
      <c r="Q2" s="156"/>
      <c r="R2" s="156"/>
      <c r="S2" s="156"/>
      <c r="T2" s="156"/>
      <c r="U2" s="156"/>
      <c r="V2" s="156"/>
      <c r="W2" s="156"/>
      <c r="X2" s="156"/>
      <c r="Y2" s="156"/>
      <c r="Z2" s="156"/>
      <c r="AA2" s="156"/>
      <c r="AB2" s="156"/>
      <c r="AC2" s="156"/>
      <c r="AD2" s="156"/>
      <c r="AE2" s="156"/>
      <c r="AF2" s="156"/>
      <c r="AG2" s="156"/>
      <c r="AH2" s="156"/>
      <c r="AI2" s="156"/>
      <c r="AJ2" s="156"/>
      <c r="AK2" s="156"/>
      <c r="AL2" s="156"/>
      <c r="AM2" s="156"/>
      <c r="AN2" s="156"/>
    </row>
    <row r="3" spans="1:40">
      <c r="A3" s="6" t="s">
        <v>114</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row>
    <row r="4" spans="1:40">
      <c r="A4" s="10" t="s">
        <v>317</v>
      </c>
      <c r="B4" s="7">
        <f>SOC!B4</f>
        <v>13229</v>
      </c>
      <c r="C4" s="7">
        <f>SOC!C4</f>
        <v>14573</v>
      </c>
      <c r="D4" s="7">
        <f>SOC!D4</f>
        <v>14903</v>
      </c>
      <c r="E4" s="7">
        <f>SOC!E4</f>
        <v>16758</v>
      </c>
      <c r="F4" s="7">
        <f>SOC!F4</f>
        <v>18295</v>
      </c>
      <c r="G4" s="7">
        <f>SOC!G4</f>
        <v>20638</v>
      </c>
      <c r="H4" s="7">
        <f>SOC!H4</f>
        <v>22547</v>
      </c>
      <c r="I4" s="7">
        <f>SOC!I4</f>
        <v>28642</v>
      </c>
      <c r="J4" s="7">
        <f>SOC!J4</f>
        <v>24224</v>
      </c>
      <c r="K4" s="7">
        <f>SOC!K4</f>
        <v>24806</v>
      </c>
      <c r="L4" s="7">
        <f>SOC!L4</f>
        <v>25844</v>
      </c>
      <c r="M4" s="7">
        <f>SOC!M4</f>
        <v>25739</v>
      </c>
      <c r="N4" s="7">
        <f>SOC!N4</f>
        <v>26773</v>
      </c>
      <c r="O4" s="7">
        <f>SOC!O4</f>
        <v>28836</v>
      </c>
      <c r="P4" s="7">
        <f>SOC!P4</f>
        <v>29091</v>
      </c>
      <c r="Q4" s="7">
        <f>SOC!Q4</f>
        <v>29331</v>
      </c>
      <c r="R4" s="7">
        <f>SOC!R4</f>
        <v>30386</v>
      </c>
      <c r="S4" s="7">
        <f>SOC!S4</f>
        <v>28437</v>
      </c>
      <c r="T4" s="7">
        <f>SOC!T4</f>
        <v>30016</v>
      </c>
      <c r="U4" s="7">
        <f>SOC!U4</f>
        <v>30928</v>
      </c>
      <c r="V4" s="7">
        <f>SOC!V4</f>
        <v>33944</v>
      </c>
      <c r="W4" s="7">
        <f>SOC!W4</f>
        <v>33184</v>
      </c>
      <c r="X4" s="7">
        <f>SOC!X4</f>
        <v>36092</v>
      </c>
      <c r="Y4" s="7">
        <f>SOC!Y4</f>
        <v>38205</v>
      </c>
      <c r="Z4" s="7">
        <f>SOC!Z4</f>
        <v>37223</v>
      </c>
      <c r="AA4" s="7">
        <f>SOC!AA4</f>
        <v>39259</v>
      </c>
      <c r="AB4" s="7">
        <f>SOC!AB4</f>
        <v>41086</v>
      </c>
      <c r="AC4" s="7">
        <f>SOC!AC4</f>
        <v>40633</v>
      </c>
      <c r="AD4" s="7">
        <f>SOC!AD4</f>
        <v>41905</v>
      </c>
      <c r="AE4" s="7">
        <f>SOC!AE4</f>
        <v>45379</v>
      </c>
      <c r="AF4" s="7">
        <f>SOC!AF4</f>
        <v>51103</v>
      </c>
      <c r="AG4" s="7">
        <f>SOC!AG4</f>
        <v>50455</v>
      </c>
      <c r="AH4" s="7">
        <f>'HK Sales'!AH8</f>
        <v>50816</v>
      </c>
      <c r="AI4" s="7">
        <f>'HK Sales'!AI8</f>
        <v>52469.994824493202</v>
      </c>
      <c r="AJ4" s="7">
        <f>'HK Sales'!AJ8</f>
        <v>54590.457114928286</v>
      </c>
      <c r="AK4" s="7">
        <f>'HK Sales'!AK8</f>
        <v>56812.949400967213</v>
      </c>
      <c r="AL4" s="7">
        <f>'HK Sales'!AL8</f>
        <v>59142.201615500468</v>
      </c>
      <c r="AM4" s="7">
        <f>'HK Sales'!AM8</f>
        <v>61583.185747035517</v>
      </c>
      <c r="AN4" s="7">
        <f>'HK Sales'!AN8</f>
        <v>64394.550246835104</v>
      </c>
    </row>
    <row r="5" spans="1:40">
      <c r="A5" s="10" t="s">
        <v>507</v>
      </c>
      <c r="O5" s="7">
        <v>-527</v>
      </c>
      <c r="P5" s="7">
        <v>202</v>
      </c>
      <c r="Q5" s="7">
        <v>353</v>
      </c>
      <c r="R5" s="7">
        <v>-193</v>
      </c>
      <c r="S5" s="7">
        <v>-143</v>
      </c>
      <c r="T5" s="7">
        <v>-76</v>
      </c>
      <c r="U5" s="7">
        <v>586</v>
      </c>
      <c r="V5" s="7">
        <v>-304</v>
      </c>
      <c r="W5" s="7">
        <v>641</v>
      </c>
      <c r="X5" s="7">
        <v>-1020</v>
      </c>
      <c r="Y5" s="7">
        <v>181</v>
      </c>
      <c r="Z5" s="7">
        <v>260</v>
      </c>
      <c r="AA5" s="7">
        <v>98</v>
      </c>
      <c r="AB5" s="7">
        <v>-322</v>
      </c>
      <c r="AC5" s="7">
        <v>714</v>
      </c>
      <c r="AD5" s="7">
        <v>660</v>
      </c>
      <c r="AE5" s="7">
        <v>1183</v>
      </c>
      <c r="AF5" s="7">
        <v>604</v>
      </c>
      <c r="AG5" s="7">
        <v>-48</v>
      </c>
      <c r="AH5" s="7">
        <v>505</v>
      </c>
      <c r="AI5" s="81">
        <f>SOC!AI23</f>
        <v>-592.07648975506345</v>
      </c>
      <c r="AJ5" s="81">
        <f>SOC!AJ23</f>
        <v>-863.91532258979896</v>
      </c>
      <c r="AK5" s="81">
        <f>SOC!AK23</f>
        <v>-1244.2283266783634</v>
      </c>
      <c r="AL5" s="81">
        <f>SOC!AL23</f>
        <v>-1700.1757667026413</v>
      </c>
      <c r="AM5" s="81">
        <f>SOC!AM23</f>
        <v>-2231.64132632152</v>
      </c>
      <c r="AN5" s="81">
        <f>SOC!AN23</f>
        <v>-2817.0394755499801</v>
      </c>
    </row>
    <row r="6" spans="1:40">
      <c r="A6" s="10" t="s">
        <v>237</v>
      </c>
      <c r="B6" s="7">
        <f>Aus!B5</f>
        <v>0</v>
      </c>
      <c r="C6" s="7">
        <f>Aus!C5</f>
        <v>0</v>
      </c>
      <c r="D6" s="7">
        <f>Aus!D5</f>
        <v>0</v>
      </c>
      <c r="E6" s="7">
        <f>Aus!E5</f>
        <v>0</v>
      </c>
      <c r="F6" s="7">
        <f>Aus!F5</f>
        <v>0</v>
      </c>
      <c r="G6" s="7">
        <f>Aus!G5</f>
        <v>0</v>
      </c>
      <c r="H6" s="7">
        <f>Aus!H5</f>
        <v>0</v>
      </c>
      <c r="I6" s="7">
        <f>Aus!I5</f>
        <v>0</v>
      </c>
      <c r="J6" s="7">
        <f>Aus!J5</f>
        <v>0</v>
      </c>
      <c r="K6" s="7">
        <f>Aus!K5</f>
        <v>0</v>
      </c>
      <c r="L6" s="7">
        <f>Aus!L5</f>
        <v>0</v>
      </c>
      <c r="M6" s="7">
        <f>Aus!M5</f>
        <v>0</v>
      </c>
      <c r="N6" s="7">
        <f>Aus!N5</f>
        <v>2000</v>
      </c>
      <c r="O6" s="7">
        <f>Aus!O5</f>
        <v>8045</v>
      </c>
      <c r="P6" s="7">
        <f>Aus!P5</f>
        <v>13770</v>
      </c>
      <c r="Q6" s="7">
        <f>Aus!Q5</f>
        <v>18018</v>
      </c>
      <c r="R6" s="7">
        <f>Aus!R5</f>
        <v>19432</v>
      </c>
      <c r="S6" s="7">
        <f>Aus!S5</f>
        <v>19166</v>
      </c>
      <c r="T6" s="7">
        <f>Aus!T5</f>
        <v>25182</v>
      </c>
      <c r="U6" s="7">
        <f>Aus!U5</f>
        <v>56325</v>
      </c>
      <c r="V6" s="7">
        <f>Aus!V5</f>
        <v>66843</v>
      </c>
      <c r="W6" s="7">
        <f>Aus!W5</f>
        <v>64976</v>
      </c>
      <c r="X6" s="7">
        <f>Aus!X5</f>
        <v>50895</v>
      </c>
      <c r="Y6" s="7">
        <f>Aus!Y5</f>
        <v>35707</v>
      </c>
      <c r="Z6" s="7">
        <f>Aus!Z5</f>
        <v>36441</v>
      </c>
      <c r="AA6" s="7">
        <f>Aus!AA5</f>
        <v>45895</v>
      </c>
      <c r="AB6" s="7">
        <f>Aus!AB5</f>
        <v>43013</v>
      </c>
      <c r="AC6" s="7">
        <f>Aus!AC5</f>
        <v>38752</v>
      </c>
      <c r="AD6" s="7">
        <f>Aus!AD5</f>
        <v>32357</v>
      </c>
      <c r="AE6" s="7">
        <f>Aus!AE5</f>
        <v>32271</v>
      </c>
      <c r="AF6" s="7">
        <f>Aus!AF5</f>
        <v>41839</v>
      </c>
      <c r="AG6" s="7">
        <f>Aus!AG5</f>
        <v>33190</v>
      </c>
      <c r="AH6" s="7">
        <f>Aus!AH5</f>
        <v>37097</v>
      </c>
      <c r="AI6" s="7">
        <f>Aus!AI5</f>
        <v>35907.274028518659</v>
      </c>
      <c r="AJ6" s="7">
        <f>Aus!AJ5</f>
        <v>36001.23616812133</v>
      </c>
      <c r="AK6" s="7">
        <f>Aus!AK5</f>
        <v>36045.432280066088</v>
      </c>
      <c r="AL6" s="7">
        <f>Aus!AL5</f>
        <v>35968.016682438276</v>
      </c>
      <c r="AM6" s="7">
        <f>Aus!AM5</f>
        <v>35873.870974146535</v>
      </c>
      <c r="AN6" s="7">
        <f>Aus!AN5</f>
        <v>35772.396436202544</v>
      </c>
    </row>
    <row r="7" spans="1:40">
      <c r="A7" s="10" t="s">
        <v>213</v>
      </c>
      <c r="B7" s="7">
        <f>CN!B4</f>
        <v>0</v>
      </c>
      <c r="C7" s="7">
        <f>CN!C4</f>
        <v>0</v>
      </c>
      <c r="D7" s="7">
        <f>CN!D4</f>
        <v>0</v>
      </c>
      <c r="E7" s="7">
        <f>CN!E4</f>
        <v>0</v>
      </c>
      <c r="F7" s="7">
        <f>CN!F4</f>
        <v>0</v>
      </c>
      <c r="G7" s="7">
        <f>CN!G4</f>
        <v>0</v>
      </c>
      <c r="H7" s="7">
        <f>CN!H4</f>
        <v>0</v>
      </c>
      <c r="I7" s="7">
        <f>CN!I4</f>
        <v>357</v>
      </c>
      <c r="J7" s="7">
        <f>CN!J4</f>
        <v>588</v>
      </c>
      <c r="K7" s="7">
        <f>CN!K4</f>
        <v>706</v>
      </c>
      <c r="L7" s="7">
        <f>CN!L4</f>
        <v>0</v>
      </c>
      <c r="M7" s="7">
        <f>CN!M4</f>
        <v>0</v>
      </c>
      <c r="N7" s="7">
        <f>CN!N4</f>
        <v>0</v>
      </c>
      <c r="O7" s="7">
        <f>CN!O4</f>
        <v>17</v>
      </c>
      <c r="P7" s="7">
        <f>CN!P4</f>
        <v>131</v>
      </c>
      <c r="Q7" s="7">
        <f>CN!Q4</f>
        <v>124</v>
      </c>
      <c r="R7" s="7">
        <f>CN!R4</f>
        <v>169</v>
      </c>
      <c r="S7" s="7">
        <f>CN!S4</f>
        <v>180</v>
      </c>
      <c r="T7" s="7">
        <f>CN!T4</f>
        <v>305</v>
      </c>
      <c r="U7" s="7">
        <f>CN!U4</f>
        <v>625</v>
      </c>
      <c r="V7" s="7">
        <f>CN!V4</f>
        <v>943</v>
      </c>
      <c r="W7" s="7">
        <f>CN!W4</f>
        <v>991</v>
      </c>
      <c r="X7" s="7">
        <f>CN!X4</f>
        <v>909</v>
      </c>
      <c r="Y7" s="7">
        <f>CN!Y4</f>
        <v>937</v>
      </c>
      <c r="Z7" s="7">
        <f>CN!Z4</f>
        <v>1197</v>
      </c>
      <c r="AA7" s="7">
        <f>CN!AA4</f>
        <v>1305</v>
      </c>
      <c r="AB7" s="7">
        <f>CN!AB4</f>
        <v>1495</v>
      </c>
      <c r="AC7" s="7">
        <f>CN!AC4</f>
        <v>1674</v>
      </c>
      <c r="AD7" s="7">
        <f>CN!AD4</f>
        <v>1708</v>
      </c>
      <c r="AE7" s="7">
        <f>CN!AE4</f>
        <v>1800</v>
      </c>
      <c r="AF7" s="7">
        <f>CN!AF4</f>
        <v>1877</v>
      </c>
      <c r="AG7" s="7">
        <f>CN!AG4</f>
        <v>1846</v>
      </c>
      <c r="AH7" s="7">
        <f>CN!AH4</f>
        <v>1801</v>
      </c>
      <c r="AI7" s="7">
        <f>CN!AI4</f>
        <v>1887.0878829255873</v>
      </c>
      <c r="AJ7" s="7">
        <f>CN!AJ4</f>
        <v>1958.2371940112698</v>
      </c>
      <c r="AK7" s="7">
        <f>CN!AK4</f>
        <v>1998.0137044012222</v>
      </c>
      <c r="AL7" s="7">
        <f>CN!AL4</f>
        <v>2013.4269347446702</v>
      </c>
      <c r="AM7" s="7">
        <f>CN!AM4</f>
        <v>2013.2121988794534</v>
      </c>
      <c r="AN7" s="7">
        <f>CN!AN4</f>
        <v>2011.9182749049337</v>
      </c>
    </row>
    <row r="8" spans="1:40">
      <c r="A8" s="10" t="s">
        <v>355</v>
      </c>
      <c r="B8" s="7">
        <f>India!B5</f>
        <v>0</v>
      </c>
      <c r="C8" s="7">
        <f>India!C5</f>
        <v>0</v>
      </c>
      <c r="D8" s="7">
        <f>India!D5</f>
        <v>0</v>
      </c>
      <c r="E8" s="7">
        <f>India!E5</f>
        <v>0</v>
      </c>
      <c r="F8" s="7">
        <f>India!F5</f>
        <v>0</v>
      </c>
      <c r="G8" s="7">
        <f>India!G5</f>
        <v>0</v>
      </c>
      <c r="H8" s="7">
        <f>India!H5</f>
        <v>0</v>
      </c>
      <c r="I8" s="7">
        <f>India!I5</f>
        <v>0</v>
      </c>
      <c r="J8" s="7">
        <f>India!J5</f>
        <v>0</v>
      </c>
      <c r="K8" s="7">
        <f>India!K5</f>
        <v>0</v>
      </c>
      <c r="L8" s="7">
        <f>India!L5</f>
        <v>0</v>
      </c>
      <c r="M8" s="7">
        <f>India!M5</f>
        <v>0</v>
      </c>
      <c r="N8" s="7">
        <f>India!N5</f>
        <v>0</v>
      </c>
      <c r="O8" s="7">
        <f>India!O5</f>
        <v>1876</v>
      </c>
      <c r="P8" s="7">
        <f>India!P5</f>
        <v>2196</v>
      </c>
      <c r="Q8" s="7">
        <f>India!Q5</f>
        <v>2687</v>
      </c>
      <c r="R8" s="7">
        <f>India!R5</f>
        <v>4197</v>
      </c>
      <c r="S8" s="7">
        <f>India!S5</f>
        <v>2786</v>
      </c>
      <c r="T8" s="7">
        <f>India!T5</f>
        <v>2578</v>
      </c>
      <c r="U8" s="7">
        <f>India!U5</f>
        <v>2923</v>
      </c>
      <c r="V8" s="7">
        <f>India!V5</f>
        <v>3178</v>
      </c>
      <c r="W8" s="7">
        <f>India!W5</f>
        <v>4371</v>
      </c>
      <c r="X8" s="7">
        <f>India!X5</f>
        <v>4821</v>
      </c>
      <c r="Y8" s="7">
        <f>India!Y5</f>
        <v>5104</v>
      </c>
      <c r="Z8" s="7">
        <f>India!Z5</f>
        <v>3808</v>
      </c>
      <c r="AA8" s="7">
        <f>India!AA5</f>
        <v>4887</v>
      </c>
      <c r="AB8" s="7">
        <f>India!AB5</f>
        <v>5269</v>
      </c>
      <c r="AC8" s="7">
        <f>India!AC5</f>
        <v>4651</v>
      </c>
      <c r="AD8" s="7">
        <f>India!AD5</f>
        <v>3616</v>
      </c>
      <c r="AE8" s="7">
        <f>India!AE5</f>
        <v>4866</v>
      </c>
      <c r="AF8" s="7">
        <f>India!AF5</f>
        <v>5153</v>
      </c>
      <c r="AG8" s="7">
        <f>India!AG5</f>
        <v>0</v>
      </c>
      <c r="AH8" s="7">
        <f>India!AH5</f>
        <v>0</v>
      </c>
      <c r="AI8" s="7">
        <f>India!AI5</f>
        <v>0</v>
      </c>
      <c r="AJ8" s="7">
        <f>India!AJ5</f>
        <v>0</v>
      </c>
      <c r="AK8" s="7">
        <f>India!AK5</f>
        <v>0</v>
      </c>
      <c r="AL8" s="7">
        <f>India!AL5</f>
        <v>0</v>
      </c>
      <c r="AM8" s="7">
        <f>India!AM5</f>
        <v>0</v>
      </c>
      <c r="AN8" s="7">
        <f>India!AN5</f>
        <v>0</v>
      </c>
    </row>
    <row r="9" spans="1:40">
      <c r="A9" s="10" t="s">
        <v>508</v>
      </c>
      <c r="B9" s="7">
        <f>SEA!B5</f>
        <v>0</v>
      </c>
      <c r="C9" s="7">
        <f>SEA!C5</f>
        <v>0</v>
      </c>
      <c r="D9" s="7">
        <f>SEA!D5</f>
        <v>0</v>
      </c>
      <c r="E9" s="7">
        <f>SEA!E5</f>
        <v>0</v>
      </c>
      <c r="F9" s="7">
        <f>SEA!F5</f>
        <v>0</v>
      </c>
      <c r="G9" s="7">
        <f>SEA!G5</f>
        <v>0</v>
      </c>
      <c r="H9" s="7">
        <f>SEA!H5</f>
        <v>0</v>
      </c>
      <c r="I9" s="7">
        <f>SEA!I5</f>
        <v>0</v>
      </c>
      <c r="J9" s="7">
        <f>SEA!J5</f>
        <v>0</v>
      </c>
      <c r="K9" s="7">
        <f>SEA!K5</f>
        <v>0</v>
      </c>
      <c r="L9" s="7">
        <f>SEA!L5</f>
        <v>0</v>
      </c>
      <c r="M9" s="7">
        <f>SEA!M5</f>
        <v>0</v>
      </c>
      <c r="N9" s="7">
        <f>SEA!N5</f>
        <v>0</v>
      </c>
      <c r="O9" s="7">
        <f>SEA!O5</f>
        <v>35</v>
      </c>
      <c r="P9" s="7">
        <f>SEA!P5</f>
        <v>46</v>
      </c>
      <c r="Q9" s="7">
        <f>SEA!Q5</f>
        <v>50</v>
      </c>
      <c r="R9" s="7">
        <f>SEA!R5</f>
        <v>24</v>
      </c>
      <c r="S9" s="7">
        <f>SEA!S5</f>
        <v>43</v>
      </c>
      <c r="T9" s="7">
        <f>SEA!T5</f>
        <v>59</v>
      </c>
      <c r="U9" s="7">
        <f>SEA!U5</f>
        <v>33</v>
      </c>
      <c r="V9" s="7">
        <f>SEA!V5</f>
        <v>19</v>
      </c>
      <c r="W9" s="7">
        <f>SEA!W5</f>
        <v>14</v>
      </c>
      <c r="X9" s="7">
        <f>SEA!X5</f>
        <v>8</v>
      </c>
      <c r="Y9" s="7">
        <f>SEA!Y5</f>
        <v>9</v>
      </c>
      <c r="Z9" s="7">
        <f>SEA!Z5</f>
        <v>13</v>
      </c>
      <c r="AA9" s="7">
        <f>SEA!AA5</f>
        <v>14</v>
      </c>
      <c r="AB9" s="7">
        <f>SEA!AB5</f>
        <v>16</v>
      </c>
      <c r="AC9" s="7">
        <f>SEA!AC5</f>
        <v>11</v>
      </c>
      <c r="AD9" s="7">
        <f>SEA!AD5</f>
        <v>6</v>
      </c>
      <c r="AE9" s="7">
        <f>SEA!AE5</f>
        <v>4</v>
      </c>
      <c r="AF9" s="7">
        <f>SEA!AF5</f>
        <v>4</v>
      </c>
      <c r="AG9" s="7">
        <f>SEA!AG5</f>
        <v>3</v>
      </c>
      <c r="AH9" s="7">
        <f>SEA!AH5</f>
        <v>3</v>
      </c>
      <c r="AI9" s="7">
        <f>SEA!AI5</f>
        <v>3</v>
      </c>
      <c r="AJ9" s="7">
        <f>SEA!AJ5</f>
        <v>3</v>
      </c>
      <c r="AK9" s="7">
        <f>SEA!AK5</f>
        <v>3</v>
      </c>
      <c r="AL9" s="7">
        <f>SEA!AL5</f>
        <v>3</v>
      </c>
      <c r="AM9" s="7">
        <f>SEA!AM5</f>
        <v>3</v>
      </c>
      <c r="AN9" s="7">
        <f>SEA!AN5</f>
        <v>3</v>
      </c>
    </row>
    <row r="10" spans="1:40">
      <c r="A10" s="10" t="s">
        <v>346</v>
      </c>
      <c r="B10" s="7">
        <f t="shared" ref="B10:Y10" si="0">B11-SUM(B4:B9)</f>
        <v>173</v>
      </c>
      <c r="C10" s="7">
        <f t="shared" si="0"/>
        <v>172</v>
      </c>
      <c r="D10" s="7">
        <f t="shared" si="0"/>
        <v>442</v>
      </c>
      <c r="E10" s="7">
        <f t="shared" si="0"/>
        <v>202</v>
      </c>
      <c r="F10" s="7">
        <f t="shared" si="0"/>
        <v>239</v>
      </c>
      <c r="G10" s="7">
        <f t="shared" si="0"/>
        <v>262</v>
      </c>
      <c r="H10" s="7">
        <f t="shared" si="0"/>
        <v>322</v>
      </c>
      <c r="I10" s="7">
        <f t="shared" si="0"/>
        <v>36</v>
      </c>
      <c r="J10" s="7">
        <f t="shared" si="0"/>
        <v>-361</v>
      </c>
      <c r="K10" s="7">
        <f t="shared" si="0"/>
        <v>-513</v>
      </c>
      <c r="L10" s="7">
        <f t="shared" si="0"/>
        <v>290</v>
      </c>
      <c r="M10" s="7">
        <f t="shared" si="0"/>
        <v>2509</v>
      </c>
      <c r="N10" s="7">
        <f t="shared" si="0"/>
        <v>2011</v>
      </c>
      <c r="O10" s="7">
        <f t="shared" si="0"/>
        <v>302</v>
      </c>
      <c r="P10" s="7">
        <f t="shared" si="0"/>
        <v>266</v>
      </c>
      <c r="Q10" s="7">
        <f t="shared" si="0"/>
        <v>226</v>
      </c>
      <c r="R10" s="7">
        <f t="shared" si="0"/>
        <v>282</v>
      </c>
      <c r="S10" s="7">
        <f t="shared" si="0"/>
        <v>199</v>
      </c>
      <c r="T10" s="7">
        <f t="shared" si="0"/>
        <v>346</v>
      </c>
      <c r="U10" s="7">
        <f t="shared" si="0"/>
        <v>214</v>
      </c>
      <c r="V10" s="7">
        <f t="shared" si="0"/>
        <v>238</v>
      </c>
      <c r="W10" s="7">
        <f t="shared" si="0"/>
        <v>353</v>
      </c>
      <c r="X10" s="7">
        <f t="shared" si="0"/>
        <v>554</v>
      </c>
      <c r="Y10" s="7">
        <f t="shared" si="0"/>
        <v>557</v>
      </c>
      <c r="Z10" s="7">
        <f t="shared" ref="Z10:AF10" si="1">Z11-SUM(Z4:Z9)</f>
        <v>492</v>
      </c>
      <c r="AA10" s="7">
        <f t="shared" si="1"/>
        <v>615</v>
      </c>
      <c r="AB10" s="7">
        <f t="shared" si="1"/>
        <v>868</v>
      </c>
      <c r="AC10" s="7">
        <f t="shared" si="1"/>
        <v>-746</v>
      </c>
      <c r="AD10" s="7">
        <f t="shared" si="1"/>
        <v>-662</v>
      </c>
      <c r="AE10" s="7">
        <f t="shared" si="1"/>
        <v>-1544</v>
      </c>
      <c r="AF10" s="7">
        <f t="shared" si="1"/>
        <v>82</v>
      </c>
      <c r="AG10" s="7">
        <f t="shared" ref="AG10:AH10" si="2">AG11-SUM(AG4:AG9)</f>
        <v>1723</v>
      </c>
      <c r="AH10" s="7">
        <f t="shared" si="2"/>
        <v>742</v>
      </c>
      <c r="AI10" s="81">
        <f t="shared" ref="AI10" si="3">AH10</f>
        <v>742</v>
      </c>
      <c r="AJ10" s="81">
        <f t="shared" ref="AJ10" si="4">AI10</f>
        <v>742</v>
      </c>
      <c r="AK10" s="81">
        <f t="shared" ref="AK10" si="5">AJ10</f>
        <v>742</v>
      </c>
      <c r="AL10" s="81">
        <f t="shared" ref="AL10" si="6">AK10</f>
        <v>742</v>
      </c>
      <c r="AM10" s="81">
        <f>AL10</f>
        <v>742</v>
      </c>
      <c r="AN10" s="81">
        <f t="shared" ref="AN10" si="7">AM10</f>
        <v>742</v>
      </c>
    </row>
    <row r="11" spans="1:40">
      <c r="A11" s="80" t="s">
        <v>287</v>
      </c>
      <c r="B11" s="9">
        <f>Final!B7</f>
        <v>13402</v>
      </c>
      <c r="C11" s="9">
        <f>Final!C7</f>
        <v>14745</v>
      </c>
      <c r="D11" s="9">
        <f>Final!D7</f>
        <v>15345</v>
      </c>
      <c r="E11" s="9">
        <f>Final!E7</f>
        <v>16960</v>
      </c>
      <c r="F11" s="9">
        <f>Final!F7</f>
        <v>18534</v>
      </c>
      <c r="G11" s="9">
        <f>Final!G7</f>
        <v>20900</v>
      </c>
      <c r="H11" s="9">
        <f>Final!H7</f>
        <v>22869</v>
      </c>
      <c r="I11" s="9">
        <f>Final!I7</f>
        <v>29035</v>
      </c>
      <c r="J11" s="9">
        <f>Final!J7</f>
        <v>24451</v>
      </c>
      <c r="K11" s="9">
        <f>Final!K7</f>
        <v>24999</v>
      </c>
      <c r="L11" s="9">
        <f>Final!L7</f>
        <v>26134</v>
      </c>
      <c r="M11" s="9">
        <f>Final!M7</f>
        <v>28248</v>
      </c>
      <c r="N11" s="9">
        <f>Final!N7</f>
        <v>30784</v>
      </c>
      <c r="O11" s="9">
        <f>Final!O7</f>
        <v>38584</v>
      </c>
      <c r="P11" s="9">
        <f>Final!P7</f>
        <v>45702</v>
      </c>
      <c r="Q11" s="9">
        <f>Final!Q7</f>
        <v>50789</v>
      </c>
      <c r="R11" s="9">
        <f>Final!R7</f>
        <v>54297</v>
      </c>
      <c r="S11" s="9">
        <f>Final!S7</f>
        <v>50668</v>
      </c>
      <c r="T11" s="9">
        <f>Final!T7</f>
        <v>58410</v>
      </c>
      <c r="U11" s="9">
        <f>Final!U7</f>
        <v>91634</v>
      </c>
      <c r="V11" s="9">
        <f>Final!V7</f>
        <v>104861</v>
      </c>
      <c r="W11" s="9">
        <f>Final!W7</f>
        <v>104530</v>
      </c>
      <c r="X11" s="9">
        <f>Final!X7</f>
        <v>92259</v>
      </c>
      <c r="Y11" s="9">
        <f>Final!Y7</f>
        <v>80700</v>
      </c>
      <c r="Z11" s="9">
        <f>Final!Z7</f>
        <v>79434</v>
      </c>
      <c r="AA11" s="9">
        <f>Final!AA7</f>
        <v>92073</v>
      </c>
      <c r="AB11" s="9">
        <f>Final!AB7</f>
        <v>91425</v>
      </c>
      <c r="AC11" s="9">
        <f>Final!AC7</f>
        <v>85689</v>
      </c>
      <c r="AD11" s="9">
        <f>Final!AD7</f>
        <v>79590</v>
      </c>
      <c r="AE11" s="9">
        <f>Final!AE7</f>
        <v>83959</v>
      </c>
      <c r="AF11" s="9">
        <f>Final!AF7</f>
        <v>100662</v>
      </c>
      <c r="AG11" s="9">
        <f>Final!AG7</f>
        <v>87169</v>
      </c>
      <c r="AH11" s="9">
        <f>Final!AH7</f>
        <v>90964</v>
      </c>
      <c r="AI11" s="9">
        <f t="shared" ref="AI11:AN11" si="8">SUM(AI4:AI10)</f>
        <v>90417.280246182374</v>
      </c>
      <c r="AJ11" s="9">
        <f t="shared" si="8"/>
        <v>92431.015154471082</v>
      </c>
      <c r="AK11" s="9">
        <f t="shared" si="8"/>
        <v>94357.167058756153</v>
      </c>
      <c r="AL11" s="9">
        <f t="shared" si="8"/>
        <v>96168.469465980772</v>
      </c>
      <c r="AM11" s="9">
        <f t="shared" si="8"/>
        <v>97983.627593739977</v>
      </c>
      <c r="AN11" s="9">
        <f t="shared" si="8"/>
        <v>100106.82548239261</v>
      </c>
    </row>
    <row r="13" spans="1:40">
      <c r="A13" s="6" t="s">
        <v>349</v>
      </c>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row>
    <row r="14" spans="1:40">
      <c r="A14" s="10" t="s">
        <v>317</v>
      </c>
      <c r="O14" s="172">
        <f>SOC!O10</f>
        <v>-3746</v>
      </c>
      <c r="P14" s="172">
        <f>SOC!P10</f>
        <v>-4117</v>
      </c>
      <c r="Q14" s="172">
        <f>SOC!Q10</f>
        <v>-3699</v>
      </c>
      <c r="R14" s="172">
        <f>SOC!R10</f>
        <v>-3005</v>
      </c>
      <c r="S14" s="172">
        <f>SOC!S10</f>
        <v>-3149</v>
      </c>
      <c r="T14" s="172">
        <f>SOC!T10</f>
        <v>-3427</v>
      </c>
      <c r="U14" s="30">
        <f>SOC!U10</f>
        <v>-3863</v>
      </c>
      <c r="V14" s="30">
        <f>SOC!V10</f>
        <v>-4146</v>
      </c>
      <c r="W14" s="30">
        <f>SOC!W10</f>
        <v>-4475</v>
      </c>
      <c r="X14" s="30">
        <f>SOC!X10</f>
        <v>-3901</v>
      </c>
      <c r="Y14" s="30">
        <f>SOC!Y10</f>
        <v>-4143</v>
      </c>
      <c r="Z14" s="30">
        <f>SOC!Z10</f>
        <v>-4375</v>
      </c>
      <c r="AA14" s="30">
        <f>SOC!AA10</f>
        <v>-4706</v>
      </c>
      <c r="AB14" s="30">
        <f>SOC!AB10</f>
        <v>-4931</v>
      </c>
      <c r="AC14" s="30">
        <f>SOC!AC10</f>
        <v>-4753</v>
      </c>
      <c r="AD14" s="30">
        <f>SOC!AD10</f>
        <v>-5011</v>
      </c>
      <c r="AE14" s="30">
        <f>SOC!AE10</f>
        <v>-5434</v>
      </c>
      <c r="AF14" s="30">
        <f>SOC!AF10</f>
        <v>-5313</v>
      </c>
      <c r="AG14" s="30">
        <f>SOC!AG10</f>
        <v>-5380</v>
      </c>
      <c r="AH14" s="30">
        <f>SOC!AH10</f>
        <v>-5683</v>
      </c>
      <c r="AI14" s="30">
        <f>SOC!AI10</f>
        <v>-5773.0911026648355</v>
      </c>
      <c r="AJ14" s="30">
        <f>SOC!AJ10</f>
        <v>-5966.9839716911765</v>
      </c>
      <c r="AK14" s="30">
        <f>SOC!AK10</f>
        <v>-6153.0559218147064</v>
      </c>
      <c r="AL14" s="30">
        <f>SOC!AL10</f>
        <v>-6331.6224198846758</v>
      </c>
      <c r="AM14" s="30">
        <f>SOC!AM10</f>
        <v>-6493.3861710800757</v>
      </c>
      <c r="AN14" s="30">
        <f>SOC!AN10</f>
        <v>-6658.2250096799235</v>
      </c>
    </row>
    <row r="15" spans="1:40">
      <c r="A15" s="10" t="s">
        <v>237</v>
      </c>
      <c r="B15" s="7">
        <f>Aus!B15</f>
        <v>0</v>
      </c>
      <c r="C15" s="7">
        <f>Aus!C15</f>
        <v>0</v>
      </c>
      <c r="D15" s="7">
        <f>Aus!D15</f>
        <v>0</v>
      </c>
      <c r="E15" s="7">
        <f>Aus!E15</f>
        <v>0</v>
      </c>
      <c r="F15" s="7">
        <f>Aus!F15</f>
        <v>0</v>
      </c>
      <c r="G15" s="7">
        <f>Aus!G15</f>
        <v>0</v>
      </c>
      <c r="H15" s="7">
        <f>Aus!H15</f>
        <v>0</v>
      </c>
      <c r="I15" s="7">
        <f>Aus!I15</f>
        <v>0</v>
      </c>
      <c r="J15" s="7">
        <f>Aus!J15</f>
        <v>0</v>
      </c>
      <c r="K15" s="7">
        <f>Aus!K15</f>
        <v>0</v>
      </c>
      <c r="L15" s="7">
        <f>Aus!L15</f>
        <v>0</v>
      </c>
      <c r="M15" s="7">
        <f>Aus!M15</f>
        <v>-375</v>
      </c>
      <c r="N15" s="7">
        <f>Aus!N15</f>
        <v>-650</v>
      </c>
      <c r="O15" s="7">
        <f>Aus!O15</f>
        <v>-597</v>
      </c>
      <c r="P15" s="7">
        <f>Aus!P15</f>
        <v>-709</v>
      </c>
      <c r="Q15" s="7">
        <f>Aus!Q15</f>
        <v>-771</v>
      </c>
      <c r="R15" s="7">
        <f>Aus!R15</f>
        <v>-825</v>
      </c>
      <c r="S15" s="7">
        <f>Aus!S15</f>
        <v>-907</v>
      </c>
      <c r="T15" s="7">
        <f>Aus!T15</f>
        <v>-1240</v>
      </c>
      <c r="U15" s="7">
        <f>Aus!U15</f>
        <v>-1709</v>
      </c>
      <c r="V15" s="7">
        <f>Aus!V15</f>
        <v>-1895</v>
      </c>
      <c r="W15" s="7">
        <f>Aus!W15</f>
        <v>-1639</v>
      </c>
      <c r="X15" s="7">
        <f>Aus!X15</f>
        <v>-1122</v>
      </c>
      <c r="Y15" s="7">
        <f>Aus!Y15</f>
        <v>-986</v>
      </c>
      <c r="Z15" s="7">
        <f>Aus!Z15</f>
        <v>-831</v>
      </c>
      <c r="AA15" s="7">
        <f>Aus!AA15</f>
        <v>-931</v>
      </c>
      <c r="AB15" s="7">
        <f>Aus!AB15</f>
        <v>-1006</v>
      </c>
      <c r="AC15" s="7">
        <f>Aus!AC15</f>
        <v>-1168</v>
      </c>
      <c r="AD15" s="7">
        <f>Aus!AD15</f>
        <v>-1348</v>
      </c>
      <c r="AE15" s="7">
        <f>Aus!AE15</f>
        <v>-1783</v>
      </c>
      <c r="AF15" s="7">
        <f>Aus!AF15</f>
        <v>-1943</v>
      </c>
      <c r="AG15" s="7">
        <f>Aus!AG15</f>
        <v>-1856</v>
      </c>
      <c r="AH15" s="7">
        <f>Aus!AH15</f>
        <v>-2233</v>
      </c>
      <c r="AI15" s="7">
        <f>Aus!AI15</f>
        <v>-2082.8533950617284</v>
      </c>
      <c r="AJ15" s="7">
        <f>Aus!AJ15</f>
        <v>-2016.0909295140477</v>
      </c>
      <c r="AK15" s="7">
        <f>Aus!AK15</f>
        <v>-1905.2793006483164</v>
      </c>
      <c r="AL15" s="7">
        <f>Aus!AL15</f>
        <v>-1768.6476458608611</v>
      </c>
      <c r="AM15" s="7">
        <f>Aus!AM15</f>
        <v>-1619.2336175534458</v>
      </c>
      <c r="AN15" s="7">
        <f>Aus!AN15</f>
        <v>-1466.1753142614969</v>
      </c>
    </row>
    <row r="16" spans="1:40">
      <c r="A16" s="10" t="s">
        <v>213</v>
      </c>
      <c r="B16" s="7">
        <f>CN!B11</f>
        <v>0</v>
      </c>
      <c r="C16" s="7">
        <f>CN!C11</f>
        <v>0</v>
      </c>
      <c r="D16" s="7">
        <f>CN!D11</f>
        <v>0</v>
      </c>
      <c r="E16" s="7">
        <f>CN!E11</f>
        <v>0</v>
      </c>
      <c r="F16" s="7">
        <f>CN!F11</f>
        <v>0</v>
      </c>
      <c r="G16" s="7">
        <f>CN!G11</f>
        <v>0</v>
      </c>
      <c r="H16" s="7">
        <f>CN!H11</f>
        <v>0</v>
      </c>
      <c r="I16" s="7">
        <f>CN!I11</f>
        <v>0</v>
      </c>
      <c r="J16" s="7">
        <f>CN!J11</f>
        <v>0</v>
      </c>
      <c r="K16" s="7">
        <f>CN!K11</f>
        <v>0</v>
      </c>
      <c r="L16" s="7">
        <f>CN!L11</f>
        <v>0</v>
      </c>
      <c r="M16" s="7">
        <f>CN!M11</f>
        <v>0</v>
      </c>
      <c r="N16" s="7">
        <f>CN!N11</f>
        <v>0</v>
      </c>
      <c r="O16" s="7">
        <f>CN!O11</f>
        <v>0</v>
      </c>
      <c r="P16" s="7">
        <f>CN!P11</f>
        <v>0</v>
      </c>
      <c r="Q16" s="7">
        <f>CN!Q11</f>
        <v>-39</v>
      </c>
      <c r="R16" s="7">
        <f>CN!R11</f>
        <v>-51</v>
      </c>
      <c r="S16" s="7">
        <f>CN!S11</f>
        <v>-68</v>
      </c>
      <c r="T16" s="7">
        <f>CN!T11</f>
        <v>-81</v>
      </c>
      <c r="U16" s="7">
        <f>CN!U11</f>
        <v>-148</v>
      </c>
      <c r="V16" s="7">
        <f>CN!V11</f>
        <v>-209</v>
      </c>
      <c r="W16" s="7">
        <f>CN!W11</f>
        <v>-213</v>
      </c>
      <c r="X16" s="7">
        <f>CN!X11</f>
        <v>-231</v>
      </c>
      <c r="Y16" s="7">
        <f>CN!Y11</f>
        <v>-245</v>
      </c>
      <c r="Z16" s="7">
        <f>CN!Z11</f>
        <v>-310</v>
      </c>
      <c r="AA16" s="7">
        <f>CN!AA11</f>
        <v>-364</v>
      </c>
      <c r="AB16" s="7">
        <f>CN!AB11</f>
        <v>-422</v>
      </c>
      <c r="AC16" s="7">
        <f>CN!AC11</f>
        <v>-459</v>
      </c>
      <c r="AD16" s="7">
        <f>CN!AD11</f>
        <v>-492</v>
      </c>
      <c r="AE16" s="7">
        <f>CN!AE11</f>
        <v>-531</v>
      </c>
      <c r="AF16" s="7">
        <f>CN!AF11</f>
        <v>-535</v>
      </c>
      <c r="AG16" s="7">
        <f>CN!AG11</f>
        <v>-545</v>
      </c>
      <c r="AH16" s="7">
        <f>CN!AH11</f>
        <v>-558</v>
      </c>
      <c r="AI16" s="7">
        <f>CN!AI11</f>
        <v>-598.88328075709785</v>
      </c>
      <c r="AJ16" s="7">
        <f>CN!AJ11</f>
        <v>-671.85520803272004</v>
      </c>
      <c r="AK16" s="7">
        <f>CN!AK11</f>
        <v>-719.28803533685573</v>
      </c>
      <c r="AL16" s="7">
        <f>CN!AL11</f>
        <v>-746.91104910321724</v>
      </c>
      <c r="AM16" s="7">
        <f>CN!AM11</f>
        <v>-759.27239016360238</v>
      </c>
      <c r="AN16" s="7">
        <f>CN!AN11</f>
        <v>-770.93182542245154</v>
      </c>
    </row>
    <row r="17" spans="1:40">
      <c r="A17" s="10" t="s">
        <v>355</v>
      </c>
      <c r="B17" s="7">
        <f>India!B8</f>
        <v>0</v>
      </c>
      <c r="C17" s="7">
        <f>India!C8</f>
        <v>0</v>
      </c>
      <c r="D17" s="7">
        <f>India!D8</f>
        <v>0</v>
      </c>
      <c r="E17" s="7">
        <f>India!E8</f>
        <v>0</v>
      </c>
      <c r="F17" s="7">
        <f>India!F8</f>
        <v>0</v>
      </c>
      <c r="G17" s="7">
        <f>India!G8</f>
        <v>0</v>
      </c>
      <c r="H17" s="7">
        <f>India!H8</f>
        <v>0</v>
      </c>
      <c r="I17" s="7">
        <f>India!I8</f>
        <v>0</v>
      </c>
      <c r="J17" s="7">
        <f>India!J8</f>
        <v>0</v>
      </c>
      <c r="K17" s="7">
        <f>India!K8</f>
        <v>0</v>
      </c>
      <c r="L17" s="7">
        <f>India!L8</f>
        <v>0</v>
      </c>
      <c r="M17" s="7">
        <f>India!M8</f>
        <v>0</v>
      </c>
      <c r="N17" s="7">
        <f>India!N8</f>
        <v>0</v>
      </c>
      <c r="O17" s="7">
        <f>India!O8</f>
        <v>-2</v>
      </c>
      <c r="P17" s="7">
        <f>India!P8</f>
        <v>-2</v>
      </c>
      <c r="Q17" s="7">
        <f>India!Q8</f>
        <v>-1</v>
      </c>
      <c r="R17" s="7">
        <f>India!R8</f>
        <v>-9</v>
      </c>
      <c r="S17" s="7">
        <f>India!S8</f>
        <v>-35</v>
      </c>
      <c r="T17" s="7">
        <f>India!T8</f>
        <v>-112</v>
      </c>
      <c r="U17" s="7">
        <f>India!U8</f>
        <v>-182</v>
      </c>
      <c r="V17" s="7">
        <f>India!V8</f>
        <v>-355</v>
      </c>
      <c r="W17" s="7">
        <f>India!W8</f>
        <v>-424</v>
      </c>
      <c r="X17" s="7">
        <f>India!X8</f>
        <v>-567</v>
      </c>
      <c r="Y17" s="7">
        <f>India!Y8</f>
        <v>-556</v>
      </c>
      <c r="Z17" s="7">
        <f>India!Z8</f>
        <v>-571</v>
      </c>
      <c r="AA17" s="7">
        <f>India!AA8</f>
        <v>-599</v>
      </c>
      <c r="AB17" s="7">
        <f>India!AB8</f>
        <v>-608</v>
      </c>
      <c r="AC17" s="7">
        <f>India!AC8</f>
        <v>-626</v>
      </c>
      <c r="AD17" s="7">
        <f>India!AD8</f>
        <v>-597</v>
      </c>
      <c r="AE17" s="7">
        <v>-671</v>
      </c>
      <c r="AF17" s="7">
        <v>-283</v>
      </c>
      <c r="AG17" s="7">
        <v>0</v>
      </c>
      <c r="AH17" s="7">
        <v>0</v>
      </c>
      <c r="AI17" s="81">
        <f>India!AI8</f>
        <v>0</v>
      </c>
      <c r="AJ17" s="81">
        <f>India!AJ8</f>
        <v>0</v>
      </c>
      <c r="AK17" s="81">
        <f>India!AK8</f>
        <v>0</v>
      </c>
      <c r="AL17" s="81">
        <f>India!AL8</f>
        <v>0</v>
      </c>
      <c r="AM17" s="81">
        <f>India!AM8</f>
        <v>0</v>
      </c>
      <c r="AN17" s="81">
        <f>India!AN8</f>
        <v>0</v>
      </c>
    </row>
    <row r="18" spans="1:40">
      <c r="A18" s="10" t="s">
        <v>508</v>
      </c>
      <c r="B18" s="7">
        <f>SEA!B9</f>
        <v>0</v>
      </c>
      <c r="C18" s="7">
        <f>SEA!C9</f>
        <v>0</v>
      </c>
      <c r="D18" s="7">
        <f>SEA!D9</f>
        <v>0</v>
      </c>
      <c r="E18" s="7">
        <f>SEA!E9</f>
        <v>0</v>
      </c>
      <c r="F18" s="7">
        <f>SEA!F9</f>
        <v>0</v>
      </c>
      <c r="G18" s="7">
        <f>SEA!G9</f>
        <v>0</v>
      </c>
      <c r="H18" s="7">
        <f>SEA!H9</f>
        <v>0</v>
      </c>
      <c r="I18" s="7">
        <f>SEA!I9</f>
        <v>0</v>
      </c>
      <c r="J18" s="7">
        <f>SEA!J9</f>
        <v>0</v>
      </c>
      <c r="K18" s="7">
        <f>SEA!K9</f>
        <v>0</v>
      </c>
      <c r="L18" s="7">
        <f>SEA!L9</f>
        <v>0</v>
      </c>
      <c r="M18" s="7">
        <f>SEA!M9</f>
        <v>0</v>
      </c>
      <c r="N18" s="7">
        <f>SEA!N9</f>
        <v>0</v>
      </c>
      <c r="O18" s="7">
        <f>SEA!O9</f>
        <v>-1</v>
      </c>
      <c r="P18" s="7">
        <f>SEA!P9</f>
        <v>-1</v>
      </c>
      <c r="Q18" s="7">
        <f>SEA!Q9</f>
        <v>0</v>
      </c>
      <c r="R18" s="7">
        <f>SEA!R9</f>
        <v>0</v>
      </c>
      <c r="S18" s="7">
        <f>SEA!S9</f>
        <v>0</v>
      </c>
      <c r="T18" s="7">
        <f>SEA!T9</f>
        <v>0</v>
      </c>
      <c r="U18" s="7">
        <f>SEA!U9</f>
        <v>0</v>
      </c>
      <c r="V18" s="7">
        <f>SEA!V9</f>
        <v>0</v>
      </c>
      <c r="W18" s="7">
        <f>SEA!W9</f>
        <v>0</v>
      </c>
      <c r="X18" s="7">
        <f>SEA!X9</f>
        <v>0</v>
      </c>
      <c r="Y18" s="7">
        <f>SEA!Y9</f>
        <v>0</v>
      </c>
      <c r="Z18" s="7">
        <f>SEA!Z9</f>
        <v>0</v>
      </c>
      <c r="AA18" s="7">
        <f>SEA!AA9</f>
        <v>0</v>
      </c>
      <c r="AB18" s="7">
        <f>SEA!AB9</f>
        <v>0</v>
      </c>
      <c r="AC18" s="7">
        <f>SEA!AC9</f>
        <v>0</v>
      </c>
      <c r="AD18" s="7">
        <f>SEA!AD9</f>
        <v>0</v>
      </c>
      <c r="AE18" s="7">
        <f>SEA!AE9</f>
        <v>0</v>
      </c>
      <c r="AF18" s="7">
        <f>SEA!AF9</f>
        <v>0</v>
      </c>
      <c r="AG18" s="7">
        <f>SEA!AG9</f>
        <v>0</v>
      </c>
      <c r="AH18" s="7">
        <f>SEA!AH9</f>
        <v>0</v>
      </c>
      <c r="AI18" s="7">
        <f>SEA!AI9</f>
        <v>0</v>
      </c>
      <c r="AJ18" s="7">
        <f>SEA!AJ9</f>
        <v>0</v>
      </c>
      <c r="AK18" s="7">
        <f>SEA!AK9</f>
        <v>0</v>
      </c>
      <c r="AL18" s="7">
        <f>SEA!AL9</f>
        <v>0</v>
      </c>
      <c r="AM18" s="7">
        <f>SEA!AM9</f>
        <v>0</v>
      </c>
      <c r="AN18" s="7">
        <f>SEA!AN9</f>
        <v>0</v>
      </c>
    </row>
    <row r="19" spans="1:40">
      <c r="A19" s="10" t="s">
        <v>346</v>
      </c>
      <c r="B19" s="7">
        <f t="shared" ref="B19:U19" si="9">B20-SUM(B14:B18)</f>
        <v>-852</v>
      </c>
      <c r="C19" s="7">
        <f t="shared" si="9"/>
        <v>-953</v>
      </c>
      <c r="D19" s="7">
        <f t="shared" si="9"/>
        <v>-783</v>
      </c>
      <c r="E19" s="7">
        <f t="shared" si="9"/>
        <v>-888</v>
      </c>
      <c r="F19" s="7">
        <f t="shared" si="9"/>
        <v>-1002</v>
      </c>
      <c r="G19" s="7">
        <f t="shared" si="9"/>
        <v>-1155</v>
      </c>
      <c r="H19" s="7">
        <f t="shared" si="9"/>
        <v>-1270</v>
      </c>
      <c r="I19" s="7">
        <f t="shared" si="9"/>
        <v>-1704</v>
      </c>
      <c r="J19" s="7">
        <f t="shared" si="9"/>
        <v>-1474</v>
      </c>
      <c r="K19" s="7">
        <f t="shared" si="9"/>
        <v>-1624</v>
      </c>
      <c r="L19" s="7">
        <f t="shared" si="9"/>
        <v>-1749</v>
      </c>
      <c r="M19" s="7">
        <f t="shared" si="9"/>
        <v>-1982</v>
      </c>
      <c r="N19" s="7">
        <f t="shared" si="9"/>
        <v>-1920</v>
      </c>
      <c r="O19" s="7">
        <f t="shared" si="9"/>
        <v>1516</v>
      </c>
      <c r="P19" s="7">
        <f t="shared" si="9"/>
        <v>26</v>
      </c>
      <c r="Q19" s="7">
        <f t="shared" si="9"/>
        <v>58</v>
      </c>
      <c r="R19" s="7">
        <f t="shared" si="9"/>
        <v>57</v>
      </c>
      <c r="S19" s="7">
        <f t="shared" si="9"/>
        <v>52</v>
      </c>
      <c r="T19" s="7">
        <f t="shared" si="9"/>
        <v>48</v>
      </c>
      <c r="U19" s="7">
        <f t="shared" si="9"/>
        <v>45</v>
      </c>
      <c r="V19" s="7">
        <f t="shared" ref="V19:AE19" si="10">V20-SUM(V14:V18)</f>
        <v>137</v>
      </c>
      <c r="W19" s="7">
        <f t="shared" si="10"/>
        <v>51</v>
      </c>
      <c r="X19" s="7">
        <f t="shared" si="10"/>
        <v>-34</v>
      </c>
      <c r="Y19" s="7">
        <f t="shared" si="10"/>
        <v>-95</v>
      </c>
      <c r="Z19" s="7">
        <f t="shared" si="10"/>
        <v>-60</v>
      </c>
      <c r="AA19" s="7">
        <f t="shared" si="10"/>
        <v>-90</v>
      </c>
      <c r="AB19" s="7">
        <f t="shared" si="10"/>
        <v>-89</v>
      </c>
      <c r="AC19" s="7">
        <f t="shared" si="10"/>
        <v>-104</v>
      </c>
      <c r="AD19" s="7">
        <f t="shared" si="10"/>
        <v>-121</v>
      </c>
      <c r="AE19" s="7">
        <f t="shared" si="10"/>
        <v>-69</v>
      </c>
      <c r="AF19" s="7">
        <f>AF20-SUM(AF14:AF18)</f>
        <v>-126</v>
      </c>
      <c r="AG19" s="7">
        <f>AG20-SUM(AG14:AG18)</f>
        <v>-108</v>
      </c>
      <c r="AH19" s="7">
        <f>AH20-SUM(AH14:AH18)</f>
        <v>-95</v>
      </c>
      <c r="AI19" s="81">
        <f t="shared" ref="AI19" si="11">AH19</f>
        <v>-95</v>
      </c>
      <c r="AJ19" s="81">
        <f t="shared" ref="AJ19" si="12">AI19</f>
        <v>-95</v>
      </c>
      <c r="AK19" s="81">
        <f t="shared" ref="AK19" si="13">AJ19</f>
        <v>-95</v>
      </c>
      <c r="AL19" s="81">
        <f t="shared" ref="AL19" si="14">AK19</f>
        <v>-95</v>
      </c>
      <c r="AM19" s="81">
        <f>AL19</f>
        <v>-95</v>
      </c>
      <c r="AN19" s="81">
        <f t="shared" ref="AN19" si="15">AM19</f>
        <v>-95</v>
      </c>
    </row>
    <row r="20" spans="1:40">
      <c r="A20" s="406" t="s">
        <v>658</v>
      </c>
      <c r="B20" s="82">
        <f>B26-B24</f>
        <v>-852</v>
      </c>
      <c r="C20" s="82">
        <f t="shared" ref="C20:AF20" si="16">C26-C24</f>
        <v>-953</v>
      </c>
      <c r="D20" s="82">
        <f t="shared" si="16"/>
        <v>-783</v>
      </c>
      <c r="E20" s="82">
        <f t="shared" si="16"/>
        <v>-888</v>
      </c>
      <c r="F20" s="82">
        <f t="shared" si="16"/>
        <v>-1002</v>
      </c>
      <c r="G20" s="82">
        <f t="shared" si="16"/>
        <v>-1155</v>
      </c>
      <c r="H20" s="82">
        <f t="shared" si="16"/>
        <v>-1270</v>
      </c>
      <c r="I20" s="82">
        <f t="shared" si="16"/>
        <v>-1704</v>
      </c>
      <c r="J20" s="82">
        <f t="shared" si="16"/>
        <v>-1474</v>
      </c>
      <c r="K20" s="82">
        <f t="shared" si="16"/>
        <v>-1624</v>
      </c>
      <c r="L20" s="82">
        <f t="shared" si="16"/>
        <v>-1749</v>
      </c>
      <c r="M20" s="82">
        <f t="shared" si="16"/>
        <v>-2357</v>
      </c>
      <c r="N20" s="82">
        <f t="shared" si="16"/>
        <v>-2570</v>
      </c>
      <c r="O20" s="82">
        <f t="shared" si="16"/>
        <v>-2830</v>
      </c>
      <c r="P20" s="82">
        <f t="shared" si="16"/>
        <v>-4803</v>
      </c>
      <c r="Q20" s="82">
        <f t="shared" si="16"/>
        <v>-4452</v>
      </c>
      <c r="R20" s="82">
        <f t="shared" si="16"/>
        <v>-3833</v>
      </c>
      <c r="S20" s="82">
        <f t="shared" si="16"/>
        <v>-4107</v>
      </c>
      <c r="T20" s="82">
        <f t="shared" si="16"/>
        <v>-4812</v>
      </c>
      <c r="U20" s="82">
        <f t="shared" si="16"/>
        <v>-5857</v>
      </c>
      <c r="V20" s="82">
        <f t="shared" si="16"/>
        <v>-6468</v>
      </c>
      <c r="W20" s="82">
        <f t="shared" si="16"/>
        <v>-6700</v>
      </c>
      <c r="X20" s="82">
        <f t="shared" si="16"/>
        <v>-5855</v>
      </c>
      <c r="Y20" s="82">
        <f t="shared" si="16"/>
        <v>-6025</v>
      </c>
      <c r="Z20" s="82">
        <f t="shared" si="16"/>
        <v>-6147</v>
      </c>
      <c r="AA20" s="82">
        <f t="shared" si="16"/>
        <v>-6690</v>
      </c>
      <c r="AB20" s="82">
        <f t="shared" si="16"/>
        <v>-7056</v>
      </c>
      <c r="AC20" s="82">
        <f t="shared" si="16"/>
        <v>-7110</v>
      </c>
      <c r="AD20" s="82">
        <f t="shared" si="16"/>
        <v>-7569</v>
      </c>
      <c r="AE20" s="82">
        <f t="shared" si="16"/>
        <v>-8488</v>
      </c>
      <c r="AF20" s="82">
        <f t="shared" si="16"/>
        <v>-8200</v>
      </c>
      <c r="AG20" s="82">
        <f t="shared" ref="AG20:AH20" si="17">AG26-AG24</f>
        <v>-7889</v>
      </c>
      <c r="AH20" s="82">
        <f t="shared" si="17"/>
        <v>-8569</v>
      </c>
      <c r="AI20" s="82">
        <f t="shared" ref="AI20:AN20" si="18">SUM(AI14:AI19)</f>
        <v>-8549.8277784836609</v>
      </c>
      <c r="AJ20" s="82">
        <f t="shared" si="18"/>
        <v>-8749.9301092379446</v>
      </c>
      <c r="AK20" s="82">
        <f t="shared" si="18"/>
        <v>-8872.623257799878</v>
      </c>
      <c r="AL20" s="82">
        <f t="shared" si="18"/>
        <v>-8942.1811148487541</v>
      </c>
      <c r="AM20" s="82">
        <f t="shared" si="18"/>
        <v>-8966.8921787971231</v>
      </c>
      <c r="AN20" s="82">
        <f t="shared" si="18"/>
        <v>-8990.3321493638723</v>
      </c>
    </row>
    <row r="22" spans="1:40">
      <c r="A22" s="10" t="s">
        <v>237</v>
      </c>
      <c r="B22" s="7">
        <f>Aus!B14</f>
        <v>0</v>
      </c>
      <c r="C22" s="7">
        <f>Aus!C14</f>
        <v>0</v>
      </c>
      <c r="D22" s="7">
        <f>Aus!D14</f>
        <v>0</v>
      </c>
      <c r="E22" s="7">
        <f>Aus!E14</f>
        <v>0</v>
      </c>
      <c r="F22" s="7">
        <f>Aus!F14</f>
        <v>0</v>
      </c>
      <c r="G22" s="7">
        <f>Aus!G14</f>
        <v>0</v>
      </c>
      <c r="H22" s="7">
        <f>Aus!H14</f>
        <v>0</v>
      </c>
      <c r="I22" s="7">
        <f>Aus!I14</f>
        <v>0</v>
      </c>
      <c r="J22" s="7">
        <f>Aus!J14</f>
        <v>0</v>
      </c>
      <c r="K22" s="7">
        <f>Aus!K14</f>
        <v>0</v>
      </c>
      <c r="L22" s="7">
        <f>Aus!L14</f>
        <v>0</v>
      </c>
      <c r="M22" s="7">
        <f>Aus!M14</f>
        <v>0</v>
      </c>
      <c r="N22" s="7">
        <f>Aus!N14</f>
        <v>0</v>
      </c>
      <c r="O22" s="7">
        <f>Aus!O14</f>
        <v>-66</v>
      </c>
      <c r="P22" s="7">
        <f>Aus!P14</f>
        <v>-165</v>
      </c>
      <c r="Q22" s="7">
        <f>Aus!Q14</f>
        <v>-198</v>
      </c>
      <c r="R22" s="7">
        <f>Aus!R14</f>
        <v>-222</v>
      </c>
      <c r="S22" s="7">
        <f>Aus!S14</f>
        <v>-225</v>
      </c>
      <c r="T22" s="7">
        <f>Aus!T14</f>
        <v>-253</v>
      </c>
      <c r="U22" s="7">
        <f>Aus!U14</f>
        <v>-496</v>
      </c>
      <c r="V22" s="7">
        <f>Aus!V14</f>
        <v>-553</v>
      </c>
      <c r="W22" s="7">
        <f>Aus!W14</f>
        <v>-892</v>
      </c>
      <c r="X22" s="7">
        <f>Aus!X14</f>
        <v>-755</v>
      </c>
      <c r="Y22" s="7">
        <f>Aus!Y14</f>
        <v>-468</v>
      </c>
      <c r="Z22" s="7">
        <f>Aus!Z14</f>
        <v>-489</v>
      </c>
      <c r="AA22" s="7">
        <f>Aus!AA14</f>
        <v>-404</v>
      </c>
      <c r="AB22" s="7">
        <f>Aus!AB14</f>
        <v>-675</v>
      </c>
      <c r="AC22" s="7">
        <f>Aus!AC14</f>
        <v>-732</v>
      </c>
      <c r="AD22" s="7">
        <f>Aus!AD14</f>
        <v>-652</v>
      </c>
      <c r="AE22" s="7">
        <f>Aus!AE14</f>
        <v>-544</v>
      </c>
      <c r="AF22" s="7">
        <f>Aus!AF14</f>
        <v>-425</v>
      </c>
      <c r="AG22" s="7">
        <f>Aus!AG14</f>
        <v>-425</v>
      </c>
      <c r="AH22" s="7">
        <f>Aus!AH14</f>
        <v>-425</v>
      </c>
      <c r="AI22" s="7">
        <f>Aus!AI14</f>
        <v>-425</v>
      </c>
      <c r="AJ22" s="7">
        <f>Aus!AJ14</f>
        <v>-425</v>
      </c>
      <c r="AK22" s="7">
        <f>Aus!AK14</f>
        <v>-425</v>
      </c>
      <c r="AL22" s="7">
        <f>Aus!AL14</f>
        <v>-425</v>
      </c>
      <c r="AM22" s="7">
        <f>Aus!AM14</f>
        <v>-425</v>
      </c>
      <c r="AN22" s="7">
        <f>Aus!AN14</f>
        <v>-425</v>
      </c>
    </row>
    <row r="23" spans="1:40">
      <c r="A23" s="10" t="s">
        <v>213</v>
      </c>
      <c r="B23" s="7">
        <f>CN!B10</f>
        <v>0</v>
      </c>
      <c r="C23" s="7">
        <f>CN!C10</f>
        <v>0</v>
      </c>
      <c r="D23" s="7">
        <f>CN!D10</f>
        <v>0</v>
      </c>
      <c r="E23" s="7">
        <f>CN!E10</f>
        <v>0</v>
      </c>
      <c r="F23" s="7">
        <f>CN!F10</f>
        <v>0</v>
      </c>
      <c r="G23" s="7">
        <f>CN!G10</f>
        <v>0</v>
      </c>
      <c r="H23" s="7">
        <f>CN!H10</f>
        <v>0</v>
      </c>
      <c r="I23" s="7">
        <f>CN!I10</f>
        <v>0</v>
      </c>
      <c r="J23" s="7">
        <f>CN!J10</f>
        <v>0</v>
      </c>
      <c r="K23" s="7">
        <f>CN!K10</f>
        <v>0</v>
      </c>
      <c r="L23" s="7">
        <f>CN!L10</f>
        <v>0</v>
      </c>
      <c r="M23" s="7">
        <f>CN!M10</f>
        <v>0</v>
      </c>
      <c r="N23" s="7">
        <f>CN!N10</f>
        <v>0</v>
      </c>
      <c r="O23" s="7">
        <f>CN!O10</f>
        <v>0</v>
      </c>
      <c r="P23" s="7">
        <f>CN!P10</f>
        <v>0</v>
      </c>
      <c r="Q23" s="7">
        <f>CN!Q10</f>
        <v>0</v>
      </c>
      <c r="R23" s="7">
        <f>CN!R10</f>
        <v>0</v>
      </c>
      <c r="S23" s="7">
        <f>CN!S10</f>
        <v>0</v>
      </c>
      <c r="T23" s="7">
        <f>CN!T10</f>
        <v>0</v>
      </c>
      <c r="U23" s="7">
        <f>CN!U10</f>
        <v>0</v>
      </c>
      <c r="V23" s="7">
        <f>CN!V10</f>
        <v>0</v>
      </c>
      <c r="W23" s="7">
        <f>CN!W10</f>
        <v>0</v>
      </c>
      <c r="X23" s="7">
        <f>CN!X10</f>
        <v>-181</v>
      </c>
      <c r="Y23" s="7">
        <f>CN!Y10</f>
        <v>-272</v>
      </c>
      <c r="Z23" s="7">
        <f>CN!Z10</f>
        <v>-273</v>
      </c>
      <c r="AA23" s="7">
        <f>CN!AA10</f>
        <v>-274</v>
      </c>
      <c r="AB23" s="7">
        <f>CN!AB10</f>
        <v>-274</v>
      </c>
      <c r="AC23" s="7">
        <f>CN!AC10</f>
        <v>-276</v>
      </c>
      <c r="AD23" s="7">
        <f>CN!AD10</f>
        <v>-255</v>
      </c>
      <c r="AE23" s="7">
        <f>CN!AE10</f>
        <v>-276</v>
      </c>
      <c r="AF23" s="7">
        <f>CN!AF10</f>
        <v>-279</v>
      </c>
      <c r="AG23" s="7">
        <f>CN!AG10</f>
        <v>-280</v>
      </c>
      <c r="AH23" s="7">
        <f>CN!AH10</f>
        <v>-282</v>
      </c>
      <c r="AI23" s="7">
        <f>CN!AI10</f>
        <v>-282</v>
      </c>
      <c r="AJ23" s="7">
        <f>CN!AJ10</f>
        <v>-282</v>
      </c>
      <c r="AK23" s="7">
        <f>CN!AK10</f>
        <v>-282</v>
      </c>
      <c r="AL23" s="7">
        <f>CN!AL10</f>
        <v>-282</v>
      </c>
      <c r="AM23" s="7">
        <f>CN!AM10</f>
        <v>-282</v>
      </c>
      <c r="AN23" s="7">
        <f>CN!AN10</f>
        <v>-282</v>
      </c>
    </row>
    <row r="24" spans="1:40">
      <c r="A24" s="406" t="s">
        <v>659</v>
      </c>
      <c r="B24" s="82">
        <f>B22+B23</f>
        <v>0</v>
      </c>
      <c r="C24" s="82">
        <f t="shared" ref="C24:AF24" si="19">C22+C23</f>
        <v>0</v>
      </c>
      <c r="D24" s="82">
        <f t="shared" si="19"/>
        <v>0</v>
      </c>
      <c r="E24" s="82">
        <f t="shared" si="19"/>
        <v>0</v>
      </c>
      <c r="F24" s="82">
        <f t="shared" si="19"/>
        <v>0</v>
      </c>
      <c r="G24" s="82">
        <f t="shared" si="19"/>
        <v>0</v>
      </c>
      <c r="H24" s="82">
        <f t="shared" si="19"/>
        <v>0</v>
      </c>
      <c r="I24" s="82">
        <f t="shared" si="19"/>
        <v>0</v>
      </c>
      <c r="J24" s="82">
        <f t="shared" si="19"/>
        <v>0</v>
      </c>
      <c r="K24" s="82">
        <f t="shared" si="19"/>
        <v>0</v>
      </c>
      <c r="L24" s="82">
        <f t="shared" si="19"/>
        <v>0</v>
      </c>
      <c r="M24" s="82">
        <f t="shared" si="19"/>
        <v>0</v>
      </c>
      <c r="N24" s="82">
        <f t="shared" si="19"/>
        <v>0</v>
      </c>
      <c r="O24" s="82">
        <f t="shared" si="19"/>
        <v>-66</v>
      </c>
      <c r="P24" s="82">
        <f t="shared" si="19"/>
        <v>-165</v>
      </c>
      <c r="Q24" s="82">
        <f t="shared" si="19"/>
        <v>-198</v>
      </c>
      <c r="R24" s="82">
        <f t="shared" si="19"/>
        <v>-222</v>
      </c>
      <c r="S24" s="82">
        <f t="shared" si="19"/>
        <v>-225</v>
      </c>
      <c r="T24" s="82">
        <f t="shared" si="19"/>
        <v>-253</v>
      </c>
      <c r="U24" s="82">
        <f t="shared" si="19"/>
        <v>-496</v>
      </c>
      <c r="V24" s="82">
        <f t="shared" si="19"/>
        <v>-553</v>
      </c>
      <c r="W24" s="82">
        <f t="shared" si="19"/>
        <v>-892</v>
      </c>
      <c r="X24" s="82">
        <f t="shared" si="19"/>
        <v>-936</v>
      </c>
      <c r="Y24" s="82">
        <f t="shared" si="19"/>
        <v>-740</v>
      </c>
      <c r="Z24" s="82">
        <f t="shared" si="19"/>
        <v>-762</v>
      </c>
      <c r="AA24" s="82">
        <f t="shared" si="19"/>
        <v>-678</v>
      </c>
      <c r="AB24" s="82">
        <f t="shared" si="19"/>
        <v>-949</v>
      </c>
      <c r="AC24" s="82">
        <f t="shared" si="19"/>
        <v>-1008</v>
      </c>
      <c r="AD24" s="82">
        <f t="shared" si="19"/>
        <v>-907</v>
      </c>
      <c r="AE24" s="82">
        <f t="shared" si="19"/>
        <v>-820</v>
      </c>
      <c r="AF24" s="82">
        <f t="shared" si="19"/>
        <v>-704</v>
      </c>
      <c r="AG24" s="82">
        <f t="shared" ref="AG24" si="20">AG22+AG23</f>
        <v>-705</v>
      </c>
      <c r="AH24" s="82">
        <f t="shared" ref="AH24:AN24" si="21">AH22+AH23</f>
        <v>-707</v>
      </c>
      <c r="AI24" s="82">
        <f t="shared" si="21"/>
        <v>-707</v>
      </c>
      <c r="AJ24" s="82">
        <f t="shared" si="21"/>
        <v>-707</v>
      </c>
      <c r="AK24" s="82">
        <f t="shared" si="21"/>
        <v>-707</v>
      </c>
      <c r="AL24" s="82">
        <f t="shared" si="21"/>
        <v>-707</v>
      </c>
      <c r="AM24" s="82">
        <f t="shared" si="21"/>
        <v>-707</v>
      </c>
      <c r="AN24" s="82">
        <f t="shared" si="21"/>
        <v>-707</v>
      </c>
    </row>
    <row r="26" spans="1:40">
      <c r="A26" s="80" t="s">
        <v>519</v>
      </c>
      <c r="B26" s="9">
        <f>Final!B12</f>
        <v>-852</v>
      </c>
      <c r="C26" s="9">
        <f>Final!C12</f>
        <v>-953</v>
      </c>
      <c r="D26" s="9">
        <f>Final!D12</f>
        <v>-783</v>
      </c>
      <c r="E26" s="9">
        <f>Final!E12</f>
        <v>-888</v>
      </c>
      <c r="F26" s="9">
        <f>Final!F12</f>
        <v>-1002</v>
      </c>
      <c r="G26" s="9">
        <f>Final!G12</f>
        <v>-1155</v>
      </c>
      <c r="H26" s="9">
        <f>Final!H12</f>
        <v>-1270</v>
      </c>
      <c r="I26" s="9">
        <f>Final!I12</f>
        <v>-1704</v>
      </c>
      <c r="J26" s="9">
        <f>Final!J12</f>
        <v>-1474</v>
      </c>
      <c r="K26" s="9">
        <f>Final!K12</f>
        <v>-1624</v>
      </c>
      <c r="L26" s="9">
        <f>Final!L12</f>
        <v>-1749</v>
      </c>
      <c r="M26" s="9">
        <f>Final!M12</f>
        <v>-2357</v>
      </c>
      <c r="N26" s="9">
        <f>Final!N12</f>
        <v>-2570</v>
      </c>
      <c r="O26" s="9">
        <f>Final!O12</f>
        <v>-2896</v>
      </c>
      <c r="P26" s="9">
        <f>Final!P12</f>
        <v>-4968</v>
      </c>
      <c r="Q26" s="9">
        <f>Final!Q12</f>
        <v>-4650</v>
      </c>
      <c r="R26" s="9">
        <f>Final!R12</f>
        <v>-4055</v>
      </c>
      <c r="S26" s="9">
        <f>Final!S12</f>
        <v>-4332</v>
      </c>
      <c r="T26" s="9">
        <f>Final!T12</f>
        <v>-5065</v>
      </c>
      <c r="U26" s="9">
        <f>Final!U12</f>
        <v>-6353</v>
      </c>
      <c r="V26" s="9">
        <f>Final!V12</f>
        <v>-7021</v>
      </c>
      <c r="W26" s="9">
        <f>Final!W12</f>
        <v>-7592</v>
      </c>
      <c r="X26" s="9">
        <f>Final!X12</f>
        <v>-6791</v>
      </c>
      <c r="Y26" s="9">
        <f>Final!Y12</f>
        <v>-6765</v>
      </c>
      <c r="Z26" s="9">
        <f>Final!Z12</f>
        <v>-6909</v>
      </c>
      <c r="AA26" s="9">
        <f>Final!AA12</f>
        <v>-7368</v>
      </c>
      <c r="AB26" s="9">
        <f>Final!AB12</f>
        <v>-8005</v>
      </c>
      <c r="AC26" s="9">
        <f>Final!AC12</f>
        <v>-8118</v>
      </c>
      <c r="AD26" s="9">
        <f>Final!AD12</f>
        <v>-8476</v>
      </c>
      <c r="AE26" s="9">
        <f>Final!AE12</f>
        <v>-9308</v>
      </c>
      <c r="AF26" s="9">
        <f>Final!AF12</f>
        <v>-8904</v>
      </c>
      <c r="AG26" s="9">
        <f>Final!AG12</f>
        <v>-8594</v>
      </c>
      <c r="AH26" s="9">
        <f>Final!AH12</f>
        <v>-9276</v>
      </c>
      <c r="AI26" s="9">
        <f t="shared" ref="AI26:AN26" si="22">AI20+AI24</f>
        <v>-9256.8277784836609</v>
      </c>
      <c r="AJ26" s="9">
        <f t="shared" si="22"/>
        <v>-9456.9301092379446</v>
      </c>
      <c r="AK26" s="9">
        <f t="shared" si="22"/>
        <v>-9579.623257799878</v>
      </c>
      <c r="AL26" s="9">
        <f t="shared" si="22"/>
        <v>-9649.1811148487541</v>
      </c>
      <c r="AM26" s="9">
        <f t="shared" si="22"/>
        <v>-9673.8921787971231</v>
      </c>
      <c r="AN26" s="9">
        <f t="shared" si="22"/>
        <v>-9697.3321493638723</v>
      </c>
    </row>
    <row r="27" spans="1:40">
      <c r="A27" s="86"/>
      <c r="B27" s="79"/>
      <c r="C27" s="79"/>
      <c r="D27" s="79"/>
      <c r="E27" s="79"/>
      <c r="F27" s="79"/>
      <c r="G27" s="79"/>
      <c r="H27" s="79"/>
      <c r="I27" s="79"/>
      <c r="J27" s="79"/>
      <c r="K27" s="79"/>
      <c r="L27" s="79"/>
      <c r="M27" s="79"/>
      <c r="N27" s="79"/>
      <c r="O27" s="79"/>
      <c r="P27" s="79"/>
      <c r="Q27" s="79"/>
      <c r="R27" s="79"/>
      <c r="S27" s="79"/>
      <c r="T27" s="79"/>
      <c r="U27" s="79"/>
      <c r="V27" s="79"/>
      <c r="W27" s="79"/>
      <c r="X27" s="79"/>
      <c r="Y27" s="79"/>
      <c r="Z27" s="79"/>
    </row>
    <row r="28" spans="1:40">
      <c r="A28" s="42" t="s">
        <v>650</v>
      </c>
      <c r="B28" s="79">
        <f>Final!B15</f>
        <v>2811</v>
      </c>
      <c r="C28" s="79">
        <f>Final!C15</f>
        <v>3191</v>
      </c>
      <c r="D28" s="79">
        <f>Final!D15</f>
        <v>3256</v>
      </c>
      <c r="E28" s="79">
        <f>Final!E15</f>
        <v>3349</v>
      </c>
      <c r="F28" s="79">
        <f>Final!F15</f>
        <v>3729</v>
      </c>
      <c r="G28" s="79">
        <f>Final!G15</f>
        <v>3990.5010000000011</v>
      </c>
      <c r="H28" s="79">
        <f>Final!H15</f>
        <v>4537.7178636363624</v>
      </c>
      <c r="I28" s="79">
        <f>Final!I15</f>
        <v>5835</v>
      </c>
      <c r="J28" s="79">
        <f>Final!J15</f>
        <v>4045</v>
      </c>
      <c r="K28" s="79">
        <f>Final!K15</f>
        <v>4442</v>
      </c>
      <c r="L28" s="79">
        <f>Final!L15</f>
        <v>5193</v>
      </c>
      <c r="M28" s="79">
        <f>Final!M15</f>
        <v>5777</v>
      </c>
      <c r="N28" s="79">
        <f>Final!N15</f>
        <v>7756</v>
      </c>
      <c r="O28" s="79">
        <f>Final!O15</f>
        <v>8695</v>
      </c>
      <c r="P28" s="79">
        <f>Final!P15</f>
        <v>12112</v>
      </c>
      <c r="Q28" s="79">
        <f>Final!Q15</f>
        <v>11182</v>
      </c>
      <c r="R28" s="79">
        <f>Final!R15</f>
        <v>12580</v>
      </c>
      <c r="S28" s="79">
        <f>Final!S15</f>
        <v>10788</v>
      </c>
      <c r="T28" s="79">
        <f>Final!T15</f>
        <v>11997</v>
      </c>
      <c r="U28" s="79">
        <f>Final!U15</f>
        <v>15173</v>
      </c>
      <c r="V28" s="79">
        <f>Final!V15</f>
        <v>13101</v>
      </c>
      <c r="W28" s="79">
        <f>Final!W15</f>
        <v>8906</v>
      </c>
      <c r="X28" s="79">
        <f>Final!X15</f>
        <v>14895</v>
      </c>
      <c r="Y28" s="79">
        <f>Final!Y15</f>
        <v>22020</v>
      </c>
      <c r="Z28" s="79">
        <f>Final!Z15</f>
        <v>17146</v>
      </c>
      <c r="AA28" s="79">
        <f>Final!AA15</f>
        <v>18698</v>
      </c>
      <c r="AB28" s="79">
        <f>Final!AB15</f>
        <v>18162</v>
      </c>
      <c r="AC28" s="79">
        <f>Final!AC15</f>
        <v>14030</v>
      </c>
      <c r="AD28" s="79">
        <f>Final!AD15</f>
        <v>14716</v>
      </c>
      <c r="AE28" s="79">
        <f>Final!AE15</f>
        <v>12211</v>
      </c>
      <c r="AF28" s="79">
        <f>Final!AF15</f>
        <v>5284</v>
      </c>
      <c r="AG28" s="79">
        <f>Final!AG15</f>
        <v>15184</v>
      </c>
      <c r="AH28" s="79">
        <f>Final!AH15</f>
        <v>14903</v>
      </c>
      <c r="AI28" s="79">
        <f>Final!AI15</f>
        <v>14873.234157560613</v>
      </c>
      <c r="AJ28" s="79">
        <f>Final!AJ15</f>
        <v>15677.31680891726</v>
      </c>
      <c r="AK28" s="79">
        <f>Final!AK15</f>
        <v>16295.719582203996</v>
      </c>
      <c r="AL28" s="79">
        <f>Final!AL15</f>
        <v>16815.042666865484</v>
      </c>
      <c r="AM28" s="79">
        <f>Final!AM15</f>
        <v>17319.763781379574</v>
      </c>
      <c r="AN28" s="79">
        <f>Final!AN15</f>
        <v>17826.027729207613</v>
      </c>
    </row>
    <row r="29" spans="1:40">
      <c r="A29" s="42"/>
      <c r="B29" s="79"/>
      <c r="C29" s="79"/>
      <c r="D29" s="79"/>
      <c r="E29" s="79"/>
      <c r="F29" s="79"/>
      <c r="G29" s="79"/>
      <c r="H29" s="79"/>
      <c r="I29" s="79"/>
      <c r="J29" s="79"/>
      <c r="K29" s="79"/>
      <c r="L29" s="79"/>
      <c r="M29" s="79"/>
      <c r="N29" s="79"/>
      <c r="O29" s="79"/>
      <c r="P29" s="79"/>
      <c r="Q29" s="79"/>
      <c r="R29" s="79"/>
      <c r="S29" s="79"/>
      <c r="T29" s="79"/>
      <c r="U29" s="79"/>
      <c r="V29" s="79"/>
      <c r="W29" s="79"/>
      <c r="X29" s="79"/>
      <c r="Y29" s="79"/>
      <c r="Z29" s="79"/>
      <c r="AA29" s="79"/>
      <c r="AB29" s="79"/>
      <c r="AC29" s="79"/>
      <c r="AD29" s="79"/>
      <c r="AE29" s="79"/>
      <c r="AF29" s="79"/>
      <c r="AG29" s="79"/>
      <c r="AH29" s="79"/>
      <c r="AI29" s="79"/>
      <c r="AJ29" s="79"/>
      <c r="AK29" s="79"/>
      <c r="AL29" s="79"/>
      <c r="AM29" s="79"/>
      <c r="AN29" s="79"/>
    </row>
    <row r="30" spans="1:40">
      <c r="A30" s="6" t="s">
        <v>286</v>
      </c>
      <c r="B30" s="8"/>
      <c r="C30" s="8"/>
      <c r="D30" s="8"/>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row>
    <row r="31" spans="1:40">
      <c r="A31" s="10" t="s">
        <v>317</v>
      </c>
    </row>
    <row r="32" spans="1:40">
      <c r="A32" s="10" t="s">
        <v>237</v>
      </c>
      <c r="T32" s="7">
        <f>Aus!T9+Aus!T10</f>
        <v>-278</v>
      </c>
      <c r="U32" s="7">
        <f>Aus!U9+Aus!U10</f>
        <v>53</v>
      </c>
      <c r="V32" s="7">
        <f>Aus!V9+Aus!V10</f>
        <v>-8</v>
      </c>
      <c r="W32" s="7">
        <f>Aus!W9+Aus!W10</f>
        <v>-14</v>
      </c>
      <c r="X32" s="7">
        <f>Aus!X9+Aus!X10</f>
        <v>-61</v>
      </c>
      <c r="Y32" s="7">
        <f>Aus!Y9+Aus!Y10</f>
        <v>3</v>
      </c>
      <c r="Z32" s="7">
        <f>Aus!Z9+Aus!Z10</f>
        <v>2</v>
      </c>
      <c r="AA32" s="7">
        <f>Aus!AA9+Aus!AA10</f>
        <v>5</v>
      </c>
      <c r="AB32" s="7">
        <f>Aus!AB9+Aus!AB10</f>
        <v>-30</v>
      </c>
      <c r="AC32" s="7">
        <f>Aus!AC9+Aus!AC10</f>
        <v>16</v>
      </c>
      <c r="AD32" s="7">
        <f>Aus!AD9+Aus!AD10</f>
        <v>-76</v>
      </c>
      <c r="AE32" s="7">
        <f>Aus!AE9+Aus!AE10</f>
        <v>0</v>
      </c>
      <c r="AF32" s="7">
        <f>Aus!AF9+Aus!AF10</f>
        <v>0</v>
      </c>
      <c r="AG32" s="7">
        <f>Aus!AG9+Aus!AG10</f>
        <v>0</v>
      </c>
      <c r="AH32" s="7">
        <f>Aus!AH9+Aus!AH10</f>
        <v>0</v>
      </c>
      <c r="AI32" s="7">
        <f>Aus!AI9+Aus!AI10</f>
        <v>0</v>
      </c>
      <c r="AJ32" s="7">
        <f>Aus!AJ9+Aus!AJ10</f>
        <v>0</v>
      </c>
      <c r="AK32" s="7">
        <f>Aus!AK9+Aus!AK10</f>
        <v>0</v>
      </c>
      <c r="AL32" s="7">
        <f>Aus!AL9+Aus!AL10</f>
        <v>0</v>
      </c>
      <c r="AM32" s="7">
        <f>Aus!AM9+Aus!AM10</f>
        <v>0</v>
      </c>
      <c r="AN32" s="7">
        <f>Aus!AN9+Aus!AN10</f>
        <v>0</v>
      </c>
    </row>
    <row r="33" spans="1:40">
      <c r="A33" s="10" t="s">
        <v>213</v>
      </c>
      <c r="T33" s="7">
        <f>CN!T6+CN!T7</f>
        <v>1620</v>
      </c>
      <c r="U33" s="7">
        <f>CN!U6+CN!U7</f>
        <v>1284</v>
      </c>
      <c r="V33" s="7">
        <f>CN!V6+CN!V7</f>
        <v>1477</v>
      </c>
      <c r="W33" s="7">
        <f>CN!W6+CN!W7</f>
        <v>1800</v>
      </c>
      <c r="X33" s="7">
        <f>CN!X6+CN!X7</f>
        <v>1687</v>
      </c>
      <c r="Y33" s="7">
        <f>CN!Y6+CN!Y7</f>
        <v>1919</v>
      </c>
      <c r="Z33" s="7">
        <f>CN!Z6+CN!Z7</f>
        <v>1368</v>
      </c>
      <c r="AA33" s="7">
        <f>CN!AA6+CN!AA7</f>
        <v>1300</v>
      </c>
      <c r="AB33" s="7">
        <f>CN!AB6+CN!AB7</f>
        <v>2217</v>
      </c>
      <c r="AC33" s="7">
        <f>CN!AC6+CN!AC7</f>
        <v>2386</v>
      </c>
      <c r="AD33" s="7">
        <f>CN!AD6+CN!AD7</f>
        <v>2218</v>
      </c>
      <c r="AE33" s="7">
        <f>CN!AE6+CN!AE7</f>
        <v>1800</v>
      </c>
      <c r="AF33" s="7">
        <f>CN!AF6+CN!AF7</f>
        <v>2462</v>
      </c>
      <c r="AG33" s="7">
        <f>CN!AG6+CN!AG7</f>
        <v>2283</v>
      </c>
      <c r="AH33" s="7">
        <f>CN!AH6+CN!AH7</f>
        <v>1962</v>
      </c>
      <c r="AI33" s="7">
        <f>CN!AI6+CN!AI7</f>
        <v>1647.7782097908387</v>
      </c>
      <c r="AJ33" s="7">
        <f>CN!AJ6+CN!AJ7</f>
        <v>1689.6241285714282</v>
      </c>
      <c r="AK33" s="7">
        <f>CN!AK6+CN!AK7</f>
        <v>1689.6241285714282</v>
      </c>
      <c r="AL33" s="7">
        <f>CN!AL6+CN!AL7</f>
        <v>1689.6241285714282</v>
      </c>
      <c r="AM33" s="7">
        <f>CN!AM6+CN!AM7</f>
        <v>1689.6241285714282</v>
      </c>
      <c r="AN33" s="7">
        <f>CN!AN6+CN!AN7</f>
        <v>1689.6241285714282</v>
      </c>
    </row>
    <row r="34" spans="1:40">
      <c r="A34" s="10" t="s">
        <v>355</v>
      </c>
      <c r="T34" s="7">
        <v>0</v>
      </c>
      <c r="U34" s="7">
        <v>0</v>
      </c>
      <c r="V34" s="7">
        <v>0</v>
      </c>
      <c r="W34" s="7">
        <v>0</v>
      </c>
      <c r="X34" s="7">
        <v>0</v>
      </c>
      <c r="Y34" s="7">
        <v>0</v>
      </c>
      <c r="Z34" s="7">
        <v>0</v>
      </c>
      <c r="AA34" s="7">
        <v>0</v>
      </c>
      <c r="AB34" s="7">
        <v>0</v>
      </c>
      <c r="AC34" s="7">
        <v>0</v>
      </c>
      <c r="AD34" s="7">
        <v>0</v>
      </c>
      <c r="AE34" s="7">
        <v>0</v>
      </c>
      <c r="AF34" s="7">
        <v>0</v>
      </c>
      <c r="AG34" s="7">
        <v>0</v>
      </c>
      <c r="AH34" s="7">
        <v>0</v>
      </c>
      <c r="AI34" s="7">
        <v>0</v>
      </c>
      <c r="AJ34" s="7">
        <v>0</v>
      </c>
      <c r="AK34" s="7">
        <v>0</v>
      </c>
      <c r="AL34" s="7">
        <v>0</v>
      </c>
      <c r="AM34" s="7">
        <v>0</v>
      </c>
      <c r="AN34" s="7">
        <v>0</v>
      </c>
    </row>
    <row r="35" spans="1:40">
      <c r="A35" s="10" t="s">
        <v>508</v>
      </c>
      <c r="T35" s="7">
        <f>SEA!T7</f>
        <v>392</v>
      </c>
      <c r="U35" s="7">
        <f>SEA!U7</f>
        <v>152</v>
      </c>
      <c r="V35" s="7">
        <f>SEA!V7</f>
        <v>262</v>
      </c>
      <c r="W35" s="7">
        <f>SEA!W7</f>
        <v>262</v>
      </c>
      <c r="X35" s="7">
        <f>SEA!X7</f>
        <v>321</v>
      </c>
      <c r="Y35" s="7">
        <f>SEA!Y7</f>
        <v>322</v>
      </c>
      <c r="Z35" s="7">
        <f>SEA!Z7</f>
        <v>283</v>
      </c>
      <c r="AA35" s="7">
        <f>SEA!AA7</f>
        <v>171</v>
      </c>
      <c r="AB35" s="7">
        <f>SEA!AB7</f>
        <v>170</v>
      </c>
      <c r="AC35" s="7">
        <f>SEA!AC7</f>
        <v>329</v>
      </c>
      <c r="AD35" s="7">
        <f>SEA!AD7</f>
        <v>399</v>
      </c>
      <c r="AE35" s="7">
        <f>SEA!AE7</f>
        <v>194</v>
      </c>
      <c r="AF35" s="7">
        <f>SEA!AF7</f>
        <v>19</v>
      </c>
      <c r="AG35" s="7">
        <f>SEA!AG7</f>
        <v>315</v>
      </c>
      <c r="AH35" s="7">
        <f>SEA!AH7</f>
        <v>270</v>
      </c>
      <c r="AI35" s="7">
        <f>SEA!AI7</f>
        <v>136.53462827120723</v>
      </c>
      <c r="AJ35" s="7">
        <f>SEA!AJ7</f>
        <v>136.53462827120723</v>
      </c>
      <c r="AK35" s="7">
        <f>SEA!AK7</f>
        <v>136.53462827120723</v>
      </c>
      <c r="AL35" s="7">
        <f>SEA!AL7</f>
        <v>136.53462827120723</v>
      </c>
      <c r="AM35" s="7">
        <f>SEA!AM7</f>
        <v>136.53462827120723</v>
      </c>
      <c r="AN35" s="7">
        <f>SEA!AN7</f>
        <v>136.53462827120723</v>
      </c>
    </row>
    <row r="36" spans="1:40">
      <c r="A36" s="10" t="s">
        <v>346</v>
      </c>
      <c r="T36" s="7">
        <f t="shared" ref="T36:AF36" si="23">T37-SUM(T32:T35)</f>
        <v>1159</v>
      </c>
      <c r="U36" s="7">
        <f t="shared" si="23"/>
        <v>2121</v>
      </c>
      <c r="V36" s="7">
        <f t="shared" si="23"/>
        <v>1253</v>
      </c>
      <c r="W36" s="7">
        <f t="shared" si="23"/>
        <v>1235</v>
      </c>
      <c r="X36" s="7">
        <f t="shared" si="23"/>
        <v>411</v>
      </c>
      <c r="Y36" s="7">
        <f t="shared" si="23"/>
        <v>1</v>
      </c>
      <c r="Z36" s="7">
        <f t="shared" si="23"/>
        <v>-12</v>
      </c>
      <c r="AA36" s="7">
        <f t="shared" si="23"/>
        <v>-18</v>
      </c>
      <c r="AB36" s="7">
        <f t="shared" si="23"/>
        <v>-21</v>
      </c>
      <c r="AC36" s="7">
        <f t="shared" si="23"/>
        <v>-18</v>
      </c>
      <c r="AD36" s="7">
        <f t="shared" si="23"/>
        <v>-19</v>
      </c>
      <c r="AE36" s="7">
        <f t="shared" si="23"/>
        <v>-20</v>
      </c>
      <c r="AF36" s="7">
        <f t="shared" si="23"/>
        <v>-21</v>
      </c>
      <c r="AG36" s="7">
        <f t="shared" ref="AG36:AH36" si="24">AG37-SUM(AG32:AG35)</f>
        <v>598</v>
      </c>
      <c r="AH36" s="7">
        <f t="shared" si="24"/>
        <v>423</v>
      </c>
      <c r="AI36" s="81">
        <f>AH36</f>
        <v>423</v>
      </c>
      <c r="AJ36" s="81">
        <f>AI36</f>
        <v>423</v>
      </c>
      <c r="AK36" s="81">
        <f>AJ36</f>
        <v>423</v>
      </c>
      <c r="AL36" s="81">
        <f>AK36</f>
        <v>423</v>
      </c>
      <c r="AM36" s="81">
        <f>AL36</f>
        <v>423</v>
      </c>
      <c r="AN36" s="81">
        <f t="shared" ref="AN36" si="25">AM36</f>
        <v>423</v>
      </c>
    </row>
    <row r="37" spans="1:40">
      <c r="A37" s="80" t="s">
        <v>603</v>
      </c>
      <c r="B37" s="9">
        <f>Final!B18+Final!B19</f>
        <v>1100</v>
      </c>
      <c r="C37" s="9">
        <f>Final!C18+Final!C19</f>
        <v>1195</v>
      </c>
      <c r="D37" s="9">
        <f>Final!D18+Final!D19</f>
        <v>1433</v>
      </c>
      <c r="E37" s="9">
        <f>Final!E18+Final!E19</f>
        <v>1653</v>
      </c>
      <c r="F37" s="9">
        <f>Final!F18+Final!F19</f>
        <v>1847</v>
      </c>
      <c r="G37" s="9">
        <f>Final!G18+Final!G19</f>
        <v>1972.6000000000001</v>
      </c>
      <c r="H37" s="9">
        <f>Final!H18+Final!H19</f>
        <v>2112.8000000000002</v>
      </c>
      <c r="I37" s="9">
        <f>Final!I18+Final!I19</f>
        <v>2739.2918918918917</v>
      </c>
      <c r="J37" s="9">
        <f>Final!J18+Final!J19</f>
        <v>1320.2347267304351</v>
      </c>
      <c r="K37" s="9">
        <f>Final!K18+Final!K19</f>
        <v>2353</v>
      </c>
      <c r="L37" s="9">
        <f>Final!L18+Final!L19</f>
        <v>3022</v>
      </c>
      <c r="M37" s="9">
        <f>Final!M18+Final!M19</f>
        <v>3501</v>
      </c>
      <c r="N37" s="9">
        <f>Final!N18+Final!N19</f>
        <v>3417</v>
      </c>
      <c r="O37" s="9">
        <f>Final!O18+Final!O19</f>
        <v>2972</v>
      </c>
      <c r="P37" s="9">
        <f>Final!P18+Final!P19</f>
        <v>3006</v>
      </c>
      <c r="Q37" s="9">
        <f>Final!Q18+Final!Q19</f>
        <v>3025</v>
      </c>
      <c r="R37" s="9">
        <f>Final!R18+Final!R19</f>
        <v>2597</v>
      </c>
      <c r="S37" s="9">
        <f>Final!S18+Final!S19</f>
        <v>2321</v>
      </c>
      <c r="T37" s="9">
        <f>Final!T18+Final!T19</f>
        <v>2893</v>
      </c>
      <c r="U37" s="9">
        <f>Final!U18+Final!U19</f>
        <v>3610</v>
      </c>
      <c r="V37" s="9">
        <f>Final!V18+Final!V19</f>
        <v>2984</v>
      </c>
      <c r="W37" s="9">
        <f>Final!W18+Final!W19</f>
        <v>3283</v>
      </c>
      <c r="X37" s="9">
        <f>Final!X18+Final!X19</f>
        <v>2358</v>
      </c>
      <c r="Y37" s="9">
        <f>Final!Y18+Final!Y19</f>
        <v>2245</v>
      </c>
      <c r="Z37" s="9">
        <f>Final!Z18+Final!Z19</f>
        <v>1641</v>
      </c>
      <c r="AA37" s="9">
        <f>Final!AA18+Final!AA19</f>
        <v>1458</v>
      </c>
      <c r="AB37" s="9">
        <f>Final!AB18+Final!AB19</f>
        <v>2336</v>
      </c>
      <c r="AC37" s="9">
        <f>Final!AC18+Final!AC19</f>
        <v>2713</v>
      </c>
      <c r="AD37" s="9">
        <f>Final!AD18+Final!AD19</f>
        <v>2522</v>
      </c>
      <c r="AE37" s="9">
        <f>Final!AE18+Final!AE19</f>
        <v>1974</v>
      </c>
      <c r="AF37" s="9">
        <f>Final!AF18+Final!AF19</f>
        <v>2460</v>
      </c>
      <c r="AG37" s="9">
        <f>Final!AG18+Final!AG19</f>
        <v>3196</v>
      </c>
      <c r="AH37" s="9">
        <v>2655</v>
      </c>
      <c r="AI37" s="9">
        <f t="shared" ref="AI37:AN37" si="26">SUM(AI32:AI36)</f>
        <v>2207.312838062046</v>
      </c>
      <c r="AJ37" s="9">
        <f t="shared" si="26"/>
        <v>2249.1587568426353</v>
      </c>
      <c r="AK37" s="9">
        <f t="shared" si="26"/>
        <v>2249.1587568426353</v>
      </c>
      <c r="AL37" s="9">
        <f t="shared" si="26"/>
        <v>2249.1587568426353</v>
      </c>
      <c r="AM37" s="9">
        <f t="shared" si="26"/>
        <v>2249.1587568426353</v>
      </c>
      <c r="AN37" s="9">
        <f t="shared" si="26"/>
        <v>2249.1587568426353</v>
      </c>
    </row>
    <row r="38" spans="1:40">
      <c r="A38" s="86" t="s">
        <v>611</v>
      </c>
      <c r="B38" s="7">
        <f>Final!B18</f>
        <v>1100</v>
      </c>
      <c r="C38" s="7">
        <f>Final!C18</f>
        <v>1195</v>
      </c>
      <c r="D38" s="7">
        <f>Final!D18</f>
        <v>1433</v>
      </c>
      <c r="E38" s="7">
        <f>Final!E18</f>
        <v>1653</v>
      </c>
      <c r="F38" s="7">
        <f>Final!F18</f>
        <v>1847</v>
      </c>
      <c r="G38" s="7">
        <f>Final!G18</f>
        <v>1972.6000000000001</v>
      </c>
      <c r="H38" s="7">
        <f>Final!H18</f>
        <v>2097.8000000000002</v>
      </c>
      <c r="I38" s="7">
        <f>Final!I18</f>
        <v>2732.2918918918917</v>
      </c>
      <c r="J38" s="7">
        <f>Final!J18</f>
        <v>2215.6000000000004</v>
      </c>
      <c r="K38" s="7">
        <f>Final!K18</f>
        <v>2339</v>
      </c>
      <c r="L38" s="7">
        <f>Final!L18</f>
        <v>2992</v>
      </c>
      <c r="M38" s="7">
        <f>Final!M18</f>
        <v>3399</v>
      </c>
      <c r="N38" s="7">
        <f>Final!N18</f>
        <v>3181</v>
      </c>
      <c r="O38" s="7">
        <f>Final!O18</f>
        <v>2832</v>
      </c>
      <c r="P38" s="7">
        <f>Final!P18</f>
        <v>2892</v>
      </c>
      <c r="Q38" s="7">
        <f>Final!Q18</f>
        <v>3024</v>
      </c>
      <c r="R38" s="7">
        <f>Final!R18</f>
        <v>2624</v>
      </c>
      <c r="S38" s="7">
        <f>Final!S18</f>
        <v>2675</v>
      </c>
      <c r="T38" s="7">
        <f>Final!T18</f>
        <v>2080</v>
      </c>
      <c r="U38" s="7">
        <f>Final!U18</f>
        <v>2929</v>
      </c>
      <c r="V38" s="7">
        <f>Final!V18</f>
        <v>2405</v>
      </c>
      <c r="W38" s="7">
        <f>Final!W18</f>
        <v>2671</v>
      </c>
      <c r="X38" s="7">
        <f>Final!X18</f>
        <v>1562</v>
      </c>
      <c r="Y38" s="7">
        <f>Final!Y18</f>
        <v>1357</v>
      </c>
      <c r="Z38" s="7">
        <f>Final!Z18</f>
        <v>737</v>
      </c>
      <c r="AA38" s="7">
        <f>Final!AA18</f>
        <v>508</v>
      </c>
      <c r="AB38" s="7">
        <f>Final!AB18</f>
        <v>518</v>
      </c>
      <c r="AC38" s="7">
        <f>Final!AC18</f>
        <v>885</v>
      </c>
      <c r="AD38" s="7">
        <f>Final!AD18</f>
        <v>797</v>
      </c>
      <c r="AE38" s="7">
        <f>Final!AE18</f>
        <v>-97</v>
      </c>
      <c r="AF38" s="7">
        <f>Final!AF18</f>
        <v>325</v>
      </c>
      <c r="AG38" s="7">
        <f>Final!AG18</f>
        <v>1147</v>
      </c>
      <c r="AH38" s="7">
        <f>Final!AH18</f>
        <v>845</v>
      </c>
      <c r="AI38" s="81">
        <f t="shared" ref="AI38:AN38" si="27">AI37-AI39</f>
        <v>705.54597332404614</v>
      </c>
      <c r="AJ38" s="81">
        <f t="shared" si="27"/>
        <v>705.51840684263561</v>
      </c>
      <c r="AK38" s="81">
        <f t="shared" si="27"/>
        <v>705.51840684263561</v>
      </c>
      <c r="AL38" s="81">
        <f t="shared" si="27"/>
        <v>705.51840684263561</v>
      </c>
      <c r="AM38" s="81">
        <f t="shared" si="27"/>
        <v>705.51840684263561</v>
      </c>
      <c r="AN38" s="81">
        <f t="shared" si="27"/>
        <v>705.51840684263561</v>
      </c>
    </row>
    <row r="39" spans="1:40">
      <c r="A39" s="86" t="s">
        <v>612</v>
      </c>
      <c r="B39" s="7">
        <f>Final!B19</f>
        <v>0</v>
      </c>
      <c r="C39" s="7">
        <f>Final!C19</f>
        <v>0</v>
      </c>
      <c r="D39" s="7">
        <f>Final!D19</f>
        <v>0</v>
      </c>
      <c r="E39" s="7">
        <f>Final!E19</f>
        <v>0</v>
      </c>
      <c r="F39" s="7">
        <f>Final!F19</f>
        <v>0</v>
      </c>
      <c r="G39" s="7">
        <f>Final!G19</f>
        <v>0</v>
      </c>
      <c r="H39" s="7">
        <f>Final!H19</f>
        <v>15</v>
      </c>
      <c r="I39" s="7">
        <f>Final!I19</f>
        <v>7</v>
      </c>
      <c r="J39" s="7">
        <f>Final!J19</f>
        <v>-895.36527326956525</v>
      </c>
      <c r="K39" s="7">
        <f>Final!K19</f>
        <v>14</v>
      </c>
      <c r="L39" s="7">
        <f>Final!L19</f>
        <v>30</v>
      </c>
      <c r="M39" s="7">
        <f>Final!M19</f>
        <v>102</v>
      </c>
      <c r="N39" s="7">
        <f>Final!N19</f>
        <v>236</v>
      </c>
      <c r="O39" s="7">
        <f>Final!O19</f>
        <v>140</v>
      </c>
      <c r="P39" s="7">
        <f>Final!P19</f>
        <v>114</v>
      </c>
      <c r="Q39" s="7">
        <f>Final!Q19</f>
        <v>1</v>
      </c>
      <c r="R39" s="7">
        <f>Final!R19</f>
        <v>-27</v>
      </c>
      <c r="S39" s="7">
        <f>Final!S19</f>
        <v>-354</v>
      </c>
      <c r="T39" s="7">
        <f>Final!T19</f>
        <v>813</v>
      </c>
      <c r="U39" s="7">
        <f>Final!U19</f>
        <v>681</v>
      </c>
      <c r="V39" s="7">
        <f>Final!V19</f>
        <v>579</v>
      </c>
      <c r="W39" s="7">
        <f>Final!W19</f>
        <v>612</v>
      </c>
      <c r="X39" s="7">
        <f>Final!X19</f>
        <v>796</v>
      </c>
      <c r="Y39" s="7">
        <f>Final!Y19</f>
        <v>888</v>
      </c>
      <c r="Z39" s="7">
        <f>Final!Z19</f>
        <v>904</v>
      </c>
      <c r="AA39" s="7">
        <f>Final!AA19</f>
        <v>950</v>
      </c>
      <c r="AB39" s="7">
        <f>Final!AB19</f>
        <v>1818</v>
      </c>
      <c r="AC39" s="7">
        <f>Final!AC19</f>
        <v>1828</v>
      </c>
      <c r="AD39" s="7">
        <f>Final!AD19</f>
        <v>1725</v>
      </c>
      <c r="AE39" s="7">
        <f>Final!AE19</f>
        <v>2071</v>
      </c>
      <c r="AF39" s="7">
        <f>Final!AF19</f>
        <v>2135</v>
      </c>
      <c r="AG39" s="7">
        <f>Final!AG19</f>
        <v>2049</v>
      </c>
      <c r="AH39" s="7">
        <f>Final!AH19</f>
        <v>1810</v>
      </c>
      <c r="AI39" s="81">
        <f>CN!AI7+Aus!AI10</f>
        <v>1501.7668647379999</v>
      </c>
      <c r="AJ39" s="81">
        <f>CN!AJ7+Aus!AJ10</f>
        <v>1543.6403499999997</v>
      </c>
      <c r="AK39" s="81">
        <f>CN!AK7+Aus!AK10</f>
        <v>1543.6403499999997</v>
      </c>
      <c r="AL39" s="81">
        <f>CN!AL7+Aus!AL10</f>
        <v>1543.6403499999997</v>
      </c>
      <c r="AM39" s="81">
        <f>CN!AM7+Aus!AM10</f>
        <v>1543.6403499999997</v>
      </c>
      <c r="AN39" s="81">
        <f>CN!AN7+Aus!AN10</f>
        <v>1543.6403499999997</v>
      </c>
    </row>
    <row r="40" spans="1:40">
      <c r="A40" s="42"/>
      <c r="B40" s="79"/>
      <c r="C40" s="79"/>
      <c r="D40" s="79"/>
      <c r="E40" s="79"/>
      <c r="F40" s="79"/>
      <c r="G40" s="79"/>
      <c r="H40" s="79"/>
      <c r="I40" s="79"/>
      <c r="J40" s="79"/>
      <c r="K40" s="79"/>
      <c r="L40" s="79"/>
      <c r="M40" s="79"/>
      <c r="N40" s="79"/>
      <c r="O40" s="79"/>
      <c r="P40" s="79"/>
      <c r="Q40" s="79"/>
      <c r="R40" s="79"/>
      <c r="S40" s="79"/>
      <c r="T40" s="79"/>
      <c r="U40" s="79"/>
      <c r="V40" s="79"/>
      <c r="W40" s="79"/>
      <c r="X40" s="79"/>
      <c r="Y40" s="79"/>
      <c r="Z40" s="79"/>
    </row>
    <row r="41" spans="1:40">
      <c r="A41" s="6" t="s">
        <v>100</v>
      </c>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row>
    <row r="42" spans="1:40">
      <c r="A42" s="10" t="s">
        <v>317</v>
      </c>
      <c r="B42" s="7">
        <f>SOC!B14</f>
        <v>-962</v>
      </c>
      <c r="C42" s="7">
        <f>SOC!C14</f>
        <v>-1110</v>
      </c>
      <c r="D42" s="7">
        <f>SOC!D14</f>
        <v>-826</v>
      </c>
      <c r="E42" s="7">
        <f>SOC!E14</f>
        <v>-1016</v>
      </c>
      <c r="F42" s="7">
        <f>SOC!F14</f>
        <v>-1135</v>
      </c>
      <c r="G42" s="7">
        <f>SOC!G14</f>
        <v>-1202</v>
      </c>
      <c r="H42" s="7">
        <f>SOC!H14</f>
        <v>-1512</v>
      </c>
      <c r="I42" s="7">
        <f>SOC!I14</f>
        <v>-1719</v>
      </c>
      <c r="J42" s="7">
        <f>SOC!J14</f>
        <v>-1418</v>
      </c>
      <c r="K42" s="7">
        <f>SOC!K14</f>
        <v>-1138</v>
      </c>
      <c r="L42" s="7">
        <f>SOC!L14</f>
        <v>-1478</v>
      </c>
      <c r="M42" s="7">
        <f>SOC!M14</f>
        <v>-1652</v>
      </c>
      <c r="N42" s="7">
        <f>SOC!N14</f>
        <v>-1967</v>
      </c>
      <c r="O42" s="7">
        <f>SOC!O14</f>
        <v>-2102</v>
      </c>
      <c r="P42" s="7">
        <f>SOC!P14</f>
        <v>-1878</v>
      </c>
      <c r="Q42" s="7">
        <f>SOC!Q14</f>
        <v>-1909</v>
      </c>
      <c r="R42" s="7">
        <f>SOC!R14</f>
        <v>-1852</v>
      </c>
      <c r="S42" s="7">
        <f>SOC!S14</f>
        <v>-1554</v>
      </c>
      <c r="T42" s="7">
        <f>SOC!T14</f>
        <v>-1597</v>
      </c>
      <c r="U42" s="7">
        <f>SOC!U14</f>
        <v>-1528</v>
      </c>
      <c r="V42" s="7">
        <f>SOC!V14</f>
        <v>-1772</v>
      </c>
      <c r="W42" s="7">
        <f>SOC!W14</f>
        <v>-1649</v>
      </c>
      <c r="X42" s="7">
        <f>SOC!X14</f>
        <v>-2048</v>
      </c>
      <c r="Y42" s="7">
        <f>SOC!Y14</f>
        <v>-1865</v>
      </c>
      <c r="Z42" s="7">
        <f>SOC!Z14</f>
        <v>-1895</v>
      </c>
      <c r="AA42" s="7">
        <f>SOC!AA14</f>
        <v>-1989</v>
      </c>
      <c r="AB42" s="7">
        <f>SOC!AB14</f>
        <v>-2001</v>
      </c>
      <c r="AC42" s="7">
        <f>SOC!AC14</f>
        <v>-1853</v>
      </c>
      <c r="AD42" s="7">
        <f>SOC!AD14</f>
        <v>-1904</v>
      </c>
      <c r="AE42" s="7">
        <f>SOC!AE14</f>
        <v>-2100</v>
      </c>
      <c r="AF42" s="7">
        <f>SOC!AF14</f>
        <v>-1924</v>
      </c>
      <c r="AG42" s="7">
        <f>SOC!AG14</f>
        <v>-1933</v>
      </c>
      <c r="AH42" s="7">
        <f>SOC!AH14</f>
        <v>-2112</v>
      </c>
      <c r="AI42" s="7">
        <f>SOC!AI14</f>
        <v>-2300.7957319419015</v>
      </c>
      <c r="AJ42" s="7">
        <f>SOC!AJ14</f>
        <v>-2476.8893123850289</v>
      </c>
      <c r="AK42" s="7">
        <f>SOC!AK14</f>
        <v>-2621.6439487551834</v>
      </c>
      <c r="AL42" s="7">
        <f>SOC!AL14</f>
        <v>-2779.5057926931518</v>
      </c>
      <c r="AM42" s="7">
        <f>SOC!AM14</f>
        <v>-2952.5743016173114</v>
      </c>
      <c r="AN42" s="7">
        <f>SOC!AN14</f>
        <v>-3135.8382965032952</v>
      </c>
    </row>
    <row r="43" spans="1:40">
      <c r="A43" s="10" t="s">
        <v>237</v>
      </c>
      <c r="B43" s="7">
        <f>Aus!B27</f>
        <v>0</v>
      </c>
      <c r="C43" s="7">
        <f>Aus!C27</f>
        <v>0</v>
      </c>
      <c r="D43" s="7">
        <f>Aus!D27</f>
        <v>0</v>
      </c>
      <c r="E43" s="7">
        <f>Aus!E27</f>
        <v>0</v>
      </c>
      <c r="F43" s="7">
        <f>Aus!F27</f>
        <v>0</v>
      </c>
      <c r="G43" s="7">
        <f>Aus!G27</f>
        <v>0</v>
      </c>
      <c r="H43" s="7">
        <f>Aus!H27</f>
        <v>0</v>
      </c>
      <c r="I43" s="7">
        <f>Aus!I27</f>
        <v>0</v>
      </c>
      <c r="J43" s="7">
        <f>Aus!J27</f>
        <v>0</v>
      </c>
      <c r="K43" s="7">
        <f>Aus!K27</f>
        <v>0</v>
      </c>
      <c r="L43" s="7">
        <f>Aus!L27</f>
        <v>0</v>
      </c>
      <c r="M43" s="7">
        <f>Aus!M27</f>
        <v>0</v>
      </c>
      <c r="N43" s="7">
        <f>Aus!N27</f>
        <v>0</v>
      </c>
      <c r="O43" s="7">
        <f>Aus!O27</f>
        <v>0</v>
      </c>
      <c r="P43" s="7">
        <f>Aus!P27</f>
        <v>0</v>
      </c>
      <c r="Q43" s="7">
        <f>Aus!Q27</f>
        <v>0</v>
      </c>
      <c r="R43" s="7">
        <f>Aus!R27</f>
        <v>0</v>
      </c>
      <c r="S43" s="7">
        <f>Aus!S27</f>
        <v>0</v>
      </c>
      <c r="T43" s="7">
        <f>Aus!T27</f>
        <v>-591</v>
      </c>
      <c r="U43" s="7">
        <f>Aus!U27</f>
        <v>-1391</v>
      </c>
      <c r="V43" s="7">
        <f>Aus!V27</f>
        <v>-755</v>
      </c>
      <c r="W43" s="7">
        <f>Aus!W27</f>
        <v>-50</v>
      </c>
      <c r="X43" s="7">
        <f>Aus!X27</f>
        <v>-296</v>
      </c>
      <c r="Y43" s="7">
        <f>Aus!Y27</f>
        <v>-394</v>
      </c>
      <c r="Z43" s="7">
        <f>Aus!Z27</f>
        <v>-747</v>
      </c>
      <c r="AA43" s="7">
        <f>Aus!AA27</f>
        <v>-1042</v>
      </c>
      <c r="AB43" s="7">
        <f>Aus!AB27</f>
        <v>-1509</v>
      </c>
      <c r="AC43" s="7">
        <f>Aus!AC27</f>
        <v>-534</v>
      </c>
      <c r="AD43" s="7">
        <f>Aus!AD27</f>
        <v>-703</v>
      </c>
      <c r="AE43" s="7">
        <f>Aus!AE27</f>
        <v>55</v>
      </c>
      <c r="AF43" s="7">
        <f>Aus!AF27</f>
        <v>2303</v>
      </c>
      <c r="AG43" s="7">
        <f>Aus!AG27</f>
        <v>246</v>
      </c>
      <c r="AH43" s="7">
        <f>Aus!AH27</f>
        <v>-83</v>
      </c>
      <c r="AI43" s="7">
        <f>Aus!AI27</f>
        <v>-27.523902724744797</v>
      </c>
      <c r="AJ43" s="7">
        <f>Aus!AJ27</f>
        <v>-37.000485208862663</v>
      </c>
      <c r="AK43" s="7">
        <f>Aus!AK27</f>
        <v>-45.797538174451589</v>
      </c>
      <c r="AL43" s="7">
        <f>Aus!AL27</f>
        <v>-49.288257453038781</v>
      </c>
      <c r="AM43" s="7">
        <f>Aus!AM27</f>
        <v>-52.546262113053515</v>
      </c>
      <c r="AN43" s="7">
        <f>Aus!AN27</f>
        <v>-55.587066462400578</v>
      </c>
    </row>
    <row r="44" spans="1:40">
      <c r="A44" s="10" t="s">
        <v>213</v>
      </c>
      <c r="B44" s="7">
        <f>CN!B16</f>
        <v>0</v>
      </c>
      <c r="C44" s="7">
        <f>CN!C16</f>
        <v>0</v>
      </c>
      <c r="D44" s="7">
        <f>CN!D16</f>
        <v>0</v>
      </c>
      <c r="E44" s="7">
        <f>CN!E16</f>
        <v>0</v>
      </c>
      <c r="F44" s="7">
        <f>CN!F16</f>
        <v>0</v>
      </c>
      <c r="G44" s="7">
        <f>CN!G16</f>
        <v>0</v>
      </c>
      <c r="H44" s="7">
        <f>CN!H16</f>
        <v>0</v>
      </c>
      <c r="I44" s="7">
        <f>CN!I16</f>
        <v>0</v>
      </c>
      <c r="J44" s="7">
        <f>CN!J16</f>
        <v>0</v>
      </c>
      <c r="K44" s="7">
        <f>CN!K16</f>
        <v>0</v>
      </c>
      <c r="L44" s="7">
        <f>CN!L16</f>
        <v>0</v>
      </c>
      <c r="M44" s="7">
        <f>CN!M16</f>
        <v>0</v>
      </c>
      <c r="N44" s="7">
        <f>CN!N16</f>
        <v>0</v>
      </c>
      <c r="O44" s="7">
        <f>CN!O16</f>
        <v>0</v>
      </c>
      <c r="P44" s="7">
        <f>CN!P16</f>
        <v>0</v>
      </c>
      <c r="Q44" s="7">
        <f>CN!Q16</f>
        <v>0</v>
      </c>
      <c r="R44" s="7">
        <f>CN!R16</f>
        <v>0</v>
      </c>
      <c r="S44" s="7">
        <f>CN!S16</f>
        <v>-70</v>
      </c>
      <c r="T44" s="7">
        <f>CN!T16</f>
        <v>-147</v>
      </c>
      <c r="U44" s="7">
        <f>CN!U16</f>
        <v>-68</v>
      </c>
      <c r="V44" s="7">
        <f>CN!V16</f>
        <v>-112</v>
      </c>
      <c r="W44" s="7">
        <f>CN!W16</f>
        <v>-151</v>
      </c>
      <c r="X44" s="7">
        <f>CN!X16</f>
        <v>-102</v>
      </c>
      <c r="Y44" s="7">
        <f>CN!Y16</f>
        <v>-147</v>
      </c>
      <c r="Z44" s="7">
        <f>CN!Z16</f>
        <v>-67</v>
      </c>
      <c r="AA44" s="7">
        <f>CN!AA16</f>
        <v>-151</v>
      </c>
      <c r="AB44" s="7">
        <f>CN!AB16</f>
        <v>-267</v>
      </c>
      <c r="AC44" s="7">
        <f>CN!AC16</f>
        <v>-305</v>
      </c>
      <c r="AD44" s="7">
        <f>CN!AD16</f>
        <v>-314</v>
      </c>
      <c r="AE44" s="7">
        <f>CN!AE16</f>
        <v>-329</v>
      </c>
      <c r="AF44" s="7">
        <f>CN!AF16</f>
        <v>-356</v>
      </c>
      <c r="AG44" s="7">
        <f>CN!AG16</f>
        <v>-379</v>
      </c>
      <c r="AH44" s="7">
        <f>CN!AH16</f>
        <v>-328</v>
      </c>
      <c r="AI44" s="7">
        <f>CN!AI16</f>
        <v>-292.81609606259354</v>
      </c>
      <c r="AJ44" s="7">
        <f>CN!AJ16</f>
        <v>-298.57000638111407</v>
      </c>
      <c r="AK44" s="7">
        <f>CN!AK16</f>
        <v>-296.9363240107478</v>
      </c>
      <c r="AL44" s="7">
        <f>CN!AL16</f>
        <v>-295.25363116927059</v>
      </c>
      <c r="AM44" s="7">
        <f>CN!AM16</f>
        <v>-293.52045754254902</v>
      </c>
      <c r="AN44" s="7">
        <f>CN!AN16</f>
        <v>-291.73528870702586</v>
      </c>
    </row>
    <row r="45" spans="1:40">
      <c r="A45" s="10" t="s">
        <v>355</v>
      </c>
      <c r="B45" s="7">
        <f>India!B17</f>
        <v>0</v>
      </c>
      <c r="C45" s="7">
        <f>India!C17</f>
        <v>0</v>
      </c>
      <c r="D45" s="7">
        <f>India!D17</f>
        <v>0</v>
      </c>
      <c r="E45" s="7">
        <f>India!E17</f>
        <v>0</v>
      </c>
      <c r="F45" s="7">
        <f>India!F17</f>
        <v>0</v>
      </c>
      <c r="G45" s="7">
        <f>India!G17</f>
        <v>0</v>
      </c>
      <c r="H45" s="7">
        <f>India!H17</f>
        <v>0</v>
      </c>
      <c r="I45" s="7">
        <f>India!I17</f>
        <v>0</v>
      </c>
      <c r="J45" s="7">
        <f>India!J17</f>
        <v>0</v>
      </c>
      <c r="K45" s="7">
        <f>India!K17</f>
        <v>0</v>
      </c>
      <c r="L45" s="7">
        <f>India!L17</f>
        <v>0</v>
      </c>
      <c r="M45" s="7">
        <f>India!M17</f>
        <v>0</v>
      </c>
      <c r="N45" s="7">
        <f>India!N17</f>
        <v>0</v>
      </c>
      <c r="O45" s="7">
        <f>India!O17</f>
        <v>0</v>
      </c>
      <c r="P45" s="7">
        <f>India!P17</f>
        <v>0</v>
      </c>
      <c r="Q45" s="7">
        <f>India!Q17</f>
        <v>-46</v>
      </c>
      <c r="R45" s="7">
        <f>India!R17</f>
        <v>-215</v>
      </c>
      <c r="S45" s="7">
        <f>India!S17</f>
        <v>-251</v>
      </c>
      <c r="T45" s="7">
        <f>India!T17</f>
        <v>-81</v>
      </c>
      <c r="U45" s="7">
        <f>India!U17</f>
        <v>-198</v>
      </c>
      <c r="V45" s="7">
        <f>India!V17</f>
        <v>-165</v>
      </c>
      <c r="W45" s="7">
        <f>India!W17</f>
        <v>-148</v>
      </c>
      <c r="X45" s="7">
        <f>India!X17</f>
        <v>-219</v>
      </c>
      <c r="Y45" s="7">
        <f>India!Y17</f>
        <v>-23</v>
      </c>
      <c r="Z45" s="7">
        <f>India!Z17</f>
        <v>-137</v>
      </c>
      <c r="AA45" s="7">
        <f>India!AA17</f>
        <v>-209</v>
      </c>
      <c r="AB45" s="7">
        <f>India!AB17</f>
        <v>-267</v>
      </c>
      <c r="AC45" s="7">
        <f>India!AC17</f>
        <v>-150</v>
      </c>
      <c r="AD45" s="7">
        <f>India!AD17</f>
        <v>-106</v>
      </c>
      <c r="AE45" s="7">
        <f>India!AE17</f>
        <v>-52</v>
      </c>
      <c r="AF45" s="7">
        <f>India!AF17</f>
        <v>-155</v>
      </c>
      <c r="AG45" s="7">
        <f>India!AG17</f>
        <v>-11</v>
      </c>
      <c r="AH45" s="7">
        <f>India!AH17</f>
        <v>-18</v>
      </c>
      <c r="AI45" s="7">
        <f>India!AI17</f>
        <v>0</v>
      </c>
      <c r="AJ45" s="7">
        <f>India!AJ17</f>
        <v>0</v>
      </c>
      <c r="AK45" s="7">
        <f>India!AK17</f>
        <v>0</v>
      </c>
      <c r="AL45" s="7">
        <f>India!AL17</f>
        <v>0</v>
      </c>
      <c r="AM45" s="7">
        <f>India!AM17</f>
        <v>0</v>
      </c>
      <c r="AN45" s="7">
        <f>India!AN17</f>
        <v>0</v>
      </c>
    </row>
    <row r="46" spans="1:40">
      <c r="A46" s="10" t="s">
        <v>508</v>
      </c>
      <c r="B46" s="7">
        <f>SEA!B17</f>
        <v>0</v>
      </c>
      <c r="C46" s="7">
        <f>SEA!C17</f>
        <v>0</v>
      </c>
      <c r="D46" s="7">
        <f>SEA!D17</f>
        <v>0</v>
      </c>
      <c r="E46" s="7">
        <f>SEA!E17</f>
        <v>0</v>
      </c>
      <c r="F46" s="7">
        <f>SEA!F17</f>
        <v>0</v>
      </c>
      <c r="G46" s="7">
        <f>SEA!G17</f>
        <v>0</v>
      </c>
      <c r="H46" s="7">
        <f>SEA!H17</f>
        <v>0</v>
      </c>
      <c r="I46" s="7">
        <f>SEA!I17</f>
        <v>0</v>
      </c>
      <c r="J46" s="7">
        <f>SEA!J17</f>
        <v>0</v>
      </c>
      <c r="K46" s="7">
        <f>SEA!K17</f>
        <v>0</v>
      </c>
      <c r="L46" s="7">
        <f>SEA!L17</f>
        <v>0</v>
      </c>
      <c r="M46" s="7">
        <f>SEA!M17</f>
        <v>0</v>
      </c>
      <c r="N46" s="7">
        <f>SEA!N17</f>
        <v>0</v>
      </c>
      <c r="O46" s="7">
        <f>SEA!O17</f>
        <v>0</v>
      </c>
      <c r="P46" s="7">
        <f>SEA!P17</f>
        <v>0</v>
      </c>
      <c r="Q46" s="7">
        <f>SEA!Q17</f>
        <v>0</v>
      </c>
      <c r="R46" s="7">
        <f>SEA!R17</f>
        <v>-9</v>
      </c>
      <c r="S46" s="7">
        <f>SEA!S17</f>
        <v>-6</v>
      </c>
      <c r="T46" s="7">
        <f>SEA!T17</f>
        <v>-7</v>
      </c>
      <c r="U46" s="7">
        <f>SEA!U17</f>
        <v>-5</v>
      </c>
      <c r="V46" s="7">
        <f>SEA!V17</f>
        <v>0</v>
      </c>
      <c r="W46" s="7">
        <f>SEA!W17</f>
        <v>0</v>
      </c>
      <c r="X46" s="7">
        <f>SEA!X17</f>
        <v>0</v>
      </c>
      <c r="Y46" s="7">
        <f>SEA!Y17</f>
        <v>0</v>
      </c>
      <c r="Z46" s="7">
        <f>SEA!Z17</f>
        <v>0</v>
      </c>
      <c r="AA46" s="7">
        <f>SEA!AA17</f>
        <v>0</v>
      </c>
      <c r="AB46" s="7">
        <f>SEA!AB17</f>
        <v>0</v>
      </c>
      <c r="AC46" s="7">
        <f>SEA!AC17</f>
        <v>0</v>
      </c>
      <c r="AD46" s="7">
        <f>SEA!AD17</f>
        <v>0</v>
      </c>
      <c r="AE46" s="7">
        <f>SEA!AE17</f>
        <v>-68</v>
      </c>
      <c r="AF46" s="7">
        <f>SEA!AF17</f>
        <v>-2</v>
      </c>
      <c r="AG46" s="7">
        <f>SEA!AG17</f>
        <v>-2</v>
      </c>
      <c r="AH46" s="7">
        <f>SEA!AH17</f>
        <v>-1</v>
      </c>
      <c r="AI46" s="7">
        <f>SEA!AI17</f>
        <v>-1</v>
      </c>
      <c r="AJ46" s="7">
        <f>SEA!AJ17</f>
        <v>-1</v>
      </c>
      <c r="AK46" s="7">
        <f>SEA!AK17</f>
        <v>-1</v>
      </c>
      <c r="AL46" s="7">
        <f>SEA!AL17</f>
        <v>-1</v>
      </c>
      <c r="AM46" s="7">
        <f>SEA!AM17</f>
        <v>-1</v>
      </c>
      <c r="AN46" s="7">
        <f>SEA!AN17</f>
        <v>-1</v>
      </c>
    </row>
    <row r="47" spans="1:40">
      <c r="A47" s="10" t="s">
        <v>346</v>
      </c>
      <c r="B47" s="7">
        <f t="shared" ref="B47:Y47" si="28">B48-SUM(B42:B46)</f>
        <v>224</v>
      </c>
      <c r="C47" s="7">
        <f t="shared" si="28"/>
        <v>254</v>
      </c>
      <c r="D47" s="7">
        <f t="shared" si="28"/>
        <v>243</v>
      </c>
      <c r="E47" s="7">
        <f t="shared" si="28"/>
        <v>290</v>
      </c>
      <c r="F47" s="7">
        <f t="shared" si="28"/>
        <v>309</v>
      </c>
      <c r="G47" s="7">
        <f t="shared" si="28"/>
        <v>310</v>
      </c>
      <c r="H47" s="7">
        <f t="shared" si="28"/>
        <v>3</v>
      </c>
      <c r="I47" s="7">
        <f t="shared" si="28"/>
        <v>236</v>
      </c>
      <c r="J47" s="7">
        <f t="shared" si="28"/>
        <v>40</v>
      </c>
      <c r="K47" s="7">
        <f t="shared" si="28"/>
        <v>-51</v>
      </c>
      <c r="L47" s="7">
        <f t="shared" si="28"/>
        <v>185</v>
      </c>
      <c r="M47" s="7">
        <f t="shared" si="28"/>
        <v>-60</v>
      </c>
      <c r="N47" s="7">
        <f t="shared" si="28"/>
        <v>152</v>
      </c>
      <c r="O47" s="7">
        <f t="shared" si="28"/>
        <v>3024</v>
      </c>
      <c r="P47" s="7">
        <f t="shared" si="28"/>
        <v>1195</v>
      </c>
      <c r="Q47" s="7">
        <f t="shared" si="28"/>
        <v>1118</v>
      </c>
      <c r="R47" s="7">
        <f t="shared" si="28"/>
        <v>727</v>
      </c>
      <c r="S47" s="7">
        <f t="shared" si="28"/>
        <v>216</v>
      </c>
      <c r="T47" s="7">
        <f t="shared" si="28"/>
        <v>1579</v>
      </c>
      <c r="U47" s="7">
        <f t="shared" si="28"/>
        <v>1540</v>
      </c>
      <c r="V47" s="7">
        <f t="shared" si="28"/>
        <v>1112</v>
      </c>
      <c r="W47" s="7">
        <f t="shared" si="28"/>
        <v>2230</v>
      </c>
      <c r="X47" s="7">
        <f t="shared" si="28"/>
        <v>1397</v>
      </c>
      <c r="Y47" s="7">
        <f t="shared" si="28"/>
        <v>-1151</v>
      </c>
      <c r="Z47" s="7">
        <f t="shared" ref="Z47:AE47" si="29">Z48-SUM(Z42:Z46)</f>
        <v>-9</v>
      </c>
      <c r="AA47" s="7">
        <f t="shared" si="29"/>
        <v>611</v>
      </c>
      <c r="AB47" s="7">
        <f t="shared" si="29"/>
        <v>30</v>
      </c>
      <c r="AC47" s="7">
        <f t="shared" si="29"/>
        <v>55</v>
      </c>
      <c r="AD47" s="7">
        <f t="shared" si="29"/>
        <v>34</v>
      </c>
      <c r="AE47" s="7">
        <f t="shared" si="29"/>
        <v>529</v>
      </c>
      <c r="AF47" s="7">
        <f>AF48-SUM(AF42:AF46)</f>
        <v>31</v>
      </c>
      <c r="AG47" s="7">
        <f>AG48-SUM(AG42:AG46)</f>
        <v>-894</v>
      </c>
      <c r="AH47" s="7">
        <f>AH48-SUM(AH42:AH46)</f>
        <v>-279</v>
      </c>
      <c r="AI47" s="81">
        <f>AH47</f>
        <v>-279</v>
      </c>
      <c r="AJ47" s="81">
        <f>AI47</f>
        <v>-279</v>
      </c>
      <c r="AK47" s="81">
        <f>AJ47</f>
        <v>-279</v>
      </c>
      <c r="AL47" s="81">
        <f>AK47</f>
        <v>-279</v>
      </c>
      <c r="AM47" s="81">
        <f>AL47</f>
        <v>-279</v>
      </c>
      <c r="AN47" s="81">
        <f t="shared" ref="AN47" si="30">AM47</f>
        <v>-279</v>
      </c>
    </row>
    <row r="48" spans="1:40">
      <c r="A48" s="80" t="s">
        <v>77</v>
      </c>
      <c r="B48" s="9">
        <f>Final!B23</f>
        <v>-738</v>
      </c>
      <c r="C48" s="9">
        <f>Final!C23</f>
        <v>-856</v>
      </c>
      <c r="D48" s="9">
        <f>Final!D23</f>
        <v>-583</v>
      </c>
      <c r="E48" s="9">
        <f>Final!E23</f>
        <v>-726</v>
      </c>
      <c r="F48" s="9">
        <f>Final!F23</f>
        <v>-826</v>
      </c>
      <c r="G48" s="9">
        <f>Final!G23</f>
        <v>-892</v>
      </c>
      <c r="H48" s="9">
        <f>Final!H23</f>
        <v>-1509</v>
      </c>
      <c r="I48" s="9">
        <f>Final!I23</f>
        <v>-1483</v>
      </c>
      <c r="J48" s="9">
        <f>Final!J23</f>
        <v>-1378</v>
      </c>
      <c r="K48" s="9">
        <f>Final!K23</f>
        <v>-1189</v>
      </c>
      <c r="L48" s="9">
        <f>Final!L23</f>
        <v>-1293</v>
      </c>
      <c r="M48" s="9">
        <f>Final!M23</f>
        <v>-1712</v>
      </c>
      <c r="N48" s="9">
        <f>Final!N23</f>
        <v>-1815</v>
      </c>
      <c r="O48" s="9">
        <f>Final!O23</f>
        <v>922</v>
      </c>
      <c r="P48" s="9">
        <f>Final!P23</f>
        <v>-683</v>
      </c>
      <c r="Q48" s="9">
        <f>Final!Q23</f>
        <v>-837</v>
      </c>
      <c r="R48" s="9">
        <f>Final!R23</f>
        <v>-1349</v>
      </c>
      <c r="S48" s="9">
        <f>Final!S23</f>
        <v>-1665</v>
      </c>
      <c r="T48" s="9">
        <f>Final!T23</f>
        <v>-844</v>
      </c>
      <c r="U48" s="9">
        <f>Final!U23</f>
        <v>-1650</v>
      </c>
      <c r="V48" s="9">
        <f>Final!V23</f>
        <v>-1692</v>
      </c>
      <c r="W48" s="9">
        <f>Final!W23</f>
        <v>232</v>
      </c>
      <c r="X48" s="9">
        <f>Final!X23</f>
        <v>-1268</v>
      </c>
      <c r="Y48" s="9">
        <f>Final!Y23</f>
        <v>-3580</v>
      </c>
      <c r="Z48" s="9">
        <f>Final!Z23</f>
        <v>-2855</v>
      </c>
      <c r="AA48" s="9">
        <f>Final!AA23</f>
        <v>-2780</v>
      </c>
      <c r="AB48" s="9">
        <f>Final!AB23</f>
        <v>-4014</v>
      </c>
      <c r="AC48" s="9">
        <f>Final!AC23</f>
        <v>-2787</v>
      </c>
      <c r="AD48" s="9">
        <f>Final!AD23</f>
        <v>-2993</v>
      </c>
      <c r="AE48" s="9">
        <f>Final!AE23</f>
        <v>-1965</v>
      </c>
      <c r="AF48" s="9">
        <f>Final!AF23</f>
        <v>-103</v>
      </c>
      <c r="AG48" s="9">
        <f>Final!AG23</f>
        <v>-2973</v>
      </c>
      <c r="AH48" s="9">
        <f>Final!AH23</f>
        <v>-2821</v>
      </c>
      <c r="AI48" s="476">
        <f t="shared" ref="AI48:AN48" si="31">SUM(AI42:AI47)</f>
        <v>-2901.1357307292401</v>
      </c>
      <c r="AJ48" s="476">
        <f t="shared" si="31"/>
        <v>-3092.4598039750058</v>
      </c>
      <c r="AK48" s="476">
        <f t="shared" si="31"/>
        <v>-3244.3778109403829</v>
      </c>
      <c r="AL48" s="476">
        <f t="shared" si="31"/>
        <v>-3404.047681315461</v>
      </c>
      <c r="AM48" s="476">
        <f t="shared" si="31"/>
        <v>-3578.6410212729143</v>
      </c>
      <c r="AN48" s="476">
        <f t="shared" si="31"/>
        <v>-3763.160651672722</v>
      </c>
    </row>
    <row r="49" spans="1:44">
      <c r="A49" s="42"/>
      <c r="B49" s="79"/>
      <c r="C49" s="79"/>
      <c r="D49" s="79"/>
      <c r="E49" s="79"/>
      <c r="F49" s="79"/>
      <c r="G49" s="79"/>
      <c r="H49" s="79"/>
      <c r="I49" s="79"/>
      <c r="J49" s="79"/>
      <c r="K49" s="79"/>
      <c r="L49" s="79"/>
      <c r="M49" s="79"/>
      <c r="N49" s="79"/>
      <c r="O49" s="79"/>
      <c r="P49" s="79"/>
      <c r="Q49" s="79"/>
      <c r="R49" s="79"/>
      <c r="S49" s="79"/>
      <c r="T49" s="79"/>
      <c r="U49" s="79"/>
      <c r="V49" s="79"/>
      <c r="W49" s="79"/>
      <c r="X49" s="79"/>
      <c r="Y49" s="79"/>
      <c r="Z49" s="79"/>
      <c r="AA49" s="79"/>
      <c r="AB49" s="79"/>
      <c r="AC49" s="79"/>
      <c r="AD49" s="79"/>
      <c r="AE49" s="79"/>
      <c r="AF49" s="137"/>
      <c r="AG49" s="137"/>
      <c r="AH49" s="137"/>
      <c r="AI49" s="79"/>
      <c r="AJ49" s="79"/>
      <c r="AK49" s="79"/>
      <c r="AL49" s="79"/>
      <c r="AM49" s="79"/>
      <c r="AN49" s="79"/>
    </row>
    <row r="50" spans="1:44">
      <c r="A50" s="6" t="s">
        <v>285</v>
      </c>
      <c r="B50" s="8"/>
      <c r="C50" s="8"/>
      <c r="D50" s="8"/>
      <c r="E50" s="8"/>
      <c r="F50" s="8"/>
      <c r="G50" s="8"/>
      <c r="H50" s="8"/>
      <c r="I50" s="8"/>
      <c r="J50" s="8"/>
      <c r="K50" s="8"/>
      <c r="L50" s="8"/>
      <c r="M50" s="8"/>
      <c r="N50" s="8"/>
      <c r="O50" s="8"/>
      <c r="P50" s="8"/>
      <c r="Q50" s="8"/>
      <c r="R50" s="8"/>
      <c r="S50" s="8"/>
      <c r="T50" s="8"/>
      <c r="U50" s="8"/>
      <c r="V50" s="8"/>
      <c r="W50" s="8"/>
      <c r="X50" s="8"/>
      <c r="Y50" s="8"/>
      <c r="Z50" s="8"/>
      <c r="AA50" s="444"/>
      <c r="AB50" s="444"/>
      <c r="AC50" s="444"/>
      <c r="AD50" s="444"/>
      <c r="AE50" s="444"/>
      <c r="AF50" s="466"/>
      <c r="AG50" s="466"/>
      <c r="AH50" s="466"/>
      <c r="AI50" s="8"/>
      <c r="AJ50" s="8"/>
      <c r="AK50" s="8"/>
      <c r="AL50" s="8"/>
      <c r="AM50" s="8"/>
      <c r="AN50" s="8"/>
    </row>
    <row r="51" spans="1:44">
      <c r="A51" s="10" t="s">
        <v>317</v>
      </c>
      <c r="B51" s="7">
        <f>SOC!B46</f>
        <v>2854</v>
      </c>
      <c r="C51" s="7">
        <f>SOC!C46</f>
        <v>3179</v>
      </c>
      <c r="D51" s="7">
        <f>SOC!D46</f>
        <v>3620</v>
      </c>
      <c r="E51" s="7">
        <f>SOC!E46</f>
        <v>4067</v>
      </c>
      <c r="F51" s="7">
        <f>SOC!F46</f>
        <v>4455</v>
      </c>
      <c r="G51" s="7">
        <f>SOC!G46</f>
        <v>4759.6000000000004</v>
      </c>
      <c r="H51" s="7">
        <f>SOC!H46</f>
        <v>4970.8</v>
      </c>
      <c r="I51" s="7">
        <f>SOC!I46</f>
        <v>6316.2</v>
      </c>
      <c r="J51" s="7">
        <f>SOC!J46</f>
        <v>5146.6000000000004</v>
      </c>
      <c r="K51" s="7">
        <f>SOC!K46</f>
        <v>5421.6</v>
      </c>
      <c r="L51" s="7">
        <f>SOC!L46</f>
        <v>5813.8</v>
      </c>
      <c r="M51" s="7">
        <f>SOC!M46</f>
        <v>6281</v>
      </c>
      <c r="N51" s="7">
        <f>SOC!N46</f>
        <v>6788</v>
      </c>
      <c r="O51" s="7">
        <f>SOC!O46</f>
        <v>7047</v>
      </c>
      <c r="P51" s="7">
        <f>SOC!P46</f>
        <v>7290</v>
      </c>
      <c r="Q51" s="7">
        <f>SOC!Q46</f>
        <v>7652</v>
      </c>
      <c r="R51" s="7">
        <f>SOC!R46</f>
        <v>7549</v>
      </c>
      <c r="S51" s="7">
        <f>SOC!S46</f>
        <v>5964</v>
      </c>
      <c r="T51" s="7">
        <f>SOC!T46</f>
        <v>6129</v>
      </c>
      <c r="U51" s="7">
        <f>SOC!U46</f>
        <v>6339</v>
      </c>
      <c r="V51" s="7">
        <f>SOC!V46</f>
        <v>6654</v>
      </c>
      <c r="W51" s="7">
        <f>SOC!W46</f>
        <v>6966</v>
      </c>
      <c r="X51" s="7">
        <f>SOC!X46</f>
        <v>7922</v>
      </c>
      <c r="Y51" s="7">
        <f>SOC!Y46</f>
        <v>8486</v>
      </c>
      <c r="Z51" s="7">
        <f>SOC!Z46</f>
        <v>8724</v>
      </c>
      <c r="AA51" s="7">
        <f>SOC!AA46</f>
        <v>8943</v>
      </c>
      <c r="AB51" s="7">
        <f>SOC!AB46</f>
        <v>8632</v>
      </c>
      <c r="AC51" s="7">
        <f>SOC!AC46</f>
        <v>7477</v>
      </c>
      <c r="AD51" s="7">
        <f>SOC!AD46</f>
        <v>7746</v>
      </c>
      <c r="AE51" s="7">
        <f>SOC!AE46</f>
        <v>8167</v>
      </c>
      <c r="AF51" s="7">
        <f>SOC!AF46</f>
        <v>8463</v>
      </c>
      <c r="AG51" s="7">
        <f>SOC!AG46</f>
        <v>8612</v>
      </c>
      <c r="AH51" s="7">
        <f>SOC!AH46</f>
        <v>8716</v>
      </c>
      <c r="AI51" s="7">
        <f>SOC!AI46</f>
        <v>9535.5924378722939</v>
      </c>
      <c r="AJ51" s="7">
        <f>SOC!AJ46</f>
        <v>10093.686517475457</v>
      </c>
      <c r="AK51" s="7">
        <f>SOC!AK46</f>
        <v>10414.547072063828</v>
      </c>
      <c r="AL51" s="7">
        <f>SOC!AL46</f>
        <v>10726.544450761417</v>
      </c>
      <c r="AM51" s="7">
        <f>SOC!AM46</f>
        <v>11039.184331209593</v>
      </c>
      <c r="AN51" s="7">
        <f>SOC!AN46</f>
        <v>11349.563709746973</v>
      </c>
    </row>
    <row r="52" spans="1:44">
      <c r="A52" s="10" t="s">
        <v>237</v>
      </c>
      <c r="B52" s="7">
        <f>Aus!B29</f>
        <v>0</v>
      </c>
      <c r="C52" s="7">
        <f>Aus!C29</f>
        <v>0</v>
      </c>
      <c r="D52" s="7">
        <f>Aus!D29</f>
        <v>0</v>
      </c>
      <c r="E52" s="7">
        <f>Aus!E29</f>
        <v>0</v>
      </c>
      <c r="F52" s="7">
        <f>Aus!F29</f>
        <v>0</v>
      </c>
      <c r="G52" s="7">
        <f>Aus!G29</f>
        <v>0</v>
      </c>
      <c r="H52" s="7">
        <f>Aus!H29</f>
        <v>0</v>
      </c>
      <c r="I52" s="7">
        <f>Aus!I29</f>
        <v>0</v>
      </c>
      <c r="J52" s="7">
        <f>Aus!J29</f>
        <v>0</v>
      </c>
      <c r="K52" s="7">
        <f>Aus!K29</f>
        <v>0</v>
      </c>
      <c r="L52" s="7">
        <f>Aus!L29</f>
        <v>0</v>
      </c>
      <c r="M52" s="7">
        <f>Aus!M29</f>
        <v>0</v>
      </c>
      <c r="N52" s="7">
        <f>Aus!N29</f>
        <v>118</v>
      </c>
      <c r="O52" s="7">
        <f>Aus!O29</f>
        <v>200</v>
      </c>
      <c r="P52" s="7">
        <f>Aus!P29</f>
        <v>191</v>
      </c>
      <c r="Q52" s="7">
        <f>Aus!Q29</f>
        <v>227</v>
      </c>
      <c r="R52" s="7">
        <f>Aus!R29</f>
        <v>604</v>
      </c>
      <c r="S52" s="7">
        <f>Aus!S29</f>
        <v>736</v>
      </c>
      <c r="T52" s="7">
        <f>Aus!T29</f>
        <v>1303</v>
      </c>
      <c r="U52" s="7">
        <f>Aus!U29</f>
        <v>2911</v>
      </c>
      <c r="V52" s="7">
        <f>Aus!V29</f>
        <v>1685</v>
      </c>
      <c r="W52" s="7">
        <f>Aus!W29</f>
        <v>126</v>
      </c>
      <c r="X52" s="7">
        <f>Aus!X29</f>
        <v>756</v>
      </c>
      <c r="Y52" s="7">
        <f>Aus!Y29</f>
        <v>836</v>
      </c>
      <c r="Z52" s="7">
        <f>Aus!Z29</f>
        <v>1849</v>
      </c>
      <c r="AA52" s="7">
        <f>Aus!AA29</f>
        <v>2738</v>
      </c>
      <c r="AB52" s="7">
        <f>Aus!AB29</f>
        <v>3302</v>
      </c>
      <c r="AC52" s="7">
        <f>Aus!AC29</f>
        <v>1566</v>
      </c>
      <c r="AD52" s="7">
        <f>Aus!AD29</f>
        <v>1690</v>
      </c>
      <c r="AE52" s="7">
        <f>Aus!AE29</f>
        <v>-83</v>
      </c>
      <c r="AF52" s="7">
        <f>Aus!AF29</f>
        <v>-5267</v>
      </c>
      <c r="AG52" s="7">
        <f>Aus!AG29</f>
        <v>1956</v>
      </c>
      <c r="AH52" s="7">
        <f>Aus!AH29</f>
        <v>1325</v>
      </c>
      <c r="AI52" s="7">
        <f>Aus!AI29</f>
        <v>439.38760373839585</v>
      </c>
      <c r="AJ52" s="7">
        <f>Aus!AJ29</f>
        <v>590.67039640654252</v>
      </c>
      <c r="AK52" s="7">
        <f>Aus!AK29</f>
        <v>731.10527808612471</v>
      </c>
      <c r="AL52" s="7">
        <f>Aus!AL29</f>
        <v>786.83061596718528</v>
      </c>
      <c r="AM52" s="7">
        <f>Aus!AM29</f>
        <v>838.84093132284215</v>
      </c>
      <c r="AN52" s="7">
        <f>Aus!AN29</f>
        <v>887.38389232145494</v>
      </c>
      <c r="AR52" s="90"/>
    </row>
    <row r="53" spans="1:44">
      <c r="A53" s="10" t="s">
        <v>213</v>
      </c>
      <c r="B53" s="7">
        <f>CN!B20</f>
        <v>62</v>
      </c>
      <c r="C53" s="7">
        <f>CN!C20</f>
        <v>67</v>
      </c>
      <c r="D53" s="7">
        <f>CN!D20</f>
        <v>209</v>
      </c>
      <c r="E53" s="7">
        <f>CN!E20</f>
        <v>308</v>
      </c>
      <c r="F53" s="7">
        <f>CN!F20</f>
        <v>383</v>
      </c>
      <c r="G53" s="7">
        <f>CN!G20</f>
        <v>434</v>
      </c>
      <c r="H53" s="7">
        <f>CN!H20</f>
        <v>504</v>
      </c>
      <c r="I53" s="7">
        <f>CN!I20</f>
        <v>708</v>
      </c>
      <c r="J53" s="7">
        <f>CN!J20</f>
        <v>758</v>
      </c>
      <c r="K53" s="7">
        <f>CN!K20</f>
        <v>1068</v>
      </c>
      <c r="L53" s="7">
        <f>CN!L20</f>
        <v>968</v>
      </c>
      <c r="M53" s="7">
        <f>CN!M20</f>
        <v>1145</v>
      </c>
      <c r="N53" s="7">
        <f>CN!N20</f>
        <v>1013</v>
      </c>
      <c r="O53" s="7">
        <f>CN!O20</f>
        <v>970</v>
      </c>
      <c r="P53" s="7">
        <f>CN!P20</f>
        <v>988</v>
      </c>
      <c r="Q53" s="7">
        <f>CN!Q20</f>
        <v>1025</v>
      </c>
      <c r="R53" s="7">
        <f>CN!R20</f>
        <v>1171</v>
      </c>
      <c r="S53" s="7">
        <f>CN!S20</f>
        <v>1119</v>
      </c>
      <c r="T53" s="7">
        <f>CN!T20</f>
        <v>1834</v>
      </c>
      <c r="U53" s="7">
        <f>CN!U20</f>
        <v>1231</v>
      </c>
      <c r="V53" s="7">
        <f>CN!V20</f>
        <v>1397</v>
      </c>
      <c r="W53" s="7">
        <f>CN!W20</f>
        <v>2215</v>
      </c>
      <c r="X53" s="7">
        <f>CN!X20</f>
        <v>1616</v>
      </c>
      <c r="Y53" s="7">
        <f>CN!Y20</f>
        <v>2128</v>
      </c>
      <c r="Z53" s="7">
        <f>CN!Z20</f>
        <v>1668</v>
      </c>
      <c r="AA53" s="7">
        <f>CN!AA20</f>
        <v>1508</v>
      </c>
      <c r="AB53" s="7">
        <f>CN!AB20</f>
        <v>2355</v>
      </c>
      <c r="AC53" s="7">
        <f>CN!AC20</f>
        <v>2488</v>
      </c>
      <c r="AD53" s="7">
        <f>CN!AD20</f>
        <v>2503</v>
      </c>
      <c r="AE53" s="7">
        <f>CN!AE20</f>
        <v>1961</v>
      </c>
      <c r="AF53" s="7">
        <f>CN!AF20</f>
        <v>2492</v>
      </c>
      <c r="AG53" s="7">
        <f>CN!AG20</f>
        <v>2360</v>
      </c>
      <c r="AH53" s="7">
        <f>CN!AH20</f>
        <v>2052</v>
      </c>
      <c r="AI53" s="7">
        <f>CN!AI20</f>
        <v>1831.8860643915914</v>
      </c>
      <c r="AJ53" s="7">
        <f>CN!AJ20</f>
        <v>1867.8830887013601</v>
      </c>
      <c r="AK53" s="7">
        <f>CN!AK20</f>
        <v>1857.6626124087029</v>
      </c>
      <c r="AL53" s="7">
        <f>CN!AL20</f>
        <v>1847.1355218272661</v>
      </c>
      <c r="AM53" s="7">
        <f>CN!AM20</f>
        <v>1836.2926185283861</v>
      </c>
      <c r="AN53" s="7">
        <f>CN!AN20</f>
        <v>1825.1244281305399</v>
      </c>
    </row>
    <row r="54" spans="1:44">
      <c r="A54" s="10" t="s">
        <v>355</v>
      </c>
      <c r="B54" s="7">
        <f>India!B19</f>
        <v>0</v>
      </c>
      <c r="C54" s="7">
        <f>India!C19</f>
        <v>0</v>
      </c>
      <c r="D54" s="7">
        <f>India!D19</f>
        <v>0</v>
      </c>
      <c r="E54" s="7">
        <f>India!E19</f>
        <v>0</v>
      </c>
      <c r="F54" s="7">
        <f>India!F19</f>
        <v>0</v>
      </c>
      <c r="G54" s="7">
        <f>India!G19</f>
        <v>0</v>
      </c>
      <c r="H54" s="7">
        <f>India!H19</f>
        <v>0</v>
      </c>
      <c r="I54" s="7">
        <f>India!I19</f>
        <v>0</v>
      </c>
      <c r="J54" s="7">
        <f>India!J19</f>
        <v>0</v>
      </c>
      <c r="K54" s="7">
        <f>India!K19</f>
        <v>0</v>
      </c>
      <c r="L54" s="7">
        <f>India!L19</f>
        <v>0</v>
      </c>
      <c r="M54" s="7">
        <f>India!M19</f>
        <v>0</v>
      </c>
      <c r="N54" s="7">
        <f>India!N19</f>
        <v>0</v>
      </c>
      <c r="O54" s="7">
        <f>India!O19</f>
        <v>603</v>
      </c>
      <c r="P54" s="7">
        <f>India!P19</f>
        <v>931</v>
      </c>
      <c r="Q54" s="7">
        <f>India!Q19</f>
        <v>409</v>
      </c>
      <c r="R54" s="7">
        <f>India!R19</f>
        <v>320</v>
      </c>
      <c r="S54" s="7">
        <f>India!S19</f>
        <v>264</v>
      </c>
      <c r="T54" s="7">
        <f>India!T19</f>
        <v>239</v>
      </c>
      <c r="U54" s="7">
        <f>India!U19</f>
        <v>240</v>
      </c>
      <c r="V54" s="7">
        <f>India!V19</f>
        <v>-264</v>
      </c>
      <c r="W54" s="7">
        <f>India!W19</f>
        <v>184</v>
      </c>
      <c r="X54" s="7">
        <f>India!X19</f>
        <v>270</v>
      </c>
      <c r="Y54" s="7">
        <f>India!Y19</f>
        <v>614</v>
      </c>
      <c r="Z54" s="7">
        <f>India!Z19</f>
        <v>469</v>
      </c>
      <c r="AA54" s="7">
        <f>India!AA19</f>
        <v>647</v>
      </c>
      <c r="AB54" s="7">
        <f>India!AB19</f>
        <v>572</v>
      </c>
      <c r="AC54" s="7">
        <f>India!AC19</f>
        <v>263</v>
      </c>
      <c r="AD54" s="7">
        <f>India!AD19</f>
        <v>175</v>
      </c>
      <c r="AE54" s="7">
        <f>India!AE19</f>
        <v>221</v>
      </c>
      <c r="AF54" s="7">
        <f>India!AF19</f>
        <v>193</v>
      </c>
      <c r="AG54" s="7">
        <f>India!AG19</f>
        <v>301</v>
      </c>
      <c r="AH54" s="7">
        <f>India!AH19</f>
        <v>329</v>
      </c>
      <c r="AI54" s="7">
        <f>India!AI19</f>
        <v>246.30544958325683</v>
      </c>
      <c r="AJ54" s="7">
        <f>India!AJ19</f>
        <v>236.84067837455194</v>
      </c>
      <c r="AK54" s="7">
        <f>India!AK19</f>
        <v>236.84067837455194</v>
      </c>
      <c r="AL54" s="7">
        <f>India!AL19</f>
        <v>236.84067837455194</v>
      </c>
      <c r="AM54" s="7">
        <f>India!AM19</f>
        <v>236.84067837455194</v>
      </c>
      <c r="AN54" s="7">
        <f>India!AN19</f>
        <v>236.84067837455194</v>
      </c>
    </row>
    <row r="55" spans="1:44">
      <c r="A55" s="10" t="s">
        <v>508</v>
      </c>
      <c r="B55" s="7">
        <f>SEA!B18</f>
        <v>0</v>
      </c>
      <c r="C55" s="7">
        <f>SEA!C18</f>
        <v>0</v>
      </c>
      <c r="D55" s="7">
        <f>SEA!D18</f>
        <v>0</v>
      </c>
      <c r="E55" s="7">
        <f>SEA!E18</f>
        <v>0</v>
      </c>
      <c r="F55" s="7">
        <f>SEA!F18</f>
        <v>0</v>
      </c>
      <c r="G55" s="7">
        <f>SEA!G18</f>
        <v>0</v>
      </c>
      <c r="H55" s="7">
        <f>SEA!H18</f>
        <v>0</v>
      </c>
      <c r="I55" s="7">
        <f>SEA!I18</f>
        <v>0</v>
      </c>
      <c r="J55" s="7">
        <f>SEA!J18</f>
        <v>0</v>
      </c>
      <c r="K55" s="7">
        <f>SEA!K18</f>
        <v>0</v>
      </c>
      <c r="L55" s="7">
        <f>SEA!L18</f>
        <v>0</v>
      </c>
      <c r="M55" s="7">
        <f>SEA!M18</f>
        <v>0</v>
      </c>
      <c r="N55" s="7">
        <f>SEA!N18</f>
        <v>0</v>
      </c>
      <c r="O55" s="7">
        <f>SEA!O18</f>
        <v>373</v>
      </c>
      <c r="P55" s="7">
        <f>SEA!P18</f>
        <v>444</v>
      </c>
      <c r="Q55" s="7">
        <f>SEA!Q18</f>
        <v>409</v>
      </c>
      <c r="R55" s="7">
        <f>SEA!R18</f>
        <v>116</v>
      </c>
      <c r="S55" s="7">
        <f>SEA!S18</f>
        <v>525</v>
      </c>
      <c r="T55" s="7">
        <f>SEA!T18</f>
        <v>390</v>
      </c>
      <c r="U55" s="7">
        <f>SEA!U18</f>
        <v>86</v>
      </c>
      <c r="V55" s="7">
        <f>SEA!V18</f>
        <v>243</v>
      </c>
      <c r="W55" s="7">
        <f>SEA!W18</f>
        <v>241</v>
      </c>
      <c r="X55" s="7">
        <f>SEA!X18</f>
        <v>297</v>
      </c>
      <c r="Y55" s="7">
        <f>SEA!Y18</f>
        <v>312</v>
      </c>
      <c r="Z55" s="7">
        <f>SEA!Z18</f>
        <v>274</v>
      </c>
      <c r="AA55" s="7">
        <f>SEA!AA18</f>
        <v>160</v>
      </c>
      <c r="AB55" s="7">
        <f>SEA!AB18</f>
        <v>162</v>
      </c>
      <c r="AC55" s="7">
        <f>SEA!AC18</f>
        <v>335</v>
      </c>
      <c r="AD55" s="7">
        <f>SEA!AD18</f>
        <v>386</v>
      </c>
      <c r="AE55" s="7">
        <f>SEA!AE18</f>
        <v>173</v>
      </c>
      <c r="AF55" s="7">
        <f>SEA!AF18</f>
        <v>11</v>
      </c>
      <c r="AG55" s="7">
        <f>SEA!AG18</f>
        <v>307</v>
      </c>
      <c r="AH55" s="7">
        <f>SEA!AH18</f>
        <v>260</v>
      </c>
      <c r="AI55" s="7">
        <f>SEA!AI18</f>
        <v>126.53462827120723</v>
      </c>
      <c r="AJ55" s="7">
        <f>SEA!AJ18</f>
        <v>126.53462827120723</v>
      </c>
      <c r="AK55" s="7">
        <f>SEA!AK18</f>
        <v>126.53462827120723</v>
      </c>
      <c r="AL55" s="7">
        <f>SEA!AL18</f>
        <v>126.53462827120723</v>
      </c>
      <c r="AM55" s="7">
        <f>SEA!AM18</f>
        <v>126.53462827120723</v>
      </c>
      <c r="AN55" s="7">
        <f>SEA!AN18</f>
        <v>126.53462827120723</v>
      </c>
    </row>
    <row r="56" spans="1:44" hidden="1">
      <c r="A56" s="10" t="s">
        <v>738</v>
      </c>
      <c r="T56" s="7">
        <v>2</v>
      </c>
      <c r="U56" s="7">
        <v>-4</v>
      </c>
      <c r="V56" s="7">
        <v>41</v>
      </c>
      <c r="W56" s="7">
        <f>125-17-CN!W41</f>
        <v>24</v>
      </c>
      <c r="X56" s="7">
        <f>71-66-CN!X41</f>
        <v>-32</v>
      </c>
      <c r="Y56" s="7">
        <v>-5</v>
      </c>
      <c r="Z56" s="7">
        <v>56</v>
      </c>
      <c r="AA56" s="7">
        <v>65</v>
      </c>
      <c r="AB56" s="7">
        <v>35</v>
      </c>
      <c r="AC56" s="81">
        <v>0</v>
      </c>
      <c r="AD56" s="81">
        <f t="shared" ref="AD56:AN56" si="32">AC56</f>
        <v>0</v>
      </c>
      <c r="AE56" s="81">
        <f t="shared" si="32"/>
        <v>0</v>
      </c>
      <c r="AF56" s="81">
        <f t="shared" si="32"/>
        <v>0</v>
      </c>
      <c r="AG56" s="81">
        <f t="shared" si="32"/>
        <v>0</v>
      </c>
      <c r="AH56" s="81">
        <f t="shared" si="32"/>
        <v>0</v>
      </c>
      <c r="AI56" s="81">
        <f>AH56</f>
        <v>0</v>
      </c>
      <c r="AJ56" s="81">
        <f>AI56</f>
        <v>0</v>
      </c>
      <c r="AK56" s="81">
        <f>AJ56</f>
        <v>0</v>
      </c>
      <c r="AL56" s="81">
        <f>AK56</f>
        <v>0</v>
      </c>
      <c r="AM56" s="81">
        <f>AL56</f>
        <v>0</v>
      </c>
      <c r="AN56" s="81">
        <f t="shared" si="32"/>
        <v>0</v>
      </c>
    </row>
    <row r="57" spans="1:44">
      <c r="A57" s="10" t="s">
        <v>346</v>
      </c>
      <c r="B57" s="7">
        <f>B58-SUM(B51:B56)</f>
        <v>257</v>
      </c>
      <c r="C57" s="7">
        <f t="shared" ref="C57:AF57" si="33">C58-SUM(C51:C56)</f>
        <v>306</v>
      </c>
      <c r="D57" s="7">
        <f t="shared" si="33"/>
        <v>377</v>
      </c>
      <c r="E57" s="7">
        <f t="shared" si="33"/>
        <v>13</v>
      </c>
      <c r="F57" s="7">
        <f t="shared" si="33"/>
        <v>-2</v>
      </c>
      <c r="G57" s="7">
        <f t="shared" si="33"/>
        <v>580.40000000000055</v>
      </c>
      <c r="H57" s="7">
        <f t="shared" si="33"/>
        <v>1120.0000000000018</v>
      </c>
      <c r="I57" s="7">
        <f t="shared" si="33"/>
        <v>784.77589299999909</v>
      </c>
      <c r="J57" s="7">
        <f t="shared" si="33"/>
        <v>-239</v>
      </c>
      <c r="K57" s="7">
        <f t="shared" si="33"/>
        <v>-701</v>
      </c>
      <c r="L57" s="7">
        <f t="shared" si="33"/>
        <v>-223.59999999999945</v>
      </c>
      <c r="M57" s="7">
        <f t="shared" si="33"/>
        <v>20.51227727553669</v>
      </c>
      <c r="N57" s="7">
        <f t="shared" si="33"/>
        <v>322</v>
      </c>
      <c r="O57" s="7">
        <f t="shared" si="33"/>
        <v>-30</v>
      </c>
      <c r="P57" s="7">
        <f t="shared" si="33"/>
        <v>-600</v>
      </c>
      <c r="Q57" s="7">
        <f t="shared" si="33"/>
        <v>-408</v>
      </c>
      <c r="R57" s="7">
        <f t="shared" si="33"/>
        <v>-378</v>
      </c>
      <c r="S57" s="7">
        <f t="shared" si="33"/>
        <v>-266</v>
      </c>
      <c r="T57" s="7">
        <f t="shared" si="33"/>
        <v>-633</v>
      </c>
      <c r="U57" s="7">
        <f t="shared" si="33"/>
        <v>-491</v>
      </c>
      <c r="V57" s="7">
        <f t="shared" si="33"/>
        <v>-350</v>
      </c>
      <c r="W57" s="7">
        <f t="shared" si="33"/>
        <v>-449</v>
      </c>
      <c r="X57" s="7">
        <f t="shared" si="33"/>
        <v>-767</v>
      </c>
      <c r="Y57" s="7">
        <f t="shared" si="33"/>
        <v>-852</v>
      </c>
      <c r="Z57" s="7">
        <f t="shared" si="33"/>
        <v>-706</v>
      </c>
      <c r="AA57" s="7">
        <f t="shared" si="33"/>
        <v>-754</v>
      </c>
      <c r="AB57" s="7">
        <f t="shared" si="33"/>
        <v>-1076</v>
      </c>
      <c r="AC57" s="7">
        <f t="shared" si="33"/>
        <v>-1008</v>
      </c>
      <c r="AD57" s="7">
        <f t="shared" si="33"/>
        <v>-923</v>
      </c>
      <c r="AE57" s="7">
        <f t="shared" si="33"/>
        <v>-922</v>
      </c>
      <c r="AF57" s="7">
        <f t="shared" si="33"/>
        <v>-1269</v>
      </c>
      <c r="AG57" s="7">
        <f t="shared" ref="AG57:AH57" si="34">AG58-SUM(AG51:AG56)</f>
        <v>-1284</v>
      </c>
      <c r="AH57" s="7">
        <f t="shared" si="34"/>
        <v>-1034</v>
      </c>
      <c r="AI57" s="81">
        <f t="shared" ref="AI57:AN57" si="35">AH57*1.03</f>
        <v>-1065.02</v>
      </c>
      <c r="AJ57" s="81">
        <f>AI57*1.03</f>
        <v>-1096.9706000000001</v>
      </c>
      <c r="AK57" s="81">
        <f>AJ57*1.03</f>
        <v>-1129.8797180000001</v>
      </c>
      <c r="AL57" s="81">
        <f>AK57*1.03</f>
        <v>-1163.7761095400001</v>
      </c>
      <c r="AM57" s="81">
        <f>AL57*1.03</f>
        <v>-1198.6893928262002</v>
      </c>
      <c r="AN57" s="81">
        <f t="shared" si="35"/>
        <v>-1234.6500746109862</v>
      </c>
    </row>
    <row r="58" spans="1:44">
      <c r="A58" s="80" t="s">
        <v>77</v>
      </c>
      <c r="B58" s="9">
        <f>Final!B31</f>
        <v>3173</v>
      </c>
      <c r="C58" s="9">
        <f>Final!C31</f>
        <v>3552</v>
      </c>
      <c r="D58" s="9">
        <f>Final!D31</f>
        <v>4206</v>
      </c>
      <c r="E58" s="9">
        <f>Final!E31</f>
        <v>4388</v>
      </c>
      <c r="F58" s="9">
        <f>Final!F31</f>
        <v>4836</v>
      </c>
      <c r="G58" s="9">
        <f>Final!G31</f>
        <v>5774.0000000000009</v>
      </c>
      <c r="H58" s="9">
        <f>Final!H31</f>
        <v>6594.800000000002</v>
      </c>
      <c r="I58" s="9">
        <f>Final!I31</f>
        <v>7808.9758929999989</v>
      </c>
      <c r="J58" s="9">
        <f>Final!J31</f>
        <v>5665.6</v>
      </c>
      <c r="K58" s="9">
        <f>Final!K31</f>
        <v>5788.6</v>
      </c>
      <c r="L58" s="9">
        <f>Final!L31</f>
        <v>6558.2000000000007</v>
      </c>
      <c r="M58" s="9">
        <f>Final!M31</f>
        <v>7446.5122772755367</v>
      </c>
      <c r="N58" s="9">
        <f>Final!N31</f>
        <v>8241</v>
      </c>
      <c r="O58" s="9">
        <f>Final!O31</f>
        <v>9163</v>
      </c>
      <c r="P58" s="9">
        <f>Final!P31</f>
        <v>9244</v>
      </c>
      <c r="Q58" s="9">
        <f>Final!Q31</f>
        <v>9314</v>
      </c>
      <c r="R58" s="9">
        <f>Final!R31</f>
        <v>9382</v>
      </c>
      <c r="S58" s="9">
        <f>Final!S31</f>
        <v>8342</v>
      </c>
      <c r="T58" s="9">
        <f>Final!T31</f>
        <v>9264</v>
      </c>
      <c r="U58" s="9">
        <f>Final!U31</f>
        <v>10312</v>
      </c>
      <c r="V58" s="9">
        <f>Final!V31</f>
        <v>9406</v>
      </c>
      <c r="W58" s="9">
        <f>Final!W31</f>
        <v>9307</v>
      </c>
      <c r="X58" s="9">
        <f>Final!X31</f>
        <v>10062</v>
      </c>
      <c r="Y58" s="9">
        <f>Final!Y31</f>
        <v>11519</v>
      </c>
      <c r="Z58" s="9">
        <f>Final!Z31</f>
        <v>12334</v>
      </c>
      <c r="AA58" s="9">
        <f>Final!AA31</f>
        <v>13307</v>
      </c>
      <c r="AB58" s="9">
        <f>Final!AB31</f>
        <v>13982</v>
      </c>
      <c r="AC58" s="9">
        <f>Final!AC31</f>
        <v>11121</v>
      </c>
      <c r="AD58" s="9">
        <f>Final!AD31</f>
        <v>11577</v>
      </c>
      <c r="AE58" s="9">
        <f>Final!AE31</f>
        <v>9517</v>
      </c>
      <c r="AF58" s="9">
        <f>Final!AF31</f>
        <v>4623</v>
      </c>
      <c r="AG58" s="9">
        <f>Final!AG31</f>
        <v>12252</v>
      </c>
      <c r="AH58" s="9">
        <f>Final!AH31</f>
        <v>11648</v>
      </c>
      <c r="AI58" s="476">
        <f>SUM(AI51:AI57)</f>
        <v>11114.686183856746</v>
      </c>
      <c r="AJ58" s="476">
        <f t="shared" ref="AJ58:AN58" si="36">SUM(AJ51:AJ57)</f>
        <v>11818.644709229118</v>
      </c>
      <c r="AK58" s="476">
        <f t="shared" si="36"/>
        <v>12236.810551204415</v>
      </c>
      <c r="AL58" s="476">
        <f t="shared" si="36"/>
        <v>12560.109785661627</v>
      </c>
      <c r="AM58" s="476">
        <f t="shared" si="36"/>
        <v>12879.003794880382</v>
      </c>
      <c r="AN58" s="476">
        <f t="shared" si="36"/>
        <v>13190.79726223374</v>
      </c>
    </row>
    <row r="59" spans="1:44">
      <c r="AG59" s="90"/>
      <c r="AH59" s="90"/>
    </row>
    <row r="60" spans="1:44">
      <c r="A60" s="10" t="s">
        <v>317</v>
      </c>
      <c r="B60" s="90"/>
      <c r="C60" s="90">
        <f t="shared" ref="C60:AG60" si="37">C51/B51-1</f>
        <v>0.11387526278906801</v>
      </c>
      <c r="D60" s="90">
        <f t="shared" si="37"/>
        <v>0.13872286882667506</v>
      </c>
      <c r="E60" s="90">
        <f t="shared" si="37"/>
        <v>0.1234806629834253</v>
      </c>
      <c r="F60" s="90">
        <f t="shared" si="37"/>
        <v>9.5402016228178121E-2</v>
      </c>
      <c r="G60" s="90">
        <f t="shared" si="37"/>
        <v>6.8372615039281825E-2</v>
      </c>
      <c r="H60" s="90">
        <f t="shared" si="37"/>
        <v>4.437347676275305E-2</v>
      </c>
      <c r="I60" s="90">
        <f t="shared" si="37"/>
        <v>0.27066065824414576</v>
      </c>
      <c r="J60" s="90">
        <f t="shared" si="37"/>
        <v>-0.18517463031569603</v>
      </c>
      <c r="K60" s="90">
        <f t="shared" si="37"/>
        <v>5.3433334628686824E-2</v>
      </c>
      <c r="L60" s="90">
        <f t="shared" si="37"/>
        <v>7.2340268555407983E-2</v>
      </c>
      <c r="M60" s="90">
        <f t="shared" si="37"/>
        <v>8.0360521517768069E-2</v>
      </c>
      <c r="N60" s="90">
        <f t="shared" si="37"/>
        <v>8.0719630632064998E-2</v>
      </c>
      <c r="O60" s="90">
        <f t="shared" si="37"/>
        <v>3.8155568650559912E-2</v>
      </c>
      <c r="P60" s="90">
        <f t="shared" si="37"/>
        <v>3.4482758620689724E-2</v>
      </c>
      <c r="Q60" s="90">
        <f t="shared" si="37"/>
        <v>4.9657064471879231E-2</v>
      </c>
      <c r="R60" s="90">
        <f t="shared" si="37"/>
        <v>-1.3460533193936253E-2</v>
      </c>
      <c r="S60" s="90">
        <f t="shared" si="37"/>
        <v>-0.20996158431580336</v>
      </c>
      <c r="T60" s="90">
        <f t="shared" si="37"/>
        <v>2.7665995975855173E-2</v>
      </c>
      <c r="U60" s="90">
        <f t="shared" si="37"/>
        <v>3.4263338228095908E-2</v>
      </c>
      <c r="V60" s="90">
        <f t="shared" si="37"/>
        <v>4.9692380501656475E-2</v>
      </c>
      <c r="W60" s="90">
        <f t="shared" si="37"/>
        <v>4.6889089269612327E-2</v>
      </c>
      <c r="X60" s="90">
        <f t="shared" si="37"/>
        <v>0.13723801320700546</v>
      </c>
      <c r="Y60" s="90">
        <f t="shared" si="37"/>
        <v>7.1194142893208801E-2</v>
      </c>
      <c r="Z60" s="90">
        <f t="shared" si="37"/>
        <v>2.804619373085071E-2</v>
      </c>
      <c r="AA60" s="90">
        <f t="shared" si="37"/>
        <v>2.5103163686382324E-2</v>
      </c>
      <c r="AB60" s="90">
        <f t="shared" si="37"/>
        <v>-3.4775802303477543E-2</v>
      </c>
      <c r="AC60" s="90">
        <f t="shared" si="37"/>
        <v>-0.13380444856348472</v>
      </c>
      <c r="AD60" s="90">
        <f t="shared" si="37"/>
        <v>3.597699612143912E-2</v>
      </c>
      <c r="AE60" s="90">
        <f t="shared" si="37"/>
        <v>5.4350632584559744E-2</v>
      </c>
      <c r="AF60" s="90">
        <f t="shared" si="37"/>
        <v>3.6243418635974134E-2</v>
      </c>
      <c r="AG60" s="90">
        <f t="shared" si="37"/>
        <v>1.7606049864114404E-2</v>
      </c>
      <c r="AH60" s="90">
        <f t="shared" ref="AH60:AH64" si="38">AH51/AG51-1</f>
        <v>1.2076172782164329E-2</v>
      </c>
      <c r="AI60" s="90">
        <f t="shared" ref="AI60:AK64" si="39">AI51/AH51-1</f>
        <v>9.4033092917885863E-2</v>
      </c>
      <c r="AJ60" s="90">
        <f t="shared" si="39"/>
        <v>5.8527467825343793E-2</v>
      </c>
      <c r="AK60" s="90">
        <f t="shared" si="39"/>
        <v>3.1788242485325524E-2</v>
      </c>
      <c r="AL60" s="90">
        <f t="shared" ref="AL60:AM64" si="40">AL51/AK51-1</f>
        <v>2.9957844209518969E-2</v>
      </c>
      <c r="AM60" s="90">
        <f t="shared" si="40"/>
        <v>2.9146374387697849E-2</v>
      </c>
      <c r="AN60" s="90">
        <f t="shared" ref="AN60:AN64" si="41">AN51/AM51-1</f>
        <v>2.8116151449694149E-2</v>
      </c>
    </row>
    <row r="61" spans="1:44">
      <c r="A61" s="10" t="s">
        <v>237</v>
      </c>
      <c r="B61" s="90"/>
      <c r="C61" s="90"/>
      <c r="D61" s="90"/>
      <c r="E61" s="90"/>
      <c r="F61" s="90"/>
      <c r="G61" s="90"/>
      <c r="H61" s="90"/>
      <c r="I61" s="90"/>
      <c r="J61" s="90"/>
      <c r="K61" s="90"/>
      <c r="L61" s="90"/>
      <c r="M61" s="90"/>
      <c r="N61" s="90"/>
      <c r="O61" s="90">
        <f t="shared" ref="O61:AG61" si="42">O52/N52-1</f>
        <v>0.69491525423728806</v>
      </c>
      <c r="P61" s="90">
        <f t="shared" si="42"/>
        <v>-4.500000000000004E-2</v>
      </c>
      <c r="Q61" s="90">
        <f t="shared" si="42"/>
        <v>0.18848167539267013</v>
      </c>
      <c r="R61" s="90">
        <f t="shared" si="42"/>
        <v>1.66079295154185</v>
      </c>
      <c r="S61" s="90">
        <f t="shared" si="42"/>
        <v>0.2185430463576159</v>
      </c>
      <c r="T61" s="90">
        <f t="shared" si="42"/>
        <v>0.77038043478260865</v>
      </c>
      <c r="U61" s="90">
        <f t="shared" si="42"/>
        <v>1.2340752110514197</v>
      </c>
      <c r="V61" s="90">
        <f t="shared" si="42"/>
        <v>-0.42116111301958092</v>
      </c>
      <c r="W61" s="90">
        <f t="shared" si="42"/>
        <v>-0.92522255192878333</v>
      </c>
      <c r="X61" s="90">
        <f t="shared" si="42"/>
        <v>5</v>
      </c>
      <c r="Y61" s="90">
        <f t="shared" si="42"/>
        <v>0.10582010582010581</v>
      </c>
      <c r="Z61" s="90">
        <f t="shared" si="42"/>
        <v>1.2117224880382773</v>
      </c>
      <c r="AA61" s="90">
        <f t="shared" si="42"/>
        <v>0.48080043266630601</v>
      </c>
      <c r="AB61" s="90">
        <f t="shared" si="42"/>
        <v>0.20598977355734105</v>
      </c>
      <c r="AC61" s="90">
        <f t="shared" si="42"/>
        <v>-0.52574197456087224</v>
      </c>
      <c r="AD61" s="90">
        <f t="shared" si="42"/>
        <v>7.9182630906768914E-2</v>
      </c>
      <c r="AE61" s="90">
        <f t="shared" si="42"/>
        <v>-1.0491124260355029</v>
      </c>
      <c r="AF61" s="90">
        <f t="shared" si="42"/>
        <v>62.457831325301207</v>
      </c>
      <c r="AG61" s="90">
        <f t="shared" si="42"/>
        <v>-1.3713689007024872</v>
      </c>
      <c r="AH61" s="90">
        <f t="shared" si="38"/>
        <v>-0.32259713701431492</v>
      </c>
      <c r="AI61" s="90">
        <f t="shared" si="39"/>
        <v>-0.6683867141597013</v>
      </c>
      <c r="AJ61" s="90">
        <f t="shared" si="39"/>
        <v>0.34430373406305281</v>
      </c>
      <c r="AK61" s="90">
        <f t="shared" si="39"/>
        <v>0.23775507039788168</v>
      </c>
      <c r="AL61" s="90">
        <f t="shared" si="40"/>
        <v>7.6220675122107506E-2</v>
      </c>
      <c r="AM61" s="90">
        <f t="shared" si="40"/>
        <v>6.6101031531068388E-2</v>
      </c>
      <c r="AN61" s="90">
        <f t="shared" si="41"/>
        <v>5.7869089580620647E-2</v>
      </c>
    </row>
    <row r="62" spans="1:44">
      <c r="A62" s="10" t="s">
        <v>213</v>
      </c>
      <c r="B62" s="90"/>
      <c r="C62" s="90"/>
      <c r="D62" s="90"/>
      <c r="E62" s="90"/>
      <c r="F62" s="90"/>
      <c r="G62" s="90"/>
      <c r="H62" s="90"/>
      <c r="I62" s="90"/>
      <c r="J62" s="90"/>
      <c r="K62" s="90"/>
      <c r="L62" s="90"/>
      <c r="M62" s="90">
        <f>M53/L53-1</f>
        <v>0.18285123966942152</v>
      </c>
      <c r="N62" s="90">
        <f>N53/M53-1</f>
        <v>-0.11528384279475978</v>
      </c>
      <c r="O62" s="90">
        <f t="shared" ref="O62:AG62" si="43">O53/N53-1</f>
        <v>-4.2448173741362338E-2</v>
      </c>
      <c r="P62" s="90">
        <f t="shared" si="43"/>
        <v>1.8556701030927769E-2</v>
      </c>
      <c r="Q62" s="90">
        <f t="shared" si="43"/>
        <v>3.7449392712550544E-2</v>
      </c>
      <c r="R62" s="90">
        <f t="shared" si="43"/>
        <v>0.14243902439024381</v>
      </c>
      <c r="S62" s="90">
        <f t="shared" si="43"/>
        <v>-4.4406490179333957E-2</v>
      </c>
      <c r="T62" s="90">
        <f t="shared" si="43"/>
        <v>0.63896336014298472</v>
      </c>
      <c r="U62" s="90">
        <f t="shared" si="43"/>
        <v>-0.3287895310796074</v>
      </c>
      <c r="V62" s="90">
        <f t="shared" si="43"/>
        <v>0.13484971567831039</v>
      </c>
      <c r="W62" s="90">
        <f t="shared" si="43"/>
        <v>0.58554044380816039</v>
      </c>
      <c r="X62" s="90">
        <f t="shared" si="43"/>
        <v>-0.27042889390519187</v>
      </c>
      <c r="Y62" s="90">
        <f t="shared" si="43"/>
        <v>0.31683168316831689</v>
      </c>
      <c r="Z62" s="90">
        <f t="shared" si="43"/>
        <v>-0.21616541353383456</v>
      </c>
      <c r="AA62" s="90">
        <f t="shared" si="43"/>
        <v>-9.5923261390887249E-2</v>
      </c>
      <c r="AB62" s="90">
        <f t="shared" si="43"/>
        <v>0.56167108753315653</v>
      </c>
      <c r="AC62" s="90">
        <f t="shared" si="43"/>
        <v>5.6475583864118883E-2</v>
      </c>
      <c r="AD62" s="90">
        <f t="shared" si="43"/>
        <v>6.0289389067524901E-3</v>
      </c>
      <c r="AE62" s="90">
        <f t="shared" si="43"/>
        <v>-0.2165401518178186</v>
      </c>
      <c r="AF62" s="90">
        <f t="shared" si="43"/>
        <v>0.2707802141764406</v>
      </c>
      <c r="AG62" s="90">
        <f t="shared" si="43"/>
        <v>-5.2969502407704705E-2</v>
      </c>
      <c r="AH62" s="90">
        <f t="shared" si="38"/>
        <v>-0.13050847457627124</v>
      </c>
      <c r="AI62" s="90">
        <f t="shared" si="39"/>
        <v>-0.10726799980916601</v>
      </c>
      <c r="AJ62" s="90">
        <f t="shared" si="39"/>
        <v>1.9650252823842473E-2</v>
      </c>
      <c r="AK62" s="90">
        <f t="shared" si="39"/>
        <v>-5.4716895048088077E-3</v>
      </c>
      <c r="AL62" s="90">
        <f t="shared" si="40"/>
        <v>-5.6668474195037399E-3</v>
      </c>
      <c r="AM62" s="90">
        <f t="shared" si="40"/>
        <v>-5.8701179045886898E-3</v>
      </c>
      <c r="AN62" s="90">
        <f t="shared" si="41"/>
        <v>-6.0819230470994246E-3</v>
      </c>
    </row>
    <row r="63" spans="1:44">
      <c r="A63" s="10" t="s">
        <v>355</v>
      </c>
      <c r="B63" s="90"/>
      <c r="C63" s="90"/>
      <c r="D63" s="90"/>
      <c r="E63" s="90"/>
      <c r="F63" s="90"/>
      <c r="G63" s="90"/>
      <c r="H63" s="90"/>
      <c r="I63" s="90"/>
      <c r="J63" s="90"/>
      <c r="K63" s="90"/>
      <c r="L63" s="90"/>
      <c r="M63" s="90"/>
      <c r="N63" s="90"/>
      <c r="O63" s="90"/>
      <c r="P63" s="90">
        <f t="shared" ref="P63:AG63" si="44">P54/O54-1</f>
        <v>0.54394693200663347</v>
      </c>
      <c r="Q63" s="90">
        <f t="shared" si="44"/>
        <v>-0.56068743286788392</v>
      </c>
      <c r="R63" s="90">
        <f t="shared" si="44"/>
        <v>-0.21760391198044005</v>
      </c>
      <c r="S63" s="90">
        <f t="shared" si="44"/>
        <v>-0.17500000000000004</v>
      </c>
      <c r="T63" s="90">
        <f t="shared" si="44"/>
        <v>-9.4696969696969724E-2</v>
      </c>
      <c r="U63" s="90">
        <f t="shared" si="44"/>
        <v>4.1841004184099972E-3</v>
      </c>
      <c r="V63" s="90">
        <f t="shared" si="44"/>
        <v>-2.1</v>
      </c>
      <c r="W63" s="90">
        <f t="shared" si="44"/>
        <v>-1.696969696969697</v>
      </c>
      <c r="X63" s="90">
        <f t="shared" si="44"/>
        <v>0.46739130434782616</v>
      </c>
      <c r="Y63" s="90">
        <f t="shared" si="44"/>
        <v>1.2740740740740741</v>
      </c>
      <c r="Z63" s="90">
        <f t="shared" si="44"/>
        <v>-0.23615635179153094</v>
      </c>
      <c r="AA63" s="90">
        <f t="shared" si="44"/>
        <v>0.3795309168443497</v>
      </c>
      <c r="AB63" s="90">
        <f t="shared" si="44"/>
        <v>-0.115919629057187</v>
      </c>
      <c r="AC63" s="90">
        <f t="shared" si="44"/>
        <v>-0.54020979020979021</v>
      </c>
      <c r="AD63" s="90">
        <f t="shared" si="44"/>
        <v>-0.33460076045627374</v>
      </c>
      <c r="AE63" s="90">
        <f t="shared" si="44"/>
        <v>0.2628571428571429</v>
      </c>
      <c r="AF63" s="90">
        <f t="shared" si="44"/>
        <v>-0.12669683257918551</v>
      </c>
      <c r="AG63" s="90">
        <f t="shared" si="44"/>
        <v>0.55958549222797926</v>
      </c>
      <c r="AH63" s="90">
        <f t="shared" si="38"/>
        <v>9.3023255813953432E-2</v>
      </c>
      <c r="AI63" s="90">
        <f t="shared" si="39"/>
        <v>-0.25135121707216768</v>
      </c>
      <c r="AJ63" s="90">
        <f t="shared" si="39"/>
        <v>-3.8426966292134712E-2</v>
      </c>
      <c r="AK63" s="90">
        <f t="shared" si="39"/>
        <v>0</v>
      </c>
      <c r="AL63" s="90">
        <f t="shared" si="40"/>
        <v>0</v>
      </c>
      <c r="AM63" s="90">
        <f t="shared" si="40"/>
        <v>0</v>
      </c>
      <c r="AN63" s="90">
        <f t="shared" si="41"/>
        <v>0</v>
      </c>
    </row>
    <row r="64" spans="1:44">
      <c r="A64" s="10" t="s">
        <v>508</v>
      </c>
      <c r="B64" s="90"/>
      <c r="C64" s="90"/>
      <c r="D64" s="90"/>
      <c r="E64" s="90"/>
      <c r="F64" s="90"/>
      <c r="G64" s="90"/>
      <c r="H64" s="90"/>
      <c r="I64" s="90"/>
      <c r="J64" s="90"/>
      <c r="K64" s="90"/>
      <c r="L64" s="90"/>
      <c r="M64" s="90"/>
      <c r="N64" s="90"/>
      <c r="O64" s="90"/>
      <c r="P64" s="90">
        <f t="shared" ref="P64:AG64" si="45">P55/O55-1</f>
        <v>0.19034852546916881</v>
      </c>
      <c r="Q64" s="90">
        <f t="shared" si="45"/>
        <v>-7.8828828828828801E-2</v>
      </c>
      <c r="R64" s="90">
        <f t="shared" si="45"/>
        <v>-0.71638141809290956</v>
      </c>
      <c r="S64" s="90">
        <f t="shared" si="45"/>
        <v>3.5258620689655169</v>
      </c>
      <c r="T64" s="90">
        <f t="shared" si="45"/>
        <v>-0.25714285714285712</v>
      </c>
      <c r="U64" s="90">
        <f t="shared" si="45"/>
        <v>-0.77948717948717949</v>
      </c>
      <c r="V64" s="90">
        <f t="shared" si="45"/>
        <v>1.8255813953488373</v>
      </c>
      <c r="W64" s="90">
        <f t="shared" si="45"/>
        <v>-8.2304526748970819E-3</v>
      </c>
      <c r="X64" s="90">
        <f t="shared" si="45"/>
        <v>0.23236514522821583</v>
      </c>
      <c r="Y64" s="90">
        <f t="shared" si="45"/>
        <v>5.0505050505050608E-2</v>
      </c>
      <c r="Z64" s="90">
        <f t="shared" si="45"/>
        <v>-0.12179487179487181</v>
      </c>
      <c r="AA64" s="90">
        <f t="shared" si="45"/>
        <v>-0.41605839416058399</v>
      </c>
      <c r="AB64" s="90">
        <f t="shared" si="45"/>
        <v>1.2499999999999956E-2</v>
      </c>
      <c r="AC64" s="90">
        <f t="shared" si="45"/>
        <v>1.0679012345679011</v>
      </c>
      <c r="AD64" s="90">
        <f t="shared" si="45"/>
        <v>0.15223880597014916</v>
      </c>
      <c r="AE64" s="90">
        <f t="shared" si="45"/>
        <v>-0.55181347150259064</v>
      </c>
      <c r="AF64" s="90">
        <f t="shared" si="45"/>
        <v>-0.93641618497109824</v>
      </c>
      <c r="AG64" s="90">
        <f t="shared" si="45"/>
        <v>26.90909090909091</v>
      </c>
      <c r="AH64" s="90">
        <f t="shared" si="38"/>
        <v>-0.15309446254071657</v>
      </c>
      <c r="AI64" s="90">
        <f t="shared" si="39"/>
        <v>-0.51332835280304911</v>
      </c>
      <c r="AJ64" s="90">
        <f t="shared" si="39"/>
        <v>0</v>
      </c>
      <c r="AK64" s="90">
        <f t="shared" si="39"/>
        <v>0</v>
      </c>
      <c r="AL64" s="90">
        <f t="shared" si="40"/>
        <v>0</v>
      </c>
      <c r="AM64" s="90">
        <f t="shared" si="40"/>
        <v>0</v>
      </c>
      <c r="AN64" s="90">
        <f t="shared" si="41"/>
        <v>0</v>
      </c>
    </row>
    <row r="65" spans="1:40">
      <c r="A65" s="10" t="s">
        <v>346</v>
      </c>
      <c r="B65" s="90"/>
      <c r="C65" s="90">
        <f t="shared" ref="C65:AG65" si="46">C57/B57-1</f>
        <v>0.19066147859922178</v>
      </c>
      <c r="D65" s="90">
        <f t="shared" si="46"/>
        <v>0.23202614379084974</v>
      </c>
      <c r="E65" s="90">
        <f t="shared" si="46"/>
        <v>-0.96551724137931039</v>
      </c>
      <c r="F65" s="90">
        <f t="shared" si="46"/>
        <v>-1.1538461538461537</v>
      </c>
      <c r="G65" s="90">
        <f t="shared" si="46"/>
        <v>-291.20000000000027</v>
      </c>
      <c r="H65" s="90">
        <f t="shared" si="46"/>
        <v>0.92970365265334376</v>
      </c>
      <c r="I65" s="90">
        <f t="shared" si="46"/>
        <v>-0.29930723839285911</v>
      </c>
      <c r="J65" s="90">
        <f t="shared" si="46"/>
        <v>-1.3045455424049326</v>
      </c>
      <c r="K65" s="90">
        <f t="shared" si="46"/>
        <v>1.9330543933054392</v>
      </c>
      <c r="L65" s="90">
        <f t="shared" si="46"/>
        <v>-0.681027104136948</v>
      </c>
      <c r="M65" s="90">
        <f t="shared" si="46"/>
        <v>-1.0917364815542787</v>
      </c>
      <c r="N65" s="90">
        <f t="shared" si="46"/>
        <v>14.697915725038632</v>
      </c>
      <c r="O65" s="90">
        <f t="shared" si="46"/>
        <v>-1.0931677018633541</v>
      </c>
      <c r="P65" s="90">
        <f t="shared" si="46"/>
        <v>19</v>
      </c>
      <c r="Q65" s="90">
        <f t="shared" si="46"/>
        <v>-0.31999999999999995</v>
      </c>
      <c r="R65" s="90">
        <f t="shared" si="46"/>
        <v>-7.3529411764705843E-2</v>
      </c>
      <c r="S65" s="90">
        <f t="shared" si="46"/>
        <v>-0.29629629629629628</v>
      </c>
      <c r="T65" s="90">
        <f t="shared" si="46"/>
        <v>1.3796992481203008</v>
      </c>
      <c r="U65" s="90">
        <f t="shared" si="46"/>
        <v>-0.22432859399684046</v>
      </c>
      <c r="V65" s="90">
        <f t="shared" si="46"/>
        <v>-0.28716904276985744</v>
      </c>
      <c r="W65" s="90">
        <f t="shared" si="46"/>
        <v>0.28285714285714292</v>
      </c>
      <c r="X65" s="90">
        <f t="shared" si="46"/>
        <v>0.7082405345211582</v>
      </c>
      <c r="Y65" s="90">
        <f t="shared" si="46"/>
        <v>0.11082138200782277</v>
      </c>
      <c r="Z65" s="90">
        <f t="shared" si="46"/>
        <v>-0.17136150234741787</v>
      </c>
      <c r="AA65" s="90">
        <f t="shared" si="46"/>
        <v>6.7988668555240883E-2</v>
      </c>
      <c r="AB65" s="90">
        <f t="shared" si="46"/>
        <v>0.42705570291777195</v>
      </c>
      <c r="AC65" s="90">
        <f t="shared" si="46"/>
        <v>-6.3197026022304814E-2</v>
      </c>
      <c r="AD65" s="90">
        <f t="shared" si="46"/>
        <v>-8.4325396825396859E-2</v>
      </c>
      <c r="AE65" s="90">
        <f t="shared" si="46"/>
        <v>-1.0834236186348933E-3</v>
      </c>
      <c r="AF65" s="90">
        <f t="shared" si="46"/>
        <v>0.37635574837310193</v>
      </c>
      <c r="AG65" s="90">
        <f t="shared" si="46"/>
        <v>1.1820330969267046E-2</v>
      </c>
      <c r="AH65" s="90">
        <f t="shared" ref="AH65:AI66" si="47">AH57/AG57-1</f>
        <v>-0.19470404984423673</v>
      </c>
      <c r="AI65" s="90">
        <f t="shared" si="47"/>
        <v>3.0000000000000027E-2</v>
      </c>
      <c r="AJ65" s="90">
        <f t="shared" ref="AJ65:AL66" si="48">AJ57/AI57-1</f>
        <v>3.0000000000000027E-2</v>
      </c>
      <c r="AK65" s="90">
        <f t="shared" si="48"/>
        <v>3.0000000000000027E-2</v>
      </c>
      <c r="AL65" s="90">
        <f t="shared" si="48"/>
        <v>3.0000000000000027E-2</v>
      </c>
      <c r="AM65" s="90">
        <f>AM57/AL57-1</f>
        <v>3.0000000000000027E-2</v>
      </c>
      <c r="AN65" s="90">
        <f t="shared" ref="AN65:AN66" si="49">AN57/AM57-1</f>
        <v>3.0000000000000027E-2</v>
      </c>
    </row>
    <row r="66" spans="1:40" s="79" customFormat="1">
      <c r="A66" s="80" t="s">
        <v>671</v>
      </c>
      <c r="B66" s="410"/>
      <c r="C66" s="410">
        <f t="shared" ref="C66:AG66" si="50">C58/B58-1</f>
        <v>0.11944531988654261</v>
      </c>
      <c r="D66" s="410">
        <f t="shared" si="50"/>
        <v>0.18412162162162171</v>
      </c>
      <c r="E66" s="410">
        <f t="shared" si="50"/>
        <v>4.3271516880646788E-2</v>
      </c>
      <c r="F66" s="410">
        <f t="shared" si="50"/>
        <v>0.10209662716499546</v>
      </c>
      <c r="G66" s="410">
        <f t="shared" si="50"/>
        <v>0.19396195202646838</v>
      </c>
      <c r="H66" s="410">
        <f t="shared" si="50"/>
        <v>0.1421544856252166</v>
      </c>
      <c r="I66" s="410">
        <f t="shared" si="50"/>
        <v>0.18411110162552258</v>
      </c>
      <c r="J66" s="410">
        <f t="shared" si="50"/>
        <v>-0.27447592646832608</v>
      </c>
      <c r="K66" s="410">
        <f t="shared" si="50"/>
        <v>2.170996893532906E-2</v>
      </c>
      <c r="L66" s="410">
        <f t="shared" si="50"/>
        <v>0.13295097260131983</v>
      </c>
      <c r="M66" s="410">
        <f t="shared" si="50"/>
        <v>0.13545062323130375</v>
      </c>
      <c r="N66" s="410">
        <f t="shared" si="50"/>
        <v>0.10669259555899679</v>
      </c>
      <c r="O66" s="410">
        <f t="shared" si="50"/>
        <v>0.11187962625894921</v>
      </c>
      <c r="P66" s="410">
        <f t="shared" si="50"/>
        <v>8.8398995962020166E-3</v>
      </c>
      <c r="Q66" s="410">
        <f t="shared" si="50"/>
        <v>7.5724794461271561E-3</v>
      </c>
      <c r="R66" s="410">
        <f t="shared" si="50"/>
        <v>7.3008374490015626E-3</v>
      </c>
      <c r="S66" s="410">
        <f t="shared" si="50"/>
        <v>-0.11085056491153267</v>
      </c>
      <c r="T66" s="410">
        <f t="shared" si="50"/>
        <v>0.11052505394389844</v>
      </c>
      <c r="U66" s="410">
        <f t="shared" si="50"/>
        <v>0.113126079447323</v>
      </c>
      <c r="V66" s="410">
        <f t="shared" si="50"/>
        <v>-8.7858805275407348E-2</v>
      </c>
      <c r="W66" s="410">
        <f t="shared" si="50"/>
        <v>-1.0525196682968363E-2</v>
      </c>
      <c r="X66" s="410">
        <f t="shared" si="50"/>
        <v>8.112173632749542E-2</v>
      </c>
      <c r="Y66" s="410">
        <f t="shared" si="50"/>
        <v>0.14480222619757499</v>
      </c>
      <c r="Z66" s="410">
        <f t="shared" si="50"/>
        <v>7.0752669502561094E-2</v>
      </c>
      <c r="AA66" s="410">
        <f t="shared" si="50"/>
        <v>7.8887627695800155E-2</v>
      </c>
      <c r="AB66" s="410">
        <f t="shared" si="50"/>
        <v>5.0725182234913957E-2</v>
      </c>
      <c r="AC66" s="410">
        <f t="shared" si="50"/>
        <v>-0.2046202260048634</v>
      </c>
      <c r="AD66" s="410">
        <f t="shared" si="50"/>
        <v>4.1003506878877882E-2</v>
      </c>
      <c r="AE66" s="410">
        <f t="shared" si="50"/>
        <v>-0.17793901701649828</v>
      </c>
      <c r="AF66" s="410">
        <f t="shared" si="50"/>
        <v>-0.51423767994115788</v>
      </c>
      <c r="AG66" s="410">
        <f t="shared" si="50"/>
        <v>1.6502271252433487</v>
      </c>
      <c r="AH66" s="410">
        <f t="shared" si="47"/>
        <v>-4.9298073783872076E-2</v>
      </c>
      <c r="AI66" s="410">
        <f t="shared" si="47"/>
        <v>-4.5785870204606338E-2</v>
      </c>
      <c r="AJ66" s="410">
        <f t="shared" si="48"/>
        <v>6.3335888546706798E-2</v>
      </c>
      <c r="AK66" s="410">
        <f t="shared" si="48"/>
        <v>3.5381877724842026E-2</v>
      </c>
      <c r="AL66" s="410">
        <f t="shared" si="48"/>
        <v>2.6420220620755774E-2</v>
      </c>
      <c r="AM66" s="410">
        <f>AM58/AL58-1</f>
        <v>2.5389428489136057E-2</v>
      </c>
      <c r="AN66" s="410">
        <f t="shared" si="49"/>
        <v>2.4209439823078549E-2</v>
      </c>
    </row>
    <row r="67" spans="1:40">
      <c r="AB67" s="90"/>
      <c r="AC67" s="90"/>
      <c r="AD67" s="90"/>
      <c r="AE67" s="90"/>
      <c r="AF67" s="217"/>
      <c r="AG67" s="217"/>
      <c r="AH67" s="217"/>
    </row>
    <row r="68" spans="1:40">
      <c r="A68" s="157" t="s">
        <v>605</v>
      </c>
      <c r="B68" s="156"/>
      <c r="C68" s="156"/>
      <c r="D68" s="156"/>
      <c r="E68" s="156"/>
      <c r="F68" s="156"/>
      <c r="G68" s="156"/>
      <c r="H68" s="156"/>
      <c r="I68" s="156"/>
      <c r="J68" s="156"/>
      <c r="K68" s="156"/>
      <c r="L68" s="156"/>
      <c r="M68" s="156"/>
      <c r="N68" s="156"/>
      <c r="O68" s="156"/>
      <c r="P68" s="156"/>
      <c r="Q68" s="156"/>
      <c r="R68" s="156"/>
      <c r="S68" s="156"/>
      <c r="T68" s="156"/>
      <c r="U68" s="156"/>
      <c r="V68" s="156"/>
      <c r="W68" s="156"/>
      <c r="X68" s="156"/>
      <c r="Y68" s="156"/>
      <c r="Z68" s="156"/>
      <c r="AA68" s="156"/>
      <c r="AB68" s="156"/>
      <c r="AC68" s="156"/>
      <c r="AD68" s="156"/>
      <c r="AE68" s="156"/>
      <c r="AF68" s="156"/>
      <c r="AG68" s="156"/>
      <c r="AH68" s="156"/>
      <c r="AI68" s="156"/>
      <c r="AJ68" s="156"/>
      <c r="AK68" s="156"/>
      <c r="AL68" s="156"/>
      <c r="AM68" s="156"/>
      <c r="AN68" s="156"/>
    </row>
    <row r="69" spans="1:40">
      <c r="A69" s="6" t="s">
        <v>539</v>
      </c>
      <c r="B69" s="8"/>
      <c r="C69" s="8"/>
      <c r="D69" s="8"/>
      <c r="E69" s="8"/>
      <c r="F69" s="8"/>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row>
    <row r="70" spans="1:40">
      <c r="A70" s="43" t="s">
        <v>606</v>
      </c>
      <c r="B70" s="7">
        <v>22219</v>
      </c>
      <c r="C70" s="7">
        <v>24710</v>
      </c>
      <c r="D70" s="7">
        <v>27468</v>
      </c>
      <c r="E70" s="7">
        <v>30684</v>
      </c>
      <c r="F70" s="7">
        <v>33560</v>
      </c>
      <c r="G70" s="7">
        <v>35984</v>
      </c>
      <c r="H70" s="7">
        <v>37690</v>
      </c>
      <c r="I70" s="7">
        <v>40576</v>
      </c>
      <c r="J70" s="7">
        <v>43523</v>
      </c>
      <c r="K70" s="7">
        <v>47713</v>
      </c>
      <c r="L70" s="7">
        <v>52079</v>
      </c>
      <c r="M70" s="7">
        <v>76206</v>
      </c>
      <c r="N70" s="7">
        <v>81930</v>
      </c>
      <c r="O70" s="7">
        <v>90685</v>
      </c>
      <c r="P70" s="7">
        <v>137985</v>
      </c>
      <c r="Q70" s="7">
        <v>145170</v>
      </c>
      <c r="R70" s="7">
        <v>146785</v>
      </c>
      <c r="S70" s="7">
        <v>162050</v>
      </c>
      <c r="T70" s="7">
        <v>186145</v>
      </c>
      <c r="U70" s="7">
        <v>206384</v>
      </c>
      <c r="V70" s="7">
        <v>215972</v>
      </c>
      <c r="W70" s="7">
        <v>216947</v>
      </c>
      <c r="X70" s="7">
        <v>224774</v>
      </c>
      <c r="Y70" s="7">
        <f>221703+6272</f>
        <v>227975</v>
      </c>
      <c r="Z70" s="7">
        <f>228517+6344</f>
        <v>234861</v>
      </c>
      <c r="AA70" s="7">
        <f>243075+6441</f>
        <v>249516</v>
      </c>
      <c r="AB70" s="7">
        <f>248668+6704</f>
        <v>255372</v>
      </c>
      <c r="AC70" s="7">
        <f>255682+6050+295+1272</f>
        <v>263299</v>
      </c>
      <c r="AD70" s="7">
        <f>268541+7061+352</f>
        <v>275954</v>
      </c>
      <c r="AE70" s="7">
        <f>279895+7130+342</f>
        <v>287367</v>
      </c>
      <c r="AF70" s="7">
        <f>271066+7582+352</f>
        <v>279000</v>
      </c>
      <c r="AG70" s="7">
        <f>282945+7993+376</f>
        <v>291314</v>
      </c>
      <c r="AH70" s="7">
        <f>292564+10183+343</f>
        <v>303090</v>
      </c>
      <c r="AI70" s="81">
        <f>AH70+AI90</f>
        <v>317230</v>
      </c>
      <c r="AJ70" s="81">
        <f>AI70+AJ90</f>
        <v>330658</v>
      </c>
      <c r="AK70" s="81">
        <f>AJ70+AK90</f>
        <v>343516.4</v>
      </c>
      <c r="AL70" s="81">
        <f>AK70+AL90</f>
        <v>355681.12</v>
      </c>
      <c r="AM70" s="81">
        <f>AL70+AM90</f>
        <v>367912.21759999997</v>
      </c>
      <c r="AN70" s="81">
        <f t="shared" ref="AN70" si="51">AM70+AN90</f>
        <v>380006.01727999997</v>
      </c>
    </row>
    <row r="71" spans="1:40">
      <c r="A71" s="43" t="s">
        <v>607</v>
      </c>
      <c r="B71" s="7">
        <v>-4964</v>
      </c>
      <c r="C71" s="7">
        <v>-5670</v>
      </c>
      <c r="D71" s="7">
        <v>-6349</v>
      </c>
      <c r="E71" s="7">
        <v>-7147</v>
      </c>
      <c r="F71" s="7">
        <v>-8053</v>
      </c>
      <c r="G71" s="7">
        <v>-9067</v>
      </c>
      <c r="H71" s="7">
        <v>-10187</v>
      </c>
      <c r="I71" s="7">
        <v>-11673</v>
      </c>
      <c r="J71" s="7">
        <v>-12831</v>
      </c>
      <c r="K71" s="7">
        <v>-14136</v>
      </c>
      <c r="L71" s="7">
        <v>-15529</v>
      </c>
      <c r="M71" s="7">
        <v>-22049</v>
      </c>
      <c r="N71" s="7">
        <v>-24182</v>
      </c>
      <c r="O71" s="7">
        <v>-27636</v>
      </c>
      <c r="P71" s="7">
        <v>-52332</v>
      </c>
      <c r="Q71" s="7">
        <v>-56561</v>
      </c>
      <c r="R71" s="7">
        <v>-57662</v>
      </c>
      <c r="S71" s="7">
        <v>-63192</v>
      </c>
      <c r="T71" s="7">
        <v>-68685</v>
      </c>
      <c r="U71" s="7">
        <v>-76002</v>
      </c>
      <c r="V71" s="7">
        <v>-81643</v>
      </c>
      <c r="W71" s="7">
        <v>-88265</v>
      </c>
      <c r="X71" s="7">
        <v>-90945</v>
      </c>
      <c r="Y71" s="7">
        <f>-93902-730</f>
        <v>-94632</v>
      </c>
      <c r="Z71" s="7">
        <f>-98328-900</f>
        <v>-99228</v>
      </c>
      <c r="AA71" s="7">
        <f>-105868-1096</f>
        <v>-106964</v>
      </c>
      <c r="AB71" s="7">
        <f>-107359-1272</f>
        <v>-108631</v>
      </c>
      <c r="AC71" s="7">
        <f>-112067-1272-295</f>
        <v>-113634</v>
      </c>
      <c r="AD71" s="7">
        <f>-120087-352</f>
        <v>-120439</v>
      </c>
      <c r="AE71" s="7">
        <f>-125837-342</f>
        <v>-126179</v>
      </c>
      <c r="AF71" s="7">
        <f>-123799-352</f>
        <v>-124151</v>
      </c>
      <c r="AG71" s="7">
        <f>-130159-376</f>
        <v>-130535</v>
      </c>
      <c r="AH71" s="7">
        <f>-134032-343</f>
        <v>-134375</v>
      </c>
      <c r="AI71" s="81">
        <f>AH71+AI20</f>
        <v>-142924.82777848365</v>
      </c>
      <c r="AJ71" s="81">
        <f>AI71+AJ20</f>
        <v>-151674.75788772159</v>
      </c>
      <c r="AK71" s="81">
        <f>AJ71+AK20</f>
        <v>-160547.38114552147</v>
      </c>
      <c r="AL71" s="81">
        <f>AK71+AL20</f>
        <v>-169489.56226037024</v>
      </c>
      <c r="AM71" s="81">
        <f>AL71+AM20</f>
        <v>-178456.45443916737</v>
      </c>
      <c r="AN71" s="81">
        <f t="shared" ref="AN71" si="52">AM71+AN20</f>
        <v>-187446.78658853125</v>
      </c>
    </row>
    <row r="72" spans="1:40">
      <c r="A72" s="80" t="s">
        <v>128</v>
      </c>
      <c r="B72" s="9">
        <f>Final!B65</f>
        <v>17255</v>
      </c>
      <c r="C72" s="9">
        <f>Final!C65</f>
        <v>19040</v>
      </c>
      <c r="D72" s="9">
        <f>Final!D65</f>
        <v>21119</v>
      </c>
      <c r="E72" s="9">
        <f>Final!E65</f>
        <v>23537</v>
      </c>
      <c r="F72" s="9">
        <f>Final!F65</f>
        <v>25507</v>
      </c>
      <c r="G72" s="9">
        <f>Final!G65</f>
        <v>26917</v>
      </c>
      <c r="H72" s="9">
        <f>Final!H65</f>
        <v>27503</v>
      </c>
      <c r="I72" s="9">
        <f>Final!I65</f>
        <v>28903</v>
      </c>
      <c r="J72" s="9">
        <f>Final!J65</f>
        <v>30692</v>
      </c>
      <c r="K72" s="9">
        <f>Final!K65</f>
        <v>33577</v>
      </c>
      <c r="L72" s="9">
        <f>Final!L65</f>
        <v>36550</v>
      </c>
      <c r="M72" s="9">
        <f>Final!M65</f>
        <v>54157</v>
      </c>
      <c r="N72" s="9">
        <f>Final!N65</f>
        <v>57748</v>
      </c>
      <c r="O72" s="9">
        <f>Final!O65</f>
        <v>63049</v>
      </c>
      <c r="P72" s="9">
        <f>Final!P65</f>
        <v>85653</v>
      </c>
      <c r="Q72" s="9">
        <f>Final!Q65</f>
        <v>88609</v>
      </c>
      <c r="R72" s="9">
        <f>Final!R65</f>
        <v>89123</v>
      </c>
      <c r="S72" s="9">
        <f>Final!S65</f>
        <v>98858</v>
      </c>
      <c r="T72" s="9">
        <f>Final!T65</f>
        <v>117460</v>
      </c>
      <c r="U72" s="9">
        <f>Final!U65</f>
        <v>130382</v>
      </c>
      <c r="V72" s="9">
        <f>Final!V65</f>
        <v>134329</v>
      </c>
      <c r="W72" s="9">
        <f>Final!W65</f>
        <v>128682</v>
      </c>
      <c r="X72" s="9">
        <f>Final!X65</f>
        <v>133829</v>
      </c>
      <c r="Y72" s="9">
        <f>Final!Y65</f>
        <v>133343</v>
      </c>
      <c r="Z72" s="9">
        <f>Final!Z65</f>
        <v>135633</v>
      </c>
      <c r="AA72" s="9">
        <f>Final!AA65</f>
        <v>142552</v>
      </c>
      <c r="AB72" s="9">
        <f t="shared" ref="AB72:AI72" si="53">AB70+AB71</f>
        <v>146741</v>
      </c>
      <c r="AC72" s="9">
        <f t="shared" si="53"/>
        <v>149665</v>
      </c>
      <c r="AD72" s="9">
        <f t="shared" si="53"/>
        <v>155515</v>
      </c>
      <c r="AE72" s="9">
        <f t="shared" si="53"/>
        <v>161188</v>
      </c>
      <c r="AF72" s="9">
        <f t="shared" si="53"/>
        <v>154849</v>
      </c>
      <c r="AG72" s="9">
        <f t="shared" ref="AG72" si="54">AG70+AG71</f>
        <v>160779</v>
      </c>
      <c r="AH72" s="9">
        <f t="shared" ref="AH72" si="55">AH70+AH71</f>
        <v>168715</v>
      </c>
      <c r="AI72" s="9">
        <f t="shared" si="53"/>
        <v>174305.17222151635</v>
      </c>
      <c r="AJ72" s="9">
        <f>AJ70+AJ71</f>
        <v>178983.24211227841</v>
      </c>
      <c r="AK72" s="9">
        <f>AK70+AK71</f>
        <v>182969.01885447855</v>
      </c>
      <c r="AL72" s="9">
        <f>AL70+AL71</f>
        <v>186191.55773962976</v>
      </c>
      <c r="AM72" s="9">
        <f>AM70+AM71</f>
        <v>189455.7631608326</v>
      </c>
      <c r="AN72" s="9">
        <f>AN70+AN71</f>
        <v>192559.23069146872</v>
      </c>
    </row>
    <row r="73" spans="1:40">
      <c r="A73" s="7"/>
      <c r="B73" s="153">
        <f>B70+B71-B72</f>
        <v>0</v>
      </c>
      <c r="C73" s="153">
        <f t="shared" ref="C73:Z73" si="56">C70+C71-C72</f>
        <v>0</v>
      </c>
      <c r="D73" s="153">
        <f t="shared" si="56"/>
        <v>0</v>
      </c>
      <c r="E73" s="153">
        <f t="shared" si="56"/>
        <v>0</v>
      </c>
      <c r="F73" s="153">
        <f t="shared" si="56"/>
        <v>0</v>
      </c>
      <c r="G73" s="153">
        <f t="shared" si="56"/>
        <v>0</v>
      </c>
      <c r="H73" s="153">
        <f t="shared" si="56"/>
        <v>0</v>
      </c>
      <c r="I73" s="153">
        <f t="shared" si="56"/>
        <v>0</v>
      </c>
      <c r="J73" s="153">
        <f t="shared" si="56"/>
        <v>0</v>
      </c>
      <c r="K73" s="153">
        <f t="shared" si="56"/>
        <v>0</v>
      </c>
      <c r="L73" s="153">
        <f t="shared" si="56"/>
        <v>0</v>
      </c>
      <c r="M73" s="153">
        <f t="shared" si="56"/>
        <v>0</v>
      </c>
      <c r="N73" s="153">
        <f t="shared" si="56"/>
        <v>0</v>
      </c>
      <c r="O73" s="153">
        <f t="shared" si="56"/>
        <v>0</v>
      </c>
      <c r="P73" s="153">
        <f t="shared" si="56"/>
        <v>0</v>
      </c>
      <c r="Q73" s="153">
        <f t="shared" si="56"/>
        <v>0</v>
      </c>
      <c r="R73" s="153">
        <f t="shared" si="56"/>
        <v>0</v>
      </c>
      <c r="S73" s="153">
        <f t="shared" si="56"/>
        <v>0</v>
      </c>
      <c r="T73" s="153">
        <f t="shared" si="56"/>
        <v>0</v>
      </c>
      <c r="U73" s="153">
        <f t="shared" si="56"/>
        <v>0</v>
      </c>
      <c r="V73" s="153">
        <f t="shared" si="56"/>
        <v>0</v>
      </c>
      <c r="W73" s="153">
        <f t="shared" si="56"/>
        <v>0</v>
      </c>
      <c r="X73" s="153">
        <f t="shared" si="56"/>
        <v>0</v>
      </c>
      <c r="Y73" s="153">
        <f t="shared" si="56"/>
        <v>0</v>
      </c>
      <c r="Z73" s="153">
        <f t="shared" si="56"/>
        <v>0</v>
      </c>
      <c r="AA73" s="153">
        <f t="shared" ref="AA73:AF73" si="57">AA75-SUM(AA76:AA81)</f>
        <v>0</v>
      </c>
      <c r="AB73" s="153">
        <f t="shared" si="57"/>
        <v>0</v>
      </c>
      <c r="AC73" s="153">
        <f t="shared" si="57"/>
        <v>0</v>
      </c>
      <c r="AD73" s="153">
        <f t="shared" si="57"/>
        <v>0</v>
      </c>
      <c r="AE73" s="153">
        <f t="shared" si="57"/>
        <v>0</v>
      </c>
      <c r="AF73" s="153">
        <f t="shared" si="57"/>
        <v>0</v>
      </c>
      <c r="AG73" s="153">
        <f t="shared" ref="AG73" si="58">AG75-SUM(AG76:AG81)</f>
        <v>0</v>
      </c>
      <c r="AH73" s="153">
        <f t="shared" ref="AH73" si="59">AH75-SUM(AH76:AH81)</f>
        <v>0</v>
      </c>
      <c r="AI73" s="153">
        <f t="shared" ref="AI73:AN73" si="60">AI75-SUM(AI76:AI81)</f>
        <v>0</v>
      </c>
      <c r="AJ73" s="153">
        <f t="shared" si="60"/>
        <v>0</v>
      </c>
      <c r="AK73" s="153">
        <f t="shared" si="60"/>
        <v>0</v>
      </c>
      <c r="AL73" s="153">
        <f t="shared" si="60"/>
        <v>0</v>
      </c>
      <c r="AM73" s="153">
        <f t="shared" si="60"/>
        <v>0</v>
      </c>
      <c r="AN73" s="153">
        <f t="shared" si="60"/>
        <v>0</v>
      </c>
    </row>
    <row r="74" spans="1:40">
      <c r="A74" s="7" t="s">
        <v>608</v>
      </c>
      <c r="S74" s="7">
        <v>0</v>
      </c>
      <c r="T74" s="7">
        <v>0</v>
      </c>
      <c r="U74" s="7">
        <v>0</v>
      </c>
      <c r="V74" s="7">
        <v>0</v>
      </c>
      <c r="W74" s="7">
        <v>2221</v>
      </c>
      <c r="X74" s="7">
        <v>2554</v>
      </c>
      <c r="Y74" s="7">
        <v>2669</v>
      </c>
      <c r="Z74" s="7">
        <v>3788</v>
      </c>
      <c r="AA74" s="7">
        <v>1186</v>
      </c>
      <c r="AB74" s="7">
        <v>1204</v>
      </c>
      <c r="AC74" s="7">
        <v>1121</v>
      </c>
      <c r="AD74" s="7">
        <v>1000</v>
      </c>
      <c r="AE74" s="7">
        <v>966</v>
      </c>
      <c r="AF74" s="7">
        <v>909</v>
      </c>
      <c r="AG74" s="7">
        <v>884</v>
      </c>
      <c r="AH74" s="7">
        <v>817</v>
      </c>
      <c r="AI74" s="81">
        <f>AH74</f>
        <v>817</v>
      </c>
      <c r="AJ74" s="81">
        <f>AI74</f>
        <v>817</v>
      </c>
      <c r="AK74" s="81">
        <f>AJ74</f>
        <v>817</v>
      </c>
      <c r="AL74" s="81">
        <f>AK74</f>
        <v>817</v>
      </c>
      <c r="AM74" s="81">
        <f>AL74</f>
        <v>817</v>
      </c>
      <c r="AN74" s="81">
        <f t="shared" ref="AN74" si="61">AM74</f>
        <v>817</v>
      </c>
    </row>
    <row r="75" spans="1:40">
      <c r="A75" s="80" t="s">
        <v>609</v>
      </c>
      <c r="B75" s="9">
        <f>B72+B74</f>
        <v>17255</v>
      </c>
      <c r="C75" s="9">
        <f t="shared" ref="C75:AA75" si="62">C72+C74</f>
        <v>19040</v>
      </c>
      <c r="D75" s="9">
        <f t="shared" si="62"/>
        <v>21119</v>
      </c>
      <c r="E75" s="9">
        <f t="shared" si="62"/>
        <v>23537</v>
      </c>
      <c r="F75" s="9">
        <f t="shared" si="62"/>
        <v>25507</v>
      </c>
      <c r="G75" s="9">
        <f t="shared" si="62"/>
        <v>26917</v>
      </c>
      <c r="H75" s="9">
        <f t="shared" si="62"/>
        <v>27503</v>
      </c>
      <c r="I75" s="9">
        <f t="shared" si="62"/>
        <v>28903</v>
      </c>
      <c r="J75" s="9">
        <f t="shared" si="62"/>
        <v>30692</v>
      </c>
      <c r="K75" s="9">
        <f t="shared" si="62"/>
        <v>33577</v>
      </c>
      <c r="L75" s="9">
        <f t="shared" si="62"/>
        <v>36550</v>
      </c>
      <c r="M75" s="9">
        <f t="shared" si="62"/>
        <v>54157</v>
      </c>
      <c r="N75" s="9">
        <f t="shared" si="62"/>
        <v>57748</v>
      </c>
      <c r="O75" s="9">
        <f t="shared" si="62"/>
        <v>63049</v>
      </c>
      <c r="P75" s="9">
        <f t="shared" si="62"/>
        <v>85653</v>
      </c>
      <c r="Q75" s="9">
        <f t="shared" si="62"/>
        <v>88609</v>
      </c>
      <c r="R75" s="9">
        <f t="shared" si="62"/>
        <v>89123</v>
      </c>
      <c r="S75" s="9">
        <f t="shared" si="62"/>
        <v>98858</v>
      </c>
      <c r="T75" s="9">
        <f t="shared" si="62"/>
        <v>117460</v>
      </c>
      <c r="U75" s="9">
        <f t="shared" si="62"/>
        <v>130382</v>
      </c>
      <c r="V75" s="9">
        <f t="shared" si="62"/>
        <v>134329</v>
      </c>
      <c r="W75" s="9">
        <f t="shared" si="62"/>
        <v>130903</v>
      </c>
      <c r="X75" s="9">
        <f t="shared" si="62"/>
        <v>136383</v>
      </c>
      <c r="Y75" s="9">
        <f t="shared" si="62"/>
        <v>136012</v>
      </c>
      <c r="Z75" s="9">
        <f t="shared" si="62"/>
        <v>139421</v>
      </c>
      <c r="AA75" s="9">
        <f t="shared" si="62"/>
        <v>143738</v>
      </c>
      <c r="AB75" s="9">
        <f t="shared" ref="AB75:AI75" si="63">AB72+AB74</f>
        <v>147945</v>
      </c>
      <c r="AC75" s="9">
        <f t="shared" si="63"/>
        <v>150786</v>
      </c>
      <c r="AD75" s="9">
        <f t="shared" si="63"/>
        <v>156515</v>
      </c>
      <c r="AE75" s="9">
        <f t="shared" si="63"/>
        <v>162154</v>
      </c>
      <c r="AF75" s="9">
        <f t="shared" si="63"/>
        <v>155758</v>
      </c>
      <c r="AG75" s="9">
        <f t="shared" ref="AG75" si="64">AG72+AG74</f>
        <v>161663</v>
      </c>
      <c r="AH75" s="9">
        <f t="shared" ref="AH75" si="65">AH72+AH74</f>
        <v>169532</v>
      </c>
      <c r="AI75" s="9">
        <f t="shared" si="63"/>
        <v>175122.17222151635</v>
      </c>
      <c r="AJ75" s="9">
        <f>AJ72+AJ74</f>
        <v>179800.24211227841</v>
      </c>
      <c r="AK75" s="9">
        <f>AK72+AK74</f>
        <v>183786.01885447855</v>
      </c>
      <c r="AL75" s="9">
        <f>AL72+AL74</f>
        <v>187008.55773962976</v>
      </c>
      <c r="AM75" s="9">
        <f>AM72+AM74</f>
        <v>190272.7631608326</v>
      </c>
      <c r="AN75" s="9">
        <f>AN72+AN74</f>
        <v>193376.23069146872</v>
      </c>
    </row>
    <row r="76" spans="1:40">
      <c r="A76" s="86" t="s">
        <v>317</v>
      </c>
      <c r="B76" s="7">
        <f>ROAFNA!B46</f>
        <v>17184</v>
      </c>
      <c r="C76" s="7">
        <f>ROAFNA!C46</f>
        <v>18960</v>
      </c>
      <c r="D76" s="7">
        <f>ROAFNA!D46</f>
        <v>21028</v>
      </c>
      <c r="E76" s="7">
        <f>ROAFNA!E46</f>
        <v>23407</v>
      </c>
      <c r="F76" s="7">
        <f>ROAFNA!F46</f>
        <v>25375</v>
      </c>
      <c r="G76" s="7">
        <f>ROAFNA!G46</f>
        <v>26720</v>
      </c>
      <c r="H76" s="7">
        <f>ROAFNA!H46</f>
        <v>27268</v>
      </c>
      <c r="I76" s="7">
        <f>ROAFNA!I46</f>
        <v>28624</v>
      </c>
      <c r="J76" s="7">
        <f>ROAFNA!J46</f>
        <v>30347</v>
      </c>
      <c r="K76" s="7">
        <f>ROAFNA!K46</f>
        <v>33197</v>
      </c>
      <c r="L76" s="7">
        <f>ROAFNA!L46</f>
        <v>36273</v>
      </c>
      <c r="M76" s="7">
        <f>ROAFNA!M46</f>
        <v>39258</v>
      </c>
      <c r="N76" s="7">
        <f>ROAFNA!N46</f>
        <v>42415</v>
      </c>
      <c r="O76" s="7">
        <f>ROAFNA!O46</f>
        <v>45099</v>
      </c>
      <c r="P76" s="7">
        <f>ROAFNA!P46</f>
        <v>47516</v>
      </c>
      <c r="Q76" s="7">
        <f>ROAFNA!Q46</f>
        <v>49684</v>
      </c>
      <c r="R76" s="7">
        <f>ROAFNA!R46</f>
        <v>52132</v>
      </c>
      <c r="S76" s="7">
        <f>ROAFNA!S46</f>
        <v>54712</v>
      </c>
      <c r="T76" s="7">
        <f>ROAFNA!T46</f>
        <v>57247</v>
      </c>
      <c r="U76" s="7">
        <f>ROAFNA!U46</f>
        <v>60142</v>
      </c>
      <c r="V76" s="7">
        <f>ROAFNA!V46</f>
        <v>63599</v>
      </c>
      <c r="W76" s="7">
        <f>ROAFNA!W46</f>
        <v>67057</v>
      </c>
      <c r="X76" s="7">
        <f>ROAFNA!X46</f>
        <v>101420</v>
      </c>
      <c r="Y76" s="7">
        <f>ROAFNA!Y46</f>
        <v>104479</v>
      </c>
      <c r="Z76" s="7">
        <f>ROAFNA!Z46</f>
        <v>106886</v>
      </c>
      <c r="AA76" s="7">
        <f>ROAFNA!AA46</f>
        <v>109824</v>
      </c>
      <c r="AB76" s="7">
        <f>ROAFNA!AB46</f>
        <v>113295</v>
      </c>
      <c r="AC76" s="7">
        <f>ROAFNA!AC46</f>
        <v>117157</v>
      </c>
      <c r="AD76" s="7">
        <f>ROAFNA!AD46</f>
        <v>120523</v>
      </c>
      <c r="AE76" s="7">
        <f>ROAFNA!AE46</f>
        <v>125827</v>
      </c>
      <c r="AF76" s="7">
        <f>ROAFNA!AF46</f>
        <v>132792</v>
      </c>
      <c r="AG76" s="7">
        <f>ROAFNA!AG46</f>
        <v>138657</v>
      </c>
      <c r="AH76" s="7">
        <f>ROAFNA!AH46</f>
        <v>143124</v>
      </c>
      <c r="AI76" s="7">
        <f>ROAFNA!AI46</f>
        <v>147930.90889733518</v>
      </c>
      <c r="AJ76" s="7">
        <f>ROAFNA!AJ46</f>
        <v>152543.92492564401</v>
      </c>
      <c r="AK76" s="7">
        <f>ROAFNA!AK46</f>
        <v>156970.86900382931</v>
      </c>
      <c r="AL76" s="7">
        <f>ROAFNA!AL46</f>
        <v>160981.24658394465</v>
      </c>
      <c r="AM76" s="7">
        <f>ROAFNA!AM46</f>
        <v>165067.86041286457</v>
      </c>
      <c r="AN76" s="7">
        <f>ROAFNA!AN46</f>
        <v>168989.63540318466</v>
      </c>
    </row>
    <row r="77" spans="1:40">
      <c r="A77" s="86" t="s">
        <v>237</v>
      </c>
      <c r="B77" s="7">
        <f>Aus!B88</f>
        <v>0</v>
      </c>
      <c r="C77" s="7">
        <f>Aus!C88</f>
        <v>0</v>
      </c>
      <c r="D77" s="7">
        <f>Aus!D88</f>
        <v>0</v>
      </c>
      <c r="E77" s="7">
        <f>Aus!E88</f>
        <v>0</v>
      </c>
      <c r="F77" s="7">
        <f>Aus!F88</f>
        <v>0</v>
      </c>
      <c r="G77" s="7">
        <f>Aus!G88</f>
        <v>0</v>
      </c>
      <c r="H77" s="7">
        <f>Aus!H88</f>
        <v>0</v>
      </c>
      <c r="I77" s="7">
        <f>Aus!I88</f>
        <v>0</v>
      </c>
      <c r="J77" s="7">
        <f>Aus!J88</f>
        <v>0</v>
      </c>
      <c r="K77" s="7">
        <f>Aus!K88</f>
        <v>0</v>
      </c>
      <c r="L77" s="7">
        <f>Aus!L88</f>
        <v>0</v>
      </c>
      <c r="M77" s="7">
        <f>Aus!M88</f>
        <v>0</v>
      </c>
      <c r="N77" s="7">
        <f>Aus!N88</f>
        <v>0</v>
      </c>
      <c r="O77" s="7">
        <f>Aus!O88</f>
        <v>0</v>
      </c>
      <c r="P77" s="7">
        <f>Aus!P88</f>
        <v>0</v>
      </c>
      <c r="Q77" s="7">
        <f>Aus!Q88</f>
        <v>0</v>
      </c>
      <c r="R77" s="7">
        <f>Aus!R88</f>
        <v>0</v>
      </c>
      <c r="S77" s="7">
        <f>Aus!S88</f>
        <v>0</v>
      </c>
      <c r="T77" s="7">
        <f>Aus!T88</f>
        <v>20093</v>
      </c>
      <c r="U77" s="7">
        <f>Aus!U88</f>
        <v>25511</v>
      </c>
      <c r="V77" s="7">
        <f>Aus!V88</f>
        <v>25659</v>
      </c>
      <c r="W77" s="7">
        <f>Aus!W88</f>
        <v>15889</v>
      </c>
      <c r="X77" s="7">
        <f>Aus!X88</f>
        <v>13982</v>
      </c>
      <c r="Y77" s="7">
        <f>Aus!Y88</f>
        <v>9139</v>
      </c>
      <c r="Z77" s="7">
        <f>Aus!Z88</f>
        <v>8746</v>
      </c>
      <c r="AA77" s="7">
        <f>Aus!AA88</f>
        <v>11138</v>
      </c>
      <c r="AB77" s="7">
        <f>Aus!AB88</f>
        <v>11922</v>
      </c>
      <c r="AC77" s="7">
        <f>Aus!AC88</f>
        <v>11873</v>
      </c>
      <c r="AD77" s="7">
        <f>Aus!AD88</f>
        <v>14917</v>
      </c>
      <c r="AE77" s="7">
        <f>Aus!AE88</f>
        <v>14551</v>
      </c>
      <c r="AF77" s="7">
        <f>Aus!AF88</f>
        <v>13628</v>
      </c>
      <c r="AG77" s="7">
        <f>Aus!AG88</f>
        <v>14523</v>
      </c>
      <c r="AH77" s="7">
        <f>Aus!AH88</f>
        <v>12693</v>
      </c>
      <c r="AI77" s="7">
        <f>Aus!AI88</f>
        <v>12286.146604938273</v>
      </c>
      <c r="AJ77" s="7">
        <f>Aus!AJ88</f>
        <v>11610.855675424224</v>
      </c>
      <c r="AK77" s="7">
        <f>Aus!AK88</f>
        <v>10778.216374775906</v>
      </c>
      <c r="AL77" s="7">
        <f>Aus!AL88</f>
        <v>9867.6807289150438</v>
      </c>
      <c r="AM77" s="7">
        <f>Aus!AM88</f>
        <v>8934.936711361599</v>
      </c>
      <c r="AN77" s="7">
        <f>Aus!AN88</f>
        <v>8017.9530771001018</v>
      </c>
    </row>
    <row r="78" spans="1:40">
      <c r="A78" s="86" t="s">
        <v>213</v>
      </c>
      <c r="B78" s="7">
        <f>CN!B157</f>
        <v>0</v>
      </c>
      <c r="C78" s="7">
        <f>CN!C157</f>
        <v>0</v>
      </c>
      <c r="D78" s="7">
        <f>CN!D157</f>
        <v>0</v>
      </c>
      <c r="E78" s="7">
        <f>CN!E157</f>
        <v>0</v>
      </c>
      <c r="F78" s="7">
        <f>CN!F157</f>
        <v>0</v>
      </c>
      <c r="G78" s="7">
        <f>CN!G157</f>
        <v>0</v>
      </c>
      <c r="H78" s="7">
        <f>CN!H157</f>
        <v>0</v>
      </c>
      <c r="I78" s="7">
        <f>CN!I157</f>
        <v>0</v>
      </c>
      <c r="J78" s="7">
        <f>CN!J157</f>
        <v>0</v>
      </c>
      <c r="K78" s="7">
        <f>CN!K157</f>
        <v>0</v>
      </c>
      <c r="L78" s="7">
        <f>CN!L157</f>
        <v>0</v>
      </c>
      <c r="M78" s="7">
        <f>CN!M157</f>
        <v>0</v>
      </c>
      <c r="N78" s="7">
        <f>CN!N157</f>
        <v>0</v>
      </c>
      <c r="O78" s="7">
        <f>CN!O157</f>
        <v>0</v>
      </c>
      <c r="P78" s="7">
        <f>CN!P157</f>
        <v>0</v>
      </c>
      <c r="Q78" s="7">
        <f>CN!Q157</f>
        <v>858</v>
      </c>
      <c r="R78" s="7">
        <f>CN!R157</f>
        <v>1588</v>
      </c>
      <c r="S78" s="7">
        <f>CN!S157</f>
        <v>1730</v>
      </c>
      <c r="T78" s="7">
        <f>CN!T157</f>
        <v>3907</v>
      </c>
      <c r="U78" s="7">
        <f>CN!U157</f>
        <v>5199</v>
      </c>
      <c r="V78" s="7">
        <f>CN!V157</f>
        <v>5001</v>
      </c>
      <c r="W78" s="7">
        <f>CN!W157</f>
        <v>5405</v>
      </c>
      <c r="X78" s="7">
        <f>CN!X157</f>
        <v>5364</v>
      </c>
      <c r="Y78" s="7">
        <f>CN!Y157</f>
        <v>6576</v>
      </c>
      <c r="Z78" s="7">
        <f>CN!Z157</f>
        <v>7679</v>
      </c>
      <c r="AA78" s="7">
        <f>CN!AA157</f>
        <v>8522</v>
      </c>
      <c r="AB78" s="7">
        <f>CN!AB157</f>
        <v>8997</v>
      </c>
      <c r="AC78" s="7">
        <f>CN!AC157</f>
        <v>9021</v>
      </c>
      <c r="AD78" s="7">
        <f>CN!AD157</f>
        <v>9375</v>
      </c>
      <c r="AE78" s="7">
        <f>CN!AE157</f>
        <v>9960</v>
      </c>
      <c r="AF78" s="7">
        <f>CN!AF157</f>
        <v>9158</v>
      </c>
      <c r="AG78" s="7">
        <f>CN!AG157</f>
        <v>9107</v>
      </c>
      <c r="AH78" s="7">
        <f>CN!AH157</f>
        <v>10547</v>
      </c>
      <c r="AI78" s="7">
        <f>CN!AI157</f>
        <v>11832.116719242902</v>
      </c>
      <c r="AJ78" s="7">
        <f>CN!AJ157</f>
        <v>12667.461511210182</v>
      </c>
      <c r="AK78" s="7">
        <f>CN!AK157</f>
        <v>13153.933475873326</v>
      </c>
      <c r="AL78" s="7">
        <f>CN!AL157</f>
        <v>13371.630426770109</v>
      </c>
      <c r="AM78" s="7">
        <f>CN!AM157</f>
        <v>13576.966036606507</v>
      </c>
      <c r="AN78" s="7">
        <f>CN!AN157</f>
        <v>13770.642211184057</v>
      </c>
    </row>
    <row r="79" spans="1:40">
      <c r="A79" s="86" t="s">
        <v>355</v>
      </c>
      <c r="B79" s="7">
        <f>India!B50</f>
        <v>0</v>
      </c>
      <c r="C79" s="7">
        <f>India!C50</f>
        <v>0</v>
      </c>
      <c r="D79" s="7">
        <f>India!D50</f>
        <v>0</v>
      </c>
      <c r="E79" s="7">
        <f>India!E50</f>
        <v>0</v>
      </c>
      <c r="F79" s="7">
        <f>India!F50</f>
        <v>0</v>
      </c>
      <c r="G79" s="7">
        <f>India!G50</f>
        <v>0</v>
      </c>
      <c r="H79" s="7">
        <f>India!H50</f>
        <v>0</v>
      </c>
      <c r="I79" s="7">
        <f>India!I50</f>
        <v>0</v>
      </c>
      <c r="J79" s="7">
        <f>India!J50</f>
        <v>0</v>
      </c>
      <c r="K79" s="7">
        <f>India!K50</f>
        <v>0</v>
      </c>
      <c r="L79" s="7">
        <f>India!L50</f>
        <v>0</v>
      </c>
      <c r="M79" s="7">
        <f>India!M50</f>
        <v>0</v>
      </c>
      <c r="N79" s="7">
        <f>India!N50</f>
        <v>0</v>
      </c>
      <c r="O79" s="7">
        <f>India!O50</f>
        <v>0</v>
      </c>
      <c r="P79" s="7">
        <f>India!P50</f>
        <v>0</v>
      </c>
      <c r="Q79" s="7">
        <f>India!Q50</f>
        <v>0</v>
      </c>
      <c r="R79" s="7">
        <f>India!R50</f>
        <v>0</v>
      </c>
      <c r="S79" s="7">
        <f>India!S50</f>
        <v>0</v>
      </c>
      <c r="T79" s="7">
        <f>India!T50</f>
        <v>8814</v>
      </c>
      <c r="U79" s="7">
        <f>India!U50</f>
        <v>11360</v>
      </c>
      <c r="V79" s="7">
        <f>India!V50</f>
        <v>12239</v>
      </c>
      <c r="W79" s="7">
        <f>India!W50</f>
        <v>11628</v>
      </c>
      <c r="X79" s="7">
        <f>India!X50</f>
        <v>11259</v>
      </c>
      <c r="Y79" s="7">
        <f>India!Y50</f>
        <v>11572</v>
      </c>
      <c r="Z79" s="7">
        <f>India!Z50</f>
        <v>10854</v>
      </c>
      <c r="AA79" s="7">
        <f>India!AA50</f>
        <v>11698</v>
      </c>
      <c r="AB79" s="7">
        <f>India!AB50</f>
        <v>11287</v>
      </c>
      <c r="AC79" s="7">
        <f>India!AC50</f>
        <v>10454</v>
      </c>
      <c r="AD79" s="7">
        <f>India!AD50</f>
        <v>10118</v>
      </c>
      <c r="AE79" s="7">
        <f>India!AE50</f>
        <v>11175</v>
      </c>
      <c r="AF79" s="7">
        <f>India!AF50</f>
        <v>11512</v>
      </c>
      <c r="AG79" s="7">
        <f>India!AG50</f>
        <v>0</v>
      </c>
      <c r="AH79" s="7">
        <f>India!AH50</f>
        <v>0</v>
      </c>
      <c r="AI79" s="7">
        <f>India!AI50</f>
        <v>0</v>
      </c>
      <c r="AJ79" s="7">
        <f>India!AJ50</f>
        <v>0</v>
      </c>
      <c r="AK79" s="7">
        <f>India!AK50</f>
        <v>0</v>
      </c>
      <c r="AL79" s="7">
        <f>India!AL50</f>
        <v>0</v>
      </c>
      <c r="AM79" s="7">
        <f>India!AM50</f>
        <v>0</v>
      </c>
      <c r="AN79" s="7">
        <f>India!AN50</f>
        <v>0</v>
      </c>
    </row>
    <row r="80" spans="1:40">
      <c r="A80" s="86" t="s">
        <v>508</v>
      </c>
      <c r="B80" s="7">
        <v>0</v>
      </c>
      <c r="C80" s="7">
        <v>0</v>
      </c>
      <c r="D80" s="7">
        <v>0</v>
      </c>
      <c r="E80" s="7">
        <v>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171">
        <v>0</v>
      </c>
      <c r="AB80" s="171">
        <v>0</v>
      </c>
      <c r="AC80" s="171">
        <v>0</v>
      </c>
      <c r="AD80" s="171">
        <v>0</v>
      </c>
      <c r="AE80" s="171">
        <v>0</v>
      </c>
      <c r="AF80" s="171">
        <v>0</v>
      </c>
      <c r="AG80" s="171">
        <v>0</v>
      </c>
      <c r="AH80" s="171">
        <v>0</v>
      </c>
      <c r="AI80" s="171">
        <v>0</v>
      </c>
      <c r="AJ80" s="171">
        <v>0</v>
      </c>
      <c r="AK80" s="171">
        <v>0</v>
      </c>
      <c r="AL80" s="171">
        <v>0</v>
      </c>
      <c r="AM80" s="171">
        <v>0</v>
      </c>
      <c r="AN80" s="171">
        <v>0</v>
      </c>
    </row>
    <row r="81" spans="1:45">
      <c r="A81" s="86" t="s">
        <v>346</v>
      </c>
      <c r="B81" s="7">
        <f t="shared" ref="B81:Y81" si="66">B75-SUM(B76:B80)</f>
        <v>71</v>
      </c>
      <c r="C81" s="7">
        <f t="shared" si="66"/>
        <v>80</v>
      </c>
      <c r="D81" s="7">
        <f t="shared" si="66"/>
        <v>91</v>
      </c>
      <c r="E81" s="7">
        <f t="shared" si="66"/>
        <v>130</v>
      </c>
      <c r="F81" s="7">
        <f t="shared" si="66"/>
        <v>132</v>
      </c>
      <c r="G81" s="7">
        <f t="shared" si="66"/>
        <v>197</v>
      </c>
      <c r="H81" s="7">
        <f t="shared" si="66"/>
        <v>235</v>
      </c>
      <c r="I81" s="7">
        <f t="shared" si="66"/>
        <v>279</v>
      </c>
      <c r="J81" s="7">
        <f t="shared" si="66"/>
        <v>345</v>
      </c>
      <c r="K81" s="7">
        <f t="shared" si="66"/>
        <v>380</v>
      </c>
      <c r="L81" s="7">
        <f t="shared" si="66"/>
        <v>277</v>
      </c>
      <c r="M81" s="7">
        <f t="shared" si="66"/>
        <v>14899</v>
      </c>
      <c r="N81" s="7">
        <f t="shared" si="66"/>
        <v>15333</v>
      </c>
      <c r="O81" s="7">
        <f t="shared" si="66"/>
        <v>17950</v>
      </c>
      <c r="P81" s="7">
        <f t="shared" si="66"/>
        <v>38137</v>
      </c>
      <c r="Q81" s="7">
        <f t="shared" si="66"/>
        <v>38067</v>
      </c>
      <c r="R81" s="7">
        <f t="shared" si="66"/>
        <v>35403</v>
      </c>
      <c r="S81" s="7">
        <f t="shared" si="66"/>
        <v>42416</v>
      </c>
      <c r="T81" s="7">
        <f t="shared" si="66"/>
        <v>27399</v>
      </c>
      <c r="U81" s="7">
        <f t="shared" si="66"/>
        <v>28170</v>
      </c>
      <c r="V81" s="7">
        <f t="shared" si="66"/>
        <v>27831</v>
      </c>
      <c r="W81" s="7">
        <f t="shared" si="66"/>
        <v>30924</v>
      </c>
      <c r="X81" s="7">
        <f t="shared" si="66"/>
        <v>4358</v>
      </c>
      <c r="Y81" s="7">
        <f t="shared" si="66"/>
        <v>4246</v>
      </c>
      <c r="Z81" s="7">
        <f t="shared" ref="Z81:AF81" si="67">Z75-SUM(Z76:Z80)</f>
        <v>5256</v>
      </c>
      <c r="AA81" s="7">
        <f t="shared" si="67"/>
        <v>2556</v>
      </c>
      <c r="AB81" s="7">
        <f t="shared" si="67"/>
        <v>2444</v>
      </c>
      <c r="AC81" s="7">
        <f t="shared" si="67"/>
        <v>2281</v>
      </c>
      <c r="AD81" s="7">
        <f t="shared" si="67"/>
        <v>1582</v>
      </c>
      <c r="AE81" s="7">
        <f t="shared" si="67"/>
        <v>641</v>
      </c>
      <c r="AF81" s="7">
        <f t="shared" si="67"/>
        <v>-11332</v>
      </c>
      <c r="AG81" s="7">
        <f t="shared" ref="AG81:AH81" si="68">AG75-SUM(AG76:AG80)</f>
        <v>-624</v>
      </c>
      <c r="AH81" s="7">
        <f t="shared" si="68"/>
        <v>3168</v>
      </c>
      <c r="AI81" s="81">
        <f>AH81+AI89+AI19</f>
        <v>3073</v>
      </c>
      <c r="AJ81" s="81">
        <f>AI81+AJ89+AJ19</f>
        <v>2978</v>
      </c>
      <c r="AK81" s="81">
        <f>AJ81+AK89+AK19</f>
        <v>2883</v>
      </c>
      <c r="AL81" s="81">
        <f>AK81+AL89+AL19</f>
        <v>2788</v>
      </c>
      <c r="AM81" s="81">
        <f>AL81+AM89+AM19</f>
        <v>2693</v>
      </c>
      <c r="AN81" s="81">
        <f t="shared" ref="AN81" si="69">AM81+AN89+AN19</f>
        <v>2598</v>
      </c>
    </row>
    <row r="83" spans="1:45">
      <c r="A83" s="42" t="s">
        <v>538</v>
      </c>
      <c r="AP83" s="79" t="s">
        <v>237</v>
      </c>
    </row>
    <row r="84" spans="1:45">
      <c r="A84" s="86" t="s">
        <v>317</v>
      </c>
      <c r="B84" s="7">
        <f>ROAFNA!B59</f>
        <v>2982</v>
      </c>
      <c r="C84" s="7">
        <f>ROAFNA!C59</f>
        <v>2785</v>
      </c>
      <c r="D84" s="7">
        <f>ROAFNA!D59</f>
        <v>2943</v>
      </c>
      <c r="E84" s="7">
        <f>ROAFNA!E59</f>
        <v>3396</v>
      </c>
      <c r="F84" s="7">
        <f>ROAFNA!F59</f>
        <v>3037</v>
      </c>
      <c r="G84" s="7">
        <f>ROAFNA!G59</f>
        <v>2618</v>
      </c>
      <c r="H84" s="7">
        <f>ROAFNA!H59</f>
        <v>1921</v>
      </c>
      <c r="I84" s="7">
        <f>ROAFNA!I59</f>
        <v>3148</v>
      </c>
      <c r="J84" s="7">
        <f>ROAFNA!J59</f>
        <v>3402</v>
      </c>
      <c r="K84" s="7">
        <f>ROAFNA!K59</f>
        <v>4653</v>
      </c>
      <c r="L84" s="7">
        <f>ROAFNA!L59</f>
        <v>4923</v>
      </c>
      <c r="M84" s="7">
        <f>ROAFNA!M59</f>
        <v>5125</v>
      </c>
      <c r="N84" s="7">
        <f>ROAFNA!N59</f>
        <v>5278</v>
      </c>
      <c r="O84" s="7">
        <f>ROAFNA!O59</f>
        <v>4849</v>
      </c>
      <c r="P84" s="7">
        <f>ROAFNA!P59</f>
        <v>8094</v>
      </c>
      <c r="Q84" s="7">
        <f>ROAFNA!Q59</f>
        <v>5350</v>
      </c>
      <c r="R84" s="7">
        <f>ROAFNA!R59</f>
        <v>5497</v>
      </c>
      <c r="S84" s="7">
        <f>ROAFNA!S59</f>
        <v>6051</v>
      </c>
      <c r="T84" s="7">
        <f>ROAFNA!T59</f>
        <v>11585</v>
      </c>
      <c r="U84" s="7">
        <f>ROAFNA!U59</f>
        <v>7596</v>
      </c>
      <c r="V84" s="7">
        <f>ROAFNA!V59</f>
        <v>7644</v>
      </c>
      <c r="W84" s="7">
        <f>ROAFNA!W59</f>
        <v>9182</v>
      </c>
      <c r="X84" s="7">
        <f>ROAFNA!X59</f>
        <v>7800</v>
      </c>
      <c r="Y84" s="7">
        <f>ROAFNA!Y59</f>
        <v>7630</v>
      </c>
      <c r="Z84" s="7">
        <f>ROAFNA!Z59</f>
        <v>7292</v>
      </c>
      <c r="AA84" s="7">
        <f>ROAFNA!AA59</f>
        <v>8068</v>
      </c>
      <c r="AB84" s="7">
        <f>ROAFNA!AB59</f>
        <v>8922</v>
      </c>
      <c r="AC84" s="7">
        <f>ROAFNA!AC59</f>
        <v>9097</v>
      </c>
      <c r="AD84" s="7">
        <f>ROAFNA!AD59</f>
        <v>8882</v>
      </c>
      <c r="AE84" s="7">
        <f>ROAFNA!AE59</f>
        <v>11222</v>
      </c>
      <c r="AF84" s="7">
        <f>ROAFNA!AF59</f>
        <v>12573</v>
      </c>
      <c r="AG84" s="7">
        <f>ROAFNA!AG59</f>
        <v>11670</v>
      </c>
      <c r="AH84" s="7">
        <f>ROAFNA!AH59</f>
        <v>10818</v>
      </c>
      <c r="AI84" s="7">
        <f>ROAFNA!AI59</f>
        <v>10580</v>
      </c>
      <c r="AJ84" s="7">
        <f>ROAFNA!AJ59</f>
        <v>10580</v>
      </c>
      <c r="AK84" s="7">
        <f>ROAFNA!AK59</f>
        <v>10580</v>
      </c>
      <c r="AL84" s="7">
        <f>ROAFNA!AL59</f>
        <v>10342</v>
      </c>
      <c r="AM84" s="7">
        <f>ROAFNA!AM59</f>
        <v>10580</v>
      </c>
      <c r="AN84" s="7">
        <f>ROAFNA!AN59</f>
        <v>10580</v>
      </c>
      <c r="AP84" s="7" t="s">
        <v>522</v>
      </c>
      <c r="AQ84" s="7">
        <v>3000</v>
      </c>
      <c r="AR84" s="7">
        <v>6</v>
      </c>
      <c r="AS84" s="7">
        <v>0</v>
      </c>
    </row>
    <row r="85" spans="1:45">
      <c r="A85" s="86" t="s">
        <v>237</v>
      </c>
      <c r="B85" s="7">
        <f>Aus!B91</f>
        <v>0</v>
      </c>
      <c r="C85" s="7">
        <f>Aus!C91</f>
        <v>0</v>
      </c>
      <c r="D85" s="7">
        <f>Aus!D91</f>
        <v>0</v>
      </c>
      <c r="E85" s="7">
        <f>Aus!E91</f>
        <v>0</v>
      </c>
      <c r="F85" s="7">
        <f>Aus!F91</f>
        <v>0</v>
      </c>
      <c r="G85" s="7">
        <f>Aus!G91</f>
        <v>0</v>
      </c>
      <c r="H85" s="7">
        <f>Aus!H91</f>
        <v>0</v>
      </c>
      <c r="I85" s="7">
        <f>Aus!I91</f>
        <v>0</v>
      </c>
      <c r="J85" s="7">
        <f>Aus!J91</f>
        <v>0</v>
      </c>
      <c r="K85" s="7">
        <f>Aus!K91</f>
        <v>86</v>
      </c>
      <c r="L85" s="7">
        <f>Aus!L91</f>
        <v>186</v>
      </c>
      <c r="M85" s="7">
        <f>Aus!M91</f>
        <v>464</v>
      </c>
      <c r="N85" s="7">
        <f>Aus!N91</f>
        <v>511</v>
      </c>
      <c r="O85" s="7">
        <f>Aus!O91</f>
        <v>750</v>
      </c>
      <c r="P85" s="7">
        <f>Aus!P91</f>
        <v>1101</v>
      </c>
      <c r="Q85" s="7">
        <f>Aus!Q91</f>
        <v>2878</v>
      </c>
      <c r="R85" s="7">
        <f>Aus!R91</f>
        <v>1757</v>
      </c>
      <c r="S85" s="7">
        <f>Aus!S91</f>
        <v>1349</v>
      </c>
      <c r="T85" s="7">
        <f>Aus!T91</f>
        <v>1880</v>
      </c>
      <c r="U85" s="7">
        <f>Aus!U91</f>
        <v>4563</v>
      </c>
      <c r="V85" s="7">
        <f>Aus!V91</f>
        <v>2582</v>
      </c>
      <c r="W85" s="7">
        <f>Aus!W91</f>
        <v>2139</v>
      </c>
      <c r="X85" s="7">
        <f>Aus!X91</f>
        <v>1777</v>
      </c>
      <c r="Y85" s="7">
        <f>Aus!Y91</f>
        <v>825</v>
      </c>
      <c r="Z85" s="7">
        <f>Aus!Z91</f>
        <v>943</v>
      </c>
      <c r="AA85" s="7">
        <f>Aus!AA91</f>
        <v>3062</v>
      </c>
      <c r="AB85" s="7">
        <f>Aus!AB91</f>
        <v>2221</v>
      </c>
      <c r="AC85" s="7">
        <f>Aus!AC91</f>
        <v>1894</v>
      </c>
      <c r="AD85" s="7">
        <f>Aus!AD91</f>
        <v>3649</v>
      </c>
      <c r="AE85" s="7">
        <f>Aus!AE91</f>
        <v>2666</v>
      </c>
      <c r="AF85" s="7">
        <f>Aus!AF91</f>
        <v>2335</v>
      </c>
      <c r="AG85" s="7">
        <f>Aus!AG91</f>
        <v>3062</v>
      </c>
      <c r="AH85" s="7">
        <f>Aus!AH91</f>
        <v>2095</v>
      </c>
      <c r="AI85" s="7">
        <f>Aus!AI91</f>
        <v>1676</v>
      </c>
      <c r="AJ85" s="7">
        <f>Aus!AJ91</f>
        <v>1340.8000000000002</v>
      </c>
      <c r="AK85" s="7">
        <f>Aus!AK91</f>
        <v>1072.6400000000001</v>
      </c>
      <c r="AL85" s="7">
        <f>Aus!AL91</f>
        <v>858.11200000000008</v>
      </c>
      <c r="AM85" s="7">
        <f>Aus!AM91</f>
        <v>686.48960000000011</v>
      </c>
      <c r="AN85" s="7">
        <f>Aus!AN91</f>
        <v>549.19168000000013</v>
      </c>
      <c r="AP85" s="7" t="s">
        <v>769</v>
      </c>
      <c r="AQ85" s="7">
        <f>1600*2</f>
        <v>3200</v>
      </c>
      <c r="AR85" s="7">
        <v>2</v>
      </c>
      <c r="AS85" s="7">
        <f>AQ85*AR85</f>
        <v>6400</v>
      </c>
    </row>
    <row r="86" spans="1:45">
      <c r="A86" s="86" t="s">
        <v>213</v>
      </c>
      <c r="B86" s="7">
        <f>CN!B160</f>
        <v>0</v>
      </c>
      <c r="C86" s="7">
        <f>CN!C160</f>
        <v>0</v>
      </c>
      <c r="D86" s="7">
        <f>CN!D160</f>
        <v>0</v>
      </c>
      <c r="E86" s="7">
        <f>CN!E160</f>
        <v>0</v>
      </c>
      <c r="F86" s="7">
        <f>CN!F160</f>
        <v>0</v>
      </c>
      <c r="G86" s="7">
        <f>CN!G160</f>
        <v>0</v>
      </c>
      <c r="H86" s="7">
        <f>CN!H160</f>
        <v>0</v>
      </c>
      <c r="I86" s="7">
        <f>CN!I160</f>
        <v>0</v>
      </c>
      <c r="J86" s="7">
        <f>CN!J160</f>
        <v>0</v>
      </c>
      <c r="K86" s="7">
        <f>CN!K160</f>
        <v>0</v>
      </c>
      <c r="L86" s="7">
        <f>CN!L160</f>
        <v>0</v>
      </c>
      <c r="M86" s="7">
        <f>CN!M160</f>
        <v>2</v>
      </c>
      <c r="N86" s="7">
        <f>CN!N160</f>
        <v>7</v>
      </c>
      <c r="O86" s="7">
        <f>CN!O160</f>
        <v>2</v>
      </c>
      <c r="P86" s="7">
        <f>CN!P160</f>
        <v>31</v>
      </c>
      <c r="Q86" s="7">
        <f>CN!Q160</f>
        <v>189</v>
      </c>
      <c r="R86" s="7">
        <f>CN!R160</f>
        <v>258</v>
      </c>
      <c r="S86" s="7">
        <f>CN!S160</f>
        <v>239</v>
      </c>
      <c r="T86" s="7">
        <f>CN!T160</f>
        <v>965</v>
      </c>
      <c r="U86" s="7">
        <f>CN!U160</f>
        <v>1268</v>
      </c>
      <c r="V86" s="7">
        <f>CN!V160</f>
        <v>100</v>
      </c>
      <c r="W86" s="7">
        <f>CN!W160</f>
        <v>483</v>
      </c>
      <c r="X86" s="7">
        <f>CN!X160</f>
        <v>537</v>
      </c>
      <c r="Y86" s="7">
        <f>CN!Y160</f>
        <v>1648</v>
      </c>
      <c r="Z86" s="7">
        <f>CN!Z160</f>
        <v>918</v>
      </c>
      <c r="AA86" s="7">
        <f>CN!AA160</f>
        <v>630</v>
      </c>
      <c r="AB86" s="7">
        <f>CN!AB160</f>
        <v>525</v>
      </c>
      <c r="AC86" s="7">
        <f>CN!AC160</f>
        <v>345</v>
      </c>
      <c r="AD86" s="7">
        <f>CN!AD160</f>
        <v>238</v>
      </c>
      <c r="AE86" s="7">
        <f>CN!AE160</f>
        <v>826</v>
      </c>
      <c r="AF86" s="7">
        <f>CN!AF160</f>
        <v>588</v>
      </c>
      <c r="AG86" s="7">
        <f>CN!AG160</f>
        <v>759</v>
      </c>
      <c r="AH86" s="7">
        <f>CN!AH160</f>
        <v>2355</v>
      </c>
      <c r="AI86" s="7">
        <f>CN!AI160</f>
        <v>1884</v>
      </c>
      <c r="AJ86" s="7">
        <f>CN!AJ160</f>
        <v>1507.2</v>
      </c>
      <c r="AK86" s="7">
        <f>CN!AK160</f>
        <v>1205.76</v>
      </c>
      <c r="AL86" s="7">
        <f>CN!AL160</f>
        <v>964.60800000000006</v>
      </c>
      <c r="AM86" s="7">
        <f>CN!AM160</f>
        <v>964.60800000000006</v>
      </c>
      <c r="AN86" s="7">
        <f>CN!AN160</f>
        <v>964.60800000000006</v>
      </c>
      <c r="AP86" s="7" t="s">
        <v>77</v>
      </c>
      <c r="AQ86" s="7">
        <f>SUM(AQ84:AQ85)</f>
        <v>6200</v>
      </c>
      <c r="AS86" s="7">
        <f>SUM(AS84:AS85)</f>
        <v>6400</v>
      </c>
    </row>
    <row r="87" spans="1:45">
      <c r="A87" s="86" t="s">
        <v>355</v>
      </c>
      <c r="B87" s="7">
        <f>India!B53</f>
        <v>0</v>
      </c>
      <c r="C87" s="7">
        <f>India!C53</f>
        <v>0</v>
      </c>
      <c r="D87" s="7">
        <f>India!D53</f>
        <v>0</v>
      </c>
      <c r="E87" s="7">
        <f>India!E53</f>
        <v>0</v>
      </c>
      <c r="F87" s="7">
        <f>India!F53</f>
        <v>0</v>
      </c>
      <c r="G87" s="7">
        <f>India!G53</f>
        <v>0</v>
      </c>
      <c r="H87" s="7">
        <f>India!H53</f>
        <v>0</v>
      </c>
      <c r="I87" s="7">
        <f>India!I53</f>
        <v>0</v>
      </c>
      <c r="J87" s="7">
        <f>India!J53</f>
        <v>0</v>
      </c>
      <c r="K87" s="7">
        <f>India!K53</f>
        <v>0</v>
      </c>
      <c r="L87" s="7">
        <f>India!L53</f>
        <v>0</v>
      </c>
      <c r="M87" s="7">
        <f>India!M53</f>
        <v>0</v>
      </c>
      <c r="N87" s="7">
        <f>India!N53</f>
        <v>0</v>
      </c>
      <c r="O87" s="7">
        <f>India!O53</f>
        <v>2</v>
      </c>
      <c r="P87" s="7">
        <f>India!P53</f>
        <v>2</v>
      </c>
      <c r="Q87" s="7">
        <f>India!Q53</f>
        <v>1</v>
      </c>
      <c r="R87" s="7">
        <f>India!R53</f>
        <v>424</v>
      </c>
      <c r="S87" s="7">
        <f>India!S53</f>
        <v>2111</v>
      </c>
      <c r="T87" s="7">
        <f>India!T53</f>
        <v>5763</v>
      </c>
      <c r="U87" s="7">
        <f>India!U53</f>
        <v>4710</v>
      </c>
      <c r="V87" s="7">
        <f>India!V53</f>
        <v>1935</v>
      </c>
      <c r="W87" s="7">
        <f>India!W53</f>
        <v>1243</v>
      </c>
      <c r="X87" s="7">
        <f>India!X53</f>
        <v>461</v>
      </c>
      <c r="Y87" s="7">
        <f>India!Y53</f>
        <v>1396</v>
      </c>
      <c r="Z87" s="7">
        <f>India!Z53</f>
        <v>115</v>
      </c>
      <c r="AA87" s="7">
        <f>India!AA53</f>
        <v>868</v>
      </c>
      <c r="AB87" s="7">
        <f>India!AB53</f>
        <v>48</v>
      </c>
      <c r="AC87" s="7">
        <f>India!AC53</f>
        <v>52</v>
      </c>
      <c r="AD87" s="7">
        <f>India!AD53</f>
        <v>42</v>
      </c>
      <c r="AE87" s="7">
        <f>India!AE53</f>
        <v>174</v>
      </c>
      <c r="AF87" s="7">
        <f>India!AF53</f>
        <v>620</v>
      </c>
      <c r="AG87" s="7">
        <f>India!AG53</f>
        <v>0</v>
      </c>
      <c r="AH87" s="7">
        <f>India!AH53</f>
        <v>0</v>
      </c>
      <c r="AI87" s="7">
        <f>India!AI53</f>
        <v>0</v>
      </c>
      <c r="AJ87" s="7">
        <f>India!AJ53</f>
        <v>0</v>
      </c>
      <c r="AK87" s="7">
        <f>India!AK53</f>
        <v>0</v>
      </c>
      <c r="AL87" s="7">
        <f>India!AL53</f>
        <v>0</v>
      </c>
      <c r="AM87" s="7">
        <f>India!AM53</f>
        <v>0</v>
      </c>
      <c r="AN87" s="7">
        <f>India!AN53</f>
        <v>0</v>
      </c>
      <c r="AP87" s="7" t="s">
        <v>770</v>
      </c>
      <c r="AS87" s="7">
        <f>AS86/6</f>
        <v>1066.6666666666667</v>
      </c>
    </row>
    <row r="88" spans="1:45">
      <c r="A88" s="86" t="s">
        <v>508</v>
      </c>
      <c r="B88" s="7">
        <f>0</f>
        <v>0</v>
      </c>
      <c r="C88" s="7">
        <f>0</f>
        <v>0</v>
      </c>
      <c r="D88" s="7">
        <f>0</f>
        <v>0</v>
      </c>
      <c r="E88" s="7">
        <f>0</f>
        <v>0</v>
      </c>
      <c r="F88" s="7">
        <f>0</f>
        <v>0</v>
      </c>
      <c r="G88" s="7">
        <f>0</f>
        <v>0</v>
      </c>
      <c r="H88" s="7">
        <f>0</f>
        <v>0</v>
      </c>
      <c r="I88" s="7">
        <f>0</f>
        <v>0</v>
      </c>
      <c r="J88" s="7">
        <f>0</f>
        <v>0</v>
      </c>
      <c r="K88" s="7">
        <f>0</f>
        <v>0</v>
      </c>
      <c r="L88" s="7">
        <f>0</f>
        <v>0</v>
      </c>
      <c r="M88" s="7">
        <f>0</f>
        <v>0</v>
      </c>
      <c r="N88" s="7">
        <f>0</f>
        <v>0</v>
      </c>
      <c r="O88" s="7">
        <f>0</f>
        <v>0</v>
      </c>
      <c r="P88" s="7">
        <f>0</f>
        <v>0</v>
      </c>
      <c r="Q88" s="7">
        <f>0</f>
        <v>0</v>
      </c>
      <c r="R88" s="7">
        <f>0</f>
        <v>0</v>
      </c>
      <c r="S88" s="7">
        <f>0</f>
        <v>0</v>
      </c>
      <c r="T88" s="7">
        <f>0</f>
        <v>0</v>
      </c>
      <c r="U88" s="7">
        <f>0</f>
        <v>0</v>
      </c>
      <c r="V88" s="7">
        <f>0</f>
        <v>0</v>
      </c>
      <c r="W88" s="7">
        <f>0</f>
        <v>0</v>
      </c>
      <c r="X88" s="7">
        <f>0</f>
        <v>0</v>
      </c>
      <c r="Y88" s="7">
        <f>0</f>
        <v>0</v>
      </c>
      <c r="Z88" s="7">
        <f>0</f>
        <v>0</v>
      </c>
      <c r="AA88" s="7">
        <f>0</f>
        <v>0</v>
      </c>
      <c r="AB88" s="7">
        <f>0</f>
        <v>0</v>
      </c>
      <c r="AC88" s="7">
        <f>0</f>
        <v>0</v>
      </c>
      <c r="AD88" s="7">
        <f>0</f>
        <v>0</v>
      </c>
      <c r="AE88" s="7">
        <f>0</f>
        <v>0</v>
      </c>
      <c r="AF88" s="7">
        <f>0</f>
        <v>0</v>
      </c>
      <c r="AG88" s="7">
        <f>0</f>
        <v>0</v>
      </c>
      <c r="AH88" s="7">
        <f>0</f>
        <v>0</v>
      </c>
      <c r="AI88" s="7">
        <f>0</f>
        <v>0</v>
      </c>
      <c r="AJ88" s="7">
        <f>0</f>
        <v>0</v>
      </c>
      <c r="AK88" s="7">
        <f>0</f>
        <v>0</v>
      </c>
      <c r="AL88" s="7">
        <f>0</f>
        <v>0</v>
      </c>
      <c r="AM88" s="7">
        <f>0</f>
        <v>0</v>
      </c>
      <c r="AN88" s="7">
        <f>0</f>
        <v>0</v>
      </c>
      <c r="AP88" s="7" t="s">
        <v>771</v>
      </c>
      <c r="AS88" s="7">
        <f>AS87*0.5</f>
        <v>533.33333333333337</v>
      </c>
    </row>
    <row r="89" spans="1:45">
      <c r="A89" s="86" t="s">
        <v>346</v>
      </c>
      <c r="K89" s="7">
        <f t="shared" ref="K89:S89" si="70">K90-SUM(K84:K88)</f>
        <v>2</v>
      </c>
      <c r="L89" s="7">
        <f t="shared" si="70"/>
        <v>25</v>
      </c>
      <c r="M89" s="7">
        <f t="shared" si="70"/>
        <v>3</v>
      </c>
      <c r="N89" s="7">
        <f t="shared" si="70"/>
        <v>27</v>
      </c>
      <c r="O89" s="7">
        <f t="shared" si="70"/>
        <v>37</v>
      </c>
      <c r="P89" s="7">
        <f t="shared" si="70"/>
        <v>0</v>
      </c>
      <c r="Q89" s="7">
        <f t="shared" si="70"/>
        <v>8</v>
      </c>
      <c r="R89" s="7">
        <f t="shared" si="70"/>
        <v>-8</v>
      </c>
      <c r="S89" s="7">
        <f t="shared" si="70"/>
        <v>87</v>
      </c>
      <c r="T89" s="7">
        <f t="shared" ref="T89:AF89" si="71">T90-SUM(T84:T88)</f>
        <v>29</v>
      </c>
      <c r="U89" s="7">
        <f t="shared" si="71"/>
        <v>502</v>
      </c>
      <c r="V89" s="7">
        <f t="shared" si="71"/>
        <v>20</v>
      </c>
      <c r="W89" s="7">
        <f t="shared" si="71"/>
        <v>149</v>
      </c>
      <c r="X89" s="7">
        <f t="shared" si="71"/>
        <v>158</v>
      </c>
      <c r="Y89" s="7">
        <f t="shared" si="71"/>
        <v>-16</v>
      </c>
      <c r="Z89" s="7">
        <f t="shared" si="71"/>
        <v>1233</v>
      </c>
      <c r="AA89" s="7">
        <f t="shared" si="71"/>
        <v>18</v>
      </c>
      <c r="AB89" s="7">
        <f t="shared" si="71"/>
        <v>-18</v>
      </c>
      <c r="AC89" s="7">
        <f t="shared" si="71"/>
        <v>2</v>
      </c>
      <c r="AD89" s="7">
        <f t="shared" si="71"/>
        <v>-443</v>
      </c>
      <c r="AE89" s="7">
        <f t="shared" si="71"/>
        <v>-732</v>
      </c>
      <c r="AF89" s="7">
        <f t="shared" si="71"/>
        <v>-261</v>
      </c>
      <c r="AG89" s="7">
        <f t="shared" ref="AG89:AH89" si="72">AG90-SUM(AG84:AG88)</f>
        <v>-89</v>
      </c>
      <c r="AH89" s="7">
        <f t="shared" si="72"/>
        <v>703</v>
      </c>
      <c r="AI89" s="81">
        <v>0</v>
      </c>
      <c r="AJ89" s="81">
        <f>AI89</f>
        <v>0</v>
      </c>
      <c r="AK89" s="81">
        <f>AJ89</f>
        <v>0</v>
      </c>
      <c r="AL89" s="81">
        <f>AK89</f>
        <v>0</v>
      </c>
      <c r="AM89" s="81">
        <f>AL89</f>
        <v>0</v>
      </c>
      <c r="AN89" s="81">
        <f t="shared" ref="AN89" si="73">AM89</f>
        <v>0</v>
      </c>
    </row>
    <row r="90" spans="1:45">
      <c r="A90" s="80" t="s">
        <v>77</v>
      </c>
      <c r="B90" s="9"/>
      <c r="C90" s="9"/>
      <c r="D90" s="9"/>
      <c r="E90" s="9"/>
      <c r="F90" s="9"/>
      <c r="G90" s="9"/>
      <c r="H90" s="9"/>
      <c r="I90" s="9"/>
      <c r="J90" s="9"/>
      <c r="K90" s="9">
        <v>4741</v>
      </c>
      <c r="L90" s="9">
        <v>5134</v>
      </c>
      <c r="M90" s="9">
        <v>5594</v>
      </c>
      <c r="N90" s="9">
        <v>5823</v>
      </c>
      <c r="O90" s="9">
        <v>5640</v>
      </c>
      <c r="P90" s="9">
        <v>9228</v>
      </c>
      <c r="Q90" s="9">
        <v>8426</v>
      </c>
      <c r="R90" s="9">
        <v>7928</v>
      </c>
      <c r="S90" s="9">
        <v>9837</v>
      </c>
      <c r="T90" s="9">
        <v>20222</v>
      </c>
      <c r="U90" s="9">
        <v>18639</v>
      </c>
      <c r="V90" s="9">
        <v>12281</v>
      </c>
      <c r="W90" s="9">
        <v>13196</v>
      </c>
      <c r="X90" s="9">
        <v>10733</v>
      </c>
      <c r="Y90" s="9">
        <v>11483</v>
      </c>
      <c r="Z90" s="9">
        <v>10501</v>
      </c>
      <c r="AA90" s="9">
        <v>12646</v>
      </c>
      <c r="AB90" s="9">
        <v>11698</v>
      </c>
      <c r="AC90" s="9">
        <v>11390</v>
      </c>
      <c r="AD90" s="9">
        <v>12368</v>
      </c>
      <c r="AE90" s="9">
        <v>14156</v>
      </c>
      <c r="AF90" s="9">
        <v>15855</v>
      </c>
      <c r="AG90" s="112">
        <v>15402</v>
      </c>
      <c r="AH90" s="112">
        <v>15971</v>
      </c>
      <c r="AI90" s="476">
        <f t="shared" ref="AI90:AN90" si="74">SUM(AI84:AI89)</f>
        <v>14140</v>
      </c>
      <c r="AJ90" s="476">
        <f t="shared" si="74"/>
        <v>13428</v>
      </c>
      <c r="AK90" s="476">
        <f t="shared" si="74"/>
        <v>12858.4</v>
      </c>
      <c r="AL90" s="476">
        <f t="shared" si="74"/>
        <v>12164.720000000001</v>
      </c>
      <c r="AM90" s="476">
        <f t="shared" si="74"/>
        <v>12231.097600000001</v>
      </c>
      <c r="AN90" s="476">
        <f t="shared" si="74"/>
        <v>12093.79968</v>
      </c>
      <c r="AP90" s="79" t="s">
        <v>213</v>
      </c>
    </row>
    <row r="91" spans="1:45">
      <c r="AP91" s="7" t="s">
        <v>522</v>
      </c>
      <c r="AQ91" s="7">
        <v>4700</v>
      </c>
      <c r="AR91" s="98">
        <v>3.5</v>
      </c>
      <c r="AS91" s="7">
        <f>AQ91*AR91</f>
        <v>16450</v>
      </c>
    </row>
    <row r="92" spans="1:45">
      <c r="A92" s="6" t="s">
        <v>101</v>
      </c>
      <c r="B92" s="8"/>
      <c r="C92" s="8"/>
      <c r="D92" s="8"/>
      <c r="E92" s="8"/>
      <c r="F92" s="8"/>
      <c r="G92" s="8"/>
      <c r="H92" s="8"/>
      <c r="I92" s="8"/>
      <c r="J92" s="8"/>
      <c r="K92" s="8"/>
      <c r="L92" s="8"/>
      <c r="M92" s="8"/>
      <c r="N92" s="8"/>
      <c r="O92" s="8"/>
      <c r="P92" s="8"/>
      <c r="Q92" s="8"/>
      <c r="R92" s="8"/>
      <c r="S92" s="8"/>
      <c r="T92" s="8"/>
      <c r="U92" s="8"/>
      <c r="V92" s="8"/>
      <c r="W92" s="8"/>
      <c r="X92" s="8"/>
      <c r="Y92" s="8"/>
      <c r="Z92" s="8"/>
      <c r="AA92" s="8"/>
      <c r="AB92" s="8"/>
      <c r="AC92" s="8"/>
      <c r="AD92" s="8"/>
      <c r="AE92" s="8"/>
      <c r="AF92" s="8"/>
      <c r="AG92" s="8"/>
      <c r="AH92" s="8"/>
      <c r="AI92" s="8"/>
      <c r="AJ92" s="8"/>
      <c r="AK92" s="8"/>
      <c r="AL92" s="8"/>
      <c r="AM92" s="8"/>
      <c r="AN92" s="8"/>
      <c r="AP92" s="7" t="s">
        <v>770</v>
      </c>
      <c r="AS92" s="7">
        <f>AS91/5</f>
        <v>3290</v>
      </c>
    </row>
    <row r="93" spans="1:45">
      <c r="A93" s="42" t="s">
        <v>541</v>
      </c>
      <c r="B93" s="79">
        <f>Final!B76+Final!B85</f>
        <v>1255</v>
      </c>
      <c r="C93" s="79">
        <f>Final!C76+Final!C85</f>
        <v>1057</v>
      </c>
      <c r="D93" s="79">
        <f>Final!D76+Final!D85</f>
        <v>1497</v>
      </c>
      <c r="E93" s="79">
        <f>Final!E76+Final!E85</f>
        <v>1670</v>
      </c>
      <c r="F93" s="79">
        <f>Final!F76+Final!F85</f>
        <v>3319</v>
      </c>
      <c r="G93" s="79">
        <f>Final!G76+Final!G85</f>
        <v>3903</v>
      </c>
      <c r="H93" s="79">
        <f>Final!H76+Final!H85</f>
        <v>2744</v>
      </c>
      <c r="I93" s="79">
        <f>Final!I76+Final!I85</f>
        <v>2778</v>
      </c>
      <c r="J93" s="79">
        <f>Final!J76+Final!J85</f>
        <v>2578</v>
      </c>
      <c r="K93" s="79">
        <f>Final!K76+Final!K85</f>
        <v>5567</v>
      </c>
      <c r="L93" s="79">
        <f>Final!L76+Final!L85</f>
        <v>9297</v>
      </c>
      <c r="M93" s="79">
        <f>Final!M76+Final!M85</f>
        <v>18697</v>
      </c>
      <c r="N93" s="79">
        <f>Final!N76+Final!N85</f>
        <v>18774</v>
      </c>
      <c r="O93" s="79">
        <f>Final!O76+Final!O85</f>
        <v>29391</v>
      </c>
      <c r="P93" s="79">
        <f>Final!P76+Final!P85</f>
        <v>30278</v>
      </c>
      <c r="Q93" s="79">
        <f>Final!Q76+Final!Q85</f>
        <v>28360</v>
      </c>
      <c r="R93" s="79">
        <f>Final!R76+Final!R85</f>
        <v>26696</v>
      </c>
      <c r="S93" s="79">
        <f>Final!S76+Final!S85</f>
        <v>39431</v>
      </c>
      <c r="T93" s="79">
        <f>Final!T76+Final!T85</f>
        <v>44623</v>
      </c>
      <c r="U93" s="79">
        <f>Final!U76+Final!U85</f>
        <v>65521</v>
      </c>
      <c r="V93" s="79">
        <f>Final!V76+Final!V85</f>
        <v>66198</v>
      </c>
      <c r="W93" s="79">
        <f>Final!W76+Final!W85</f>
        <v>56051</v>
      </c>
      <c r="X93" s="79">
        <f>Final!X76+Final!X85</f>
        <v>67435</v>
      </c>
      <c r="Y93" s="79">
        <f>Final!Y76+Final!Y85</f>
        <v>55483</v>
      </c>
      <c r="Z93" s="79">
        <f>Final!Z76+Final!Z85</f>
        <v>51646</v>
      </c>
      <c r="AA93" s="79">
        <f>Final!AA76+Final!AA85</f>
        <v>57341</v>
      </c>
      <c r="AB93" s="79">
        <f>Final!AB76+Final!AB85</f>
        <v>55298</v>
      </c>
      <c r="AC93" s="108">
        <f>Final!AC76+Final!AC85</f>
        <v>52349</v>
      </c>
      <c r="AD93" s="108">
        <f>Final!AD76+Final!AD85</f>
        <v>54348</v>
      </c>
      <c r="AE93" s="108">
        <f>Final!AE76+Final!AE85</f>
        <v>58215</v>
      </c>
      <c r="AF93" s="108">
        <f>Final!AF76+Final!AF85</f>
        <v>59217</v>
      </c>
      <c r="AG93" s="108">
        <f>Final!AG76+Final!AG85</f>
        <v>57515</v>
      </c>
      <c r="AH93" s="108">
        <f>Final!AH76+Final!AH85</f>
        <v>65154</v>
      </c>
      <c r="AI93" s="100">
        <f t="shared" ref="AI93:AN93" si="75">SUM(AI94:AI99)</f>
        <v>66090.453261862713</v>
      </c>
      <c r="AJ93" s="100">
        <f t="shared" si="75"/>
        <v>67299.220984400003</v>
      </c>
      <c r="AK93" s="100">
        <f t="shared" si="75"/>
        <v>68299.220984400003</v>
      </c>
      <c r="AL93" s="100">
        <f t="shared" si="75"/>
        <v>68299.220984400003</v>
      </c>
      <c r="AM93" s="100">
        <f t="shared" si="75"/>
        <v>68299.220984400003</v>
      </c>
      <c r="AN93" s="100">
        <f t="shared" si="75"/>
        <v>68299.220984400003</v>
      </c>
      <c r="AP93" s="7" t="s">
        <v>771</v>
      </c>
      <c r="AS93" s="7">
        <f>AS92*0.5</f>
        <v>1645</v>
      </c>
    </row>
    <row r="94" spans="1:45">
      <c r="A94" s="86" t="s">
        <v>317</v>
      </c>
      <c r="B94" s="7">
        <f>ROAFNA!B35</f>
        <v>1255</v>
      </c>
      <c r="C94" s="7">
        <f>ROAFNA!C35</f>
        <v>1057</v>
      </c>
      <c r="D94" s="7">
        <f>ROAFNA!D35</f>
        <v>1497</v>
      </c>
      <c r="E94" s="7">
        <f>ROAFNA!E35</f>
        <v>1670</v>
      </c>
      <c r="F94" s="7">
        <f>ROAFNA!F35</f>
        <v>3319</v>
      </c>
      <c r="G94" s="7">
        <f>ROAFNA!G35</f>
        <v>3903</v>
      </c>
      <c r="H94" s="7">
        <f>ROAFNA!H35</f>
        <v>2744</v>
      </c>
      <c r="I94" s="7">
        <f>ROAFNA!I35</f>
        <v>2778</v>
      </c>
      <c r="J94" s="7">
        <f>ROAFNA!J35</f>
        <v>2433</v>
      </c>
      <c r="K94" s="7">
        <f>ROAFNA!K35</f>
        <v>4240</v>
      </c>
      <c r="L94" s="7">
        <f>ROAFNA!L35</f>
        <v>6742</v>
      </c>
      <c r="M94" s="7">
        <f>ROAFNA!M35</f>
        <v>7451</v>
      </c>
      <c r="N94" s="7">
        <f>ROAFNA!N35</f>
        <v>8642</v>
      </c>
      <c r="O94" s="7">
        <f>ROAFNA!O35</f>
        <v>11475</v>
      </c>
      <c r="P94" s="7">
        <f>ROAFNA!P35</f>
        <v>13053</v>
      </c>
      <c r="Q94" s="7">
        <f>ROAFNA!Q35</f>
        <v>13613</v>
      </c>
      <c r="R94" s="7">
        <f>ROAFNA!R35</f>
        <v>14848</v>
      </c>
      <c r="S94" s="7">
        <f>ROAFNA!S35</f>
        <v>22429</v>
      </c>
      <c r="T94" s="7">
        <f>ROAFNA!T35</f>
        <v>25603</v>
      </c>
      <c r="U94" s="7">
        <f>ROAFNA!U35</f>
        <v>27391</v>
      </c>
      <c r="V94" s="7">
        <f>ROAFNA!V35</f>
        <v>33435</v>
      </c>
      <c r="W94" s="7">
        <f>ROAFNA!W35</f>
        <v>28283</v>
      </c>
      <c r="X94" s="7">
        <f>ROAFNA!X35</f>
        <v>40635</v>
      </c>
      <c r="Y94" s="7">
        <f>ROAFNA!Y35</f>
        <v>40976</v>
      </c>
      <c r="Z94" s="7">
        <f>ROAFNA!Z35</f>
        <v>37814</v>
      </c>
      <c r="AA94" s="7">
        <f>ROAFNA!AA35</f>
        <v>40361</v>
      </c>
      <c r="AB94" s="7">
        <f>ROAFNA!AB35</f>
        <v>38636</v>
      </c>
      <c r="AC94" s="30">
        <f>ROAFNA!AC35</f>
        <v>41171</v>
      </c>
      <c r="AD94" s="7">
        <f>ROAFNA!AD35</f>
        <v>43257</v>
      </c>
      <c r="AE94" s="7">
        <f>ROAFNA!AE35</f>
        <v>46351</v>
      </c>
      <c r="AF94" s="7">
        <f>ROAFNA!AF35</f>
        <v>48559</v>
      </c>
      <c r="AG94" s="7">
        <f>ROAFNA!AG35</f>
        <v>47835</v>
      </c>
      <c r="AH94" s="7">
        <f>ROAFNA!AH35</f>
        <v>56024</v>
      </c>
      <c r="AI94" s="7">
        <f>ROAFNA!AI35</f>
        <v>57024</v>
      </c>
      <c r="AJ94" s="7">
        <f>ROAFNA!AJ35</f>
        <v>58024</v>
      </c>
      <c r="AK94" s="7">
        <f>ROAFNA!AK35</f>
        <v>59024</v>
      </c>
      <c r="AL94" s="7">
        <f>ROAFNA!AL35</f>
        <v>59024</v>
      </c>
      <c r="AM94" s="7">
        <f>ROAFNA!AM35</f>
        <v>59024</v>
      </c>
      <c r="AN94" s="7">
        <f>ROAFNA!AN35</f>
        <v>59024</v>
      </c>
    </row>
    <row r="95" spans="1:45">
      <c r="A95" s="86" t="s">
        <v>237</v>
      </c>
      <c r="B95" s="7">
        <f>Aus!B84</f>
        <v>0</v>
      </c>
      <c r="C95" s="7">
        <f>Aus!C84</f>
        <v>0</v>
      </c>
      <c r="D95" s="7">
        <f>Aus!D84</f>
        <v>0</v>
      </c>
      <c r="E95" s="7">
        <f>Aus!E84</f>
        <v>0</v>
      </c>
      <c r="F95" s="7">
        <f>Aus!F84</f>
        <v>0</v>
      </c>
      <c r="G95" s="7">
        <f>Aus!G84</f>
        <v>0</v>
      </c>
      <c r="H95" s="7">
        <f>Aus!H84</f>
        <v>0</v>
      </c>
      <c r="I95" s="7">
        <f>Aus!I84</f>
        <v>0</v>
      </c>
      <c r="J95" s="7">
        <f>Aus!J84</f>
        <v>0</v>
      </c>
      <c r="K95" s="7">
        <f>Aus!K84</f>
        <v>0</v>
      </c>
      <c r="L95" s="7">
        <f>Aus!L84</f>
        <v>0</v>
      </c>
      <c r="M95" s="7">
        <f>Aus!M84</f>
        <v>6444</v>
      </c>
      <c r="N95" s="7">
        <f>Aus!N84</f>
        <v>6106</v>
      </c>
      <c r="O95" s="7">
        <f>Aus!O84</f>
        <v>11108</v>
      </c>
      <c r="P95" s="7">
        <f>Aus!P84</f>
        <v>10954</v>
      </c>
      <c r="Q95" s="7">
        <f>Aus!Q84</f>
        <v>13375</v>
      </c>
      <c r="R95" s="7">
        <f>Aus!R84</f>
        <v>9087</v>
      </c>
      <c r="S95" s="7">
        <f>Aus!S84</f>
        <v>11155</v>
      </c>
      <c r="T95" s="7">
        <f>Aus!T84</f>
        <v>10815</v>
      </c>
      <c r="U95" s="7">
        <f>Aus!U84</f>
        <v>19127</v>
      </c>
      <c r="V95" s="7">
        <f>Aus!V84</f>
        <v>16618</v>
      </c>
      <c r="W95" s="7">
        <f>Aus!W84</f>
        <v>14406</v>
      </c>
      <c r="X95" s="7">
        <f>Aus!X84</f>
        <v>14619</v>
      </c>
      <c r="Y95" s="7">
        <f>Aus!Y84</f>
        <v>964</v>
      </c>
      <c r="Z95" s="7">
        <f>Aus!Z84</f>
        <v>1268</v>
      </c>
      <c r="AA95" s="7">
        <f>Aus!AA84</f>
        <v>234</v>
      </c>
      <c r="AB95" s="7">
        <f>Aus!AB84</f>
        <v>0</v>
      </c>
      <c r="AC95" s="30">
        <f>Aus!AC84</f>
        <v>0</v>
      </c>
      <c r="AD95" s="7">
        <f>Aus!AD84</f>
        <v>0</v>
      </c>
      <c r="AE95" s="7">
        <f>Aus!AE84</f>
        <v>0</v>
      </c>
      <c r="AF95" s="7">
        <f>Aus!AF84</f>
        <v>5127</v>
      </c>
      <c r="AG95" s="7">
        <f>Aus!AG84</f>
        <v>4655</v>
      </c>
      <c r="AH95" s="7">
        <f>Aus!AH84</f>
        <v>3558</v>
      </c>
      <c r="AI95" s="7">
        <f>Aus!AI84</f>
        <v>3557.6678962800001</v>
      </c>
      <c r="AJ95" s="7">
        <f>Aus!AJ84</f>
        <v>3612.8351843999999</v>
      </c>
      <c r="AK95" s="7">
        <f>Aus!AK84</f>
        <v>3612.8351843999999</v>
      </c>
      <c r="AL95" s="7">
        <f>Aus!AL84</f>
        <v>3612.8351843999999</v>
      </c>
      <c r="AM95" s="7">
        <f>Aus!AM84</f>
        <v>3612.8351843999999</v>
      </c>
      <c r="AN95" s="7">
        <f>Aus!AN84</f>
        <v>3612.8351843999999</v>
      </c>
      <c r="AP95" s="79" t="s">
        <v>355</v>
      </c>
    </row>
    <row r="96" spans="1:45">
      <c r="A96" s="86" t="s">
        <v>213</v>
      </c>
      <c r="B96" s="7">
        <f>CN!B163</f>
        <v>0</v>
      </c>
      <c r="C96" s="7">
        <f>CN!C163</f>
        <v>0</v>
      </c>
      <c r="D96" s="7">
        <f>CN!D163</f>
        <v>0</v>
      </c>
      <c r="E96" s="7">
        <f>CN!E163</f>
        <v>0</v>
      </c>
      <c r="F96" s="7">
        <f>CN!F163</f>
        <v>0</v>
      </c>
      <c r="G96" s="7">
        <f>CN!G163</f>
        <v>0</v>
      </c>
      <c r="H96" s="7">
        <f>CN!H163</f>
        <v>0</v>
      </c>
      <c r="I96" s="7">
        <f>CN!I163</f>
        <v>0</v>
      </c>
      <c r="J96" s="7">
        <f>CN!J163</f>
        <v>0</v>
      </c>
      <c r="K96" s="7">
        <f>CN!K163</f>
        <v>0</v>
      </c>
      <c r="L96" s="7">
        <f>CN!L163</f>
        <v>0</v>
      </c>
      <c r="M96" s="7">
        <f>CN!M163</f>
        <v>0</v>
      </c>
      <c r="N96" s="7">
        <f>CN!N163</f>
        <v>0</v>
      </c>
      <c r="O96" s="7">
        <f>CN!O163</f>
        <v>228</v>
      </c>
      <c r="P96" s="7">
        <f>CN!P163</f>
        <v>253</v>
      </c>
      <c r="Q96" s="7">
        <f>CN!Q163</f>
        <v>340</v>
      </c>
      <c r="R96" s="7">
        <f>CN!R163</f>
        <v>824</v>
      </c>
      <c r="S96" s="7">
        <f>CN!S163</f>
        <v>784</v>
      </c>
      <c r="T96" s="7">
        <f>CN!T163</f>
        <v>2288</v>
      </c>
      <c r="U96" s="7">
        <f>CN!U163</f>
        <v>3271</v>
      </c>
      <c r="V96" s="7">
        <f>CN!V163</f>
        <v>3367</v>
      </c>
      <c r="W96" s="7">
        <f>CN!W163</f>
        <v>3457</v>
      </c>
      <c r="X96" s="7">
        <f>CN!X163</f>
        <v>3516</v>
      </c>
      <c r="Y96" s="7">
        <f>CN!Y163</f>
        <v>4402</v>
      </c>
      <c r="Z96" s="7">
        <f>CN!Z163</f>
        <v>4973</v>
      </c>
      <c r="AA96" s="7">
        <f>CN!AA163</f>
        <v>5573</v>
      </c>
      <c r="AB96" s="7">
        <f>CN!AB163</f>
        <v>6080</v>
      </c>
      <c r="AC96" s="30">
        <f>CN!AC163</f>
        <v>5777</v>
      </c>
      <c r="AD96" s="7">
        <f>CN!AD163</f>
        <v>5769</v>
      </c>
      <c r="AE96" s="7">
        <f>CN!AE163</f>
        <v>5856</v>
      </c>
      <c r="AF96" s="7">
        <f>CN!AF163</f>
        <v>5531</v>
      </c>
      <c r="AG96" s="7">
        <f>CN!AG163</f>
        <v>5025</v>
      </c>
      <c r="AH96" s="7">
        <f>CN!AH163</f>
        <v>5572</v>
      </c>
      <c r="AI96" s="7">
        <f>CN!AI163</f>
        <v>5508.7853655827093</v>
      </c>
      <c r="AJ96" s="7">
        <f>CN!AJ163</f>
        <v>5662.3858</v>
      </c>
      <c r="AK96" s="7">
        <f>CN!AK163</f>
        <v>5662.3858</v>
      </c>
      <c r="AL96" s="7">
        <f>CN!AL163</f>
        <v>5662.3858</v>
      </c>
      <c r="AM96" s="7">
        <f>CN!AM163</f>
        <v>5662.3858</v>
      </c>
      <c r="AN96" s="7">
        <f>CN!AN163</f>
        <v>5662.3858</v>
      </c>
      <c r="AP96" s="7" t="s">
        <v>522</v>
      </c>
      <c r="AQ96" s="7">
        <v>8000</v>
      </c>
      <c r="AR96" s="7">
        <v>3.5</v>
      </c>
      <c r="AS96" s="7">
        <f>AQ96*AR96</f>
        <v>28000</v>
      </c>
    </row>
    <row r="97" spans="1:45">
      <c r="A97" s="86" t="s">
        <v>355</v>
      </c>
      <c r="B97" s="7">
        <f>India!B59</f>
        <v>0</v>
      </c>
      <c r="C97" s="7">
        <f>India!C59</f>
        <v>0</v>
      </c>
      <c r="D97" s="7">
        <f>India!D59</f>
        <v>0</v>
      </c>
      <c r="E97" s="7">
        <f>India!E59</f>
        <v>0</v>
      </c>
      <c r="F97" s="7">
        <f>India!F59</f>
        <v>0</v>
      </c>
      <c r="G97" s="7">
        <f>India!G59</f>
        <v>0</v>
      </c>
      <c r="H97" s="7">
        <f>India!H59</f>
        <v>0</v>
      </c>
      <c r="I97" s="7">
        <f>India!I59</f>
        <v>0</v>
      </c>
      <c r="J97" s="7">
        <f>India!J59</f>
        <v>0</v>
      </c>
      <c r="K97" s="7">
        <f>India!K59</f>
        <v>0</v>
      </c>
      <c r="L97" s="7">
        <f>India!L59</f>
        <v>0</v>
      </c>
      <c r="M97" s="7">
        <f>India!M59</f>
        <v>1607</v>
      </c>
      <c r="N97" s="7">
        <f>India!N59</f>
        <v>1397</v>
      </c>
      <c r="O97" s="7">
        <f>India!O59</f>
        <v>1236</v>
      </c>
      <c r="P97" s="7">
        <f>India!P59</f>
        <v>1224</v>
      </c>
      <c r="Q97" s="7">
        <f>India!Q59</f>
        <v>968</v>
      </c>
      <c r="R97" s="7">
        <f>India!R59</f>
        <v>1271</v>
      </c>
      <c r="S97" s="7">
        <f>India!S59</f>
        <v>3063</v>
      </c>
      <c r="T97" s="7">
        <f>India!T59</f>
        <v>5917</v>
      </c>
      <c r="U97" s="7">
        <f>India!U59</f>
        <v>8054</v>
      </c>
      <c r="V97" s="7">
        <f>India!V59</f>
        <v>9878</v>
      </c>
      <c r="W97" s="7">
        <f>India!W59</f>
        <v>8479</v>
      </c>
      <c r="X97" s="7">
        <f>India!X59</f>
        <v>8656</v>
      </c>
      <c r="Y97" s="7">
        <f>India!Y59</f>
        <v>8835</v>
      </c>
      <c r="Z97" s="7">
        <f>India!Z59</f>
        <v>7591</v>
      </c>
      <c r="AA97" s="7">
        <f>India!AA59</f>
        <v>6785</v>
      </c>
      <c r="AB97" s="7">
        <f>India!AB59</f>
        <v>6182</v>
      </c>
      <c r="AC97" s="30">
        <f>India!AC59</f>
        <v>5401</v>
      </c>
      <c r="AD97" s="7">
        <f>India!AD59</f>
        <v>5322</v>
      </c>
      <c r="AE97" s="7">
        <f>India!AE59</f>
        <v>6008</v>
      </c>
      <c r="AF97" s="7">
        <f>India!AF59</f>
        <v>0</v>
      </c>
      <c r="AG97" s="7">
        <f>India!AG59</f>
        <v>0</v>
      </c>
      <c r="AH97" s="7">
        <f>India!AH59</f>
        <v>0</v>
      </c>
      <c r="AI97" s="7">
        <f>India!AI59</f>
        <v>0</v>
      </c>
      <c r="AJ97" s="7">
        <f>India!AJ59</f>
        <v>0</v>
      </c>
      <c r="AK97" s="7">
        <f>India!AK59</f>
        <v>0</v>
      </c>
      <c r="AL97" s="7">
        <f>India!AL59</f>
        <v>0</v>
      </c>
      <c r="AM97" s="7">
        <f>India!AM59</f>
        <v>0</v>
      </c>
      <c r="AN97" s="7">
        <f>India!AN59</f>
        <v>0</v>
      </c>
      <c r="AP97" s="7" t="s">
        <v>770</v>
      </c>
      <c r="AS97" s="7">
        <f>AS96/5</f>
        <v>5600</v>
      </c>
    </row>
    <row r="98" spans="1:45">
      <c r="A98" s="86" t="s">
        <v>508</v>
      </c>
      <c r="B98" s="7">
        <v>0</v>
      </c>
      <c r="C98" s="7">
        <v>0</v>
      </c>
      <c r="D98" s="7">
        <v>0</v>
      </c>
      <c r="E98" s="7">
        <v>0</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30">
        <v>0</v>
      </c>
      <c r="AD98" s="7">
        <v>0</v>
      </c>
      <c r="AE98" s="7">
        <v>0</v>
      </c>
      <c r="AF98" s="7">
        <v>0</v>
      </c>
      <c r="AG98" s="7">
        <v>0</v>
      </c>
      <c r="AH98" s="7">
        <v>0</v>
      </c>
      <c r="AI98" s="7">
        <v>0</v>
      </c>
      <c r="AJ98" s="7">
        <v>0</v>
      </c>
      <c r="AK98" s="7">
        <v>0</v>
      </c>
      <c r="AL98" s="7">
        <v>0</v>
      </c>
      <c r="AM98" s="7">
        <v>0</v>
      </c>
      <c r="AN98" s="7">
        <v>0</v>
      </c>
      <c r="AP98" s="7" t="s">
        <v>771</v>
      </c>
      <c r="AS98" s="7">
        <f>AS97*0.5</f>
        <v>2800</v>
      </c>
    </row>
    <row r="99" spans="1:45">
      <c r="A99" s="86" t="s">
        <v>62</v>
      </c>
      <c r="B99" s="7">
        <f t="shared" ref="B99:AD99" si="76">B93-SUM(B94:B98)</f>
        <v>0</v>
      </c>
      <c r="C99" s="7">
        <f t="shared" si="76"/>
        <v>0</v>
      </c>
      <c r="D99" s="7">
        <f t="shared" si="76"/>
        <v>0</v>
      </c>
      <c r="E99" s="7">
        <f t="shared" si="76"/>
        <v>0</v>
      </c>
      <c r="F99" s="7">
        <f t="shared" si="76"/>
        <v>0</v>
      </c>
      <c r="G99" s="7">
        <f t="shared" si="76"/>
        <v>0</v>
      </c>
      <c r="H99" s="7">
        <f t="shared" si="76"/>
        <v>0</v>
      </c>
      <c r="I99" s="7">
        <f t="shared" si="76"/>
        <v>0</v>
      </c>
      <c r="J99" s="7">
        <f t="shared" si="76"/>
        <v>145</v>
      </c>
      <c r="K99" s="7">
        <f t="shared" si="76"/>
        <v>1327</v>
      </c>
      <c r="L99" s="7">
        <f t="shared" si="76"/>
        <v>2555</v>
      </c>
      <c r="M99" s="7">
        <f t="shared" si="76"/>
        <v>3195</v>
      </c>
      <c r="N99" s="7">
        <f t="shared" si="76"/>
        <v>2629</v>
      </c>
      <c r="O99" s="7">
        <f t="shared" si="76"/>
        <v>5344</v>
      </c>
      <c r="P99" s="7">
        <f t="shared" si="76"/>
        <v>4794</v>
      </c>
      <c r="Q99" s="7">
        <f t="shared" si="76"/>
        <v>64</v>
      </c>
      <c r="R99" s="7">
        <f t="shared" si="76"/>
        <v>666</v>
      </c>
      <c r="S99" s="7">
        <f t="shared" si="76"/>
        <v>2000</v>
      </c>
      <c r="T99" s="7">
        <f t="shared" si="76"/>
        <v>0</v>
      </c>
      <c r="U99" s="7">
        <f t="shared" si="76"/>
        <v>7678</v>
      </c>
      <c r="V99" s="7">
        <f t="shared" si="76"/>
        <v>2900</v>
      </c>
      <c r="W99" s="7">
        <f t="shared" si="76"/>
        <v>1426</v>
      </c>
      <c r="X99" s="7">
        <f t="shared" si="76"/>
        <v>9</v>
      </c>
      <c r="Y99" s="7">
        <f t="shared" si="76"/>
        <v>306</v>
      </c>
      <c r="Z99" s="7">
        <f t="shared" si="76"/>
        <v>0</v>
      </c>
      <c r="AA99" s="7">
        <f t="shared" si="76"/>
        <v>4388</v>
      </c>
      <c r="AB99" s="7">
        <f t="shared" si="76"/>
        <v>4400</v>
      </c>
      <c r="AC99" s="30">
        <f t="shared" si="76"/>
        <v>0</v>
      </c>
      <c r="AD99" s="30">
        <f t="shared" si="76"/>
        <v>0</v>
      </c>
      <c r="AE99" s="81">
        <v>0</v>
      </c>
      <c r="AF99" s="81">
        <v>0</v>
      </c>
      <c r="AG99" s="81">
        <v>0</v>
      </c>
      <c r="AH99" s="81">
        <v>0</v>
      </c>
      <c r="AI99" s="81">
        <v>0</v>
      </c>
      <c r="AJ99" s="81">
        <v>0</v>
      </c>
      <c r="AK99" s="81">
        <v>0</v>
      </c>
      <c r="AL99" s="81">
        <v>0</v>
      </c>
      <c r="AM99" s="81">
        <v>0</v>
      </c>
      <c r="AN99" s="81">
        <v>0</v>
      </c>
    </row>
    <row r="100" spans="1:45">
      <c r="A100" s="42" t="s">
        <v>638</v>
      </c>
      <c r="B100" s="79">
        <f>Final!B57</f>
        <v>161</v>
      </c>
      <c r="C100" s="79">
        <f>Final!C57</f>
        <v>2122</v>
      </c>
      <c r="D100" s="79">
        <f>Final!D57</f>
        <v>2016</v>
      </c>
      <c r="E100" s="79">
        <f>Final!E57</f>
        <v>1160</v>
      </c>
      <c r="F100" s="79">
        <f>Final!F57</f>
        <v>2058</v>
      </c>
      <c r="G100" s="79">
        <f>Final!G57</f>
        <v>18011</v>
      </c>
      <c r="H100" s="79">
        <f>Final!H57</f>
        <v>14787</v>
      </c>
      <c r="I100" s="79">
        <f>Final!I57</f>
        <v>918</v>
      </c>
      <c r="J100" s="79">
        <f>Final!J57</f>
        <v>2172</v>
      </c>
      <c r="K100" s="79">
        <f>Final!K57</f>
        <v>80</v>
      </c>
      <c r="L100" s="79">
        <f>Final!L57</f>
        <v>516</v>
      </c>
      <c r="M100" s="79">
        <f>Final!M57</f>
        <v>787</v>
      </c>
      <c r="N100" s="79">
        <f>Final!N57</f>
        <v>2520</v>
      </c>
      <c r="O100" s="79">
        <f>Final!O57</f>
        <v>2041</v>
      </c>
      <c r="P100" s="79">
        <f>Final!P57</f>
        <v>1613</v>
      </c>
      <c r="Q100" s="79">
        <f>Final!Q57</f>
        <v>2779</v>
      </c>
      <c r="R100" s="79">
        <f>Final!R57</f>
        <v>782</v>
      </c>
      <c r="S100" s="79">
        <f>Final!S57</f>
        <v>7994</v>
      </c>
      <c r="T100" s="79">
        <f>Final!T57</f>
        <v>4756</v>
      </c>
      <c r="U100" s="79">
        <f>Final!U57</f>
        <v>3866</v>
      </c>
      <c r="V100" s="79">
        <f>Final!V57</f>
        <v>13026</v>
      </c>
      <c r="W100" s="79">
        <f>Final!W57</f>
        <v>5233</v>
      </c>
      <c r="X100" s="79">
        <f>Final!X57</f>
        <v>4393</v>
      </c>
      <c r="Y100" s="79">
        <f>Final!Y57</f>
        <v>3799</v>
      </c>
      <c r="Z100" s="79">
        <f>Final!Z57</f>
        <v>4667</v>
      </c>
      <c r="AA100" s="79">
        <f>Final!AA57</f>
        <v>9930</v>
      </c>
      <c r="AB100" s="79">
        <f>Final!AB57</f>
        <v>12126</v>
      </c>
      <c r="AC100" s="108">
        <f>Final!AC57</f>
        <v>8326</v>
      </c>
      <c r="AD100" s="108">
        <f>Final!AD57</f>
        <v>11708</v>
      </c>
      <c r="AE100" s="79">
        <f>Final!AE57</f>
        <v>8260</v>
      </c>
      <c r="AF100" s="79">
        <f>Final!AF57</f>
        <v>4286</v>
      </c>
      <c r="AG100" s="79">
        <f>Final!AG57</f>
        <v>5204</v>
      </c>
      <c r="AH100" s="79">
        <f>Final!AH57</f>
        <v>4999</v>
      </c>
      <c r="AI100" s="79">
        <f>Final!AI57</f>
        <v>3646.1279126505469</v>
      </c>
      <c r="AJ100" s="79">
        <f>Final!AJ57</f>
        <v>3565.334318807094</v>
      </c>
      <c r="AK100" s="79">
        <f>Final!AK57</f>
        <v>4147.0988876578813</v>
      </c>
      <c r="AL100" s="79">
        <f>Final!AL57</f>
        <v>4559.613255002645</v>
      </c>
      <c r="AM100" s="79">
        <f>Final!AM57</f>
        <v>5029.0277814779438</v>
      </c>
      <c r="AN100" s="79">
        <f>Final!AN57</f>
        <v>5537.0971150039513</v>
      </c>
    </row>
    <row r="101" spans="1:45">
      <c r="A101" s="80" t="s">
        <v>245</v>
      </c>
      <c r="B101" s="9">
        <f>B93-B100</f>
        <v>1094</v>
      </c>
      <c r="C101" s="9">
        <f t="shared" ref="C101:AF101" si="77">C93-C100</f>
        <v>-1065</v>
      </c>
      <c r="D101" s="9">
        <f t="shared" si="77"/>
        <v>-519</v>
      </c>
      <c r="E101" s="9">
        <f t="shared" si="77"/>
        <v>510</v>
      </c>
      <c r="F101" s="9">
        <f t="shared" si="77"/>
        <v>1261</v>
      </c>
      <c r="G101" s="9">
        <f t="shared" si="77"/>
        <v>-14108</v>
      </c>
      <c r="H101" s="9">
        <f t="shared" si="77"/>
        <v>-12043</v>
      </c>
      <c r="I101" s="9">
        <f t="shared" si="77"/>
        <v>1860</v>
      </c>
      <c r="J101" s="9">
        <f t="shared" si="77"/>
        <v>406</v>
      </c>
      <c r="K101" s="9">
        <f t="shared" si="77"/>
        <v>5487</v>
      </c>
      <c r="L101" s="9">
        <f t="shared" si="77"/>
        <v>8781</v>
      </c>
      <c r="M101" s="9">
        <f t="shared" si="77"/>
        <v>17910</v>
      </c>
      <c r="N101" s="9">
        <f t="shared" si="77"/>
        <v>16254</v>
      </c>
      <c r="O101" s="9">
        <f t="shared" si="77"/>
        <v>27350</v>
      </c>
      <c r="P101" s="9">
        <f t="shared" si="77"/>
        <v>28665</v>
      </c>
      <c r="Q101" s="9">
        <f t="shared" si="77"/>
        <v>25581</v>
      </c>
      <c r="R101" s="9">
        <f t="shared" si="77"/>
        <v>25914</v>
      </c>
      <c r="S101" s="9">
        <f t="shared" si="77"/>
        <v>31437</v>
      </c>
      <c r="T101" s="9">
        <f t="shared" si="77"/>
        <v>39867</v>
      </c>
      <c r="U101" s="9">
        <f t="shared" si="77"/>
        <v>61655</v>
      </c>
      <c r="V101" s="9">
        <f t="shared" si="77"/>
        <v>53172</v>
      </c>
      <c r="W101" s="9">
        <f t="shared" si="77"/>
        <v>50818</v>
      </c>
      <c r="X101" s="9">
        <f t="shared" si="77"/>
        <v>63042</v>
      </c>
      <c r="Y101" s="9">
        <f t="shared" si="77"/>
        <v>51684</v>
      </c>
      <c r="Z101" s="9">
        <f t="shared" si="77"/>
        <v>46979</v>
      </c>
      <c r="AA101" s="9">
        <f t="shared" si="77"/>
        <v>47411</v>
      </c>
      <c r="AB101" s="9">
        <f t="shared" si="77"/>
        <v>43172</v>
      </c>
      <c r="AC101" s="112">
        <f t="shared" si="77"/>
        <v>44023</v>
      </c>
      <c r="AD101" s="112">
        <f t="shared" si="77"/>
        <v>42640</v>
      </c>
      <c r="AE101" s="9">
        <f t="shared" si="77"/>
        <v>49955</v>
      </c>
      <c r="AF101" s="9">
        <f t="shared" si="77"/>
        <v>54931</v>
      </c>
      <c r="AG101" s="9">
        <f t="shared" ref="AG101" si="78">AG93-AG100</f>
        <v>52311</v>
      </c>
      <c r="AH101" s="9">
        <f t="shared" ref="AH101" si="79">AH93-AH100</f>
        <v>60155</v>
      </c>
      <c r="AI101" s="9">
        <f t="shared" ref="AI101:AN101" si="80">AI93-AI100</f>
        <v>62444.325349212166</v>
      </c>
      <c r="AJ101" s="9">
        <f t="shared" si="80"/>
        <v>63733.886665592909</v>
      </c>
      <c r="AK101" s="9">
        <f t="shared" si="80"/>
        <v>64152.122096742125</v>
      </c>
      <c r="AL101" s="9">
        <f t="shared" si="80"/>
        <v>63739.607729397358</v>
      </c>
      <c r="AM101" s="9">
        <f t="shared" si="80"/>
        <v>63270.193202922062</v>
      </c>
      <c r="AN101" s="9">
        <f t="shared" si="80"/>
        <v>62762.123869396048</v>
      </c>
      <c r="AP101" s="7" t="s">
        <v>77</v>
      </c>
      <c r="AS101" s="7">
        <f>AS88+AS93+AS98</f>
        <v>4978.3333333333339</v>
      </c>
    </row>
    <row r="102" spans="1:45">
      <c r="AC102" s="30"/>
    </row>
    <row r="103" spans="1:45">
      <c r="A103" s="43" t="s">
        <v>168</v>
      </c>
      <c r="B103" s="7">
        <v>-67</v>
      </c>
      <c r="C103" s="7">
        <v>-70</v>
      </c>
      <c r="D103" s="7">
        <v>-116</v>
      </c>
      <c r="E103" s="7">
        <v>-160</v>
      </c>
      <c r="F103" s="7">
        <v>-136</v>
      </c>
      <c r="G103" s="7">
        <v>-137</v>
      </c>
      <c r="H103" s="7">
        <v>-186</v>
      </c>
      <c r="I103" s="7">
        <v>-247</v>
      </c>
      <c r="J103" s="7">
        <v>-204</v>
      </c>
      <c r="K103" s="7">
        <v>-187</v>
      </c>
      <c r="L103" s="7">
        <v>-189</v>
      </c>
      <c r="M103" s="7">
        <v>-688</v>
      </c>
      <c r="N103" s="7">
        <v>-1046</v>
      </c>
      <c r="O103" s="7">
        <v>-1613</v>
      </c>
      <c r="P103" s="7">
        <v>-4762</v>
      </c>
      <c r="Q103" s="7">
        <v>-5041</v>
      </c>
      <c r="R103" s="7">
        <v>-4245</v>
      </c>
      <c r="S103" s="7">
        <v>-3477</v>
      </c>
      <c r="T103" s="7">
        <v>-4212</v>
      </c>
      <c r="U103" s="7">
        <v>-6005</v>
      </c>
      <c r="V103" s="7">
        <v>-6423</v>
      </c>
      <c r="W103" s="7">
        <v>-6522</v>
      </c>
      <c r="X103" s="7">
        <v>-4180</v>
      </c>
      <c r="Y103" s="7">
        <v>-4106</v>
      </c>
      <c r="Z103" s="7">
        <v>-2261</v>
      </c>
      <c r="AA103" s="7">
        <v>-2180</v>
      </c>
      <c r="AB103" s="7">
        <v>-2049</v>
      </c>
      <c r="AC103" s="30">
        <v>-1983</v>
      </c>
      <c r="AD103" s="7">
        <v>-1873</v>
      </c>
      <c r="AE103" s="7">
        <v>-1744</v>
      </c>
      <c r="AF103" s="7">
        <v>-2085</v>
      </c>
      <c r="AG103" s="7">
        <v>-2139</v>
      </c>
      <c r="AH103" s="7">
        <v>-2254</v>
      </c>
      <c r="AI103" s="81">
        <f t="shared" ref="AI103:AN103" si="81">AI106-AI104</f>
        <v>-2173.1215974518282</v>
      </c>
      <c r="AJ103" s="81">
        <f t="shared" si="81"/>
        <v>-2030.7760308080383</v>
      </c>
      <c r="AK103" s="81">
        <f t="shared" si="81"/>
        <v>-2067.4970268866568</v>
      </c>
      <c r="AL103" s="81">
        <f t="shared" si="81"/>
        <v>-2130.5191652581852</v>
      </c>
      <c r="AM103" s="81">
        <f t="shared" si="81"/>
        <v>-2129.847858413204</v>
      </c>
      <c r="AN103" s="81">
        <f t="shared" si="81"/>
        <v>-2140.6749428832504</v>
      </c>
    </row>
    <row r="104" spans="1:45">
      <c r="A104" s="43" t="s">
        <v>197</v>
      </c>
      <c r="B104" s="7">
        <v>0</v>
      </c>
      <c r="C104" s="7">
        <v>22</v>
      </c>
      <c r="D104" s="7">
        <v>100</v>
      </c>
      <c r="E104" s="7">
        <v>112</v>
      </c>
      <c r="F104" s="7">
        <v>86</v>
      </c>
      <c r="G104" s="7">
        <v>702</v>
      </c>
      <c r="H104" s="7">
        <v>1159</v>
      </c>
      <c r="I104" s="7">
        <v>859</v>
      </c>
      <c r="J104" s="7">
        <v>110</v>
      </c>
      <c r="K104" s="7">
        <v>29</v>
      </c>
      <c r="L104" s="7">
        <v>33</v>
      </c>
      <c r="M104" s="7">
        <v>47.77930728241563</v>
      </c>
      <c r="N104" s="7">
        <v>63</v>
      </c>
      <c r="O104" s="7">
        <v>124</v>
      </c>
      <c r="P104" s="7">
        <v>138</v>
      </c>
      <c r="Q104" s="7">
        <v>160</v>
      </c>
      <c r="R104" s="7">
        <v>124</v>
      </c>
      <c r="S104" s="7">
        <v>69</v>
      </c>
      <c r="T104" s="7">
        <v>101</v>
      </c>
      <c r="U104" s="7">
        <v>146</v>
      </c>
      <c r="V104" s="7">
        <v>322</v>
      </c>
      <c r="W104" s="7">
        <v>173</v>
      </c>
      <c r="X104" s="7">
        <v>131</v>
      </c>
      <c r="Y104" s="7">
        <v>170</v>
      </c>
      <c r="Z104" s="7">
        <v>137</v>
      </c>
      <c r="AA104" s="7">
        <v>151</v>
      </c>
      <c r="AB104" s="7">
        <v>192</v>
      </c>
      <c r="AC104" s="30">
        <v>162</v>
      </c>
      <c r="AD104" s="7">
        <v>136</v>
      </c>
      <c r="AE104" s="7">
        <v>108</v>
      </c>
      <c r="AF104" s="7">
        <v>243</v>
      </c>
      <c r="AG104" s="7">
        <v>270</v>
      </c>
      <c r="AH104" s="7">
        <v>235</v>
      </c>
      <c r="AI104" s="81">
        <f t="shared" ref="AI104" si="82">AH100*AVERAGE(AF105:AH105)</f>
        <v>259.2627852822452</v>
      </c>
      <c r="AJ104" s="81">
        <f>AI100*AVERAGE(AG105:AI105)</f>
        <v>206.61258009413942</v>
      </c>
      <c r="AK104" s="81">
        <f>AJ100*AVERAGE(AH105:AJ105)</f>
        <v>209.24488767473278</v>
      </c>
      <c r="AL104" s="81">
        <f>AK100*AVERAGE(AI105:AK105)</f>
        <v>248.15198546239262</v>
      </c>
      <c r="AM104" s="81">
        <f>AL100*AVERAGE(AJ105:AL105)</f>
        <v>247.4806786174114</v>
      </c>
      <c r="AN104" s="81">
        <f>AM100*AVERAGE(AK105:AM105)</f>
        <v>258.3077630874576</v>
      </c>
    </row>
    <row r="105" spans="1:45">
      <c r="A105" s="43" t="s">
        <v>752</v>
      </c>
      <c r="AA105" s="90" t="s">
        <v>751</v>
      </c>
      <c r="AB105" s="90">
        <f>AB104/AVERAGE(AA100:AB100)</f>
        <v>1.7410228509249184E-2</v>
      </c>
      <c r="AC105" s="90">
        <f t="shared" ref="AC105:AF105" si="83">AC104/AC100</f>
        <v>1.9457122267595484E-2</v>
      </c>
      <c r="AD105" s="90">
        <f t="shared" si="83"/>
        <v>1.1615989067304407E-2</v>
      </c>
      <c r="AE105" s="90">
        <f t="shared" si="83"/>
        <v>1.3075060532687652E-2</v>
      </c>
      <c r="AF105" s="90">
        <f t="shared" si="83"/>
        <v>5.6696220251983204E-2</v>
      </c>
      <c r="AG105" s="90">
        <f t="shared" ref="AG105" si="84">AG104/AG100</f>
        <v>5.1883166794773249E-2</v>
      </c>
      <c r="AH105" s="90">
        <f t="shared" ref="AH105" si="85">AH104/AH100</f>
        <v>4.7009401880376077E-2</v>
      </c>
      <c r="AI105" s="90">
        <f t="shared" ref="AI105" si="86">AI104/AI100</f>
        <v>7.1106332935471403E-2</v>
      </c>
      <c r="AJ105" s="90">
        <f t="shared" ref="AJ105" si="87">AJ104/AJ100</f>
        <v>5.7950408466398408E-2</v>
      </c>
      <c r="AK105" s="90">
        <f t="shared" ref="AK105" si="88">AK104/AK100</f>
        <v>5.0455726603834634E-2</v>
      </c>
      <c r="AL105" s="90">
        <f t="shared" ref="AL105" si="89">AL104/AL100</f>
        <v>5.4423910885452648E-2</v>
      </c>
      <c r="AM105" s="90">
        <f t="shared" ref="AM105" si="90">AM104/AM100</f>
        <v>4.9210441733666691E-2</v>
      </c>
      <c r="AN105" s="90">
        <f t="shared" ref="AN105" si="91">AN104/AN100</f>
        <v>4.66503941907606E-2</v>
      </c>
    </row>
    <row r="106" spans="1:45">
      <c r="A106" s="42" t="s">
        <v>485</v>
      </c>
      <c r="B106" s="79">
        <f>Final!B21</f>
        <v>-67</v>
      </c>
      <c r="C106" s="79">
        <f>Final!C21</f>
        <v>-48</v>
      </c>
      <c r="D106" s="79">
        <f>Final!D21</f>
        <v>-16</v>
      </c>
      <c r="E106" s="79">
        <f>Final!E21</f>
        <v>-48</v>
      </c>
      <c r="F106" s="79">
        <f>Final!F21</f>
        <v>-50</v>
      </c>
      <c r="G106" s="79">
        <f>Final!G21</f>
        <v>565</v>
      </c>
      <c r="H106" s="79">
        <f>Final!H21</f>
        <v>973</v>
      </c>
      <c r="I106" s="79">
        <f>Final!I21</f>
        <v>612</v>
      </c>
      <c r="J106" s="79">
        <f>Final!J21</f>
        <v>-94</v>
      </c>
      <c r="K106" s="79">
        <f>Final!K21</f>
        <v>-158</v>
      </c>
      <c r="L106" s="79">
        <f>Final!L21</f>
        <v>-156</v>
      </c>
      <c r="M106" s="79">
        <f>Final!M21</f>
        <v>-640.22069271758437</v>
      </c>
      <c r="N106" s="79">
        <f>Final!N21</f>
        <v>-983</v>
      </c>
      <c r="O106" s="79">
        <f>Final!O21</f>
        <v>-1489</v>
      </c>
      <c r="P106" s="79">
        <f>Final!P21</f>
        <v>-4624</v>
      </c>
      <c r="Q106" s="79">
        <f>Final!Q21</f>
        <v>-4881</v>
      </c>
      <c r="R106" s="79">
        <f>Final!R21</f>
        <v>-4121</v>
      </c>
      <c r="S106" s="79">
        <f>Final!S21</f>
        <v>-3408</v>
      </c>
      <c r="T106" s="79">
        <f>Final!T21</f>
        <v>-4111</v>
      </c>
      <c r="U106" s="79">
        <f>Final!U21</f>
        <v>-5859</v>
      </c>
      <c r="V106" s="79">
        <f>Final!V21</f>
        <v>-6101</v>
      </c>
      <c r="W106" s="79">
        <f>Final!W21</f>
        <v>-6349</v>
      </c>
      <c r="X106" s="79">
        <f>Final!X21</f>
        <v>-4049</v>
      </c>
      <c r="Y106" s="79">
        <f>Final!Y21</f>
        <v>-3936</v>
      </c>
      <c r="Z106" s="79">
        <f>Final!Z21</f>
        <v>-2124</v>
      </c>
      <c r="AA106" s="79">
        <f>Final!AA21</f>
        <v>-2029</v>
      </c>
      <c r="AB106" s="79">
        <f>Final!AB21</f>
        <v>-1857</v>
      </c>
      <c r="AC106" s="108">
        <f>Final!AC21</f>
        <v>-1821</v>
      </c>
      <c r="AD106" s="108">
        <f>Final!AD21</f>
        <v>-1737</v>
      </c>
      <c r="AE106" s="108">
        <f>Final!AE21</f>
        <v>-1636</v>
      </c>
      <c r="AF106" s="108">
        <f>Final!AF21</f>
        <v>-1842</v>
      </c>
      <c r="AG106" s="108">
        <f>Final!AG21</f>
        <v>-1869</v>
      </c>
      <c r="AH106" s="108">
        <f>Final!AH21</f>
        <v>-2019</v>
      </c>
      <c r="AI106" s="79">
        <f t="shared" ref="AI106:AN106" si="92">SUM(AI107:AI112)</f>
        <v>-1913.858812169583</v>
      </c>
      <c r="AJ106" s="79">
        <f t="shared" si="92"/>
        <v>-1824.1634507138988</v>
      </c>
      <c r="AK106" s="79">
        <f t="shared" si="92"/>
        <v>-1858.2521392119243</v>
      </c>
      <c r="AL106" s="79">
        <f t="shared" si="92"/>
        <v>-1882.3671797957927</v>
      </c>
      <c r="AM106" s="79">
        <f t="shared" si="92"/>
        <v>-1882.3671797957927</v>
      </c>
      <c r="AN106" s="79">
        <f t="shared" si="92"/>
        <v>-1882.3671797957927</v>
      </c>
      <c r="AO106" s="94"/>
    </row>
    <row r="107" spans="1:45">
      <c r="A107" s="86" t="s">
        <v>317</v>
      </c>
      <c r="B107" s="30">
        <f>ROAFNA!B36</f>
        <v>-67</v>
      </c>
      <c r="C107" s="30">
        <f>ROAFNA!C36</f>
        <v>-48</v>
      </c>
      <c r="D107" s="30">
        <f>ROAFNA!D36</f>
        <v>-16</v>
      </c>
      <c r="E107" s="30">
        <f>ROAFNA!E36</f>
        <v>-48</v>
      </c>
      <c r="F107" s="30">
        <f>ROAFNA!F36</f>
        <v>-50</v>
      </c>
      <c r="G107" s="30">
        <f>ROAFNA!G36</f>
        <v>565</v>
      </c>
      <c r="H107" s="30">
        <f>ROAFNA!H36</f>
        <v>973</v>
      </c>
      <c r="I107" s="30">
        <f>ROAFNA!I36</f>
        <v>612</v>
      </c>
      <c r="J107" s="30">
        <f>ROAFNA!J36</f>
        <v>-94</v>
      </c>
      <c r="K107" s="30">
        <f>ROAFNA!K36</f>
        <v>-158</v>
      </c>
      <c r="L107" s="30">
        <f>ROAFNA!L36</f>
        <v>-156</v>
      </c>
      <c r="M107" s="30">
        <f>ROAFNA!M36</f>
        <v>-640.22069271758437</v>
      </c>
      <c r="N107" s="30">
        <f>ROAFNA!N36</f>
        <v>-983</v>
      </c>
      <c r="O107" s="30">
        <f>ROAFNA!O36</f>
        <v>-1489</v>
      </c>
      <c r="P107" s="30">
        <f>ROAFNA!P36</f>
        <v>-1604</v>
      </c>
      <c r="Q107" s="30">
        <f>ROAFNA!Q36</f>
        <v>-1587</v>
      </c>
      <c r="R107" s="30">
        <f>ROAFNA!R36</f>
        <v>-464</v>
      </c>
      <c r="S107" s="30">
        <f>ROAFNA!S36</f>
        <v>-472</v>
      </c>
      <c r="T107" s="30">
        <f>ROAFNA!T36</f>
        <v>-643</v>
      </c>
      <c r="U107" s="30">
        <f>ROAFNA!U36</f>
        <v>-771</v>
      </c>
      <c r="V107" s="30">
        <f>ROAFNA!V36</f>
        <v>-822</v>
      </c>
      <c r="W107" s="30">
        <f>ROAFNA!W36</f>
        <v>-921</v>
      </c>
      <c r="X107" s="30">
        <f>ROAFNA!X36</f>
        <v>-1023</v>
      </c>
      <c r="Y107" s="30">
        <f>ROAFNA!Y36</f>
        <v>-1108</v>
      </c>
      <c r="Z107" s="30">
        <f>ROAFNA!Z36</f>
        <v>-1020</v>
      </c>
      <c r="AA107" s="30">
        <f>ROAFNA!AA36</f>
        <v>-1049</v>
      </c>
      <c r="AB107" s="30">
        <f>ROAFNA!AB36</f>
        <v>-1011</v>
      </c>
      <c r="AC107" s="30">
        <f>ROAFNA!AC36</f>
        <v>-1013</v>
      </c>
      <c r="AD107" s="30">
        <f>ROAFNA!AD36</f>
        <v>-996</v>
      </c>
      <c r="AE107" s="30">
        <f>ROAFNA!AE36</f>
        <v>-868</v>
      </c>
      <c r="AF107" s="30">
        <f>ROAFNA!AF36</f>
        <v>-837</v>
      </c>
      <c r="AG107" s="30">
        <f>ROAFNA!AG36</f>
        <v>-1269</v>
      </c>
      <c r="AH107" s="30">
        <f>ROAFNA!AH36</f>
        <v>-1460</v>
      </c>
      <c r="AI107" s="30">
        <f>ROAFNA!AI36</f>
        <v>-1463.0690336706498</v>
      </c>
      <c r="AJ107" s="30">
        <f>ROAFNA!AJ36</f>
        <v>-1375.136074254518</v>
      </c>
      <c r="AK107" s="30">
        <f>ROAFNA!AK36</f>
        <v>-1399.2511148383867</v>
      </c>
      <c r="AL107" s="30">
        <f>ROAFNA!AL36</f>
        <v>-1423.3661554222551</v>
      </c>
      <c r="AM107" s="30">
        <f>ROAFNA!AM36</f>
        <v>-1423.3661554222551</v>
      </c>
      <c r="AN107" s="30">
        <f>ROAFNA!AN36</f>
        <v>-1423.3661554222551</v>
      </c>
      <c r="AQ107" s="1"/>
    </row>
    <row r="108" spans="1:45">
      <c r="A108" s="86" t="s">
        <v>237</v>
      </c>
      <c r="B108" s="7">
        <f>Aus!B24</f>
        <v>0</v>
      </c>
      <c r="C108" s="7">
        <f>Aus!C24</f>
        <v>0</v>
      </c>
      <c r="D108" s="7">
        <f>Aus!D24</f>
        <v>0</v>
      </c>
      <c r="E108" s="7">
        <f>Aus!E24</f>
        <v>0</v>
      </c>
      <c r="F108" s="7">
        <f>Aus!F24</f>
        <v>0</v>
      </c>
      <c r="G108" s="7">
        <f>Aus!G24</f>
        <v>0</v>
      </c>
      <c r="H108" s="7">
        <f>Aus!H24</f>
        <v>0</v>
      </c>
      <c r="I108" s="7">
        <f>Aus!I24</f>
        <v>0</v>
      </c>
      <c r="J108" s="7">
        <f>Aus!J24</f>
        <v>0</v>
      </c>
      <c r="K108" s="7">
        <f>Aus!K24</f>
        <v>0</v>
      </c>
      <c r="L108" s="7">
        <f>Aus!L24</f>
        <v>0</v>
      </c>
      <c r="M108" s="7">
        <f>Aus!M24</f>
        <v>0</v>
      </c>
      <c r="N108" s="7">
        <f>Aus!N24</f>
        <v>0</v>
      </c>
      <c r="O108" s="7">
        <f>Aus!O24</f>
        <v>0</v>
      </c>
      <c r="P108" s="7">
        <f>Aus!P24</f>
        <v>0</v>
      </c>
      <c r="Q108" s="7">
        <f>Aus!Q24</f>
        <v>0</v>
      </c>
      <c r="R108" s="7">
        <f>Aus!R24</f>
        <v>-685</v>
      </c>
      <c r="S108" s="7">
        <f>Aus!S24</f>
        <v>-636</v>
      </c>
      <c r="T108" s="7">
        <f>Aus!T24</f>
        <v>-779</v>
      </c>
      <c r="U108" s="7">
        <f>Aus!U24</f>
        <v>-1859</v>
      </c>
      <c r="V108" s="7">
        <f>Aus!V24</f>
        <v>-1636</v>
      </c>
      <c r="W108" s="7">
        <f>Aus!W24</f>
        <v>-1576</v>
      </c>
      <c r="X108" s="7">
        <f>Aus!X24</f>
        <v>-991</v>
      </c>
      <c r="Y108" s="7">
        <f>Aus!Y24</f>
        <v>-682</v>
      </c>
      <c r="Z108" s="7">
        <f>Aus!Z24</f>
        <v>-207</v>
      </c>
      <c r="AA108" s="7">
        <f>Aus!AA24</f>
        <v>-124</v>
      </c>
      <c r="AB108" s="7">
        <f>Aus!AB24</f>
        <v>-24</v>
      </c>
      <c r="AC108" s="30">
        <f>Aus!AC24</f>
        <v>-60</v>
      </c>
      <c r="AD108" s="7">
        <f>Aus!AD24</f>
        <v>-88</v>
      </c>
      <c r="AE108" s="7">
        <f>Aus!AE24</f>
        <v>-126</v>
      </c>
      <c r="AF108" s="7">
        <f>Aus!AF24</f>
        <v>-311</v>
      </c>
      <c r="AG108" s="7">
        <f>Aus!AG24</f>
        <v>-454</v>
      </c>
      <c r="AH108" s="7">
        <f>Aus!AH24</f>
        <v>-442</v>
      </c>
      <c r="AI108" s="7">
        <f>Aus!AI24</f>
        <v>-343.50912699379035</v>
      </c>
      <c r="AJ108" s="7">
        <f>Aus!AJ24</f>
        <v>-343.47435699187679</v>
      </c>
      <c r="AK108" s="7">
        <f>Aus!AK24</f>
        <v>-349.25016315719324</v>
      </c>
      <c r="AL108" s="7">
        <f>Aus!AL24</f>
        <v>-349.25016315719324</v>
      </c>
      <c r="AM108" s="7">
        <f>Aus!AM24</f>
        <v>-349.25016315719324</v>
      </c>
      <c r="AN108" s="7">
        <f>Aus!AN24</f>
        <v>-349.25016315719324</v>
      </c>
    </row>
    <row r="109" spans="1:45">
      <c r="A109" s="86" t="s">
        <v>213</v>
      </c>
      <c r="B109" s="7">
        <f>CN!B14</f>
        <v>0</v>
      </c>
      <c r="C109" s="7">
        <f>CN!C14</f>
        <v>0</v>
      </c>
      <c r="D109" s="7">
        <f>CN!D14</f>
        <v>0</v>
      </c>
      <c r="E109" s="7">
        <f>CN!E14</f>
        <v>0</v>
      </c>
      <c r="F109" s="7">
        <f>CN!F14</f>
        <v>0</v>
      </c>
      <c r="G109" s="7">
        <f>CN!G14</f>
        <v>0</v>
      </c>
      <c r="H109" s="7">
        <f>CN!H14</f>
        <v>0</v>
      </c>
      <c r="I109" s="7">
        <f>CN!I14</f>
        <v>0</v>
      </c>
      <c r="J109" s="7">
        <f>CN!J14</f>
        <v>0</v>
      </c>
      <c r="K109" s="7">
        <f>CN!K14</f>
        <v>0</v>
      </c>
      <c r="L109" s="7">
        <f>CN!L14</f>
        <v>0</v>
      </c>
      <c r="M109" s="7">
        <f>CN!M14</f>
        <v>0</v>
      </c>
      <c r="N109" s="7">
        <f>CN!N14</f>
        <v>0</v>
      </c>
      <c r="O109" s="7">
        <f>CN!O14</f>
        <v>0</v>
      </c>
      <c r="P109" s="7">
        <f>CN!P14</f>
        <v>0</v>
      </c>
      <c r="Q109" s="7">
        <f>CN!Q14</f>
        <v>0</v>
      </c>
      <c r="R109" s="7">
        <f>CN!R14</f>
        <v>0</v>
      </c>
      <c r="S109" s="7">
        <f>CN!S14</f>
        <v>-30</v>
      </c>
      <c r="T109" s="7">
        <f>CN!T14</f>
        <v>-48</v>
      </c>
      <c r="U109" s="7">
        <f>CN!U14</f>
        <v>-131</v>
      </c>
      <c r="V109" s="7">
        <f>CN!V14</f>
        <v>-208</v>
      </c>
      <c r="W109" s="7">
        <f>CN!W14</f>
        <v>-201</v>
      </c>
      <c r="X109" s="7">
        <f>CN!X14</f>
        <v>-202</v>
      </c>
      <c r="Y109" s="7">
        <f>CN!Y14</f>
        <v>-147</v>
      </c>
      <c r="Z109" s="7">
        <f>CN!Z14</f>
        <v>-156</v>
      </c>
      <c r="AA109" s="7">
        <f>CN!AA14</f>
        <v>-202</v>
      </c>
      <c r="AB109" s="7">
        <f>CN!AB14</f>
        <v>-235</v>
      </c>
      <c r="AC109" s="30">
        <f>CN!AC14</f>
        <v>-248</v>
      </c>
      <c r="AD109" s="7">
        <f>CN!AD14</f>
        <v>-237</v>
      </c>
      <c r="AE109" s="7">
        <f>CN!AE14</f>
        <v>-239</v>
      </c>
      <c r="AF109" s="7">
        <f>CN!AF14</f>
        <v>-236</v>
      </c>
      <c r="AG109" s="7">
        <f>CN!AG14</f>
        <v>-195</v>
      </c>
      <c r="AH109" s="7">
        <f>CN!AH14</f>
        <v>-166</v>
      </c>
      <c r="AI109" s="7">
        <f>CN!AI14</f>
        <v>-152.28065150514297</v>
      </c>
      <c r="AJ109" s="7">
        <f>CN!AJ14</f>
        <v>-150.55301946750399</v>
      </c>
      <c r="AK109" s="7">
        <f>CN!AK14</f>
        <v>-154.75086121634428</v>
      </c>
      <c r="AL109" s="7">
        <f>CN!AL14</f>
        <v>-154.75086121634428</v>
      </c>
      <c r="AM109" s="7">
        <f>CN!AM14</f>
        <v>-154.75086121634428</v>
      </c>
      <c r="AN109" s="7">
        <f>CN!AN14</f>
        <v>-154.75086121634428</v>
      </c>
    </row>
    <row r="110" spans="1:45">
      <c r="A110" s="86" t="s">
        <v>355</v>
      </c>
      <c r="B110" s="7">
        <f>India!B15</f>
        <v>0</v>
      </c>
      <c r="C110" s="7">
        <f>India!C15</f>
        <v>0</v>
      </c>
      <c r="D110" s="7">
        <f>India!D15</f>
        <v>0</v>
      </c>
      <c r="E110" s="7">
        <f>India!E15</f>
        <v>0</v>
      </c>
      <c r="F110" s="7">
        <f>India!F15</f>
        <v>0</v>
      </c>
      <c r="G110" s="7">
        <f>India!G15</f>
        <v>0</v>
      </c>
      <c r="H110" s="7">
        <f>India!H15</f>
        <v>0</v>
      </c>
      <c r="I110" s="7">
        <f>India!I15</f>
        <v>0</v>
      </c>
      <c r="J110" s="7">
        <f>India!J15</f>
        <v>0</v>
      </c>
      <c r="K110" s="7">
        <f>India!K15</f>
        <v>0</v>
      </c>
      <c r="L110" s="7">
        <f>India!L15</f>
        <v>0</v>
      </c>
      <c r="M110" s="7">
        <f>India!M15</f>
        <v>0</v>
      </c>
      <c r="N110" s="7">
        <f>India!N15</f>
        <v>0</v>
      </c>
      <c r="O110" s="7">
        <f>India!O15</f>
        <v>0</v>
      </c>
      <c r="P110" s="7">
        <f>India!P15</f>
        <v>0</v>
      </c>
      <c r="Q110" s="7">
        <f>India!Q15</f>
        <v>103</v>
      </c>
      <c r="R110" s="7">
        <f>India!R15</f>
        <v>7</v>
      </c>
      <c r="S110" s="7">
        <f>India!S15</f>
        <v>-59</v>
      </c>
      <c r="T110" s="7">
        <f>India!T15</f>
        <v>-152</v>
      </c>
      <c r="U110" s="7">
        <f>India!U15</f>
        <v>-319</v>
      </c>
      <c r="V110" s="7">
        <f>India!V15</f>
        <v>-632</v>
      </c>
      <c r="W110" s="7">
        <f>India!W15</f>
        <v>-877</v>
      </c>
      <c r="X110" s="7">
        <f>India!X15</f>
        <v>-878</v>
      </c>
      <c r="Y110" s="7">
        <f>India!Y15</f>
        <v>-792</v>
      </c>
      <c r="Z110" s="7">
        <f>India!Z15</f>
        <v>-777</v>
      </c>
      <c r="AA110" s="7">
        <f>India!AA15</f>
        <v>-656</v>
      </c>
      <c r="AB110" s="7">
        <f>India!AB15</f>
        <v>-534</v>
      </c>
      <c r="AC110" s="30">
        <f>India!AC15</f>
        <v>-458</v>
      </c>
      <c r="AD110" s="7">
        <f>India!AD15</f>
        <v>-440</v>
      </c>
      <c r="AE110" s="7">
        <f>India!AE15</f>
        <v>-394</v>
      </c>
      <c r="AF110" s="7">
        <f>India!AF15</f>
        <v>-452</v>
      </c>
      <c r="AG110" s="7">
        <f>India!AG15</f>
        <v>6</v>
      </c>
      <c r="AH110" s="7">
        <f>India!AH15</f>
        <v>4</v>
      </c>
      <c r="AI110" s="7">
        <f>India!AI15</f>
        <v>0</v>
      </c>
      <c r="AJ110" s="7">
        <f>India!AJ15</f>
        <v>0</v>
      </c>
      <c r="AK110" s="7">
        <f>India!AK15</f>
        <v>0</v>
      </c>
      <c r="AL110" s="7">
        <f>India!AL15</f>
        <v>0</v>
      </c>
      <c r="AM110" s="7">
        <f>India!AM15</f>
        <v>0</v>
      </c>
      <c r="AN110" s="7">
        <f>India!AN15</f>
        <v>0</v>
      </c>
    </row>
    <row r="111" spans="1:45">
      <c r="A111" s="86" t="s">
        <v>508</v>
      </c>
      <c r="B111" s="7">
        <f>SEA!B15</f>
        <v>0</v>
      </c>
      <c r="C111" s="7">
        <f>SEA!C15</f>
        <v>0</v>
      </c>
      <c r="D111" s="7">
        <f>SEA!D15</f>
        <v>0</v>
      </c>
      <c r="E111" s="7">
        <f>SEA!E15</f>
        <v>0</v>
      </c>
      <c r="F111" s="7">
        <f>SEA!F15</f>
        <v>0</v>
      </c>
      <c r="G111" s="7">
        <f>SEA!G15</f>
        <v>0</v>
      </c>
      <c r="H111" s="7">
        <f>SEA!H15</f>
        <v>0</v>
      </c>
      <c r="I111" s="7">
        <f>SEA!I15</f>
        <v>0</v>
      </c>
      <c r="J111" s="7">
        <f>SEA!J15</f>
        <v>0</v>
      </c>
      <c r="K111" s="7">
        <f>SEA!K15</f>
        <v>0</v>
      </c>
      <c r="L111" s="7">
        <f>SEA!L15</f>
        <v>0</v>
      </c>
      <c r="M111" s="7">
        <f>SEA!M15</f>
        <v>0</v>
      </c>
      <c r="N111" s="7">
        <f>SEA!N15</f>
        <v>0</v>
      </c>
      <c r="O111" s="7">
        <f>SEA!O15</f>
        <v>0</v>
      </c>
      <c r="P111" s="7">
        <f>SEA!P15</f>
        <v>0</v>
      </c>
      <c r="Q111" s="7">
        <f>SEA!Q15</f>
        <v>25</v>
      </c>
      <c r="R111" s="7">
        <f>SEA!R15</f>
        <v>5</v>
      </c>
      <c r="S111" s="7">
        <f>SEA!S15</f>
        <v>0</v>
      </c>
      <c r="T111" s="7">
        <f>SEA!T15</f>
        <v>0</v>
      </c>
      <c r="U111" s="7">
        <f>SEA!U15</f>
        <v>4</v>
      </c>
      <c r="V111" s="7">
        <f>SEA!V15</f>
        <v>5</v>
      </c>
      <c r="W111" s="7">
        <f>SEA!W15</f>
        <v>5</v>
      </c>
      <c r="X111" s="7">
        <f>SEA!X15</f>
        <v>3</v>
      </c>
      <c r="Y111" s="7">
        <f>SEA!Y15</f>
        <v>2</v>
      </c>
      <c r="Z111" s="7">
        <f>SEA!Z15</f>
        <v>3</v>
      </c>
      <c r="AA111" s="7">
        <f>SEA!AA15</f>
        <v>4</v>
      </c>
      <c r="AB111" s="7">
        <f>SEA!AB15</f>
        <v>1</v>
      </c>
      <c r="AC111" s="30">
        <f>SEA!AC15</f>
        <v>0</v>
      </c>
      <c r="AD111" s="7">
        <f>SEA!AD15</f>
        <v>0</v>
      </c>
      <c r="AE111" s="7">
        <f>SEA!AE15</f>
        <v>0</v>
      </c>
      <c r="AF111" s="7">
        <f>SEA!AF15</f>
        <v>0</v>
      </c>
      <c r="AG111" s="7">
        <f>SEA!AG15</f>
        <v>0</v>
      </c>
      <c r="AH111" s="7">
        <f>SEA!AH15</f>
        <v>0</v>
      </c>
      <c r="AI111" s="7">
        <f>SEA!AI15</f>
        <v>0</v>
      </c>
      <c r="AJ111" s="7">
        <f>SEA!AJ15</f>
        <v>0</v>
      </c>
      <c r="AK111" s="7">
        <f>SEA!AK15</f>
        <v>0</v>
      </c>
      <c r="AL111" s="7">
        <f>SEA!AL15</f>
        <v>0</v>
      </c>
      <c r="AM111" s="7">
        <f>SEA!AM15</f>
        <v>0</v>
      </c>
      <c r="AN111" s="7">
        <f>SEA!AN15</f>
        <v>0</v>
      </c>
    </row>
    <row r="112" spans="1:45">
      <c r="A112" s="86" t="s">
        <v>346</v>
      </c>
      <c r="B112" s="7">
        <f t="shared" ref="B112:Y112" si="93">B106-SUM(B107:B111)</f>
        <v>0</v>
      </c>
      <c r="C112" s="7">
        <f t="shared" si="93"/>
        <v>0</v>
      </c>
      <c r="D112" s="7">
        <f t="shared" si="93"/>
        <v>0</v>
      </c>
      <c r="E112" s="7">
        <f t="shared" si="93"/>
        <v>0</v>
      </c>
      <c r="F112" s="7">
        <f t="shared" si="93"/>
        <v>0</v>
      </c>
      <c r="G112" s="7">
        <f t="shared" si="93"/>
        <v>0</v>
      </c>
      <c r="H112" s="7">
        <f t="shared" si="93"/>
        <v>0</v>
      </c>
      <c r="I112" s="7">
        <f t="shared" si="93"/>
        <v>0</v>
      </c>
      <c r="J112" s="7">
        <f t="shared" si="93"/>
        <v>0</v>
      </c>
      <c r="K112" s="7">
        <f t="shared" si="93"/>
        <v>0</v>
      </c>
      <c r="L112" s="7">
        <f t="shared" si="93"/>
        <v>0</v>
      </c>
      <c r="M112" s="7">
        <f t="shared" si="93"/>
        <v>0</v>
      </c>
      <c r="N112" s="7">
        <f t="shared" si="93"/>
        <v>0</v>
      </c>
      <c r="O112" s="7">
        <f t="shared" si="93"/>
        <v>0</v>
      </c>
      <c r="P112" s="7">
        <f t="shared" si="93"/>
        <v>-3020</v>
      </c>
      <c r="Q112" s="7">
        <f t="shared" si="93"/>
        <v>-3422</v>
      </c>
      <c r="R112" s="7">
        <f t="shared" si="93"/>
        <v>-2984</v>
      </c>
      <c r="S112" s="7">
        <f t="shared" si="93"/>
        <v>-2211</v>
      </c>
      <c r="T112" s="7">
        <f t="shared" si="93"/>
        <v>-2489</v>
      </c>
      <c r="U112" s="7">
        <f t="shared" si="93"/>
        <v>-2783</v>
      </c>
      <c r="V112" s="7">
        <f t="shared" si="93"/>
        <v>-2808</v>
      </c>
      <c r="W112" s="7">
        <f t="shared" si="93"/>
        <v>-2779</v>
      </c>
      <c r="X112" s="7">
        <f t="shared" si="93"/>
        <v>-958</v>
      </c>
      <c r="Y112" s="7">
        <f t="shared" si="93"/>
        <v>-1209</v>
      </c>
      <c r="Z112" s="7">
        <f t="shared" ref="Z112:AF112" si="94">Z106-SUM(Z107:Z111)</f>
        <v>33</v>
      </c>
      <c r="AA112" s="7">
        <f t="shared" si="94"/>
        <v>-2</v>
      </c>
      <c r="AB112" s="7">
        <f t="shared" si="94"/>
        <v>-54</v>
      </c>
      <c r="AC112" s="30">
        <f t="shared" si="94"/>
        <v>-42</v>
      </c>
      <c r="AD112" s="30">
        <f t="shared" si="94"/>
        <v>24</v>
      </c>
      <c r="AE112" s="30">
        <f t="shared" si="94"/>
        <v>-9</v>
      </c>
      <c r="AF112" s="30">
        <f t="shared" si="94"/>
        <v>-6</v>
      </c>
      <c r="AG112" s="30">
        <f t="shared" ref="AG112:AH112" si="95">AG106-SUM(AG107:AG111)</f>
        <v>43</v>
      </c>
      <c r="AH112" s="30">
        <f t="shared" si="95"/>
        <v>45</v>
      </c>
      <c r="AI112" s="81">
        <f>AH112</f>
        <v>45</v>
      </c>
      <c r="AJ112" s="81">
        <f>AI112</f>
        <v>45</v>
      </c>
      <c r="AK112" s="81">
        <f>AJ112</f>
        <v>45</v>
      </c>
      <c r="AL112" s="81">
        <f>AK112</f>
        <v>45</v>
      </c>
      <c r="AM112" s="81">
        <f>AL112</f>
        <v>45</v>
      </c>
      <c r="AN112" s="81">
        <f t="shared" ref="AN112" si="96">AM112</f>
        <v>45</v>
      </c>
    </row>
    <row r="114" spans="1:40">
      <c r="A114" s="6" t="s">
        <v>286</v>
      </c>
      <c r="B114" s="8"/>
      <c r="C114" s="8"/>
      <c r="D114" s="8"/>
      <c r="E114" s="8"/>
      <c r="F114" s="8"/>
      <c r="G114" s="8"/>
      <c r="H114" s="8"/>
      <c r="I114" s="8"/>
      <c r="J114" s="8"/>
      <c r="K114" s="8"/>
      <c r="L114" s="8"/>
      <c r="M114" s="8"/>
      <c r="N114" s="8"/>
      <c r="O114" s="8"/>
      <c r="P114" s="8"/>
      <c r="Q114" s="8"/>
      <c r="R114" s="8"/>
      <c r="S114" s="8"/>
      <c r="T114" s="8"/>
      <c r="U114" s="8"/>
      <c r="V114" s="8"/>
      <c r="W114" s="8"/>
      <c r="X114" s="8"/>
      <c r="Y114" s="8"/>
      <c r="Z114" s="8"/>
      <c r="AA114" s="8"/>
      <c r="AB114" s="8"/>
      <c r="AC114" s="8"/>
      <c r="AD114" s="8"/>
      <c r="AE114" s="8"/>
      <c r="AF114" s="8"/>
      <c r="AG114" s="8"/>
      <c r="AH114" s="8"/>
      <c r="AI114" s="8"/>
      <c r="AJ114" s="8"/>
      <c r="AK114" s="8"/>
      <c r="AL114" s="8"/>
      <c r="AM114" s="8"/>
      <c r="AN114" s="8"/>
    </row>
    <row r="115" spans="1:40" s="30" customFormat="1">
      <c r="A115" s="62" t="s">
        <v>610</v>
      </c>
    </row>
    <row r="116" spans="1:40">
      <c r="A116" s="43" t="s">
        <v>189</v>
      </c>
      <c r="B116" s="7">
        <f>3656+778</f>
        <v>4434</v>
      </c>
      <c r="C116" s="7">
        <f t="shared" ref="C116:H116" si="97">B121</f>
        <v>4498</v>
      </c>
      <c r="D116" s="7">
        <f t="shared" si="97"/>
        <v>5112</v>
      </c>
      <c r="E116" s="7">
        <f t="shared" si="97"/>
        <v>5056</v>
      </c>
      <c r="F116" s="7">
        <f t="shared" si="97"/>
        <v>4973</v>
      </c>
      <c r="G116" s="7">
        <f t="shared" si="97"/>
        <v>5206</v>
      </c>
      <c r="H116" s="7">
        <f t="shared" si="97"/>
        <v>5826</v>
      </c>
      <c r="I116" s="7">
        <f>H121</f>
        <v>7932</v>
      </c>
      <c r="J116" s="7">
        <f t="shared" ref="J116:AA116" si="98">I121</f>
        <v>10854</v>
      </c>
      <c r="K116" s="7">
        <f t="shared" si="98"/>
        <v>12155</v>
      </c>
      <c r="L116" s="7">
        <f t="shared" si="98"/>
        <v>15786</v>
      </c>
      <c r="M116" s="7">
        <f t="shared" si="98"/>
        <v>18982</v>
      </c>
      <c r="N116" s="7">
        <f t="shared" si="98"/>
        <v>14687</v>
      </c>
      <c r="O116" s="7">
        <f t="shared" si="98"/>
        <v>14998</v>
      </c>
      <c r="P116" s="7">
        <f t="shared" si="98"/>
        <v>16519</v>
      </c>
      <c r="Q116" s="7">
        <f t="shared" si="98"/>
        <v>19163</v>
      </c>
      <c r="R116" s="7">
        <f t="shared" si="98"/>
        <v>17684</v>
      </c>
      <c r="S116" s="7">
        <f t="shared" si="98"/>
        <v>17791</v>
      </c>
      <c r="T116" s="7">
        <f t="shared" si="98"/>
        <v>18838</v>
      </c>
      <c r="U116" s="7">
        <f t="shared" si="98"/>
        <v>20476</v>
      </c>
      <c r="V116" s="7">
        <f t="shared" si="98"/>
        <v>18226</v>
      </c>
      <c r="W116" s="7">
        <f t="shared" si="98"/>
        <v>19197</v>
      </c>
      <c r="X116" s="7">
        <f t="shared" si="98"/>
        <v>19940</v>
      </c>
      <c r="Y116" s="7">
        <f t="shared" si="98"/>
        <v>11176</v>
      </c>
      <c r="Z116" s="7">
        <f t="shared" si="98"/>
        <v>11250</v>
      </c>
      <c r="AA116" s="7">
        <f t="shared" si="98"/>
        <v>9971</v>
      </c>
      <c r="AB116" s="7">
        <f t="shared" ref="AB116:AH116" si="99">AA121</f>
        <v>10383</v>
      </c>
      <c r="AC116" s="7">
        <f t="shared" si="99"/>
        <v>9674</v>
      </c>
      <c r="AD116" s="7">
        <f t="shared" si="99"/>
        <v>9999</v>
      </c>
      <c r="AE116" s="7">
        <f t="shared" si="99"/>
        <v>11017</v>
      </c>
      <c r="AF116" s="7">
        <f t="shared" si="99"/>
        <v>10602</v>
      </c>
      <c r="AG116" s="7">
        <f t="shared" si="99"/>
        <v>11748</v>
      </c>
      <c r="AH116" s="7">
        <f t="shared" si="99"/>
        <v>12518</v>
      </c>
      <c r="AI116" s="30">
        <f t="shared" ref="AI116:AN116" si="100">AH121</f>
        <v>12188</v>
      </c>
      <c r="AJ116" s="30">
        <f>AI121</f>
        <v>13471.808397038083</v>
      </c>
      <c r="AK116" s="30">
        <f>AJ121</f>
        <v>14661.971441596077</v>
      </c>
      <c r="AL116" s="30">
        <f>AK121</f>
        <v>15852.115980320865</v>
      </c>
      <c r="AM116" s="30">
        <f>AL121</f>
        <v>17042.260519045652</v>
      </c>
      <c r="AN116" s="30">
        <f t="shared" si="100"/>
        <v>18232.40505777044</v>
      </c>
    </row>
    <row r="117" spans="1:40">
      <c r="A117" s="43" t="s">
        <v>415</v>
      </c>
      <c r="B117" s="7">
        <f>-Final!B125-B125</f>
        <v>-19</v>
      </c>
      <c r="C117" s="7">
        <f>-Final!C125-C125</f>
        <v>568</v>
      </c>
      <c r="D117" s="7">
        <f>-Final!D125-D125</f>
        <v>9</v>
      </c>
      <c r="E117" s="7">
        <f>-Final!E125-E125</f>
        <v>-265</v>
      </c>
      <c r="F117" s="7">
        <f>-Final!F125-F125</f>
        <v>-29</v>
      </c>
      <c r="G117" s="7">
        <f>-Final!G125-G125</f>
        <v>364</v>
      </c>
      <c r="H117" s="7">
        <f>-Final!H125-H125</f>
        <v>148</v>
      </c>
      <c r="I117" s="7">
        <f>-Final!I125-I125</f>
        <v>1827</v>
      </c>
      <c r="J117" s="7">
        <f>-Final!J125-J125</f>
        <v>961</v>
      </c>
      <c r="K117" s="7">
        <f>-Final!K125-K125</f>
        <v>3478</v>
      </c>
      <c r="L117" s="7">
        <f>-Final!L125-L125</f>
        <v>3332</v>
      </c>
      <c r="M117" s="7">
        <f>-Final!M125-M125</f>
        <v>983</v>
      </c>
      <c r="N117" s="7">
        <f>-Final!N125-N125</f>
        <v>565</v>
      </c>
      <c r="O117" s="7">
        <f>-Final!O125-O125</f>
        <v>723</v>
      </c>
      <c r="P117" s="7">
        <f>-Final!P125-P125</f>
        <v>846</v>
      </c>
      <c r="Q117" s="7">
        <f>-Final!Q125-Q125</f>
        <v>25</v>
      </c>
      <c r="R117" s="7">
        <f>-Final!R125-R125</f>
        <v>1347</v>
      </c>
      <c r="S117" s="7">
        <f>-Final!S125-S125</f>
        <v>1992</v>
      </c>
      <c r="T117" s="7">
        <f>-Final!T125-T125</f>
        <v>2062</v>
      </c>
      <c r="U117" s="7">
        <f>-Final!U125-U125</f>
        <v>62</v>
      </c>
      <c r="V117" s="7">
        <f>-Final!V125-V125</f>
        <v>272</v>
      </c>
      <c r="W117" s="7">
        <f>-Final!W125-W125</f>
        <v>185</v>
      </c>
      <c r="X117" s="7">
        <f>-Final!X125-X125</f>
        <v>1835</v>
      </c>
      <c r="Y117" s="7">
        <f>-Final!Y125-Y125</f>
        <v>930</v>
      </c>
      <c r="Z117" s="7">
        <f>-Final!Z125-Z125</f>
        <v>-2</v>
      </c>
      <c r="AA117" s="7">
        <f>-Final!AA125-AA125</f>
        <v>-1160</v>
      </c>
      <c r="AB117" s="7">
        <f>-Final!AB125-AB125</f>
        <v>195</v>
      </c>
      <c r="AC117" s="7">
        <f>-Final!AC125-AC125</f>
        <v>508</v>
      </c>
      <c r="AD117" s="7">
        <f>-Final!AD125-AD125</f>
        <v>446</v>
      </c>
      <c r="AE117" s="7">
        <f>-Final!AE125-AE125</f>
        <v>555</v>
      </c>
      <c r="AF117" s="7">
        <f>-Final!AF125-AF125</f>
        <v>788</v>
      </c>
      <c r="AG117" s="7">
        <f>-Final!AG125-AG125</f>
        <v>-1363</v>
      </c>
      <c r="AH117" s="7">
        <f>-Final!AH125-AH125</f>
        <v>11</v>
      </c>
      <c r="AI117" s="3">
        <f t="shared" ref="AI117:AN117" si="101">+AH117</f>
        <v>11</v>
      </c>
      <c r="AJ117" s="3">
        <f>+AI117</f>
        <v>11</v>
      </c>
      <c r="AK117" s="3">
        <f>+AJ117</f>
        <v>11</v>
      </c>
      <c r="AL117" s="3">
        <f>+AK117</f>
        <v>11</v>
      </c>
      <c r="AM117" s="3">
        <f>+AL117</f>
        <v>11</v>
      </c>
      <c r="AN117" s="3">
        <f t="shared" si="101"/>
        <v>11</v>
      </c>
    </row>
    <row r="118" spans="1:40">
      <c r="A118" s="43" t="s">
        <v>190</v>
      </c>
      <c r="B118" s="7">
        <f t="shared" ref="B118:AF118" si="102">B38</f>
        <v>1100</v>
      </c>
      <c r="C118" s="7">
        <f t="shared" si="102"/>
        <v>1195</v>
      </c>
      <c r="D118" s="7">
        <f t="shared" si="102"/>
        <v>1433</v>
      </c>
      <c r="E118" s="7">
        <f t="shared" si="102"/>
        <v>1653</v>
      </c>
      <c r="F118" s="7">
        <f t="shared" si="102"/>
        <v>1847</v>
      </c>
      <c r="G118" s="7">
        <f t="shared" si="102"/>
        <v>1972.6000000000001</v>
      </c>
      <c r="H118" s="7">
        <f t="shared" si="102"/>
        <v>2097.8000000000002</v>
      </c>
      <c r="I118" s="7">
        <f t="shared" si="102"/>
        <v>2732.2918918918917</v>
      </c>
      <c r="J118" s="7">
        <f t="shared" si="102"/>
        <v>2215.6000000000004</v>
      </c>
      <c r="K118" s="7">
        <f t="shared" si="102"/>
        <v>2339</v>
      </c>
      <c r="L118" s="7">
        <f t="shared" si="102"/>
        <v>2992</v>
      </c>
      <c r="M118" s="7">
        <f t="shared" si="102"/>
        <v>3399</v>
      </c>
      <c r="N118" s="7">
        <f t="shared" si="102"/>
        <v>3181</v>
      </c>
      <c r="O118" s="7">
        <f t="shared" si="102"/>
        <v>2832</v>
      </c>
      <c r="P118" s="7">
        <f t="shared" si="102"/>
        <v>2892</v>
      </c>
      <c r="Q118" s="7">
        <f t="shared" si="102"/>
        <v>3024</v>
      </c>
      <c r="R118" s="7">
        <f t="shared" si="102"/>
        <v>2624</v>
      </c>
      <c r="S118" s="7">
        <f t="shared" si="102"/>
        <v>2675</v>
      </c>
      <c r="T118" s="7">
        <f t="shared" si="102"/>
        <v>2080</v>
      </c>
      <c r="U118" s="7">
        <f t="shared" si="102"/>
        <v>2929</v>
      </c>
      <c r="V118" s="7">
        <f t="shared" si="102"/>
        <v>2405</v>
      </c>
      <c r="W118" s="7">
        <f t="shared" si="102"/>
        <v>2671</v>
      </c>
      <c r="X118" s="7">
        <f t="shared" si="102"/>
        <v>1562</v>
      </c>
      <c r="Y118" s="7">
        <f t="shared" si="102"/>
        <v>1357</v>
      </c>
      <c r="Z118" s="7">
        <f t="shared" si="102"/>
        <v>737</v>
      </c>
      <c r="AA118" s="7">
        <f t="shared" si="102"/>
        <v>508</v>
      </c>
      <c r="AB118" s="7">
        <f t="shared" si="102"/>
        <v>518</v>
      </c>
      <c r="AC118" s="7">
        <f t="shared" si="102"/>
        <v>885</v>
      </c>
      <c r="AD118" s="7">
        <f t="shared" si="102"/>
        <v>797</v>
      </c>
      <c r="AE118" s="7">
        <f t="shared" si="102"/>
        <v>-97</v>
      </c>
      <c r="AF118" s="7">
        <f t="shared" si="102"/>
        <v>325</v>
      </c>
      <c r="AG118" s="7">
        <f t="shared" ref="AG118" si="103">AG38</f>
        <v>1147</v>
      </c>
      <c r="AH118" s="7">
        <f t="shared" ref="AH118" si="104">AH38</f>
        <v>845</v>
      </c>
      <c r="AI118" s="30">
        <f t="shared" ref="AI118:AN118" si="105">AI38</f>
        <v>705.54597332404614</v>
      </c>
      <c r="AJ118" s="30">
        <f>AJ38</f>
        <v>705.51840684263561</v>
      </c>
      <c r="AK118" s="30">
        <f t="shared" si="105"/>
        <v>705.51840684263561</v>
      </c>
      <c r="AL118" s="30">
        <f t="shared" si="105"/>
        <v>705.51840684263561</v>
      </c>
      <c r="AM118" s="30">
        <f t="shared" si="105"/>
        <v>705.51840684263561</v>
      </c>
      <c r="AN118" s="30">
        <f t="shared" si="105"/>
        <v>705.51840684263561</v>
      </c>
    </row>
    <row r="119" spans="1:40">
      <c r="A119" s="43" t="s">
        <v>110</v>
      </c>
      <c r="B119" s="7">
        <v>-826</v>
      </c>
      <c r="C119" s="7">
        <v>-897</v>
      </c>
      <c r="D119" s="7">
        <v>-1286</v>
      </c>
      <c r="E119" s="7">
        <v>-1272</v>
      </c>
      <c r="F119" s="7">
        <v>-1357</v>
      </c>
      <c r="G119" s="7">
        <v>-1331</v>
      </c>
      <c r="H119" s="7">
        <v>-1546</v>
      </c>
      <c r="I119" s="7">
        <v>-1901</v>
      </c>
      <c r="J119" s="7">
        <f>-1641-1470</f>
        <v>-3111</v>
      </c>
      <c r="K119" s="7">
        <f>-1868-1514</f>
        <v>-3382</v>
      </c>
      <c r="L119" s="7">
        <f>-2318-1581</f>
        <v>-3899</v>
      </c>
      <c r="M119" s="7">
        <f>-2970-612</f>
        <v>-3582</v>
      </c>
      <c r="N119" s="7">
        <f>-2612-454</f>
        <v>-3066</v>
      </c>
      <c r="O119" s="7">
        <v>-3056</v>
      </c>
      <c r="P119" s="7">
        <v>-2775</v>
      </c>
      <c r="Q119" s="7">
        <v>-3759</v>
      </c>
      <c r="R119" s="7">
        <v>-2676</v>
      </c>
      <c r="S119" s="7">
        <v>-2557</v>
      </c>
      <c r="T119" s="7">
        <v>-2594</v>
      </c>
      <c r="U119" s="7">
        <v>-1998</v>
      </c>
      <c r="V119" s="7">
        <v>-1686</v>
      </c>
      <c r="W119" s="7">
        <v>-1911</v>
      </c>
      <c r="X119" s="7">
        <v>-1105</v>
      </c>
      <c r="Y119" s="7">
        <v>-2440</v>
      </c>
      <c r="Z119" s="7">
        <v>-1035</v>
      </c>
      <c r="AA119" s="7">
        <v>-818</v>
      </c>
      <c r="AB119" s="30">
        <v>-524</v>
      </c>
      <c r="AC119" s="7">
        <v>-453</v>
      </c>
      <c r="AD119" s="7">
        <v>-578</v>
      </c>
      <c r="AE119" s="7">
        <v>-835</v>
      </c>
      <c r="AF119" s="7">
        <v>-495</v>
      </c>
      <c r="AG119" s="7">
        <v>527</v>
      </c>
      <c r="AH119" s="7">
        <v>770</v>
      </c>
      <c r="AI119" s="3">
        <f t="shared" ref="AI119:AL119" si="106">AH119/AG118*AH118</f>
        <v>567.26242371403657</v>
      </c>
      <c r="AJ119" s="3">
        <f t="shared" si="106"/>
        <v>473.64463771535793</v>
      </c>
      <c r="AK119" s="3">
        <f t="shared" si="106"/>
        <v>473.62613188215295</v>
      </c>
      <c r="AL119" s="3">
        <f t="shared" si="106"/>
        <v>473.62613188215295</v>
      </c>
      <c r="AM119" s="3">
        <f>AL119/AK118*AL118</f>
        <v>473.62613188215295</v>
      </c>
      <c r="AN119" s="3">
        <f>AM119/AL118*AM118</f>
        <v>473.62613188215295</v>
      </c>
    </row>
    <row r="120" spans="1:40">
      <c r="A120" s="43" t="s">
        <v>191</v>
      </c>
      <c r="B120" s="7">
        <f>B121-SUM(B116:B119)</f>
        <v>-191</v>
      </c>
      <c r="C120" s="7">
        <f>C121-SUM(C116:C119)</f>
        <v>-252</v>
      </c>
      <c r="D120" s="7">
        <f t="shared" ref="D120:K120" si="107">D121-SUM(D116:D119)</f>
        <v>-212</v>
      </c>
      <c r="E120" s="7">
        <f t="shared" si="107"/>
        <v>-199</v>
      </c>
      <c r="F120" s="7">
        <f t="shared" si="107"/>
        <v>-228</v>
      </c>
      <c r="G120" s="7">
        <f t="shared" si="107"/>
        <v>-385.60000000000036</v>
      </c>
      <c r="H120" s="7">
        <f t="shared" si="107"/>
        <v>1406.1999999999998</v>
      </c>
      <c r="I120" s="7">
        <f t="shared" si="107"/>
        <v>263.70810810810872</v>
      </c>
      <c r="J120" s="7">
        <f t="shared" si="107"/>
        <v>1235.3999999999996</v>
      </c>
      <c r="K120" s="7">
        <f t="shared" si="107"/>
        <v>1196</v>
      </c>
      <c r="L120" s="7">
        <f t="shared" ref="L120:AH120" si="108">L121-SUM(L116:L119)</f>
        <v>771</v>
      </c>
      <c r="M120" s="7">
        <f t="shared" si="108"/>
        <v>-5095</v>
      </c>
      <c r="N120" s="7">
        <f t="shared" si="108"/>
        <v>-369</v>
      </c>
      <c r="O120" s="7">
        <f t="shared" si="108"/>
        <v>1022</v>
      </c>
      <c r="P120" s="7">
        <f t="shared" si="108"/>
        <v>1681</v>
      </c>
      <c r="Q120" s="7">
        <f t="shared" si="108"/>
        <v>-769</v>
      </c>
      <c r="R120" s="7">
        <f t="shared" si="108"/>
        <v>-1188</v>
      </c>
      <c r="S120" s="7">
        <f t="shared" si="108"/>
        <v>-1063</v>
      </c>
      <c r="T120" s="7">
        <f t="shared" si="108"/>
        <v>90</v>
      </c>
      <c r="U120" s="7">
        <f t="shared" si="108"/>
        <v>-3243</v>
      </c>
      <c r="V120" s="7">
        <f t="shared" si="108"/>
        <v>-20</v>
      </c>
      <c r="W120" s="7">
        <f t="shared" si="108"/>
        <v>-202</v>
      </c>
      <c r="X120" s="7">
        <f t="shared" si="108"/>
        <v>-11056</v>
      </c>
      <c r="Y120" s="7">
        <f t="shared" si="108"/>
        <v>227</v>
      </c>
      <c r="Z120" s="7">
        <f t="shared" si="108"/>
        <v>-979</v>
      </c>
      <c r="AA120" s="7">
        <f t="shared" si="108"/>
        <v>1882</v>
      </c>
      <c r="AB120" s="7">
        <f t="shared" si="108"/>
        <v>-898</v>
      </c>
      <c r="AC120" s="7">
        <f t="shared" si="108"/>
        <v>-615</v>
      </c>
      <c r="AD120" s="7">
        <f t="shared" si="108"/>
        <v>353</v>
      </c>
      <c r="AE120" s="7">
        <f t="shared" si="108"/>
        <v>-38</v>
      </c>
      <c r="AF120" s="7">
        <f t="shared" si="108"/>
        <v>528</v>
      </c>
      <c r="AG120" s="7">
        <f t="shared" si="108"/>
        <v>459</v>
      </c>
      <c r="AH120" s="7">
        <f t="shared" si="108"/>
        <v>-1956</v>
      </c>
      <c r="AI120" s="81">
        <v>0</v>
      </c>
      <c r="AJ120" s="81">
        <v>0</v>
      </c>
      <c r="AK120" s="81">
        <v>0</v>
      </c>
      <c r="AL120" s="81">
        <v>0</v>
      </c>
      <c r="AM120" s="81">
        <v>0</v>
      </c>
      <c r="AN120" s="81">
        <v>0</v>
      </c>
    </row>
    <row r="121" spans="1:40">
      <c r="A121" s="80" t="s">
        <v>192</v>
      </c>
      <c r="B121" s="9">
        <f>Final!B67</f>
        <v>4498</v>
      </c>
      <c r="C121" s="9">
        <f>Final!C67</f>
        <v>5112</v>
      </c>
      <c r="D121" s="9">
        <f>Final!D67</f>
        <v>5056</v>
      </c>
      <c r="E121" s="9">
        <f>Final!E67</f>
        <v>4973</v>
      </c>
      <c r="F121" s="9">
        <f>Final!F67</f>
        <v>5206</v>
      </c>
      <c r="G121" s="9">
        <f>Final!G67</f>
        <v>5826</v>
      </c>
      <c r="H121" s="9">
        <f>Final!H67</f>
        <v>7932</v>
      </c>
      <c r="I121" s="9">
        <f>Final!I67</f>
        <v>10854</v>
      </c>
      <c r="J121" s="9">
        <f>Final!J67</f>
        <v>12155</v>
      </c>
      <c r="K121" s="9">
        <f>Final!K67</f>
        <v>15786</v>
      </c>
      <c r="L121" s="9">
        <f>Final!L67</f>
        <v>18982</v>
      </c>
      <c r="M121" s="9">
        <f>Final!M67</f>
        <v>14687</v>
      </c>
      <c r="N121" s="9">
        <f>Final!N67</f>
        <v>14998</v>
      </c>
      <c r="O121" s="9">
        <f>Final!O67</f>
        <v>16519</v>
      </c>
      <c r="P121" s="9">
        <f>Final!P67</f>
        <v>19163</v>
      </c>
      <c r="Q121" s="9">
        <f>Final!Q67</f>
        <v>17684</v>
      </c>
      <c r="R121" s="9">
        <f>Final!R67</f>
        <v>17791</v>
      </c>
      <c r="S121" s="9">
        <f>Final!S67</f>
        <v>18838</v>
      </c>
      <c r="T121" s="9">
        <f>Final!T67</f>
        <v>20476</v>
      </c>
      <c r="U121" s="9">
        <f>Final!U67</f>
        <v>18226</v>
      </c>
      <c r="V121" s="9">
        <f>Final!V67</f>
        <v>19197</v>
      </c>
      <c r="W121" s="9">
        <f>Final!W67</f>
        <v>19940</v>
      </c>
      <c r="X121" s="9">
        <f>Final!X67</f>
        <v>11176</v>
      </c>
      <c r="Y121" s="9">
        <f>Final!Y67</f>
        <v>11250</v>
      </c>
      <c r="Z121" s="9">
        <f>Final!Z67</f>
        <v>9971</v>
      </c>
      <c r="AA121" s="9">
        <f>Final!AA67</f>
        <v>10383</v>
      </c>
      <c r="AB121" s="9">
        <f>Final!AB67</f>
        <v>9674</v>
      </c>
      <c r="AC121" s="9">
        <f>Final!AC67</f>
        <v>9999</v>
      </c>
      <c r="AD121" s="9">
        <f>Final!AD67</f>
        <v>11017</v>
      </c>
      <c r="AE121" s="9">
        <f>Final!AE67</f>
        <v>10602</v>
      </c>
      <c r="AF121" s="9">
        <f>Final!AF67</f>
        <v>11748</v>
      </c>
      <c r="AG121" s="9">
        <f>Final!AG67</f>
        <v>12518</v>
      </c>
      <c r="AH121" s="9">
        <f>Final!AH67</f>
        <v>12188</v>
      </c>
      <c r="AI121" s="476">
        <f t="shared" ref="AI121:AN121" si="109">SUM(AI116:AI120)</f>
        <v>13471.808397038083</v>
      </c>
      <c r="AJ121" s="476">
        <f t="shared" si="109"/>
        <v>14661.971441596077</v>
      </c>
      <c r="AK121" s="476">
        <f t="shared" si="109"/>
        <v>15852.115980320865</v>
      </c>
      <c r="AL121" s="476">
        <f t="shared" si="109"/>
        <v>17042.260519045652</v>
      </c>
      <c r="AM121" s="476">
        <f t="shared" si="109"/>
        <v>18232.40505777044</v>
      </c>
      <c r="AN121" s="476">
        <f t="shared" si="109"/>
        <v>19422.549596495228</v>
      </c>
    </row>
    <row r="122" spans="1:40">
      <c r="A122" s="42"/>
      <c r="B122" s="79"/>
      <c r="C122" s="79"/>
      <c r="D122" s="79"/>
      <c r="E122" s="79"/>
      <c r="F122" s="79"/>
      <c r="G122" s="79"/>
      <c r="H122" s="79"/>
      <c r="I122" s="79"/>
      <c r="J122" s="79"/>
      <c r="K122" s="79"/>
      <c r="L122" s="79"/>
      <c r="M122" s="79"/>
      <c r="N122" s="79"/>
      <c r="O122" s="79"/>
      <c r="P122" s="79"/>
      <c r="Q122" s="79"/>
      <c r="R122" s="79"/>
      <c r="S122" s="79"/>
      <c r="T122" s="79"/>
      <c r="U122" s="79"/>
      <c r="V122" s="79"/>
      <c r="W122" s="79"/>
      <c r="X122" s="79"/>
      <c r="Y122" s="79"/>
      <c r="Z122" s="79"/>
      <c r="AA122" s="79"/>
      <c r="AB122" s="79"/>
      <c r="AC122" s="108"/>
      <c r="AD122" s="79"/>
      <c r="AE122" s="79"/>
      <c r="AF122" s="79"/>
      <c r="AG122" s="79"/>
      <c r="AH122" s="79"/>
      <c r="AI122" s="79"/>
      <c r="AJ122" s="79"/>
      <c r="AK122" s="79"/>
      <c r="AL122" s="79"/>
      <c r="AM122" s="79"/>
      <c r="AN122" s="79"/>
    </row>
    <row r="123" spans="1:40">
      <c r="A123" s="62" t="s">
        <v>164</v>
      </c>
      <c r="AC123" s="30"/>
    </row>
    <row r="124" spans="1:40">
      <c r="A124" s="43" t="s">
        <v>189</v>
      </c>
      <c r="C124" s="7">
        <f t="shared" ref="C124:H124" si="110">B130</f>
        <v>0</v>
      </c>
      <c r="D124" s="7">
        <f t="shared" si="110"/>
        <v>0</v>
      </c>
      <c r="E124" s="7">
        <f t="shared" si="110"/>
        <v>0</v>
      </c>
      <c r="F124" s="7">
        <f t="shared" si="110"/>
        <v>0</v>
      </c>
      <c r="G124" s="7">
        <f t="shared" si="110"/>
        <v>0</v>
      </c>
      <c r="H124" s="7">
        <f t="shared" si="110"/>
        <v>0</v>
      </c>
      <c r="I124" s="7">
        <f>H130</f>
        <v>1952</v>
      </c>
      <c r="J124" s="7">
        <f t="shared" ref="J124:Z124" si="111">I130</f>
        <v>2156</v>
      </c>
      <c r="K124" s="7">
        <f t="shared" si="111"/>
        <v>1172.634726730435</v>
      </c>
      <c r="L124" s="7">
        <f t="shared" si="111"/>
        <v>1229.634726730435</v>
      </c>
      <c r="M124" s="7">
        <f t="shared" si="111"/>
        <v>1426</v>
      </c>
      <c r="N124" s="7">
        <f t="shared" si="111"/>
        <v>1593</v>
      </c>
      <c r="O124" s="7">
        <f t="shared" si="111"/>
        <v>1640</v>
      </c>
      <c r="P124" s="7">
        <f t="shared" si="111"/>
        <v>1641</v>
      </c>
      <c r="Q124" s="7">
        <f t="shared" si="111"/>
        <v>18</v>
      </c>
      <c r="R124" s="7">
        <f t="shared" si="111"/>
        <v>299</v>
      </c>
      <c r="S124" s="7">
        <f t="shared" si="111"/>
        <v>242</v>
      </c>
      <c r="T124" s="7">
        <f t="shared" si="111"/>
        <v>1813</v>
      </c>
      <c r="U124" s="7">
        <f t="shared" si="111"/>
        <v>2378</v>
      </c>
      <c r="V124" s="7">
        <f t="shared" si="111"/>
        <v>1465</v>
      </c>
      <c r="W124" s="7">
        <f t="shared" si="111"/>
        <v>1856</v>
      </c>
      <c r="X124" s="7">
        <f t="shared" si="111"/>
        <v>1675</v>
      </c>
      <c r="Y124" s="7">
        <f t="shared" si="111"/>
        <v>786</v>
      </c>
      <c r="Z124" s="7">
        <f t="shared" si="111"/>
        <v>785</v>
      </c>
      <c r="AA124" s="7">
        <f t="shared" ref="AA124:AG124" si="112">Z130</f>
        <v>813</v>
      </c>
      <c r="AB124" s="7">
        <f t="shared" si="112"/>
        <v>8081</v>
      </c>
      <c r="AC124" s="7">
        <f t="shared" si="112"/>
        <v>7746</v>
      </c>
      <c r="AD124" s="7">
        <f t="shared" si="112"/>
        <v>8708</v>
      </c>
      <c r="AE124" s="7">
        <f t="shared" si="112"/>
        <v>9181</v>
      </c>
      <c r="AF124" s="7">
        <f t="shared" si="112"/>
        <v>8769</v>
      </c>
      <c r="AG124" s="7">
        <f t="shared" si="112"/>
        <v>9090</v>
      </c>
      <c r="AH124" s="7">
        <f t="shared" ref="AH124:AN124" si="113">AG130</f>
        <v>9380</v>
      </c>
      <c r="AI124" s="7">
        <f>AH130</f>
        <v>8486</v>
      </c>
      <c r="AJ124" s="7">
        <f>AI130</f>
        <v>8509.0260155432698</v>
      </c>
      <c r="AK124" s="7">
        <f>AJ130</f>
        <v>8825.7470236343324</v>
      </c>
      <c r="AL124" s="7">
        <f>AK130</f>
        <v>9108.2580686562942</v>
      </c>
      <c r="AM124" s="7">
        <f>AL130</f>
        <v>9390.769113678256</v>
      </c>
      <c r="AN124" s="7">
        <f t="shared" si="113"/>
        <v>9673.2801587002177</v>
      </c>
    </row>
    <row r="125" spans="1:40">
      <c r="A125" s="43" t="s">
        <v>193</v>
      </c>
      <c r="H125" s="7">
        <v>1882</v>
      </c>
      <c r="I125" s="7">
        <v>170</v>
      </c>
      <c r="J125" s="7">
        <v>125</v>
      </c>
      <c r="K125" s="7">
        <v>61</v>
      </c>
      <c r="L125" s="7">
        <f>1448-1316</f>
        <v>132</v>
      </c>
      <c r="M125" s="7">
        <v>0</v>
      </c>
      <c r="O125" s="7">
        <v>5</v>
      </c>
      <c r="P125" s="7">
        <v>0</v>
      </c>
      <c r="Q125" s="7">
        <v>275</v>
      </c>
      <c r="U125" s="7">
        <v>0</v>
      </c>
      <c r="V125" s="7">
        <v>0</v>
      </c>
      <c r="W125" s="7">
        <v>0</v>
      </c>
      <c r="X125" s="7">
        <v>0</v>
      </c>
      <c r="Y125" s="7">
        <v>0</v>
      </c>
      <c r="Z125" s="7">
        <v>0</v>
      </c>
      <c r="AA125" s="7">
        <v>6343</v>
      </c>
      <c r="AB125" s="7">
        <v>0</v>
      </c>
      <c r="AC125" s="7">
        <v>0</v>
      </c>
      <c r="AD125" s="81">
        <v>0</v>
      </c>
      <c r="AE125" s="81">
        <v>0</v>
      </c>
      <c r="AF125" s="81">
        <v>0</v>
      </c>
      <c r="AG125" s="81">
        <v>0</v>
      </c>
      <c r="AH125" s="81">
        <v>0</v>
      </c>
      <c r="AI125" s="81">
        <v>0</v>
      </c>
      <c r="AJ125" s="81">
        <v>0</v>
      </c>
      <c r="AK125" s="81">
        <v>0</v>
      </c>
      <c r="AL125" s="81">
        <v>0</v>
      </c>
      <c r="AM125" s="81">
        <v>0</v>
      </c>
      <c r="AN125" s="81">
        <v>0</v>
      </c>
    </row>
    <row r="126" spans="1:40">
      <c r="A126" s="43" t="s">
        <v>98</v>
      </c>
      <c r="H126" s="7">
        <f t="shared" ref="H126:AF126" si="114">H39</f>
        <v>15</v>
      </c>
      <c r="I126" s="7">
        <f t="shared" si="114"/>
        <v>7</v>
      </c>
      <c r="J126" s="7">
        <f t="shared" si="114"/>
        <v>-895.36527326956525</v>
      </c>
      <c r="K126" s="7">
        <f t="shared" si="114"/>
        <v>14</v>
      </c>
      <c r="L126" s="7">
        <f t="shared" si="114"/>
        <v>30</v>
      </c>
      <c r="M126" s="7">
        <f t="shared" si="114"/>
        <v>102</v>
      </c>
      <c r="N126" s="7">
        <f t="shared" si="114"/>
        <v>236</v>
      </c>
      <c r="O126" s="7">
        <f t="shared" si="114"/>
        <v>140</v>
      </c>
      <c r="P126" s="7">
        <f t="shared" si="114"/>
        <v>114</v>
      </c>
      <c r="Q126" s="7">
        <f t="shared" si="114"/>
        <v>1</v>
      </c>
      <c r="R126" s="7">
        <f t="shared" si="114"/>
        <v>-27</v>
      </c>
      <c r="S126" s="7">
        <f t="shared" si="114"/>
        <v>-354</v>
      </c>
      <c r="T126" s="7">
        <f t="shared" si="114"/>
        <v>813</v>
      </c>
      <c r="U126" s="7">
        <f t="shared" si="114"/>
        <v>681</v>
      </c>
      <c r="V126" s="7">
        <f t="shared" si="114"/>
        <v>579</v>
      </c>
      <c r="W126" s="7">
        <f t="shared" si="114"/>
        <v>612</v>
      </c>
      <c r="X126" s="7">
        <f t="shared" si="114"/>
        <v>796</v>
      </c>
      <c r="Y126" s="7">
        <f t="shared" si="114"/>
        <v>888</v>
      </c>
      <c r="Z126" s="7">
        <f t="shared" si="114"/>
        <v>904</v>
      </c>
      <c r="AA126" s="7">
        <f t="shared" si="114"/>
        <v>950</v>
      </c>
      <c r="AB126" s="7">
        <f t="shared" si="114"/>
        <v>1818</v>
      </c>
      <c r="AC126" s="7">
        <f t="shared" si="114"/>
        <v>1828</v>
      </c>
      <c r="AD126" s="7">
        <f t="shared" si="114"/>
        <v>1725</v>
      </c>
      <c r="AE126" s="7">
        <f t="shared" si="114"/>
        <v>2071</v>
      </c>
      <c r="AF126" s="7">
        <f t="shared" si="114"/>
        <v>2135</v>
      </c>
      <c r="AG126" s="7">
        <f t="shared" ref="AG126" si="115">AG39</f>
        <v>2049</v>
      </c>
      <c r="AH126" s="7">
        <f t="shared" ref="AH126" si="116">AH39</f>
        <v>1810</v>
      </c>
      <c r="AI126" s="7">
        <f t="shared" ref="AI126:AN126" si="117">AI39</f>
        <v>1501.7668647379999</v>
      </c>
      <c r="AJ126" s="7">
        <f t="shared" si="117"/>
        <v>1543.6403499999997</v>
      </c>
      <c r="AK126" s="7">
        <f t="shared" si="117"/>
        <v>1543.6403499999997</v>
      </c>
      <c r="AL126" s="7">
        <f t="shared" si="117"/>
        <v>1543.6403499999997</v>
      </c>
      <c r="AM126" s="7">
        <f t="shared" si="117"/>
        <v>1543.6403499999997</v>
      </c>
      <c r="AN126" s="7">
        <f t="shared" si="117"/>
        <v>1543.6403499999997</v>
      </c>
    </row>
    <row r="127" spans="1:40">
      <c r="A127" s="43" t="s">
        <v>110</v>
      </c>
      <c r="K127" s="7">
        <v>-57</v>
      </c>
      <c r="L127" s="7">
        <v>-53</v>
      </c>
      <c r="M127" s="7">
        <v>-50</v>
      </c>
      <c r="N127" s="7">
        <v>-60</v>
      </c>
      <c r="O127" s="7">
        <v>-61</v>
      </c>
      <c r="P127" s="7">
        <v>0</v>
      </c>
      <c r="Q127" s="7">
        <v>0</v>
      </c>
      <c r="R127" s="7">
        <v>0</v>
      </c>
      <c r="S127" s="7">
        <v>0</v>
      </c>
      <c r="T127" s="7">
        <v>0</v>
      </c>
      <c r="U127" s="7">
        <v>-1232</v>
      </c>
      <c r="V127" s="7">
        <f>-523-61</f>
        <v>-584</v>
      </c>
      <c r="W127" s="7">
        <f>-803-24</f>
        <v>-827</v>
      </c>
      <c r="X127" s="7">
        <f>-900-64</f>
        <v>-964</v>
      </c>
      <c r="Y127" s="7">
        <f>-796-120</f>
        <v>-916</v>
      </c>
      <c r="Z127" s="7">
        <f>-889-43</f>
        <v>-932</v>
      </c>
      <c r="AA127" s="7">
        <f>-910-9</f>
        <v>-919</v>
      </c>
      <c r="AB127" s="7">
        <f>-930-13</f>
        <v>-943</v>
      </c>
      <c r="AC127" s="7">
        <f>-1653-13</f>
        <v>-1666</v>
      </c>
      <c r="AD127" s="7">
        <f>-1742-13</f>
        <v>-1755</v>
      </c>
      <c r="AE127" s="7">
        <f>-1721-15</f>
        <v>-1736</v>
      </c>
      <c r="AF127" s="7">
        <f>-1831-14</f>
        <v>-1845</v>
      </c>
      <c r="AG127" s="7">
        <f>-1830-15</f>
        <v>-1845</v>
      </c>
      <c r="AH127" s="7">
        <f>-1659-15</f>
        <v>-1674</v>
      </c>
      <c r="AI127" s="81">
        <f t="shared" ref="AI127:AN127" si="118">AH127/AG126*AH126</f>
        <v>-1478.740849194729</v>
      </c>
      <c r="AJ127" s="81">
        <f t="shared" si="118"/>
        <v>-1226.919341908937</v>
      </c>
      <c r="AK127" s="81">
        <f t="shared" si="118"/>
        <v>-1261.1293049780379</v>
      </c>
      <c r="AL127" s="81">
        <f t="shared" si="118"/>
        <v>-1261.1293049780379</v>
      </c>
      <c r="AM127" s="81">
        <f t="shared" si="118"/>
        <v>-1261.1293049780379</v>
      </c>
      <c r="AN127" s="81">
        <f t="shared" si="118"/>
        <v>-1261.1293049780379</v>
      </c>
    </row>
    <row r="128" spans="1:40">
      <c r="A128" s="43" t="s">
        <v>194</v>
      </c>
      <c r="H128" s="7">
        <v>-24</v>
      </c>
      <c r="I128" s="7">
        <v>-120</v>
      </c>
      <c r="J128" s="7">
        <f>-936+28</f>
        <v>-908</v>
      </c>
      <c r="K128" s="7">
        <v>-8</v>
      </c>
      <c r="L128" s="7">
        <f>-10</f>
        <v>-10</v>
      </c>
      <c r="M128" s="7">
        <f>M133-L133</f>
        <v>0</v>
      </c>
      <c r="N128" s="7">
        <f>N133-M133</f>
        <v>0</v>
      </c>
      <c r="O128" s="7">
        <f>O133-N133</f>
        <v>0</v>
      </c>
      <c r="P128" s="7">
        <v>0</v>
      </c>
      <c r="Q128" s="7">
        <f>P128</f>
        <v>0</v>
      </c>
      <c r="R128" s="7">
        <f>Q128</f>
        <v>0</v>
      </c>
      <c r="S128" s="7">
        <f>R128</f>
        <v>0</v>
      </c>
      <c r="T128" s="7">
        <v>0</v>
      </c>
      <c r="U128" s="7">
        <f t="shared" ref="U128:AH128" si="119">T128</f>
        <v>0</v>
      </c>
      <c r="V128" s="7">
        <f t="shared" si="119"/>
        <v>0</v>
      </c>
      <c r="W128" s="7">
        <f t="shared" si="119"/>
        <v>0</v>
      </c>
      <c r="X128" s="7">
        <f t="shared" si="119"/>
        <v>0</v>
      </c>
      <c r="Y128" s="7">
        <f t="shared" si="119"/>
        <v>0</v>
      </c>
      <c r="Z128" s="7">
        <f t="shared" si="119"/>
        <v>0</v>
      </c>
      <c r="AA128" s="7">
        <f t="shared" si="119"/>
        <v>0</v>
      </c>
      <c r="AB128" s="7">
        <f t="shared" si="119"/>
        <v>0</v>
      </c>
      <c r="AC128" s="7">
        <f t="shared" si="119"/>
        <v>0</v>
      </c>
      <c r="AD128" s="7">
        <f t="shared" si="119"/>
        <v>0</v>
      </c>
      <c r="AE128" s="7">
        <f t="shared" si="119"/>
        <v>0</v>
      </c>
      <c r="AF128" s="7">
        <f t="shared" si="119"/>
        <v>0</v>
      </c>
      <c r="AG128" s="7">
        <f t="shared" si="119"/>
        <v>0</v>
      </c>
      <c r="AH128" s="7">
        <f t="shared" si="119"/>
        <v>0</v>
      </c>
      <c r="AI128" s="81">
        <v>0</v>
      </c>
      <c r="AJ128" s="81">
        <v>0</v>
      </c>
      <c r="AK128" s="81">
        <v>0</v>
      </c>
      <c r="AL128" s="81">
        <v>0</v>
      </c>
      <c r="AM128" s="81">
        <v>0</v>
      </c>
      <c r="AN128" s="81">
        <v>0</v>
      </c>
    </row>
    <row r="129" spans="1:40">
      <c r="A129" s="43" t="s">
        <v>191</v>
      </c>
      <c r="H129" s="7">
        <f t="shared" ref="H129:Y129" si="120">H130-SUM(H124:H128)</f>
        <v>79</v>
      </c>
      <c r="I129" s="7">
        <f t="shared" si="120"/>
        <v>147</v>
      </c>
      <c r="J129" s="7">
        <f t="shared" si="120"/>
        <v>695.00000000000023</v>
      </c>
      <c r="K129" s="7">
        <f t="shared" si="120"/>
        <v>47</v>
      </c>
      <c r="L129" s="7">
        <f t="shared" si="120"/>
        <v>97.365273269565023</v>
      </c>
      <c r="M129" s="7">
        <f t="shared" si="120"/>
        <v>115</v>
      </c>
      <c r="N129" s="7">
        <f t="shared" si="120"/>
        <v>-129</v>
      </c>
      <c r="O129" s="7">
        <f t="shared" si="120"/>
        <v>-83</v>
      </c>
      <c r="P129" s="7">
        <f t="shared" si="120"/>
        <v>-1737</v>
      </c>
      <c r="Q129" s="7">
        <f t="shared" si="120"/>
        <v>5</v>
      </c>
      <c r="R129" s="7">
        <f t="shared" si="120"/>
        <v>-30</v>
      </c>
      <c r="S129" s="7">
        <f t="shared" si="120"/>
        <v>1925</v>
      </c>
      <c r="T129" s="7">
        <f t="shared" si="120"/>
        <v>-248</v>
      </c>
      <c r="U129" s="7">
        <f t="shared" si="120"/>
        <v>-362</v>
      </c>
      <c r="V129" s="7">
        <f t="shared" si="120"/>
        <v>396</v>
      </c>
      <c r="W129" s="7">
        <f t="shared" si="120"/>
        <v>34</v>
      </c>
      <c r="X129" s="7">
        <f t="shared" si="120"/>
        <v>-721</v>
      </c>
      <c r="Y129" s="7">
        <f t="shared" si="120"/>
        <v>27</v>
      </c>
      <c r="Z129" s="7">
        <f t="shared" ref="Z129:AF129" si="121">Z130-SUM(Z124:Z128)</f>
        <v>56</v>
      </c>
      <c r="AA129" s="7">
        <f t="shared" si="121"/>
        <v>894</v>
      </c>
      <c r="AB129" s="7">
        <f t="shared" si="121"/>
        <v>-1210</v>
      </c>
      <c r="AC129" s="7">
        <f t="shared" si="121"/>
        <v>800</v>
      </c>
      <c r="AD129" s="7">
        <f t="shared" si="121"/>
        <v>503</v>
      </c>
      <c r="AE129" s="7">
        <f t="shared" si="121"/>
        <v>-747</v>
      </c>
      <c r="AF129" s="7">
        <f t="shared" si="121"/>
        <v>31</v>
      </c>
      <c r="AG129" s="7">
        <f t="shared" ref="AG129:AH129" si="122">AG130-SUM(AG124:AG128)</f>
        <v>86</v>
      </c>
      <c r="AH129" s="7">
        <f t="shared" si="122"/>
        <v>-1030</v>
      </c>
      <c r="AI129" s="81">
        <v>0</v>
      </c>
      <c r="AJ129" s="81">
        <v>0</v>
      </c>
      <c r="AK129" s="81">
        <v>0</v>
      </c>
      <c r="AL129" s="81">
        <v>0</v>
      </c>
      <c r="AM129" s="81">
        <v>0</v>
      </c>
      <c r="AN129" s="81">
        <v>0</v>
      </c>
    </row>
    <row r="130" spans="1:40">
      <c r="A130" s="80" t="s">
        <v>192</v>
      </c>
      <c r="B130" s="9">
        <f t="shared" ref="B130:G130" si="123">SUM(B124:B129)</f>
        <v>0</v>
      </c>
      <c r="C130" s="9">
        <f t="shared" si="123"/>
        <v>0</v>
      </c>
      <c r="D130" s="9">
        <f t="shared" si="123"/>
        <v>0</v>
      </c>
      <c r="E130" s="9">
        <f t="shared" si="123"/>
        <v>0</v>
      </c>
      <c r="F130" s="9">
        <f t="shared" si="123"/>
        <v>0</v>
      </c>
      <c r="G130" s="9">
        <f t="shared" si="123"/>
        <v>0</v>
      </c>
      <c r="H130" s="9">
        <f>Final!H68</f>
        <v>1952</v>
      </c>
      <c r="I130" s="9">
        <f>Final!I68</f>
        <v>2156</v>
      </c>
      <c r="J130" s="9">
        <f>Final!J68</f>
        <v>1172.634726730435</v>
      </c>
      <c r="K130" s="9">
        <f>Final!K68</f>
        <v>1229.634726730435</v>
      </c>
      <c r="L130" s="9">
        <f>Final!L68</f>
        <v>1426</v>
      </c>
      <c r="M130" s="9">
        <f>Final!M68</f>
        <v>1593</v>
      </c>
      <c r="N130" s="9">
        <f>Final!N68</f>
        <v>1640</v>
      </c>
      <c r="O130" s="9">
        <f>Final!O68</f>
        <v>1641</v>
      </c>
      <c r="P130" s="9">
        <f>Final!P68</f>
        <v>18</v>
      </c>
      <c r="Q130" s="9">
        <f>Final!Q68</f>
        <v>299</v>
      </c>
      <c r="R130" s="9">
        <f>Final!R68</f>
        <v>242</v>
      </c>
      <c r="S130" s="9">
        <f>Final!S68</f>
        <v>1813</v>
      </c>
      <c r="T130" s="9">
        <f>Final!T68</f>
        <v>2378</v>
      </c>
      <c r="U130" s="9">
        <f>Final!U68</f>
        <v>1465</v>
      </c>
      <c r="V130" s="9">
        <f>Final!V68</f>
        <v>1856</v>
      </c>
      <c r="W130" s="9">
        <f>Final!W68</f>
        <v>1675</v>
      </c>
      <c r="X130" s="9">
        <f>Final!X68</f>
        <v>786</v>
      </c>
      <c r="Y130" s="9">
        <f>Final!Y68</f>
        <v>785</v>
      </c>
      <c r="Z130" s="9">
        <f>Final!Z68</f>
        <v>813</v>
      </c>
      <c r="AA130" s="9">
        <f>Final!AA68</f>
        <v>8081</v>
      </c>
      <c r="AB130" s="9">
        <f>Final!AB68</f>
        <v>7746</v>
      </c>
      <c r="AC130" s="9">
        <f>Final!AC68</f>
        <v>8708</v>
      </c>
      <c r="AD130" s="9">
        <f>Final!AD68</f>
        <v>9181</v>
      </c>
      <c r="AE130" s="9">
        <f>Final!AE68</f>
        <v>8769</v>
      </c>
      <c r="AF130" s="9">
        <f>Final!AF68</f>
        <v>9090</v>
      </c>
      <c r="AG130" s="9">
        <f>Final!AG68</f>
        <v>9380</v>
      </c>
      <c r="AH130" s="9">
        <f>Final!AH68</f>
        <v>8486</v>
      </c>
      <c r="AI130" s="476">
        <f t="shared" ref="AI130:AN130" si="124">SUM(AI124:AI129)</f>
        <v>8509.0260155432698</v>
      </c>
      <c r="AJ130" s="476">
        <f t="shared" si="124"/>
        <v>8825.7470236343324</v>
      </c>
      <c r="AK130" s="476">
        <f t="shared" si="124"/>
        <v>9108.2580686562942</v>
      </c>
      <c r="AL130" s="476">
        <f t="shared" si="124"/>
        <v>9390.769113678256</v>
      </c>
      <c r="AM130" s="476">
        <f t="shared" si="124"/>
        <v>9673.2801587002177</v>
      </c>
      <c r="AN130" s="476">
        <f t="shared" si="124"/>
        <v>9955.7912037221795</v>
      </c>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ransitionEvaluation="1" codeName="Sheet7">
    <tabColor theme="5"/>
    <pageSetUpPr fitToPage="1"/>
  </sheetPr>
  <dimension ref="A1:AX49"/>
  <sheetViews>
    <sheetView showOutlineSymbols="0" zoomScale="160" zoomScaleNormal="160" workbookViewId="0">
      <pane xSplit="18" ySplit="2" topLeftCell="AC26" activePane="bottomRight" state="frozen"/>
      <selection pane="topRight" activeCell="S1" sqref="S1"/>
      <selection pane="bottomLeft" activeCell="A3" sqref="A3"/>
      <selection pane="bottomRight" activeCell="AF55" sqref="AF55"/>
    </sheetView>
  </sheetViews>
  <sheetFormatPr defaultColWidth="9.140625" defaultRowHeight="12.75" outlineLevelCol="1"/>
  <cols>
    <col min="1" max="1" width="25.28515625" style="29" customWidth="1"/>
    <col min="2" max="5" width="10.140625" style="29" hidden="1" customWidth="1" outlineLevel="1"/>
    <col min="6" max="6" width="10.42578125" style="29" hidden="1" customWidth="1" outlineLevel="1" collapsed="1"/>
    <col min="7" max="8" width="9.140625" style="29" hidden="1" customWidth="1" outlineLevel="1"/>
    <col min="9" max="9" width="10.28515625" style="29" hidden="1" customWidth="1" outlineLevel="1"/>
    <col min="10" max="10" width="9.140625" style="29" hidden="1" customWidth="1" outlineLevel="1"/>
    <col min="11" max="12" width="9.28515625" style="29" hidden="1" customWidth="1" outlineLevel="1"/>
    <col min="13" max="18" width="9.140625" style="29" hidden="1" customWidth="1" outlineLevel="1"/>
    <col min="19" max="19" width="0" style="29" hidden="1" customWidth="1" collapsed="1"/>
    <col min="20" max="27" width="0" style="29" hidden="1" customWidth="1"/>
    <col min="28" max="28" width="7.5703125" style="29" hidden="1" customWidth="1"/>
    <col min="29" max="40" width="7.5703125" style="29" bestFit="1" customWidth="1"/>
    <col min="41" max="41" width="8.85546875" style="43" customWidth="1"/>
    <col min="42" max="16384" width="9.140625" style="29"/>
  </cols>
  <sheetData>
    <row r="1" spans="1:50" s="7" customFormat="1">
      <c r="A1" s="157" t="s">
        <v>622</v>
      </c>
      <c r="B1" s="156"/>
      <c r="C1" s="156"/>
      <c r="D1" s="156"/>
      <c r="E1" s="156"/>
      <c r="F1" s="156"/>
      <c r="G1" s="156"/>
      <c r="H1" s="156"/>
      <c r="I1" s="156"/>
      <c r="J1" s="156"/>
      <c r="K1" s="156"/>
      <c r="L1" s="156"/>
      <c r="M1" s="156"/>
      <c r="N1" s="156"/>
      <c r="O1" s="156"/>
      <c r="P1" s="156"/>
      <c r="Q1" s="156"/>
      <c r="R1" s="156"/>
      <c r="S1" s="156"/>
      <c r="T1" s="156"/>
      <c r="U1" s="156"/>
      <c r="V1" s="156"/>
      <c r="W1" s="156"/>
      <c r="X1" s="156"/>
      <c r="Y1" s="156"/>
      <c r="Z1" s="156"/>
      <c r="AA1" s="156"/>
      <c r="AB1" s="156"/>
      <c r="AC1" s="156"/>
      <c r="AD1" s="156"/>
      <c r="AE1" s="156"/>
      <c r="AF1" s="156"/>
      <c r="AG1" s="156"/>
      <c r="AH1" s="156"/>
      <c r="AI1" s="156"/>
      <c r="AJ1" s="156"/>
      <c r="AK1" s="156"/>
      <c r="AL1" s="156"/>
      <c r="AM1" s="156"/>
      <c r="AN1" s="156"/>
    </row>
    <row r="2" spans="1:50">
      <c r="A2" s="175"/>
      <c r="B2" s="175">
        <v>1992</v>
      </c>
      <c r="C2" s="175">
        <v>1993</v>
      </c>
      <c r="D2" s="176">
        <v>1994</v>
      </c>
      <c r="E2" s="176">
        <v>1995</v>
      </c>
      <c r="F2" s="176">
        <v>1996</v>
      </c>
      <c r="G2" s="176">
        <v>1997</v>
      </c>
      <c r="H2" s="176">
        <v>1998</v>
      </c>
      <c r="I2" s="177" t="s">
        <v>113</v>
      </c>
      <c r="J2" s="178">
        <v>2000</v>
      </c>
      <c r="K2" s="177">
        <v>2001</v>
      </c>
      <c r="L2" s="177">
        <v>2002</v>
      </c>
      <c r="M2" s="177">
        <f>Final!M2</f>
        <v>2003</v>
      </c>
      <c r="N2" s="177">
        <f>Final!N2</f>
        <v>2004</v>
      </c>
      <c r="O2" s="177">
        <f>Final!O2</f>
        <v>2005</v>
      </c>
      <c r="P2" s="177">
        <f>Final!P2</f>
        <v>2006</v>
      </c>
      <c r="Q2" s="177">
        <f>Final!Q2</f>
        <v>2007</v>
      </c>
      <c r="R2" s="177">
        <f>Final!R2</f>
        <v>2008</v>
      </c>
      <c r="S2" s="177">
        <f>Final!S2</f>
        <v>2009</v>
      </c>
      <c r="T2" s="177">
        <f>Final!T2</f>
        <v>2010</v>
      </c>
      <c r="U2" s="177">
        <f>Final!U2</f>
        <v>2011</v>
      </c>
      <c r="V2" s="177">
        <f>Final!V2</f>
        <v>2012</v>
      </c>
      <c r="W2" s="177">
        <f>Final!W2</f>
        <v>2013</v>
      </c>
      <c r="X2" s="177">
        <f>Final!X2</f>
        <v>2014</v>
      </c>
      <c r="Y2" s="177">
        <f>Final!Y2</f>
        <v>2015</v>
      </c>
      <c r="Z2" s="177">
        <f>Final!Z2</f>
        <v>2016</v>
      </c>
      <c r="AA2" s="177">
        <f>Final!AA2</f>
        <v>2017</v>
      </c>
      <c r="AB2" s="177">
        <f>Final!AB2</f>
        <v>2018</v>
      </c>
      <c r="AC2" s="177">
        <f>Final!AC2</f>
        <v>2019</v>
      </c>
      <c r="AD2" s="177">
        <f>Final!AD2</f>
        <v>2020</v>
      </c>
      <c r="AE2" s="177">
        <f>Final!AE2</f>
        <v>2021</v>
      </c>
      <c r="AF2" s="177">
        <f>Final!AF2</f>
        <v>2022</v>
      </c>
      <c r="AG2" s="177">
        <f>Final!AG2</f>
        <v>2023</v>
      </c>
      <c r="AH2" s="177">
        <f>Final!AH2</f>
        <v>2024</v>
      </c>
      <c r="AI2" s="177" t="str">
        <f>Final!AI2</f>
        <v>2025E</v>
      </c>
      <c r="AJ2" s="177" t="str">
        <f>Final!AJ2</f>
        <v>2026E</v>
      </c>
      <c r="AK2" s="177" t="str">
        <f>Final!AK2</f>
        <v>2027E</v>
      </c>
      <c r="AL2" s="177" t="str">
        <f>Final!AL2</f>
        <v>2028E</v>
      </c>
      <c r="AM2" s="177" t="str">
        <f>Final!AM2</f>
        <v>2029E</v>
      </c>
      <c r="AN2" s="177" t="str">
        <f>Final!AN2</f>
        <v>2030E</v>
      </c>
      <c r="AP2" s="177"/>
      <c r="AR2" s="177"/>
      <c r="AS2" s="177"/>
      <c r="AT2" s="177"/>
      <c r="AU2" s="177"/>
      <c r="AV2" s="177"/>
      <c r="AW2" s="177"/>
      <c r="AX2" s="177"/>
    </row>
    <row r="3" spans="1:50" s="49" customFormat="1">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c r="AM3" s="14"/>
      <c r="AN3" s="14"/>
      <c r="AO3" s="43"/>
    </row>
    <row r="4" spans="1:50" s="180" customFormat="1">
      <c r="A4" s="179" t="s">
        <v>166</v>
      </c>
      <c r="B4" s="20">
        <v>13229</v>
      </c>
      <c r="C4" s="20">
        <v>14573</v>
      </c>
      <c r="D4" s="20">
        <v>14903</v>
      </c>
      <c r="E4" s="20">
        <v>16758</v>
      </c>
      <c r="F4" s="20">
        <v>18295</v>
      </c>
      <c r="G4" s="20">
        <v>20638</v>
      </c>
      <c r="H4" s="20">
        <v>22547</v>
      </c>
      <c r="I4" s="20">
        <v>28642</v>
      </c>
      <c r="J4" s="20">
        <v>24224</v>
      </c>
      <c r="K4" s="20">
        <v>24806</v>
      </c>
      <c r="L4" s="20">
        <v>25844</v>
      </c>
      <c r="M4" s="20">
        <v>25739</v>
      </c>
      <c r="N4" s="20">
        <v>26773</v>
      </c>
      <c r="O4" s="20">
        <v>28836</v>
      </c>
      <c r="P4" s="20">
        <v>29091</v>
      </c>
      <c r="Q4" s="20">
        <v>29331</v>
      </c>
      <c r="R4" s="20">
        <f>23755+6631</f>
        <v>30386</v>
      </c>
      <c r="S4" s="20">
        <v>28437</v>
      </c>
      <c r="T4" s="20">
        <v>30016</v>
      </c>
      <c r="U4" s="20">
        <v>30928</v>
      </c>
      <c r="V4" s="20">
        <v>33944</v>
      </c>
      <c r="W4" s="20">
        <v>33184</v>
      </c>
      <c r="X4" s="20">
        <v>36092</v>
      </c>
      <c r="Y4" s="20">
        <v>38205</v>
      </c>
      <c r="Z4" s="20">
        <v>37223</v>
      </c>
      <c r="AA4" s="20">
        <v>39259</v>
      </c>
      <c r="AB4" s="20">
        <f>32023+9063</f>
        <v>41086</v>
      </c>
      <c r="AC4" s="20">
        <v>40633</v>
      </c>
      <c r="AD4" s="20">
        <v>41905</v>
      </c>
      <c r="AE4" s="20">
        <v>45379</v>
      </c>
      <c r="AF4" s="20">
        <v>51103</v>
      </c>
      <c r="AG4" s="20">
        <v>50455</v>
      </c>
      <c r="AH4" s="20">
        <v>50804</v>
      </c>
      <c r="AI4" s="428">
        <f>'HK Sales'!AI8</f>
        <v>52469.994824493202</v>
      </c>
      <c r="AJ4" s="428">
        <f>'HK Sales'!AJ8</f>
        <v>54590.457114928286</v>
      </c>
      <c r="AK4" s="428">
        <f>'HK Sales'!AK8</f>
        <v>56812.949400967213</v>
      </c>
      <c r="AL4" s="428">
        <f>'HK Sales'!AL8</f>
        <v>59142.201615500468</v>
      </c>
      <c r="AM4" s="428">
        <f>'HK Sales'!AM8</f>
        <v>61583.185747035517</v>
      </c>
      <c r="AN4" s="428">
        <f>'HK Sales'!AN8</f>
        <v>64394.550246835104</v>
      </c>
      <c r="AO4" s="43"/>
    </row>
    <row r="5" spans="1:50" s="180" customFormat="1">
      <c r="B5" s="30"/>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43"/>
    </row>
    <row r="6" spans="1:50" s="180" customFormat="1">
      <c r="A6" s="180" t="s">
        <v>167</v>
      </c>
      <c r="B6" s="30">
        <v>-2922</v>
      </c>
      <c r="C6" s="30">
        <v>-3064</v>
      </c>
      <c r="D6" s="30">
        <v>-1923</v>
      </c>
      <c r="E6" s="30">
        <v>-2085</v>
      </c>
      <c r="F6" s="30">
        <v>-2226</v>
      </c>
      <c r="G6" s="30">
        <v>-3045</v>
      </c>
      <c r="H6" s="30">
        <v>-2801</v>
      </c>
      <c r="I6" s="30">
        <v>-3600</v>
      </c>
      <c r="J6" s="30">
        <v>-2912</v>
      </c>
      <c r="K6" s="30">
        <v>-2897</v>
      </c>
      <c r="L6" s="30">
        <v>-3268</v>
      </c>
      <c r="M6" s="30">
        <v>-2901</v>
      </c>
      <c r="N6" s="30">
        <v>-3482</v>
      </c>
      <c r="O6" s="30">
        <v>-4153</v>
      </c>
      <c r="P6" s="30">
        <v>-4363</v>
      </c>
      <c r="Q6" s="30">
        <v>-4905</v>
      </c>
      <c r="R6" s="30">
        <f>-1744-5024</f>
        <v>-6768</v>
      </c>
      <c r="S6" s="30">
        <v>-7029</v>
      </c>
      <c r="T6" s="30">
        <v>-7848</v>
      </c>
      <c r="U6" s="30">
        <v>-8784</v>
      </c>
      <c r="V6" s="30">
        <v>-10061</v>
      </c>
      <c r="W6" s="30">
        <v>-9645</v>
      </c>
      <c r="X6" s="30">
        <v>-10375</v>
      </c>
      <c r="Y6" s="30">
        <v>-12682</v>
      </c>
      <c r="Z6" s="30">
        <v>-10978</v>
      </c>
      <c r="AA6" s="30">
        <v>-11901</v>
      </c>
      <c r="AB6" s="30">
        <f>-10021-3081</f>
        <v>-13102</v>
      </c>
      <c r="AC6" s="30">
        <v>-13150</v>
      </c>
      <c r="AD6" s="30">
        <v>-13790</v>
      </c>
      <c r="AE6" s="30">
        <v>-15667</v>
      </c>
      <c r="AF6" s="30">
        <v>-21939</v>
      </c>
      <c r="AG6" s="30">
        <v>-20974</v>
      </c>
      <c r="AH6" s="30">
        <v>-19713</v>
      </c>
      <c r="AI6" s="3">
        <f>'SOC Accounts'!AI69</f>
        <v>-20167.029680639876</v>
      </c>
      <c r="AJ6" s="3">
        <f>'SOC Accounts'!AJ69</f>
        <v>-21027.825861968915</v>
      </c>
      <c r="AK6" s="3">
        <f>'SOC Accounts'!AK69</f>
        <v>-21923.250920355731</v>
      </c>
      <c r="AL6" s="3">
        <f>'SOC Accounts'!AL69</f>
        <v>-22854.263960248987</v>
      </c>
      <c r="AM6" s="3">
        <f>'SOC Accounts'!AM69</f>
        <v>-23821.859764679622</v>
      </c>
      <c r="AN6" s="3">
        <f>'SOC Accounts'!AN69</f>
        <v>-25080.491918106345</v>
      </c>
      <c r="AO6" s="43"/>
    </row>
    <row r="7" spans="1:50" s="180" customFormat="1">
      <c r="A7" s="180" t="s">
        <v>116</v>
      </c>
      <c r="B7" s="30">
        <f>-4471-B10</f>
        <v>-2694</v>
      </c>
      <c r="C7" s="30">
        <f>-4788-C10</f>
        <v>-2895</v>
      </c>
      <c r="D7" s="30">
        <f>-4360-D10</f>
        <v>-2871</v>
      </c>
      <c r="E7" s="30">
        <v>-2782</v>
      </c>
      <c r="F7" s="30">
        <v>-2747</v>
      </c>
      <c r="G7" s="30">
        <v>-2472</v>
      </c>
      <c r="H7" s="30">
        <v>-2329</v>
      </c>
      <c r="I7" s="30">
        <v>-3098</v>
      </c>
      <c r="J7" s="30">
        <v>-2636</v>
      </c>
      <c r="K7" s="30">
        <v>-2965</v>
      </c>
      <c r="L7" s="30">
        <v>-2848</v>
      </c>
      <c r="M7" s="30">
        <v>-2817</v>
      </c>
      <c r="N7" s="30">
        <v>-3166</v>
      </c>
      <c r="O7" s="30">
        <v>-3106</v>
      </c>
      <c r="P7" s="30">
        <v>-3328</v>
      </c>
      <c r="Q7" s="30">
        <v>-3342</v>
      </c>
      <c r="R7" s="30">
        <f>-811-2389</f>
        <v>-3200</v>
      </c>
      <c r="S7" s="30">
        <v>-3102</v>
      </c>
      <c r="T7" s="30">
        <v>-3467</v>
      </c>
      <c r="U7" s="30">
        <v>-3516</v>
      </c>
      <c r="V7" s="30">
        <v>-3698</v>
      </c>
      <c r="W7" s="30">
        <v>-3711</v>
      </c>
      <c r="X7" s="30">
        <v>-3842</v>
      </c>
      <c r="Y7" s="30">
        <v>-4068</v>
      </c>
      <c r="Z7" s="30">
        <v>-4312</v>
      </c>
      <c r="AA7" s="30">
        <v>-4405</v>
      </c>
      <c r="AB7" s="30">
        <f>-3385-1149</f>
        <v>-4534</v>
      </c>
      <c r="AC7" s="30">
        <v>-5036</v>
      </c>
      <c r="AD7" s="30">
        <v>-5170</v>
      </c>
      <c r="AE7" s="30">
        <v>-5186</v>
      </c>
      <c r="AF7" s="30">
        <v>-5027</v>
      </c>
      <c r="AG7" s="30">
        <v>-5336</v>
      </c>
      <c r="AH7" s="30">
        <v>-5571</v>
      </c>
      <c r="AI7" s="3">
        <f>'SOC Accounts'!AI48</f>
        <v>-5926.8054635981252</v>
      </c>
      <c r="AJ7" s="3">
        <f>'SOC Accounts'!AJ48</f>
        <v>-6167.8492933742</v>
      </c>
      <c r="AK7" s="3">
        <f>'SOC Accounts'!AK48</f>
        <v>-6422.1785261842933</v>
      </c>
      <c r="AL7" s="3">
        <f>'SOC Accounts'!AL48</f>
        <v>-6690.5490524600555</v>
      </c>
      <c r="AM7" s="3">
        <f>'SOC Accounts'!AM48</f>
        <v>-6973.7599034646146</v>
      </c>
      <c r="AN7" s="3">
        <f>'SOC Accounts'!AN48</f>
        <v>-7272.6557143535938</v>
      </c>
      <c r="AO7" s="43"/>
    </row>
    <row r="8" spans="1:50" s="180" customFormat="1">
      <c r="A8" s="180" t="s">
        <v>623</v>
      </c>
      <c r="B8" s="30">
        <v>0</v>
      </c>
      <c r="C8" s="30">
        <v>0</v>
      </c>
      <c r="D8" s="30">
        <v>-2841</v>
      </c>
      <c r="E8" s="30">
        <v>-3255</v>
      </c>
      <c r="F8" s="30">
        <v>-3771</v>
      </c>
      <c r="G8" s="30">
        <v>-3683</v>
      </c>
      <c r="H8" s="30">
        <v>-3645</v>
      </c>
      <c r="I8" s="30">
        <v>-4835</v>
      </c>
      <c r="J8" s="30">
        <v>-4587</v>
      </c>
      <c r="K8" s="30">
        <v>-5013</v>
      </c>
      <c r="L8" s="30">
        <v>-4976</v>
      </c>
      <c r="M8" s="30">
        <v>-5134</v>
      </c>
      <c r="N8" s="30">
        <v>-4763</v>
      </c>
      <c r="O8" s="30">
        <v>-5029</v>
      </c>
      <c r="P8" s="30">
        <v>-5040</v>
      </c>
      <c r="Q8" s="30">
        <v>-4971</v>
      </c>
      <c r="R8" s="30">
        <f>-1088-3943</f>
        <v>-5031</v>
      </c>
      <c r="S8" s="30">
        <v>-5237</v>
      </c>
      <c r="T8" s="30">
        <v>-5003</v>
      </c>
      <c r="U8" s="30">
        <v>-4879</v>
      </c>
      <c r="V8" s="30">
        <v>-4636</v>
      </c>
      <c r="W8" s="30">
        <v>-4619</v>
      </c>
      <c r="X8" s="30">
        <v>-4867</v>
      </c>
      <c r="Y8" s="30">
        <v>-5203</v>
      </c>
      <c r="Z8" s="30">
        <v>-5198</v>
      </c>
      <c r="AA8" s="30">
        <v>-5380</v>
      </c>
      <c r="AB8" s="30">
        <f>-4564-979</f>
        <v>-5543</v>
      </c>
      <c r="AC8" s="30">
        <v>-5643</v>
      </c>
      <c r="AD8" s="30">
        <v>-5582</v>
      </c>
      <c r="AE8" s="30">
        <v>-5678</v>
      </c>
      <c r="AF8" s="30">
        <v>-5822</v>
      </c>
      <c r="AG8" s="30">
        <v>-5802</v>
      </c>
      <c r="AH8" s="30">
        <v>-5800</v>
      </c>
      <c r="AI8" s="3">
        <f>'SOC Accounts'!AI45</f>
        <v>-5800</v>
      </c>
      <c r="AJ8" s="3">
        <f>'SOC Accounts'!AJ45</f>
        <v>-5800</v>
      </c>
      <c r="AK8" s="3">
        <f>'SOC Accounts'!AK45</f>
        <v>-5800</v>
      </c>
      <c r="AL8" s="3">
        <f>'SOC Accounts'!AL45</f>
        <v>-5800</v>
      </c>
      <c r="AM8" s="3">
        <f>'SOC Accounts'!AM45</f>
        <v>-5800</v>
      </c>
      <c r="AN8" s="3">
        <f>'SOC Accounts'!AN45</f>
        <v>-5800</v>
      </c>
      <c r="AO8" s="43"/>
    </row>
    <row r="9" spans="1:50" s="180" customFormat="1">
      <c r="A9" s="180" t="s">
        <v>630</v>
      </c>
      <c r="B9" s="30">
        <v>0</v>
      </c>
      <c r="C9" s="30">
        <v>0</v>
      </c>
      <c r="D9" s="30">
        <v>0</v>
      </c>
      <c r="E9" s="30">
        <v>-371</v>
      </c>
      <c r="F9" s="30">
        <v>-410</v>
      </c>
      <c r="G9" s="30">
        <v>-951</v>
      </c>
      <c r="H9" s="30">
        <v>-1131</v>
      </c>
      <c r="I9" s="30">
        <v>-1473</v>
      </c>
      <c r="J9" s="30">
        <v>-1097</v>
      </c>
      <c r="K9" s="30">
        <v>-931</v>
      </c>
      <c r="L9" s="30">
        <v>-617</v>
      </c>
      <c r="M9" s="30">
        <v>-459</v>
      </c>
      <c r="N9" s="30">
        <v>-415</v>
      </c>
      <c r="O9" s="30">
        <v>-543</v>
      </c>
      <c r="P9" s="30">
        <v>-718</v>
      </c>
      <c r="Q9" s="30">
        <v>-739</v>
      </c>
      <c r="R9" s="30">
        <f>-142-395</f>
        <v>-537</v>
      </c>
      <c r="S9" s="30">
        <v>-537</v>
      </c>
      <c r="T9" s="30">
        <v>-677</v>
      </c>
      <c r="U9" s="30">
        <v>-742</v>
      </c>
      <c r="V9" s="30">
        <v>-783</v>
      </c>
      <c r="W9" s="30">
        <v>-863</v>
      </c>
      <c r="X9" s="30">
        <v>-834</v>
      </c>
      <c r="Y9" s="30">
        <v>-940</v>
      </c>
      <c r="Z9" s="30">
        <v>-997</v>
      </c>
      <c r="AA9" s="30">
        <v>-994</v>
      </c>
      <c r="AB9" s="30">
        <f>-750-246</f>
        <v>-996</v>
      </c>
      <c r="AC9" s="30">
        <v>-978</v>
      </c>
      <c r="AD9" s="30">
        <v>-976</v>
      </c>
      <c r="AE9" s="30">
        <v>-857</v>
      </c>
      <c r="AF9" s="30">
        <v>-800</v>
      </c>
      <c r="AG9" s="30">
        <v>-1154</v>
      </c>
      <c r="AH9" s="30">
        <v>-1407</v>
      </c>
      <c r="AI9" s="3">
        <f t="shared" ref="AI9" si="0">AH9+AH17-AI17</f>
        <v>-1051.2</v>
      </c>
      <c r="AJ9" s="3">
        <f t="shared" ref="AJ9" si="1">AI9+AI17-AJ17</f>
        <v>-829.54</v>
      </c>
      <c r="AK9" s="3">
        <f t="shared" ref="AK9" si="2">AJ9+AJ17-AK17</f>
        <v>-856.04</v>
      </c>
      <c r="AL9" s="3">
        <f t="shared" ref="AL9" si="3">AK9+AK17-AL17</f>
        <v>-869.29</v>
      </c>
      <c r="AM9" s="3">
        <f t="shared" ref="AM9" si="4">AL9+AL17-AM17</f>
        <v>-869.29</v>
      </c>
      <c r="AN9" s="3">
        <f t="shared" ref="AN9" si="5">AM9+AM17-AN17</f>
        <v>-869.29</v>
      </c>
      <c r="AO9" s="43"/>
    </row>
    <row r="10" spans="1:50" s="180" customFormat="1">
      <c r="A10" s="180" t="s">
        <v>169</v>
      </c>
      <c r="B10" s="30">
        <v>-1777</v>
      </c>
      <c r="C10" s="30">
        <v>-1893</v>
      </c>
      <c r="D10" s="30">
        <v>-1489</v>
      </c>
      <c r="E10" s="30">
        <v>-1624</v>
      </c>
      <c r="F10" s="30">
        <v>-1797</v>
      </c>
      <c r="G10" s="30">
        <v>-2277</v>
      </c>
      <c r="H10" s="30">
        <v>-2522</v>
      </c>
      <c r="I10" s="30">
        <v>-3360</v>
      </c>
      <c r="J10" s="30">
        <v>-3025</v>
      </c>
      <c r="K10" s="30">
        <v>-3026</v>
      </c>
      <c r="L10" s="30">
        <v>-3164</v>
      </c>
      <c r="M10" s="30">
        <v>-3439</v>
      </c>
      <c r="N10" s="30">
        <v>-3452</v>
      </c>
      <c r="O10" s="30">
        <v>-3746</v>
      </c>
      <c r="P10" s="30">
        <v>-4117</v>
      </c>
      <c r="Q10" s="30">
        <v>-3699</v>
      </c>
      <c r="R10" s="30">
        <f>-771-2234</f>
        <v>-3005</v>
      </c>
      <c r="S10" s="30">
        <v>-3149</v>
      </c>
      <c r="T10" s="30">
        <v>-3427</v>
      </c>
      <c r="U10" s="30">
        <v>-3863</v>
      </c>
      <c r="V10" s="30">
        <v>-4146</v>
      </c>
      <c r="W10" s="30">
        <v>-4475</v>
      </c>
      <c r="X10" s="30">
        <v>-3901</v>
      </c>
      <c r="Y10" s="30">
        <v>-4143</v>
      </c>
      <c r="Z10" s="30">
        <v>-4375</v>
      </c>
      <c r="AA10" s="30">
        <v>-4706</v>
      </c>
      <c r="AB10" s="30">
        <f>-3778-1153</f>
        <v>-4931</v>
      </c>
      <c r="AC10" s="30">
        <v>-4753</v>
      </c>
      <c r="AD10" s="30">
        <v>-5011</v>
      </c>
      <c r="AE10" s="30">
        <v>-5434</v>
      </c>
      <c r="AF10" s="30">
        <v>-5313</v>
      </c>
      <c r="AG10" s="30">
        <v>-5380</v>
      </c>
      <c r="AH10" s="30">
        <v>-5683</v>
      </c>
      <c r="AI10" s="3">
        <f>ROAFNA!AI49</f>
        <v>-5773.0911026648355</v>
      </c>
      <c r="AJ10" s="3">
        <f>ROAFNA!AJ49</f>
        <v>-5966.9839716911765</v>
      </c>
      <c r="AK10" s="3">
        <f>ROAFNA!AK49</f>
        <v>-6153.0559218147064</v>
      </c>
      <c r="AL10" s="3">
        <f>ROAFNA!AL49</f>
        <v>-6331.6224198846758</v>
      </c>
      <c r="AM10" s="3">
        <f>ROAFNA!AM49</f>
        <v>-6493.3861710800757</v>
      </c>
      <c r="AN10" s="3">
        <f>ROAFNA!AN49</f>
        <v>-6658.2250096799235</v>
      </c>
      <c r="AO10" s="43"/>
    </row>
    <row r="11" spans="1:50">
      <c r="A11" s="29" t="s">
        <v>170</v>
      </c>
      <c r="B11" s="30">
        <v>0</v>
      </c>
      <c r="C11" s="30">
        <v>0</v>
      </c>
      <c r="D11" s="30">
        <v>0</v>
      </c>
      <c r="E11" s="30">
        <v>-158</v>
      </c>
      <c r="F11" s="30">
        <v>-279</v>
      </c>
      <c r="G11" s="30">
        <f>-238-317</f>
        <v>-555</v>
      </c>
      <c r="H11" s="30">
        <f>-23+1</f>
        <v>-22</v>
      </c>
      <c r="I11" s="30">
        <f>-18-91</f>
        <v>-109</v>
      </c>
      <c r="J11" s="30">
        <v>-99</v>
      </c>
      <c r="K11" s="30">
        <v>1</v>
      </c>
      <c r="L11" s="30">
        <v>0</v>
      </c>
      <c r="M11" s="30">
        <v>-494</v>
      </c>
      <c r="N11" s="30">
        <v>-176</v>
      </c>
      <c r="O11" s="30">
        <v>0</v>
      </c>
      <c r="P11" s="30">
        <f>O11</f>
        <v>0</v>
      </c>
      <c r="Q11" s="30">
        <f>P11</f>
        <v>0</v>
      </c>
      <c r="R11" s="30">
        <v>-60</v>
      </c>
      <c r="S11" s="30">
        <v>-246</v>
      </c>
      <c r="T11" s="30">
        <v>-224</v>
      </c>
      <c r="U11" s="30">
        <v>-282</v>
      </c>
      <c r="V11" s="30">
        <v>-229</v>
      </c>
      <c r="W11" s="30">
        <v>-52</v>
      </c>
      <c r="X11" s="30">
        <f>10</f>
        <v>10</v>
      </c>
      <c r="Y11" s="30">
        <v>57</v>
      </c>
      <c r="Z11" s="30">
        <v>109</v>
      </c>
      <c r="AA11" s="30">
        <v>56</v>
      </c>
      <c r="AB11" s="30">
        <f>88-219</f>
        <v>-131</v>
      </c>
      <c r="AC11" s="30">
        <v>-188</v>
      </c>
      <c r="AD11" s="30">
        <v>-141</v>
      </c>
      <c r="AE11" s="30">
        <v>-111</v>
      </c>
      <c r="AF11" s="30">
        <v>-73</v>
      </c>
      <c r="AG11" s="30">
        <v>-120</v>
      </c>
      <c r="AH11" s="30">
        <v>-80</v>
      </c>
      <c r="AI11" s="181">
        <f t="shared" ref="AI11" si="6">AH11</f>
        <v>-80</v>
      </c>
      <c r="AJ11" s="181">
        <f t="shared" ref="AJ11" si="7">AI11</f>
        <v>-80</v>
      </c>
      <c r="AK11" s="181">
        <f t="shared" ref="AK11" si="8">AJ11</f>
        <v>-80</v>
      </c>
      <c r="AL11" s="181">
        <f t="shared" ref="AL11" si="9">AK11</f>
        <v>-80</v>
      </c>
      <c r="AM11" s="181">
        <f t="shared" ref="AM11" si="10">AL11</f>
        <v>-80</v>
      </c>
      <c r="AN11" s="181">
        <f t="shared" ref="AN11" si="11">AM11</f>
        <v>-80</v>
      </c>
    </row>
    <row r="12" spans="1:50" s="179" customFormat="1">
      <c r="A12" s="179" t="s">
        <v>117</v>
      </c>
      <c r="B12" s="108">
        <f t="shared" ref="B12:AF12" si="12">SUM(B6:B11)</f>
        <v>-7393</v>
      </c>
      <c r="C12" s="108">
        <f t="shared" si="12"/>
        <v>-7852</v>
      </c>
      <c r="D12" s="108">
        <f t="shared" si="12"/>
        <v>-9124</v>
      </c>
      <c r="E12" s="108">
        <f t="shared" si="12"/>
        <v>-10275</v>
      </c>
      <c r="F12" s="108">
        <f t="shared" si="12"/>
        <v>-11230</v>
      </c>
      <c r="G12" s="108">
        <f t="shared" si="12"/>
        <v>-12983</v>
      </c>
      <c r="H12" s="108">
        <f t="shared" si="12"/>
        <v>-12450</v>
      </c>
      <c r="I12" s="108">
        <f t="shared" si="12"/>
        <v>-16475</v>
      </c>
      <c r="J12" s="108">
        <f t="shared" si="12"/>
        <v>-14356</v>
      </c>
      <c r="K12" s="108">
        <f t="shared" si="12"/>
        <v>-14831</v>
      </c>
      <c r="L12" s="108">
        <f t="shared" si="12"/>
        <v>-14873</v>
      </c>
      <c r="M12" s="108">
        <f t="shared" si="12"/>
        <v>-15244</v>
      </c>
      <c r="N12" s="108">
        <f t="shared" si="12"/>
        <v>-15454</v>
      </c>
      <c r="O12" s="108">
        <f t="shared" si="12"/>
        <v>-16577</v>
      </c>
      <c r="P12" s="108">
        <f t="shared" si="12"/>
        <v>-17566</v>
      </c>
      <c r="Q12" s="108">
        <f t="shared" si="12"/>
        <v>-17656</v>
      </c>
      <c r="R12" s="108">
        <f t="shared" si="12"/>
        <v>-18601</v>
      </c>
      <c r="S12" s="108">
        <f t="shared" si="12"/>
        <v>-19300</v>
      </c>
      <c r="T12" s="108">
        <f t="shared" si="12"/>
        <v>-20646</v>
      </c>
      <c r="U12" s="108">
        <f t="shared" si="12"/>
        <v>-22066</v>
      </c>
      <c r="V12" s="108">
        <f t="shared" si="12"/>
        <v>-23553</v>
      </c>
      <c r="W12" s="108">
        <f t="shared" si="12"/>
        <v>-23365</v>
      </c>
      <c r="X12" s="108">
        <f t="shared" si="12"/>
        <v>-23809</v>
      </c>
      <c r="Y12" s="108">
        <f t="shared" si="12"/>
        <v>-26979</v>
      </c>
      <c r="Z12" s="108">
        <f t="shared" si="12"/>
        <v>-25751</v>
      </c>
      <c r="AA12" s="108">
        <f t="shared" si="12"/>
        <v>-27330</v>
      </c>
      <c r="AB12" s="108">
        <f t="shared" si="12"/>
        <v>-29237</v>
      </c>
      <c r="AC12" s="108">
        <f t="shared" si="12"/>
        <v>-29748</v>
      </c>
      <c r="AD12" s="108">
        <f t="shared" si="12"/>
        <v>-30670</v>
      </c>
      <c r="AE12" s="108">
        <f t="shared" si="12"/>
        <v>-32933</v>
      </c>
      <c r="AF12" s="108">
        <f t="shared" si="12"/>
        <v>-38974</v>
      </c>
      <c r="AG12" s="108">
        <f t="shared" ref="AG12" si="13">SUM(AG6:AG11)</f>
        <v>-38766</v>
      </c>
      <c r="AH12" s="108">
        <f t="shared" ref="AH12:AN12" si="14">SUM(AH6:AH11)</f>
        <v>-38254</v>
      </c>
      <c r="AI12" s="108">
        <f t="shared" si="14"/>
        <v>-38798.12624690283</v>
      </c>
      <c r="AJ12" s="108">
        <f t="shared" si="14"/>
        <v>-39872.199127034291</v>
      </c>
      <c r="AK12" s="108">
        <f t="shared" si="14"/>
        <v>-41234.525368354734</v>
      </c>
      <c r="AL12" s="108">
        <f t="shared" si="14"/>
        <v>-42625.725432593717</v>
      </c>
      <c r="AM12" s="108">
        <f t="shared" si="14"/>
        <v>-44038.295839224316</v>
      </c>
      <c r="AN12" s="108">
        <f t="shared" si="14"/>
        <v>-45760.662642139861</v>
      </c>
      <c r="AO12" s="43"/>
    </row>
    <row r="13" spans="1:50" s="180" customFormat="1">
      <c r="A13" s="179" t="s">
        <v>122</v>
      </c>
      <c r="B13" s="108">
        <f t="shared" ref="B13:AF13" si="15">B4+B12</f>
        <v>5836</v>
      </c>
      <c r="C13" s="108">
        <f t="shared" si="15"/>
        <v>6721</v>
      </c>
      <c r="D13" s="108">
        <f t="shared" si="15"/>
        <v>5779</v>
      </c>
      <c r="E13" s="108">
        <f t="shared" si="15"/>
        <v>6483</v>
      </c>
      <c r="F13" s="108">
        <f t="shared" si="15"/>
        <v>7065</v>
      </c>
      <c r="G13" s="108">
        <f t="shared" si="15"/>
        <v>7655</v>
      </c>
      <c r="H13" s="108">
        <f t="shared" si="15"/>
        <v>10097</v>
      </c>
      <c r="I13" s="108">
        <f t="shared" si="15"/>
        <v>12167</v>
      </c>
      <c r="J13" s="108">
        <f t="shared" si="15"/>
        <v>9868</v>
      </c>
      <c r="K13" s="108">
        <f t="shared" si="15"/>
        <v>9975</v>
      </c>
      <c r="L13" s="108">
        <f t="shared" si="15"/>
        <v>10971</v>
      </c>
      <c r="M13" s="108">
        <f t="shared" si="15"/>
        <v>10495</v>
      </c>
      <c r="N13" s="108">
        <f t="shared" si="15"/>
        <v>11319</v>
      </c>
      <c r="O13" s="108">
        <f t="shared" si="15"/>
        <v>12259</v>
      </c>
      <c r="P13" s="108">
        <f t="shared" si="15"/>
        <v>11525</v>
      </c>
      <c r="Q13" s="108">
        <f t="shared" si="15"/>
        <v>11675</v>
      </c>
      <c r="R13" s="108">
        <f t="shared" si="15"/>
        <v>11785</v>
      </c>
      <c r="S13" s="108">
        <f t="shared" si="15"/>
        <v>9137</v>
      </c>
      <c r="T13" s="108">
        <f t="shared" si="15"/>
        <v>9370</v>
      </c>
      <c r="U13" s="108">
        <f t="shared" si="15"/>
        <v>8862</v>
      </c>
      <c r="V13" s="108">
        <f t="shared" si="15"/>
        <v>10391</v>
      </c>
      <c r="W13" s="108">
        <f t="shared" si="15"/>
        <v>9819</v>
      </c>
      <c r="X13" s="108">
        <f t="shared" si="15"/>
        <v>12283</v>
      </c>
      <c r="Y13" s="108">
        <f t="shared" si="15"/>
        <v>11226</v>
      </c>
      <c r="Z13" s="108">
        <f t="shared" si="15"/>
        <v>11472</v>
      </c>
      <c r="AA13" s="108">
        <f>AA4+AA12</f>
        <v>11929</v>
      </c>
      <c r="AB13" s="108">
        <f t="shared" si="15"/>
        <v>11849</v>
      </c>
      <c r="AC13" s="108">
        <f>AC4+AC12</f>
        <v>10885</v>
      </c>
      <c r="AD13" s="108">
        <f>AD4+AD12</f>
        <v>11235</v>
      </c>
      <c r="AE13" s="108">
        <f t="shared" si="15"/>
        <v>12446</v>
      </c>
      <c r="AF13" s="108">
        <f t="shared" si="15"/>
        <v>12129</v>
      </c>
      <c r="AG13" s="108">
        <f t="shared" ref="AG13" si="16">AG4+AG12</f>
        <v>11689</v>
      </c>
      <c r="AH13" s="108">
        <f t="shared" ref="AH13:AN13" si="17">AH4+AH12</f>
        <v>12550</v>
      </c>
      <c r="AI13" s="108">
        <f>AI4+AI12</f>
        <v>13671.868577590372</v>
      </c>
      <c r="AJ13" s="108">
        <f t="shared" si="17"/>
        <v>14718.257987893994</v>
      </c>
      <c r="AK13" s="108">
        <f t="shared" si="17"/>
        <v>15578.424032612478</v>
      </c>
      <c r="AL13" s="108">
        <f t="shared" si="17"/>
        <v>16516.47618290675</v>
      </c>
      <c r="AM13" s="108">
        <f t="shared" si="17"/>
        <v>17544.889907811201</v>
      </c>
      <c r="AN13" s="108">
        <f t="shared" si="17"/>
        <v>18633.887604695243</v>
      </c>
      <c r="AO13" s="43"/>
    </row>
    <row r="14" spans="1:50" s="180" customFormat="1">
      <c r="A14" s="180" t="s">
        <v>100</v>
      </c>
      <c r="B14" s="30">
        <v>-962</v>
      </c>
      <c r="C14" s="30">
        <v>-1110</v>
      </c>
      <c r="D14" s="30">
        <v>-826</v>
      </c>
      <c r="E14" s="30">
        <v>-1016</v>
      </c>
      <c r="F14" s="30">
        <v>-1135</v>
      </c>
      <c r="G14" s="30">
        <v>-1202</v>
      </c>
      <c r="H14" s="30">
        <v>-1512</v>
      </c>
      <c r="I14" s="30">
        <f>-1341-378</f>
        <v>-1719</v>
      </c>
      <c r="J14" s="30">
        <v>-1418</v>
      </c>
      <c r="K14" s="30">
        <v>-1138</v>
      </c>
      <c r="L14" s="30">
        <v>-1478</v>
      </c>
      <c r="M14" s="30">
        <v>-1652</v>
      </c>
      <c r="N14" s="30">
        <v>-1967</v>
      </c>
      <c r="O14" s="30">
        <v>-2102</v>
      </c>
      <c r="P14" s="30">
        <v>-1878</v>
      </c>
      <c r="Q14" s="30">
        <v>-1909</v>
      </c>
      <c r="R14" s="30">
        <f>-1514-338</f>
        <v>-1852</v>
      </c>
      <c r="S14" s="30">
        <v>-1554</v>
      </c>
      <c r="T14" s="30">
        <v>-1597</v>
      </c>
      <c r="U14" s="30">
        <v>-1528</v>
      </c>
      <c r="V14" s="30">
        <v>-1772</v>
      </c>
      <c r="W14" s="30">
        <v>-1649</v>
      </c>
      <c r="X14" s="30">
        <v>-2048</v>
      </c>
      <c r="Y14" s="30">
        <v>-1865</v>
      </c>
      <c r="Z14" s="30">
        <v>-1895</v>
      </c>
      <c r="AA14" s="30">
        <v>-1989</v>
      </c>
      <c r="AB14" s="30">
        <f>-1589-412</f>
        <v>-2001</v>
      </c>
      <c r="AC14" s="30">
        <v>-1853</v>
      </c>
      <c r="AD14" s="30">
        <v>-1904</v>
      </c>
      <c r="AE14" s="30">
        <v>-2100</v>
      </c>
      <c r="AF14" s="30">
        <v>-1924</v>
      </c>
      <c r="AG14" s="30">
        <v>-1933</v>
      </c>
      <c r="AH14" s="30">
        <v>-2112</v>
      </c>
      <c r="AI14" s="3">
        <f>-AI13*AI15</f>
        <v>-2300.7957319419015</v>
      </c>
      <c r="AJ14" s="3">
        <f t="shared" ref="AJ14:AN14" si="18">-AJ13*AJ15</f>
        <v>-2476.8893123850289</v>
      </c>
      <c r="AK14" s="3">
        <f t="shared" si="18"/>
        <v>-2621.6439487551834</v>
      </c>
      <c r="AL14" s="3">
        <f t="shared" si="18"/>
        <v>-2779.5057926931518</v>
      </c>
      <c r="AM14" s="3">
        <f t="shared" si="18"/>
        <v>-2952.5743016173114</v>
      </c>
      <c r="AN14" s="3">
        <f t="shared" si="18"/>
        <v>-3135.8382965032952</v>
      </c>
      <c r="AO14" s="43"/>
    </row>
    <row r="15" spans="1:50" s="180" customFormat="1">
      <c r="A15" s="180" t="s">
        <v>171</v>
      </c>
      <c r="B15" s="131">
        <f t="shared" ref="B15:AF15" si="19">-B14/B13</f>
        <v>0.1648389307745031</v>
      </c>
      <c r="C15" s="131">
        <f t="shared" si="19"/>
        <v>0.16515399494122898</v>
      </c>
      <c r="D15" s="131">
        <f t="shared" si="19"/>
        <v>0.14293130299359752</v>
      </c>
      <c r="E15" s="131">
        <f t="shared" si="19"/>
        <v>0.15671756902668518</v>
      </c>
      <c r="F15" s="131">
        <f t="shared" si="19"/>
        <v>0.16065109695682944</v>
      </c>
      <c r="G15" s="131">
        <f t="shared" si="19"/>
        <v>0.15702155453951666</v>
      </c>
      <c r="H15" s="131">
        <f t="shared" si="19"/>
        <v>0.14974744973754581</v>
      </c>
      <c r="I15" s="131">
        <f t="shared" si="19"/>
        <v>0.14128380044382347</v>
      </c>
      <c r="J15" s="131">
        <f t="shared" si="19"/>
        <v>0.14369679773003649</v>
      </c>
      <c r="K15" s="131">
        <f t="shared" si="19"/>
        <v>0.11408521303258146</v>
      </c>
      <c r="L15" s="131">
        <f t="shared" si="19"/>
        <v>0.1347188041199526</v>
      </c>
      <c r="M15" s="131">
        <f t="shared" si="19"/>
        <v>0.15740828966174369</v>
      </c>
      <c r="N15" s="131">
        <f t="shared" si="19"/>
        <v>0.17377860235003093</v>
      </c>
      <c r="O15" s="131">
        <f t="shared" si="19"/>
        <v>0.17146586181580881</v>
      </c>
      <c r="P15" s="131">
        <f t="shared" si="19"/>
        <v>0.16295010845986985</v>
      </c>
      <c r="Q15" s="131">
        <f t="shared" si="19"/>
        <v>0.1635117773019272</v>
      </c>
      <c r="R15" s="131">
        <f t="shared" si="19"/>
        <v>0.15714891811624948</v>
      </c>
      <c r="S15" s="131">
        <f t="shared" si="19"/>
        <v>0.17007770603042574</v>
      </c>
      <c r="T15" s="131">
        <f t="shared" si="19"/>
        <v>0.17043756670224119</v>
      </c>
      <c r="U15" s="131">
        <f t="shared" si="19"/>
        <v>0.17242157526517715</v>
      </c>
      <c r="V15" s="131">
        <f t="shared" si="19"/>
        <v>0.17053219131941103</v>
      </c>
      <c r="W15" s="131">
        <f t="shared" si="19"/>
        <v>0.16793970872797637</v>
      </c>
      <c r="X15" s="131">
        <f t="shared" si="19"/>
        <v>0.16673451111292029</v>
      </c>
      <c r="Y15" s="131">
        <f t="shared" si="19"/>
        <v>0.16613219312310706</v>
      </c>
      <c r="Z15" s="131">
        <f t="shared" si="19"/>
        <v>0.16518479776847977</v>
      </c>
      <c r="AA15" s="131">
        <f t="shared" si="19"/>
        <v>0.16673652443624781</v>
      </c>
      <c r="AB15" s="131">
        <f t="shared" si="19"/>
        <v>0.16887501054941345</v>
      </c>
      <c r="AC15" s="131">
        <f t="shared" si="19"/>
        <v>0.17023426734037667</v>
      </c>
      <c r="AD15" s="131">
        <f t="shared" si="19"/>
        <v>0.16947040498442367</v>
      </c>
      <c r="AE15" s="131">
        <f t="shared" si="19"/>
        <v>0.1687289088863892</v>
      </c>
      <c r="AF15" s="131">
        <f t="shared" si="19"/>
        <v>0.15862808145766344</v>
      </c>
      <c r="AG15" s="131">
        <f t="shared" ref="AG15:AH15" si="20">-AG14/AG13</f>
        <v>0.16536915048336043</v>
      </c>
      <c r="AH15" s="131">
        <f t="shared" si="20"/>
        <v>0.16828685258964143</v>
      </c>
      <c r="AI15" s="230">
        <f t="shared" ref="AI15" si="21">AH15</f>
        <v>0.16828685258964143</v>
      </c>
      <c r="AJ15" s="230">
        <f t="shared" ref="AJ15" si="22">AI15</f>
        <v>0.16828685258964143</v>
      </c>
      <c r="AK15" s="230">
        <f t="shared" ref="AK15" si="23">AJ15</f>
        <v>0.16828685258964143</v>
      </c>
      <c r="AL15" s="230">
        <f t="shared" ref="AL15" si="24">AK15</f>
        <v>0.16828685258964143</v>
      </c>
      <c r="AM15" s="230">
        <f t="shared" ref="AM15" si="25">AL15</f>
        <v>0.16828685258964143</v>
      </c>
      <c r="AN15" s="230">
        <f t="shared" ref="AN15" si="26">AM15</f>
        <v>0.16828685258964143</v>
      </c>
      <c r="AO15" s="43"/>
    </row>
    <row r="16" spans="1:50" s="180" customFormat="1">
      <c r="A16" s="179" t="s">
        <v>172</v>
      </c>
      <c r="B16" s="108">
        <f t="shared" ref="B16:AF16" si="27">B13+B14</f>
        <v>4874</v>
      </c>
      <c r="C16" s="108">
        <f t="shared" si="27"/>
        <v>5611</v>
      </c>
      <c r="D16" s="108">
        <f t="shared" si="27"/>
        <v>4953</v>
      </c>
      <c r="E16" s="108">
        <f t="shared" si="27"/>
        <v>5467</v>
      </c>
      <c r="F16" s="108">
        <f t="shared" si="27"/>
        <v>5930</v>
      </c>
      <c r="G16" s="108">
        <f t="shared" si="27"/>
        <v>6453</v>
      </c>
      <c r="H16" s="108">
        <f t="shared" si="27"/>
        <v>8585</v>
      </c>
      <c r="I16" s="108">
        <f t="shared" si="27"/>
        <v>10448</v>
      </c>
      <c r="J16" s="108">
        <f t="shared" si="27"/>
        <v>8450</v>
      </c>
      <c r="K16" s="108">
        <f t="shared" si="27"/>
        <v>8837</v>
      </c>
      <c r="L16" s="108">
        <f t="shared" si="27"/>
        <v>9493</v>
      </c>
      <c r="M16" s="108">
        <f t="shared" si="27"/>
        <v>8843</v>
      </c>
      <c r="N16" s="108">
        <f t="shared" si="27"/>
        <v>9352</v>
      </c>
      <c r="O16" s="108">
        <f t="shared" si="27"/>
        <v>10157</v>
      </c>
      <c r="P16" s="108">
        <f t="shared" si="27"/>
        <v>9647</v>
      </c>
      <c r="Q16" s="108">
        <f t="shared" si="27"/>
        <v>9766</v>
      </c>
      <c r="R16" s="108">
        <f t="shared" si="27"/>
        <v>9933</v>
      </c>
      <c r="S16" s="108">
        <f t="shared" si="27"/>
        <v>7583</v>
      </c>
      <c r="T16" s="108">
        <f t="shared" si="27"/>
        <v>7773</v>
      </c>
      <c r="U16" s="108">
        <f t="shared" si="27"/>
        <v>7334</v>
      </c>
      <c r="V16" s="108">
        <f t="shared" si="27"/>
        <v>8619</v>
      </c>
      <c r="W16" s="108">
        <f t="shared" si="27"/>
        <v>8170</v>
      </c>
      <c r="X16" s="108">
        <f t="shared" si="27"/>
        <v>10235</v>
      </c>
      <c r="Y16" s="108">
        <f t="shared" si="27"/>
        <v>9361</v>
      </c>
      <c r="Z16" s="108">
        <f t="shared" si="27"/>
        <v>9577</v>
      </c>
      <c r="AA16" s="108">
        <f t="shared" si="27"/>
        <v>9940</v>
      </c>
      <c r="AB16" s="108">
        <f t="shared" si="27"/>
        <v>9848</v>
      </c>
      <c r="AC16" s="108">
        <f t="shared" si="27"/>
        <v>9032</v>
      </c>
      <c r="AD16" s="108">
        <f t="shared" si="27"/>
        <v>9331</v>
      </c>
      <c r="AE16" s="108">
        <f t="shared" si="27"/>
        <v>10346</v>
      </c>
      <c r="AF16" s="108">
        <f t="shared" si="27"/>
        <v>10205</v>
      </c>
      <c r="AG16" s="108">
        <f t="shared" ref="AG16" si="28">AG13+AG14</f>
        <v>9756</v>
      </c>
      <c r="AH16" s="108">
        <f t="shared" ref="AH16:AN16" si="29">AH13+AH14</f>
        <v>10438</v>
      </c>
      <c r="AI16" s="108">
        <f t="shared" si="29"/>
        <v>11371.07284564847</v>
      </c>
      <c r="AJ16" s="108">
        <f t="shared" si="29"/>
        <v>12241.368675508966</v>
      </c>
      <c r="AK16" s="108">
        <f t="shared" si="29"/>
        <v>12956.780083857295</v>
      </c>
      <c r="AL16" s="108">
        <f t="shared" si="29"/>
        <v>13736.970390213599</v>
      </c>
      <c r="AM16" s="108">
        <f t="shared" si="29"/>
        <v>14592.31560619389</v>
      </c>
      <c r="AN16" s="108">
        <f t="shared" si="29"/>
        <v>15498.049308191949</v>
      </c>
      <c r="AO16" s="43"/>
    </row>
    <row r="17" spans="1:41" s="180" customFormat="1">
      <c r="A17" s="180" t="s">
        <v>629</v>
      </c>
      <c r="B17" s="30">
        <v>455</v>
      </c>
      <c r="C17" s="30">
        <v>463</v>
      </c>
      <c r="D17" s="30">
        <v>511</v>
      </c>
      <c r="E17" s="30">
        <v>813</v>
      </c>
      <c r="F17" s="30">
        <v>1138</v>
      </c>
      <c r="G17" s="30">
        <v>1283</v>
      </c>
      <c r="H17" s="30">
        <v>1246</v>
      </c>
      <c r="I17" s="30">
        <v>1479</v>
      </c>
      <c r="J17" s="30">
        <v>1170</v>
      </c>
      <c r="K17" s="30">
        <v>1005</v>
      </c>
      <c r="L17" s="30">
        <v>818</v>
      </c>
      <c r="M17" s="30">
        <v>679</v>
      </c>
      <c r="N17" s="30">
        <v>679</v>
      </c>
      <c r="O17" s="30">
        <v>769</v>
      </c>
      <c r="P17" s="30">
        <v>754</v>
      </c>
      <c r="Q17" s="30">
        <v>728</v>
      </c>
      <c r="R17" s="30">
        <f>165+443</f>
        <v>608</v>
      </c>
      <c r="S17" s="30">
        <v>625</v>
      </c>
      <c r="T17" s="30">
        <v>763</v>
      </c>
      <c r="U17" s="30">
        <v>841</v>
      </c>
      <c r="V17" s="30">
        <v>859</v>
      </c>
      <c r="W17" s="30">
        <v>887</v>
      </c>
      <c r="X17" s="30">
        <v>856</v>
      </c>
      <c r="Y17" s="30">
        <v>920</v>
      </c>
      <c r="Z17" s="30">
        <v>952</v>
      </c>
      <c r="AA17" s="30">
        <v>976</v>
      </c>
      <c r="AB17" s="30">
        <f>266+789</f>
        <v>1055</v>
      </c>
      <c r="AC17" s="30">
        <v>1100</v>
      </c>
      <c r="AD17" s="30">
        <v>1111</v>
      </c>
      <c r="AE17" s="30">
        <v>1018</v>
      </c>
      <c r="AF17" s="30">
        <v>1115</v>
      </c>
      <c r="AG17" s="30">
        <v>1539</v>
      </c>
      <c r="AH17" s="30">
        <v>1700</v>
      </c>
      <c r="AI17" s="3">
        <f>-ROAFNA!AI41</f>
        <v>1344.2</v>
      </c>
      <c r="AJ17" s="3">
        <f>-ROAFNA!AJ41</f>
        <v>1122.54</v>
      </c>
      <c r="AK17" s="3">
        <f>-ROAFNA!AK41</f>
        <v>1149.04</v>
      </c>
      <c r="AL17" s="3">
        <f>-ROAFNA!AL41</f>
        <v>1162.29</v>
      </c>
      <c r="AM17" s="3">
        <f>-ROAFNA!AM41</f>
        <v>1162.29</v>
      </c>
      <c r="AN17" s="3">
        <f>-ROAFNA!AN41</f>
        <v>1162.29</v>
      </c>
      <c r="AO17" s="43"/>
    </row>
    <row r="18" spans="1:41" s="180" customFormat="1">
      <c r="A18" s="180" t="s">
        <v>749</v>
      </c>
      <c r="B18" s="30"/>
      <c r="C18" s="30"/>
      <c r="D18" s="30"/>
      <c r="E18" s="30"/>
      <c r="F18" s="30"/>
      <c r="G18" s="30"/>
      <c r="H18" s="30"/>
      <c r="I18" s="30"/>
      <c r="J18" s="30"/>
      <c r="K18" s="30"/>
      <c r="L18" s="30"/>
      <c r="M18" s="30"/>
      <c r="N18" s="30"/>
      <c r="O18" s="30"/>
      <c r="P18" s="30"/>
      <c r="Q18" s="30"/>
      <c r="R18" s="30"/>
      <c r="S18" s="30">
        <v>-41</v>
      </c>
      <c r="T18" s="30">
        <v>-43</v>
      </c>
      <c r="U18" s="30">
        <v>-45</v>
      </c>
      <c r="V18" s="30">
        <v>-47</v>
      </c>
      <c r="W18" s="30">
        <v>-48</v>
      </c>
      <c r="X18" s="30">
        <v>-49</v>
      </c>
      <c r="Y18" s="30">
        <v>-51</v>
      </c>
      <c r="Z18" s="30">
        <v>-53</v>
      </c>
      <c r="AA18" s="30">
        <v>-54</v>
      </c>
      <c r="AB18" s="30">
        <f>-16-89</f>
        <v>-105</v>
      </c>
      <c r="AC18" s="30">
        <v>-392</v>
      </c>
      <c r="AD18" s="30">
        <v>-416</v>
      </c>
      <c r="AE18" s="30">
        <v>-438</v>
      </c>
      <c r="AF18" s="30">
        <v>-448</v>
      </c>
      <c r="AG18" s="30">
        <v>-642</v>
      </c>
      <c r="AH18" s="30">
        <v>-481</v>
      </c>
      <c r="AI18" s="3">
        <f t="shared" ref="AI18" si="30">+AH18</f>
        <v>-481</v>
      </c>
      <c r="AJ18" s="3">
        <f t="shared" ref="AJ18" si="31">+AI18</f>
        <v>-481</v>
      </c>
      <c r="AK18" s="3">
        <f t="shared" ref="AK18" si="32">+AJ18</f>
        <v>-481</v>
      </c>
      <c r="AL18" s="3">
        <f t="shared" ref="AL18" si="33">+AK18</f>
        <v>-481</v>
      </c>
      <c r="AM18" s="3">
        <f t="shared" ref="AM18" si="34">+AL18</f>
        <v>-481</v>
      </c>
      <c r="AN18" s="3">
        <f t="shared" ref="AN18" si="35">+AM18</f>
        <v>-481</v>
      </c>
      <c r="AO18" s="182"/>
    </row>
    <row r="19" spans="1:41" s="180" customFormat="1">
      <c r="A19" s="180" t="s">
        <v>173</v>
      </c>
      <c r="B19" s="30"/>
      <c r="C19" s="30"/>
      <c r="D19" s="30"/>
      <c r="E19" s="30"/>
      <c r="F19" s="30"/>
      <c r="G19" s="30"/>
      <c r="H19" s="30"/>
      <c r="I19" s="30">
        <f>2+1</f>
        <v>3</v>
      </c>
      <c r="J19" s="30">
        <v>10</v>
      </c>
      <c r="K19" s="30">
        <v>8</v>
      </c>
      <c r="L19" s="30">
        <v>1</v>
      </c>
      <c r="M19" s="30">
        <v>0</v>
      </c>
      <c r="N19" s="30">
        <v>0</v>
      </c>
      <c r="O19" s="30">
        <v>12</v>
      </c>
      <c r="P19" s="30">
        <v>35</v>
      </c>
      <c r="Q19" s="30">
        <v>33</v>
      </c>
      <c r="R19" s="30">
        <v>2</v>
      </c>
      <c r="S19" s="30">
        <v>0</v>
      </c>
      <c r="T19" s="30">
        <v>0</v>
      </c>
      <c r="U19" s="30">
        <v>0</v>
      </c>
      <c r="V19" s="30">
        <f>U19</f>
        <v>0</v>
      </c>
      <c r="W19" s="30">
        <f>V19</f>
        <v>0</v>
      </c>
      <c r="X19" s="30">
        <f>W19</f>
        <v>0</v>
      </c>
      <c r="Y19" s="30">
        <f>X19</f>
        <v>0</v>
      </c>
      <c r="Z19" s="30">
        <f>Y19</f>
        <v>0</v>
      </c>
      <c r="AA19" s="30">
        <v>0</v>
      </c>
      <c r="AB19" s="30">
        <v>1</v>
      </c>
      <c r="AC19" s="30">
        <v>4</v>
      </c>
      <c r="AD19" s="3">
        <v>0</v>
      </c>
      <c r="AE19" s="3">
        <f>AD19</f>
        <v>0</v>
      </c>
      <c r="AF19" s="30">
        <v>4</v>
      </c>
      <c r="AG19" s="30">
        <v>37</v>
      </c>
      <c r="AH19" s="30">
        <v>39</v>
      </c>
      <c r="AI19" s="3">
        <v>0</v>
      </c>
      <c r="AJ19" s="3">
        <v>0</v>
      </c>
      <c r="AK19" s="3">
        <v>0</v>
      </c>
      <c r="AL19" s="3">
        <v>0</v>
      </c>
      <c r="AM19" s="3">
        <v>0</v>
      </c>
      <c r="AN19" s="3">
        <v>0</v>
      </c>
      <c r="AO19" s="43"/>
    </row>
    <row r="20" spans="1:41" s="180" customFormat="1">
      <c r="A20" s="180" t="s">
        <v>174</v>
      </c>
      <c r="B20" s="30">
        <v>-211</v>
      </c>
      <c r="C20" s="30">
        <v>-246</v>
      </c>
      <c r="D20" s="30">
        <v>-79</v>
      </c>
      <c r="E20" s="30">
        <v>-78</v>
      </c>
      <c r="F20" s="30">
        <v>-19</v>
      </c>
      <c r="G20" s="30">
        <v>-22</v>
      </c>
      <c r="H20" s="30">
        <f>G20</f>
        <v>-22</v>
      </c>
      <c r="I20" s="30">
        <f>-21-4</f>
        <v>-25</v>
      </c>
      <c r="J20" s="30">
        <v>-16</v>
      </c>
      <c r="K20" s="30">
        <v>-69</v>
      </c>
      <c r="L20" s="30">
        <v>-5</v>
      </c>
      <c r="M20" s="30">
        <v>367</v>
      </c>
      <c r="N20" s="30">
        <v>35</v>
      </c>
      <c r="O20" s="30">
        <v>-188</v>
      </c>
      <c r="P20" s="30">
        <v>-186</v>
      </c>
      <c r="Q20" s="30">
        <v>-160</v>
      </c>
      <c r="R20" s="30">
        <f>-92-33</f>
        <v>-125</v>
      </c>
      <c r="S20" s="30">
        <v>-115</v>
      </c>
      <c r="T20" s="30">
        <v>-73</v>
      </c>
      <c r="U20" s="30">
        <v>-62</v>
      </c>
      <c r="V20" s="30">
        <v>-43</v>
      </c>
      <c r="W20" s="30">
        <v>-64</v>
      </c>
      <c r="X20" s="30">
        <v>-54</v>
      </c>
      <c r="Y20" s="30">
        <v>-68</v>
      </c>
      <c r="Z20" s="30">
        <v>-69</v>
      </c>
      <c r="AA20" s="30">
        <v>-79</v>
      </c>
      <c r="AB20" s="30">
        <v>-43</v>
      </c>
      <c r="AC20" s="3">
        <v>0</v>
      </c>
      <c r="AD20" s="3">
        <f>AC20</f>
        <v>0</v>
      </c>
      <c r="AE20" s="3">
        <f>AD20</f>
        <v>0</v>
      </c>
      <c r="AF20" s="3">
        <f>AE20</f>
        <v>0</v>
      </c>
      <c r="AG20" s="3">
        <v>0</v>
      </c>
      <c r="AH20" s="3">
        <f t="shared" ref="AH20" si="36">AG20</f>
        <v>0</v>
      </c>
      <c r="AI20" s="3">
        <f t="shared" ref="AI20" si="37">AH20</f>
        <v>0</v>
      </c>
      <c r="AJ20" s="3">
        <f t="shared" ref="AJ20" si="38">AI20</f>
        <v>0</v>
      </c>
      <c r="AK20" s="3">
        <f t="shared" ref="AK20" si="39">AJ20</f>
        <v>0</v>
      </c>
      <c r="AL20" s="3">
        <f t="shared" ref="AL20" si="40">AK20</f>
        <v>0</v>
      </c>
      <c r="AM20" s="3">
        <f t="shared" ref="AM20" si="41">AL20</f>
        <v>0</v>
      </c>
      <c r="AN20" s="3">
        <f t="shared" ref="AN20" si="42">AM20</f>
        <v>0</v>
      </c>
      <c r="AO20" s="43"/>
    </row>
    <row r="21" spans="1:41" s="180" customFormat="1">
      <c r="A21" s="271" t="s">
        <v>175</v>
      </c>
      <c r="B21" s="112">
        <f t="shared" ref="B21:AF21" si="43">SUM(B16:B20)</f>
        <v>5118</v>
      </c>
      <c r="C21" s="112">
        <f t="shared" si="43"/>
        <v>5828</v>
      </c>
      <c r="D21" s="112">
        <f t="shared" si="43"/>
        <v>5385</v>
      </c>
      <c r="E21" s="112">
        <f t="shared" si="43"/>
        <v>6202</v>
      </c>
      <c r="F21" s="112">
        <f t="shared" si="43"/>
        <v>7049</v>
      </c>
      <c r="G21" s="112">
        <f t="shared" si="43"/>
        <v>7714</v>
      </c>
      <c r="H21" s="112">
        <f t="shared" si="43"/>
        <v>9809</v>
      </c>
      <c r="I21" s="112">
        <f t="shared" si="43"/>
        <v>11905</v>
      </c>
      <c r="J21" s="112">
        <f t="shared" si="43"/>
        <v>9614</v>
      </c>
      <c r="K21" s="112">
        <f t="shared" si="43"/>
        <v>9781</v>
      </c>
      <c r="L21" s="112">
        <f t="shared" si="43"/>
        <v>10307</v>
      </c>
      <c r="M21" s="112">
        <f t="shared" si="43"/>
        <v>9889</v>
      </c>
      <c r="N21" s="112">
        <f t="shared" si="43"/>
        <v>10066</v>
      </c>
      <c r="O21" s="112">
        <f t="shared" si="43"/>
        <v>10750</v>
      </c>
      <c r="P21" s="112">
        <f t="shared" si="43"/>
        <v>10250</v>
      </c>
      <c r="Q21" s="112">
        <f t="shared" si="43"/>
        <v>10367</v>
      </c>
      <c r="R21" s="112">
        <f t="shared" si="43"/>
        <v>10418</v>
      </c>
      <c r="S21" s="112">
        <f t="shared" si="43"/>
        <v>8052</v>
      </c>
      <c r="T21" s="112">
        <f t="shared" si="43"/>
        <v>8420</v>
      </c>
      <c r="U21" s="112">
        <f t="shared" si="43"/>
        <v>8068</v>
      </c>
      <c r="V21" s="112">
        <f t="shared" si="43"/>
        <v>9388</v>
      </c>
      <c r="W21" s="112">
        <f t="shared" si="43"/>
        <v>8945</v>
      </c>
      <c r="X21" s="112">
        <f t="shared" si="43"/>
        <v>10988</v>
      </c>
      <c r="Y21" s="112">
        <f t="shared" si="43"/>
        <v>10162</v>
      </c>
      <c r="Z21" s="112">
        <f t="shared" si="43"/>
        <v>10407</v>
      </c>
      <c r="AA21" s="112">
        <f t="shared" si="43"/>
        <v>10783</v>
      </c>
      <c r="AB21" s="112">
        <f t="shared" si="43"/>
        <v>10756</v>
      </c>
      <c r="AC21" s="112">
        <f t="shared" si="43"/>
        <v>9744</v>
      </c>
      <c r="AD21" s="112">
        <f t="shared" si="43"/>
        <v>10026</v>
      </c>
      <c r="AE21" s="112">
        <f>SUM(AE16:AE20)</f>
        <v>10926</v>
      </c>
      <c r="AF21" s="112">
        <f t="shared" si="43"/>
        <v>10876</v>
      </c>
      <c r="AG21" s="112">
        <f t="shared" ref="AG21" si="44">SUM(AG16:AG20)</f>
        <v>10690</v>
      </c>
      <c r="AH21" s="112">
        <f>SUM(AH16:AH20)</f>
        <v>11696</v>
      </c>
      <c r="AI21" s="112">
        <f t="shared" ref="AI21:AN21" si="45">SUM(AI16:AI20)</f>
        <v>12234.272845648471</v>
      </c>
      <c r="AJ21" s="112">
        <f t="shared" si="45"/>
        <v>12882.908675508967</v>
      </c>
      <c r="AK21" s="112">
        <f t="shared" si="45"/>
        <v>13624.820083857296</v>
      </c>
      <c r="AL21" s="112">
        <f t="shared" si="45"/>
        <v>14418.2603902136</v>
      </c>
      <c r="AM21" s="112">
        <f t="shared" si="45"/>
        <v>15273.605606193891</v>
      </c>
      <c r="AN21" s="112">
        <f t="shared" si="45"/>
        <v>16179.339308191949</v>
      </c>
      <c r="AO21" s="43"/>
    </row>
    <row r="22" spans="1:41" s="180" customFormat="1">
      <c r="A22" s="180" t="s">
        <v>362</v>
      </c>
      <c r="B22" s="30">
        <v>0</v>
      </c>
      <c r="C22" s="30">
        <v>0</v>
      </c>
      <c r="D22" s="30">
        <v>0</v>
      </c>
      <c r="E22" s="30">
        <v>0</v>
      </c>
      <c r="F22" s="30">
        <v>0</v>
      </c>
      <c r="G22" s="30">
        <v>0</v>
      </c>
      <c r="H22" s="30">
        <v>0</v>
      </c>
      <c r="I22" s="30">
        <v>0</v>
      </c>
      <c r="J22" s="30">
        <v>0</v>
      </c>
      <c r="K22" s="30">
        <v>0</v>
      </c>
      <c r="L22" s="30">
        <v>0</v>
      </c>
      <c r="M22" s="30">
        <v>0</v>
      </c>
      <c r="N22" s="30">
        <v>0</v>
      </c>
      <c r="O22" s="30">
        <v>0</v>
      </c>
      <c r="P22" s="30">
        <v>0</v>
      </c>
      <c r="Q22" s="30">
        <v>0</v>
      </c>
      <c r="R22" s="30">
        <v>0</v>
      </c>
      <c r="S22" s="30">
        <v>0</v>
      </c>
      <c r="T22" s="30">
        <v>0</v>
      </c>
      <c r="U22" s="30">
        <v>0</v>
      </c>
      <c r="V22" s="30">
        <v>0</v>
      </c>
      <c r="W22" s="30">
        <v>0</v>
      </c>
      <c r="X22" s="30">
        <v>0</v>
      </c>
      <c r="Y22" s="30">
        <v>0</v>
      </c>
      <c r="Z22" s="30">
        <v>0</v>
      </c>
      <c r="AA22" s="30">
        <v>0</v>
      </c>
      <c r="AB22" s="30">
        <v>0</v>
      </c>
      <c r="AC22" s="30">
        <v>0</v>
      </c>
      <c r="AD22" s="30">
        <v>0</v>
      </c>
      <c r="AE22" s="30">
        <v>0</v>
      </c>
      <c r="AF22" s="30">
        <v>0</v>
      </c>
      <c r="AG22" s="30">
        <v>0</v>
      </c>
      <c r="AH22" s="30">
        <v>0</v>
      </c>
      <c r="AI22" s="30">
        <v>0</v>
      </c>
      <c r="AJ22" s="30">
        <v>0</v>
      </c>
      <c r="AK22" s="30">
        <v>0</v>
      </c>
      <c r="AL22" s="30">
        <v>0</v>
      </c>
      <c r="AM22" s="30">
        <v>0</v>
      </c>
      <c r="AN22" s="30">
        <v>0</v>
      </c>
      <c r="AO22" s="43"/>
    </row>
    <row r="23" spans="1:41" s="180" customFormat="1">
      <c r="A23" s="180" t="s">
        <v>176</v>
      </c>
      <c r="B23" s="30">
        <f t="shared" ref="B23:AF23" si="46">B25-B21-B22</f>
        <v>-373</v>
      </c>
      <c r="C23" s="30">
        <f t="shared" si="46"/>
        <v>-625</v>
      </c>
      <c r="D23" s="30">
        <f t="shared" si="46"/>
        <v>493</v>
      </c>
      <c r="E23" s="30">
        <f t="shared" si="46"/>
        <v>525</v>
      </c>
      <c r="F23" s="30">
        <f t="shared" si="46"/>
        <v>493</v>
      </c>
      <c r="G23" s="30">
        <f t="shared" si="46"/>
        <v>320.50100000000111</v>
      </c>
      <c r="H23" s="30">
        <f t="shared" si="46"/>
        <v>-1556.2821363636376</v>
      </c>
      <c r="I23" s="30">
        <f t="shared" si="46"/>
        <v>-1497</v>
      </c>
      <c r="J23" s="30">
        <f t="shared" si="46"/>
        <v>-1230</v>
      </c>
      <c r="K23" s="30">
        <f t="shared" si="46"/>
        <v>-1201</v>
      </c>
      <c r="L23" s="30">
        <f t="shared" si="46"/>
        <v>-1420</v>
      </c>
      <c r="M23" s="30">
        <f t="shared" si="46"/>
        <v>-572</v>
      </c>
      <c r="N23" s="30">
        <f t="shared" si="46"/>
        <v>-219</v>
      </c>
      <c r="O23" s="30">
        <f t="shared" si="46"/>
        <v>-527</v>
      </c>
      <c r="P23" s="30">
        <f t="shared" si="46"/>
        <v>202</v>
      </c>
      <c r="Q23" s="30">
        <f t="shared" si="46"/>
        <v>353</v>
      </c>
      <c r="R23" s="30">
        <f>R25-R21-R22</f>
        <v>-133</v>
      </c>
      <c r="S23" s="30">
        <f t="shared" si="46"/>
        <v>103</v>
      </c>
      <c r="T23" s="30">
        <f t="shared" si="46"/>
        <v>148</v>
      </c>
      <c r="U23" s="30">
        <f t="shared" si="46"/>
        <v>868</v>
      </c>
      <c r="V23" s="30">
        <f t="shared" si="46"/>
        <v>-75</v>
      </c>
      <c r="W23" s="30">
        <f t="shared" si="46"/>
        <v>693</v>
      </c>
      <c r="X23" s="30">
        <f t="shared" si="46"/>
        <v>-1030</v>
      </c>
      <c r="Y23" s="30">
        <f t="shared" si="46"/>
        <v>124</v>
      </c>
      <c r="Z23" s="30">
        <f t="shared" si="46"/>
        <v>151</v>
      </c>
      <c r="AA23" s="30">
        <f t="shared" si="46"/>
        <v>42</v>
      </c>
      <c r="AB23" s="30">
        <f t="shared" si="46"/>
        <v>-191</v>
      </c>
      <c r="AC23" s="30">
        <f t="shared" si="46"/>
        <v>-526</v>
      </c>
      <c r="AD23" s="30">
        <f t="shared" si="46"/>
        <v>-519</v>
      </c>
      <c r="AE23" s="30">
        <f t="shared" si="46"/>
        <v>-1072</v>
      </c>
      <c r="AF23" s="30">
        <f t="shared" si="46"/>
        <v>-531</v>
      </c>
      <c r="AG23" s="30">
        <f t="shared" ref="AG23:AH23" si="47">AG25-AG21-AG22</f>
        <v>168</v>
      </c>
      <c r="AH23" s="30">
        <f t="shared" si="47"/>
        <v>-425</v>
      </c>
      <c r="AI23" s="3">
        <f>MIN(AI25-AI21-AI22,('SOC Accounts'!AH21+'SOC Accounts'!AI20+'SOC Accounts'!AI19))</f>
        <v>-592.07648975506345</v>
      </c>
      <c r="AJ23" s="3">
        <f>MIN(AJ25-AJ21-AJ22,('SOC Accounts'!AI21+'SOC Accounts'!AJ20+'SOC Accounts'!AJ19))</f>
        <v>-863.91532258979896</v>
      </c>
      <c r="AK23" s="3">
        <f>MIN(AK25-AK21-AK22,('SOC Accounts'!AJ21+'SOC Accounts'!AK20+'SOC Accounts'!AK19))</f>
        <v>-1244.2283266783634</v>
      </c>
      <c r="AL23" s="3">
        <f>MIN(AL25-AL21-AL22,('SOC Accounts'!AK21+'SOC Accounts'!AL20+'SOC Accounts'!AL19))</f>
        <v>-1700.1757667026413</v>
      </c>
      <c r="AM23" s="3">
        <f>MIN(AM25-AM21-AM22,('SOC Accounts'!AL21+'SOC Accounts'!AM20+'SOC Accounts'!AM19))</f>
        <v>-2231.64132632152</v>
      </c>
      <c r="AN23" s="3">
        <f>MIN(AN25-AN21-AN22,('SOC Accounts'!AM21+'SOC Accounts'!AN20+'SOC Accounts'!AN19))</f>
        <v>-2817.0394755499801</v>
      </c>
      <c r="AO23" s="43"/>
    </row>
    <row r="24" spans="1:41" s="180" customFormat="1">
      <c r="A24" s="180" t="s">
        <v>60</v>
      </c>
      <c r="B24" s="30"/>
      <c r="C24" s="30"/>
      <c r="D24" s="30"/>
      <c r="E24" s="30"/>
      <c r="F24" s="30"/>
      <c r="G24" s="30"/>
      <c r="H24" s="30"/>
      <c r="I24" s="30"/>
      <c r="J24" s="30"/>
      <c r="K24" s="30"/>
      <c r="L24" s="30"/>
      <c r="M24" s="30"/>
      <c r="N24" s="30"/>
      <c r="O24" s="30"/>
      <c r="P24" s="30"/>
      <c r="Q24" s="30"/>
      <c r="R24" s="30"/>
      <c r="S24" s="30"/>
      <c r="T24" s="30"/>
      <c r="U24" s="30"/>
      <c r="V24" s="30">
        <f t="shared" ref="V24:AB24" si="48">V25-V21-V22-V23</f>
        <v>0</v>
      </c>
      <c r="W24" s="30">
        <f t="shared" si="48"/>
        <v>0</v>
      </c>
      <c r="X24" s="30">
        <f t="shared" si="48"/>
        <v>0</v>
      </c>
      <c r="Y24" s="30">
        <f t="shared" si="48"/>
        <v>0</v>
      </c>
      <c r="Z24" s="30">
        <f t="shared" si="48"/>
        <v>0</v>
      </c>
      <c r="AA24" s="30">
        <f t="shared" si="48"/>
        <v>0</v>
      </c>
      <c r="AB24" s="30">
        <f t="shared" si="48"/>
        <v>0</v>
      </c>
      <c r="AC24" s="30">
        <v>0</v>
      </c>
      <c r="AD24" s="30">
        <f>+AC24</f>
        <v>0</v>
      </c>
      <c r="AE24" s="30">
        <f t="shared" ref="AE24:AG24" si="49">+AD24</f>
        <v>0</v>
      </c>
      <c r="AF24" s="30">
        <f t="shared" si="49"/>
        <v>0</v>
      </c>
      <c r="AG24" s="30">
        <f t="shared" si="49"/>
        <v>0</v>
      </c>
      <c r="AH24" s="30">
        <f t="shared" ref="AH24" si="50">+AG24</f>
        <v>0</v>
      </c>
      <c r="AI24" s="30">
        <f t="shared" ref="AI24" si="51">+AH24</f>
        <v>0</v>
      </c>
      <c r="AJ24" s="30">
        <f t="shared" ref="AJ24" si="52">+AI24</f>
        <v>0</v>
      </c>
      <c r="AK24" s="30">
        <f t="shared" ref="AK24" si="53">+AJ24</f>
        <v>0</v>
      </c>
      <c r="AL24" s="30">
        <f t="shared" ref="AL24" si="54">+AK24</f>
        <v>0</v>
      </c>
      <c r="AM24" s="30">
        <f t="shared" ref="AM24" si="55">+AL24</f>
        <v>0</v>
      </c>
      <c r="AN24" s="30">
        <f t="shared" ref="AN24" si="56">+AM24</f>
        <v>0</v>
      </c>
      <c r="AO24" s="43"/>
    </row>
    <row r="25" spans="1:41" s="180" customFormat="1" ht="13.5" thickBot="1">
      <c r="A25" s="281" t="s">
        <v>177</v>
      </c>
      <c r="B25" s="282">
        <f>ROAFNA!B14</f>
        <v>4745</v>
      </c>
      <c r="C25" s="282">
        <f>ROAFNA!C14</f>
        <v>5203</v>
      </c>
      <c r="D25" s="282">
        <f>ROAFNA!D14</f>
        <v>5878</v>
      </c>
      <c r="E25" s="282">
        <f>ROAFNA!E14</f>
        <v>6727</v>
      </c>
      <c r="F25" s="282">
        <f>ROAFNA!F14</f>
        <v>7542</v>
      </c>
      <c r="G25" s="282">
        <f>ROAFNA!G14</f>
        <v>8034.5010000000011</v>
      </c>
      <c r="H25" s="282">
        <f>ROAFNA!H14</f>
        <v>8252.7178636363624</v>
      </c>
      <c r="I25" s="282">
        <f>ROAFNA!I14</f>
        <v>10408</v>
      </c>
      <c r="J25" s="282">
        <f>ROAFNA!J14</f>
        <v>8384</v>
      </c>
      <c r="K25" s="282">
        <f>ROAFNA!K14</f>
        <v>8580</v>
      </c>
      <c r="L25" s="282">
        <f>ROAFNA!L14</f>
        <v>8887</v>
      </c>
      <c r="M25" s="282">
        <f>ROAFNA!M14</f>
        <v>9317</v>
      </c>
      <c r="N25" s="282">
        <f>ROAFNA!N14</f>
        <v>9847</v>
      </c>
      <c r="O25" s="282">
        <f>ROAFNA!O14</f>
        <v>10223</v>
      </c>
      <c r="P25" s="282">
        <f>ROAFNA!P14</f>
        <v>10452</v>
      </c>
      <c r="Q25" s="282">
        <f>ROAFNA!Q14</f>
        <v>10720</v>
      </c>
      <c r="R25" s="282">
        <f>ROAFNA!R14</f>
        <v>10285</v>
      </c>
      <c r="S25" s="282">
        <f>ROAFNA!S14</f>
        <v>8155</v>
      </c>
      <c r="T25" s="282">
        <f>ROAFNA!T14</f>
        <v>8568</v>
      </c>
      <c r="U25" s="282">
        <f>ROAFNA!U14</f>
        <v>8936</v>
      </c>
      <c r="V25" s="282">
        <f>ROAFNA!V14</f>
        <v>9313</v>
      </c>
      <c r="W25" s="282">
        <f>ROAFNA!W14</f>
        <v>9638</v>
      </c>
      <c r="X25" s="282">
        <f>ROAFNA!X14</f>
        <v>9958</v>
      </c>
      <c r="Y25" s="282">
        <f>ROAFNA!Y14</f>
        <v>10286</v>
      </c>
      <c r="Z25" s="282">
        <f>ROAFNA!Z14</f>
        <v>10558</v>
      </c>
      <c r="AA25" s="282">
        <f>ROAFNA!AA14</f>
        <v>10825</v>
      </c>
      <c r="AB25" s="282">
        <f>ROAFNA!AB14</f>
        <v>10565</v>
      </c>
      <c r="AC25" s="282">
        <f>ROAFNA!AC14</f>
        <v>9218</v>
      </c>
      <c r="AD25" s="282">
        <f>ROAFNA!AD14</f>
        <v>9507</v>
      </c>
      <c r="AE25" s="282">
        <f>ROAFNA!AE14</f>
        <v>9854</v>
      </c>
      <c r="AF25" s="282">
        <f>ROAFNA!AF14</f>
        <v>10345</v>
      </c>
      <c r="AG25" s="282">
        <f>ROAFNA!AG14</f>
        <v>10858</v>
      </c>
      <c r="AH25" s="282">
        <f>ROAFNA!AH14</f>
        <v>11271</v>
      </c>
      <c r="AI25" s="282">
        <f>ROAFNA!AI14</f>
        <v>11642.196355893408</v>
      </c>
      <c r="AJ25" s="282">
        <f>ROAFNA!AJ14</f>
        <v>12018.993352919168</v>
      </c>
      <c r="AK25" s="282">
        <f>ROAFNA!AK14</f>
        <v>12380.591757178932</v>
      </c>
      <c r="AL25" s="282">
        <f>ROAFNA!AL14</f>
        <v>12718.084623510958</v>
      </c>
      <c r="AM25" s="282">
        <f>ROAFNA!AM14</f>
        <v>13041.964279872371</v>
      </c>
      <c r="AN25" s="282">
        <f>ROAFNA!AN14</f>
        <v>13362.299832641969</v>
      </c>
      <c r="AO25" s="43"/>
    </row>
    <row r="26" spans="1:41" s="180" customFormat="1" ht="13.5" thickTop="1">
      <c r="A26" s="180" t="s">
        <v>629</v>
      </c>
      <c r="B26" s="30">
        <f t="shared" ref="B26:AF26" si="57">-B17</f>
        <v>-455</v>
      </c>
      <c r="C26" s="30">
        <f t="shared" si="57"/>
        <v>-463</v>
      </c>
      <c r="D26" s="30">
        <f t="shared" si="57"/>
        <v>-511</v>
      </c>
      <c r="E26" s="30">
        <f t="shared" si="57"/>
        <v>-813</v>
      </c>
      <c r="F26" s="30">
        <f t="shared" si="57"/>
        <v>-1138</v>
      </c>
      <c r="G26" s="30">
        <f t="shared" si="57"/>
        <v>-1283</v>
      </c>
      <c r="H26" s="30">
        <f t="shared" si="57"/>
        <v>-1246</v>
      </c>
      <c r="I26" s="30">
        <f t="shared" si="57"/>
        <v>-1479</v>
      </c>
      <c r="J26" s="30">
        <f t="shared" si="57"/>
        <v>-1170</v>
      </c>
      <c r="K26" s="30">
        <f t="shared" si="57"/>
        <v>-1005</v>
      </c>
      <c r="L26" s="30">
        <f t="shared" si="57"/>
        <v>-818</v>
      </c>
      <c r="M26" s="30">
        <f t="shared" si="57"/>
        <v>-679</v>
      </c>
      <c r="N26" s="30">
        <f t="shared" si="57"/>
        <v>-679</v>
      </c>
      <c r="O26" s="30">
        <f t="shared" si="57"/>
        <v>-769</v>
      </c>
      <c r="P26" s="30">
        <f t="shared" si="57"/>
        <v>-754</v>
      </c>
      <c r="Q26" s="30">
        <f t="shared" si="57"/>
        <v>-728</v>
      </c>
      <c r="R26" s="30">
        <f t="shared" si="57"/>
        <v>-608</v>
      </c>
      <c r="S26" s="30">
        <f t="shared" si="57"/>
        <v>-625</v>
      </c>
      <c r="T26" s="30">
        <f t="shared" si="57"/>
        <v>-763</v>
      </c>
      <c r="U26" s="30">
        <f t="shared" si="57"/>
        <v>-841</v>
      </c>
      <c r="V26" s="30">
        <f t="shared" si="57"/>
        <v>-859</v>
      </c>
      <c r="W26" s="30">
        <f t="shared" si="57"/>
        <v>-887</v>
      </c>
      <c r="X26" s="30">
        <f t="shared" si="57"/>
        <v>-856</v>
      </c>
      <c r="Y26" s="30">
        <f t="shared" si="57"/>
        <v>-920</v>
      </c>
      <c r="Z26" s="30">
        <f t="shared" si="57"/>
        <v>-952</v>
      </c>
      <c r="AA26" s="30">
        <f t="shared" si="57"/>
        <v>-976</v>
      </c>
      <c r="AB26" s="30">
        <f t="shared" si="57"/>
        <v>-1055</v>
      </c>
      <c r="AC26" s="30">
        <f t="shared" si="57"/>
        <v>-1100</v>
      </c>
      <c r="AD26" s="30">
        <f t="shared" si="57"/>
        <v>-1111</v>
      </c>
      <c r="AE26" s="30">
        <f t="shared" si="57"/>
        <v>-1018</v>
      </c>
      <c r="AF26" s="30">
        <f t="shared" si="57"/>
        <v>-1115</v>
      </c>
      <c r="AG26" s="30">
        <f t="shared" ref="AG26" si="58">-AG17</f>
        <v>-1539</v>
      </c>
      <c r="AH26" s="30">
        <f t="shared" ref="AH26:AN26" si="59">-AH17</f>
        <v>-1700</v>
      </c>
      <c r="AI26" s="30">
        <f t="shared" si="59"/>
        <v>-1344.2</v>
      </c>
      <c r="AJ26" s="30">
        <f t="shared" si="59"/>
        <v>-1122.54</v>
      </c>
      <c r="AK26" s="30">
        <f t="shared" si="59"/>
        <v>-1149.04</v>
      </c>
      <c r="AL26" s="30">
        <f t="shared" si="59"/>
        <v>-1162.29</v>
      </c>
      <c r="AM26" s="30">
        <f t="shared" si="59"/>
        <v>-1162.29</v>
      </c>
      <c r="AN26" s="30">
        <f t="shared" si="59"/>
        <v>-1162.29</v>
      </c>
      <c r="AO26" s="43"/>
    </row>
    <row r="27" spans="1:41" s="180" customFormat="1">
      <c r="A27" s="180" t="s">
        <v>284</v>
      </c>
      <c r="B27" s="30"/>
      <c r="C27" s="30"/>
      <c r="D27" s="30"/>
      <c r="E27" s="30"/>
      <c r="F27" s="30"/>
      <c r="G27" s="30"/>
      <c r="H27" s="30"/>
      <c r="I27" s="30"/>
      <c r="J27" s="30"/>
      <c r="K27" s="30"/>
      <c r="L27" s="30"/>
      <c r="M27" s="30"/>
      <c r="N27" s="30"/>
      <c r="O27" s="30"/>
      <c r="P27" s="30"/>
      <c r="Q27" s="30"/>
      <c r="R27" s="30"/>
      <c r="S27" s="30">
        <f t="shared" ref="S27:AF27" si="60">-S18</f>
        <v>41</v>
      </c>
      <c r="T27" s="30">
        <f t="shared" si="60"/>
        <v>43</v>
      </c>
      <c r="U27" s="30">
        <f t="shared" si="60"/>
        <v>45</v>
      </c>
      <c r="V27" s="30">
        <f t="shared" si="60"/>
        <v>47</v>
      </c>
      <c r="W27" s="30">
        <f t="shared" si="60"/>
        <v>48</v>
      </c>
      <c r="X27" s="30">
        <f t="shared" si="60"/>
        <v>49</v>
      </c>
      <c r="Y27" s="30">
        <f t="shared" si="60"/>
        <v>51</v>
      </c>
      <c r="Z27" s="30">
        <f t="shared" si="60"/>
        <v>53</v>
      </c>
      <c r="AA27" s="30">
        <f t="shared" si="60"/>
        <v>54</v>
      </c>
      <c r="AB27" s="30">
        <f t="shared" si="60"/>
        <v>105</v>
      </c>
      <c r="AC27" s="30">
        <f t="shared" si="60"/>
        <v>392</v>
      </c>
      <c r="AD27" s="30">
        <f t="shared" si="60"/>
        <v>416</v>
      </c>
      <c r="AE27" s="30">
        <f t="shared" si="60"/>
        <v>438</v>
      </c>
      <c r="AF27" s="30">
        <f t="shared" si="60"/>
        <v>448</v>
      </c>
      <c r="AG27" s="30">
        <f t="shared" ref="AG27" si="61">-AG18</f>
        <v>642</v>
      </c>
      <c r="AH27" s="30">
        <f t="shared" ref="AH27:AN27" si="62">-AH18</f>
        <v>481</v>
      </c>
      <c r="AI27" s="30">
        <f t="shared" si="62"/>
        <v>481</v>
      </c>
      <c r="AJ27" s="30">
        <f t="shared" si="62"/>
        <v>481</v>
      </c>
      <c r="AK27" s="30">
        <f t="shared" si="62"/>
        <v>481</v>
      </c>
      <c r="AL27" s="30">
        <f t="shared" si="62"/>
        <v>481</v>
      </c>
      <c r="AM27" s="30">
        <f t="shared" si="62"/>
        <v>481</v>
      </c>
      <c r="AN27" s="30">
        <f t="shared" si="62"/>
        <v>481</v>
      </c>
      <c r="AO27" s="43"/>
    </row>
    <row r="28" spans="1:41" s="180" customFormat="1">
      <c r="A28" s="180" t="s">
        <v>178</v>
      </c>
      <c r="B28" s="30">
        <v>0</v>
      </c>
      <c r="C28" s="30">
        <v>0</v>
      </c>
      <c r="D28" s="30">
        <v>0</v>
      </c>
      <c r="E28" s="30">
        <v>0</v>
      </c>
      <c r="F28" s="30">
        <v>0</v>
      </c>
      <c r="G28" s="30">
        <v>0</v>
      </c>
      <c r="H28" s="30">
        <v>0</v>
      </c>
      <c r="I28" s="30">
        <v>-3</v>
      </c>
      <c r="J28" s="30">
        <f t="shared" ref="J28:R28" si="63">-J19</f>
        <v>-10</v>
      </c>
      <c r="K28" s="30">
        <f t="shared" si="63"/>
        <v>-8</v>
      </c>
      <c r="L28" s="30">
        <f t="shared" si="63"/>
        <v>-1</v>
      </c>
      <c r="M28" s="30">
        <f t="shared" si="63"/>
        <v>0</v>
      </c>
      <c r="N28" s="30">
        <f t="shared" si="63"/>
        <v>0</v>
      </c>
      <c r="O28" s="30">
        <f t="shared" si="63"/>
        <v>-12</v>
      </c>
      <c r="P28" s="30">
        <f t="shared" si="63"/>
        <v>-35</v>
      </c>
      <c r="Q28" s="30">
        <f t="shared" si="63"/>
        <v>-33</v>
      </c>
      <c r="R28" s="30">
        <f t="shared" si="63"/>
        <v>-2</v>
      </c>
      <c r="S28" s="30">
        <f t="shared" ref="S28:AF28" si="64">-S19</f>
        <v>0</v>
      </c>
      <c r="T28" s="30">
        <f t="shared" si="64"/>
        <v>0</v>
      </c>
      <c r="U28" s="30">
        <f t="shared" si="64"/>
        <v>0</v>
      </c>
      <c r="V28" s="30">
        <f t="shared" si="64"/>
        <v>0</v>
      </c>
      <c r="W28" s="30">
        <f t="shared" si="64"/>
        <v>0</v>
      </c>
      <c r="X28" s="30">
        <f t="shared" si="64"/>
        <v>0</v>
      </c>
      <c r="Y28" s="30">
        <f t="shared" si="64"/>
        <v>0</v>
      </c>
      <c r="Z28" s="30">
        <f t="shared" si="64"/>
        <v>0</v>
      </c>
      <c r="AA28" s="30">
        <f t="shared" si="64"/>
        <v>0</v>
      </c>
      <c r="AB28" s="30">
        <f t="shared" si="64"/>
        <v>-1</v>
      </c>
      <c r="AC28" s="30">
        <f t="shared" si="64"/>
        <v>-4</v>
      </c>
      <c r="AD28" s="30">
        <f t="shared" si="64"/>
        <v>0</v>
      </c>
      <c r="AE28" s="30">
        <f t="shared" si="64"/>
        <v>0</v>
      </c>
      <c r="AF28" s="30">
        <f t="shared" si="64"/>
        <v>-4</v>
      </c>
      <c r="AG28" s="30">
        <f t="shared" ref="AG28" si="65">-AG19</f>
        <v>-37</v>
      </c>
      <c r="AH28" s="30">
        <f t="shared" ref="AH28:AN28" si="66">-AH19</f>
        <v>-39</v>
      </c>
      <c r="AI28" s="30">
        <f t="shared" si="66"/>
        <v>0</v>
      </c>
      <c r="AJ28" s="30">
        <f t="shared" si="66"/>
        <v>0</v>
      </c>
      <c r="AK28" s="30">
        <f t="shared" si="66"/>
        <v>0</v>
      </c>
      <c r="AL28" s="30">
        <f t="shared" si="66"/>
        <v>0</v>
      </c>
      <c r="AM28" s="30">
        <f t="shared" si="66"/>
        <v>0</v>
      </c>
      <c r="AN28" s="30">
        <f t="shared" si="66"/>
        <v>0</v>
      </c>
      <c r="AO28" s="43"/>
    </row>
    <row r="29" spans="1:41" s="180" customFormat="1">
      <c r="A29" s="180" t="s">
        <v>179</v>
      </c>
      <c r="B29" s="30">
        <v>0</v>
      </c>
      <c r="C29" s="30">
        <v>0</v>
      </c>
      <c r="D29" s="30">
        <v>0</v>
      </c>
      <c r="E29" s="30">
        <v>0</v>
      </c>
      <c r="F29" s="30">
        <v>0</v>
      </c>
      <c r="G29" s="30">
        <v>0</v>
      </c>
      <c r="H29" s="30">
        <v>0</v>
      </c>
      <c r="I29" s="30">
        <v>0</v>
      </c>
      <c r="J29" s="30">
        <v>0</v>
      </c>
      <c r="K29" s="30">
        <v>0</v>
      </c>
      <c r="L29" s="30">
        <v>0</v>
      </c>
      <c r="M29" s="30">
        <v>0</v>
      </c>
      <c r="N29" s="30">
        <v>0</v>
      </c>
      <c r="O29" s="30">
        <v>0</v>
      </c>
      <c r="P29" s="30">
        <v>0</v>
      </c>
      <c r="Q29" s="30">
        <v>0</v>
      </c>
      <c r="R29" s="30">
        <v>0</v>
      </c>
      <c r="S29" s="30">
        <v>0</v>
      </c>
      <c r="T29" s="30">
        <v>0</v>
      </c>
      <c r="U29" s="30">
        <v>0</v>
      </c>
      <c r="V29" s="30">
        <f t="shared" ref="V29:AG29" si="67">U29</f>
        <v>0</v>
      </c>
      <c r="W29" s="30">
        <f t="shared" si="67"/>
        <v>0</v>
      </c>
      <c r="X29" s="30">
        <f t="shared" si="67"/>
        <v>0</v>
      </c>
      <c r="Y29" s="30">
        <f t="shared" si="67"/>
        <v>0</v>
      </c>
      <c r="Z29" s="30">
        <f t="shared" si="67"/>
        <v>0</v>
      </c>
      <c r="AA29" s="30">
        <f t="shared" si="67"/>
        <v>0</v>
      </c>
      <c r="AB29" s="30">
        <f t="shared" si="67"/>
        <v>0</v>
      </c>
      <c r="AC29" s="30">
        <f t="shared" si="67"/>
        <v>0</v>
      </c>
      <c r="AD29" s="30">
        <f t="shared" si="67"/>
        <v>0</v>
      </c>
      <c r="AE29" s="30">
        <f t="shared" si="67"/>
        <v>0</v>
      </c>
      <c r="AF29" s="30">
        <f t="shared" si="67"/>
        <v>0</v>
      </c>
      <c r="AG29" s="30">
        <f t="shared" si="67"/>
        <v>0</v>
      </c>
      <c r="AH29" s="30">
        <f t="shared" ref="AH29" si="68">AG29</f>
        <v>0</v>
      </c>
      <c r="AI29" s="30">
        <f t="shared" ref="AI29" si="69">AH29</f>
        <v>0</v>
      </c>
      <c r="AJ29" s="30">
        <f t="shared" ref="AJ29" si="70">AI29</f>
        <v>0</v>
      </c>
      <c r="AK29" s="30">
        <f t="shared" ref="AK29" si="71">AJ29</f>
        <v>0</v>
      </c>
      <c r="AL29" s="30">
        <f t="shared" ref="AL29" si="72">AK29</f>
        <v>0</v>
      </c>
      <c r="AM29" s="30">
        <f t="shared" ref="AM29" si="73">AL29</f>
        <v>0</v>
      </c>
      <c r="AN29" s="30">
        <f t="shared" ref="AN29" si="74">AM29</f>
        <v>0</v>
      </c>
      <c r="AO29" s="43"/>
    </row>
    <row r="30" spans="1:41" s="180" customFormat="1">
      <c r="A30" s="180" t="s">
        <v>180</v>
      </c>
      <c r="B30" s="30">
        <v>-243</v>
      </c>
      <c r="C30" s="30">
        <v>-283</v>
      </c>
      <c r="D30" s="30">
        <v>-272</v>
      </c>
      <c r="E30" s="30">
        <v>-215</v>
      </c>
      <c r="F30" s="30">
        <v>-174</v>
      </c>
      <c r="G30" s="30">
        <v>-134</v>
      </c>
      <c r="H30" s="30">
        <v>-158</v>
      </c>
      <c r="I30" s="30">
        <v>-290</v>
      </c>
      <c r="J30" s="30">
        <v>-280</v>
      </c>
      <c r="K30" s="30">
        <v>-305</v>
      </c>
      <c r="L30" s="30">
        <v>-319</v>
      </c>
      <c r="M30" s="30">
        <v>-287</v>
      </c>
      <c r="N30" s="30">
        <v>-253</v>
      </c>
      <c r="O30" s="30">
        <v>-274</v>
      </c>
      <c r="P30" s="30">
        <v>-265</v>
      </c>
      <c r="Q30" s="30">
        <v>-202</v>
      </c>
      <c r="R30" s="30">
        <v>-132</v>
      </c>
      <c r="S30" s="30">
        <v>-3</v>
      </c>
      <c r="T30" s="30">
        <v>-3</v>
      </c>
      <c r="U30" s="30">
        <v>-2</v>
      </c>
      <c r="V30" s="30">
        <v>-2</v>
      </c>
      <c r="W30" s="30">
        <v>-1</v>
      </c>
      <c r="X30" s="30">
        <v>8</v>
      </c>
      <c r="Y30" s="30">
        <v>-2</v>
      </c>
      <c r="Z30" s="30">
        <v>-2</v>
      </c>
      <c r="AA30" s="30">
        <v>-4</v>
      </c>
      <c r="AB30" s="30">
        <f>-4-7</f>
        <v>-11</v>
      </c>
      <c r="AC30" s="30">
        <v>-22</v>
      </c>
      <c r="AD30" s="30">
        <v>-18</v>
      </c>
      <c r="AE30" s="30">
        <v>-3</v>
      </c>
      <c r="AF30" s="30">
        <v>-40</v>
      </c>
      <c r="AG30" s="30">
        <v>-114</v>
      </c>
      <c r="AH30" s="30">
        <v>-124</v>
      </c>
      <c r="AI30" s="3">
        <f>-'SOC Accounts'!AI32</f>
        <v>0</v>
      </c>
      <c r="AJ30" s="3">
        <f>-'SOC Accounts'!AJ32</f>
        <v>0</v>
      </c>
      <c r="AK30" s="3">
        <f>-'SOC Accounts'!AK32</f>
        <v>0</v>
      </c>
      <c r="AL30" s="3">
        <f>-'SOC Accounts'!AL32</f>
        <v>0</v>
      </c>
      <c r="AM30" s="3">
        <f>-'SOC Accounts'!AM32</f>
        <v>0</v>
      </c>
      <c r="AN30" s="3">
        <f>-'SOC Accounts'!AN32</f>
        <v>0</v>
      </c>
      <c r="AO30" s="43"/>
    </row>
    <row r="31" spans="1:41" s="180" customFormat="1">
      <c r="A31" s="271" t="s">
        <v>181</v>
      </c>
      <c r="B31" s="112">
        <f t="shared" ref="B31:I31" si="75">SUM(B25:B30)</f>
        <v>4047</v>
      </c>
      <c r="C31" s="112">
        <f t="shared" si="75"/>
        <v>4457</v>
      </c>
      <c r="D31" s="112">
        <f t="shared" si="75"/>
        <v>5095</v>
      </c>
      <c r="E31" s="112">
        <f t="shared" si="75"/>
        <v>5699</v>
      </c>
      <c r="F31" s="112">
        <f t="shared" si="75"/>
        <v>6230</v>
      </c>
      <c r="G31" s="112">
        <f t="shared" si="75"/>
        <v>6617.5010000000011</v>
      </c>
      <c r="H31" s="112">
        <f t="shared" si="75"/>
        <v>6848.7178636363624</v>
      </c>
      <c r="I31" s="112">
        <f t="shared" si="75"/>
        <v>8636</v>
      </c>
      <c r="J31" s="112">
        <f>SUM(J25:J30)+J32</f>
        <v>6924</v>
      </c>
      <c r="K31" s="112">
        <f t="shared" ref="K31:W31" si="76">SUM(K25:K30)</f>
        <v>7262</v>
      </c>
      <c r="L31" s="112">
        <f t="shared" si="76"/>
        <v>7749</v>
      </c>
      <c r="M31" s="112">
        <f t="shared" si="76"/>
        <v>8351</v>
      </c>
      <c r="N31" s="112">
        <f t="shared" si="76"/>
        <v>8915</v>
      </c>
      <c r="O31" s="112">
        <f t="shared" si="76"/>
        <v>9168</v>
      </c>
      <c r="P31" s="112">
        <f t="shared" si="76"/>
        <v>9398</v>
      </c>
      <c r="Q31" s="112">
        <f t="shared" si="76"/>
        <v>9757</v>
      </c>
      <c r="R31" s="112">
        <f t="shared" si="76"/>
        <v>9543</v>
      </c>
      <c r="S31" s="112">
        <f t="shared" si="76"/>
        <v>7568</v>
      </c>
      <c r="T31" s="112">
        <f t="shared" si="76"/>
        <v>7845</v>
      </c>
      <c r="U31" s="112">
        <f t="shared" si="76"/>
        <v>8138</v>
      </c>
      <c r="V31" s="112">
        <f t="shared" si="76"/>
        <v>8499</v>
      </c>
      <c r="W31" s="112">
        <f t="shared" si="76"/>
        <v>8798</v>
      </c>
      <c r="X31" s="112">
        <f>SUM(X26:X30)+MIN(X21,X25)</f>
        <v>9159</v>
      </c>
      <c r="Y31" s="112">
        <f t="shared" ref="Y31:AE31" si="77">SUM(Y26:Y30)+MIN(SUM(Y21:Y24),Y25)</f>
        <v>9415</v>
      </c>
      <c r="Z31" s="112">
        <f t="shared" si="77"/>
        <v>9657</v>
      </c>
      <c r="AA31" s="112">
        <f t="shared" si="77"/>
        <v>9899</v>
      </c>
      <c r="AB31" s="112">
        <f t="shared" si="77"/>
        <v>9603</v>
      </c>
      <c r="AC31" s="112">
        <f t="shared" si="77"/>
        <v>8484</v>
      </c>
      <c r="AD31" s="112">
        <f t="shared" si="77"/>
        <v>8794</v>
      </c>
      <c r="AE31" s="112">
        <f t="shared" si="77"/>
        <v>9271</v>
      </c>
      <c r="AF31" s="112">
        <f t="shared" ref="AF31" si="78">SUM(AF26:AF30)+MIN(SUM(AF21:AF24),AF25)</f>
        <v>9634</v>
      </c>
      <c r="AG31" s="112">
        <f t="shared" ref="AG31" si="79">SUM(AG26:AG30)+MIN(SUM(AG21:AG24),AG25)</f>
        <v>9810</v>
      </c>
      <c r="AH31" s="112">
        <f t="shared" ref="AH31:AN31" si="80">SUM(AH26:AH30)+MIN(SUM(AH21:AH24),AH25)</f>
        <v>9889</v>
      </c>
      <c r="AI31" s="112">
        <f t="shared" si="80"/>
        <v>10778.996355893407</v>
      </c>
      <c r="AJ31" s="112">
        <f t="shared" si="80"/>
        <v>11377.453352919169</v>
      </c>
      <c r="AK31" s="112">
        <f t="shared" si="80"/>
        <v>11712.551757178931</v>
      </c>
      <c r="AL31" s="112">
        <f t="shared" si="80"/>
        <v>12036.794623510959</v>
      </c>
      <c r="AM31" s="112">
        <f t="shared" si="80"/>
        <v>12360.674279872372</v>
      </c>
      <c r="AN31" s="112">
        <f t="shared" si="80"/>
        <v>12681.009832641968</v>
      </c>
      <c r="AO31" s="43"/>
    </row>
    <row r="32" spans="1:41">
      <c r="A32" s="29" t="s">
        <v>747</v>
      </c>
      <c r="B32" s="32"/>
      <c r="C32" s="183"/>
      <c r="D32" s="183"/>
      <c r="E32" s="183"/>
      <c r="F32" s="32"/>
      <c r="G32" s="32"/>
      <c r="H32" s="32"/>
      <c r="I32" s="32"/>
      <c r="J32" s="32"/>
      <c r="K32" s="32"/>
      <c r="L32" s="32"/>
      <c r="M32" s="32"/>
      <c r="N32" s="32"/>
      <c r="O32" s="32"/>
      <c r="P32" s="32"/>
      <c r="Q32" s="32"/>
      <c r="R32" s="32"/>
      <c r="S32" s="32"/>
      <c r="T32" s="32"/>
      <c r="U32" s="32"/>
      <c r="V32" s="32"/>
      <c r="W32" s="451"/>
      <c r="X32" s="451"/>
      <c r="Y32" s="451"/>
      <c r="Z32" s="451"/>
      <c r="AA32" s="30">
        <v>-22</v>
      </c>
      <c r="AB32" s="30">
        <f>-16-48</f>
        <v>-64</v>
      </c>
      <c r="AC32" s="30">
        <v>-195</v>
      </c>
      <c r="AD32" s="30">
        <v>-201</v>
      </c>
      <c r="AE32" s="30">
        <v>-208</v>
      </c>
      <c r="AF32" s="30">
        <v>-218</v>
      </c>
      <c r="AG32" s="30">
        <v>-230</v>
      </c>
      <c r="AH32" s="30">
        <v>-238</v>
      </c>
      <c r="AI32" s="3">
        <f t="shared" ref="AI32" si="81">AI18*AH32/AH18</f>
        <v>-238</v>
      </c>
      <c r="AJ32" s="3">
        <f t="shared" ref="AJ32" si="82">AJ18*AI32/AI18</f>
        <v>-238</v>
      </c>
      <c r="AK32" s="3">
        <f t="shared" ref="AK32" si="83">AK18*AJ32/AJ18</f>
        <v>-238</v>
      </c>
      <c r="AL32" s="3">
        <f t="shared" ref="AL32" si="84">AL18*AK32/AK18</f>
        <v>-238</v>
      </c>
      <c r="AM32" s="3">
        <f t="shared" ref="AM32" si="85">AM18*AL32/AL18</f>
        <v>-238</v>
      </c>
      <c r="AN32" s="3">
        <f t="shared" ref="AN32" si="86">AN18*AM32/AM18</f>
        <v>-238</v>
      </c>
      <c r="AO32" s="29"/>
    </row>
    <row r="33" spans="1:50">
      <c r="A33" s="62" t="s">
        <v>181</v>
      </c>
      <c r="AA33" s="108">
        <f>SUM(AA31:AA32)</f>
        <v>9877</v>
      </c>
      <c r="AB33" s="108">
        <f>SUM(AB31:AB32)</f>
        <v>9539</v>
      </c>
      <c r="AC33" s="108">
        <f>SUM(AC31:AC32)</f>
        <v>8289</v>
      </c>
      <c r="AD33" s="108">
        <f t="shared" ref="AD33:AF33" si="87">SUM(AD31:AD32)</f>
        <v>8593</v>
      </c>
      <c r="AE33" s="108">
        <f t="shared" si="87"/>
        <v>9063</v>
      </c>
      <c r="AF33" s="108">
        <f t="shared" si="87"/>
        <v>9416</v>
      </c>
      <c r="AG33" s="108">
        <f t="shared" ref="AG33" si="88">SUM(AG31:AG32)</f>
        <v>9580</v>
      </c>
      <c r="AH33" s="108">
        <f t="shared" ref="AH33:AN33" si="89">SUM(AH31:AH32)</f>
        <v>9651</v>
      </c>
      <c r="AI33" s="108">
        <f t="shared" si="89"/>
        <v>10540.996355893407</v>
      </c>
      <c r="AJ33" s="108">
        <f t="shared" si="89"/>
        <v>11139.453352919169</v>
      </c>
      <c r="AK33" s="108">
        <f t="shared" si="89"/>
        <v>11474.551757178931</v>
      </c>
      <c r="AL33" s="108">
        <f t="shared" si="89"/>
        <v>11798.794623510959</v>
      </c>
      <c r="AM33" s="108">
        <f t="shared" si="89"/>
        <v>12122.674279872372</v>
      </c>
      <c r="AN33" s="108">
        <f t="shared" si="89"/>
        <v>12443.009832641968</v>
      </c>
      <c r="AO33" s="29"/>
    </row>
    <row r="34" spans="1:50">
      <c r="AA34" s="184"/>
      <c r="AB34" s="184"/>
      <c r="AC34" s="184">
        <f t="shared" ref="AC34:AG34" si="90">AC33/AB33-1</f>
        <v>-0.13104098962155364</v>
      </c>
      <c r="AD34" s="184">
        <f t="shared" si="90"/>
        <v>3.6675111593678311E-2</v>
      </c>
      <c r="AE34" s="184">
        <f t="shared" si="90"/>
        <v>5.4695682532293732E-2</v>
      </c>
      <c r="AF34" s="184">
        <f t="shared" si="90"/>
        <v>3.8949575195851294E-2</v>
      </c>
      <c r="AG34" s="184">
        <f t="shared" si="90"/>
        <v>1.7417162276975429E-2</v>
      </c>
      <c r="AH34" s="184">
        <f t="shared" ref="AH34" si="91">AH33/AG33-1</f>
        <v>7.4112734864300034E-3</v>
      </c>
      <c r="AI34" s="184">
        <f t="shared" ref="AI34" si="92">AI33/AH33-1</f>
        <v>9.2218045372853163E-2</v>
      </c>
      <c r="AJ34" s="184">
        <f t="shared" ref="AJ34" si="93">AJ33/AI33-1</f>
        <v>5.6774234315256855E-2</v>
      </c>
      <c r="AK34" s="184">
        <f t="shared" ref="AK34" si="94">AK33/AJ33-1</f>
        <v>3.0082122851382787E-2</v>
      </c>
      <c r="AL34" s="184">
        <f t="shared" ref="AL34" si="95">AL33/AK33-1</f>
        <v>2.825756275221547E-2</v>
      </c>
      <c r="AM34" s="184">
        <f t="shared" ref="AM34" si="96">AM33/AL33-1</f>
        <v>2.7450232561555987E-2</v>
      </c>
      <c r="AN34" s="184">
        <f t="shared" ref="AN34" si="97">AN33/AM33-1</f>
        <v>2.6424495567076267E-2</v>
      </c>
    </row>
    <row r="35" spans="1:50" s="7" customFormat="1">
      <c r="A35" s="6" t="s">
        <v>636</v>
      </c>
      <c r="B35" s="8"/>
      <c r="C35" s="8"/>
      <c r="D35" s="8"/>
      <c r="E35" s="8"/>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row>
    <row r="36" spans="1:50" s="13" customFormat="1">
      <c r="A36" s="13" t="s">
        <v>632</v>
      </c>
      <c r="B36" s="13">
        <f t="shared" ref="B36:AF36" si="98">B39/B$41</f>
        <v>0.50605386706202127</v>
      </c>
      <c r="C36" s="13">
        <f t="shared" si="98"/>
        <v>0.52052950415077404</v>
      </c>
      <c r="D36" s="13">
        <f t="shared" si="98"/>
        <v>0.5159960745829244</v>
      </c>
      <c r="E36" s="13">
        <f t="shared" si="98"/>
        <v>0.52167046850324617</v>
      </c>
      <c r="F36" s="13">
        <f t="shared" si="98"/>
        <v>0.5240770465489567</v>
      </c>
      <c r="G36" s="13">
        <f t="shared" si="98"/>
        <v>0.53097612571773944</v>
      </c>
      <c r="H36" s="13">
        <f t="shared" si="98"/>
        <v>0.54197693093882315</v>
      </c>
      <c r="I36" s="13">
        <f t="shared" si="98"/>
        <v>0.55152848540991195</v>
      </c>
      <c r="J36" s="13">
        <f t="shared" si="98"/>
        <v>0.57120161756210286</v>
      </c>
      <c r="K36" s="13">
        <f t="shared" si="98"/>
        <v>0.57670063343431566</v>
      </c>
      <c r="L36" s="13">
        <f t="shared" si="98"/>
        <v>0.58291392437733902</v>
      </c>
      <c r="M36" s="13">
        <f t="shared" si="98"/>
        <v>0.58615734642557782</v>
      </c>
      <c r="N36" s="13">
        <f t="shared" si="98"/>
        <v>0.60157038698822207</v>
      </c>
      <c r="O36" s="13">
        <f t="shared" si="98"/>
        <v>0.61365619546247818</v>
      </c>
      <c r="P36" s="13">
        <f t="shared" si="98"/>
        <v>0.62545222387742072</v>
      </c>
      <c r="Q36" s="13">
        <f t="shared" si="98"/>
        <v>0.63974582351132525</v>
      </c>
      <c r="R36" s="13">
        <f t="shared" si="98"/>
        <v>0.65126270564811906</v>
      </c>
      <c r="S36" s="13">
        <f t="shared" si="98"/>
        <v>0.64667019027484141</v>
      </c>
      <c r="T36" s="13">
        <f t="shared" si="98"/>
        <v>0.63543658381134482</v>
      </c>
      <c r="U36" s="13">
        <f t="shared" si="98"/>
        <v>0.63148193659375773</v>
      </c>
      <c r="V36" s="13">
        <f t="shared" si="98"/>
        <v>0.63831038945758323</v>
      </c>
      <c r="W36" s="13">
        <f t="shared" si="98"/>
        <v>0.65287565355762678</v>
      </c>
      <c r="X36" s="13">
        <f t="shared" si="98"/>
        <v>0.66338797814207651</v>
      </c>
      <c r="Y36" s="13">
        <f t="shared" si="98"/>
        <v>0.67116303770578867</v>
      </c>
      <c r="Z36" s="13">
        <f t="shared" si="98"/>
        <v>0.67795381588485037</v>
      </c>
      <c r="AA36" s="13">
        <f t="shared" si="98"/>
        <v>0.68472208160372583</v>
      </c>
      <c r="AB36" s="13">
        <f t="shared" si="98"/>
        <v>0.6833001362826292</v>
      </c>
      <c r="AC36" s="13">
        <f t="shared" si="98"/>
        <v>0.67342260827602851</v>
      </c>
      <c r="AD36" s="13">
        <f t="shared" si="98"/>
        <v>0.67136040963575006</v>
      </c>
      <c r="AE36" s="13">
        <f t="shared" si="98"/>
        <v>0.67063886130420391</v>
      </c>
      <c r="AF36" s="13">
        <f t="shared" si="98"/>
        <v>0.66259558198810531</v>
      </c>
      <c r="AG36" s="13">
        <f t="shared" ref="AG36:AH36" si="99">AG39/AG$41</f>
        <v>0.66294363256784972</v>
      </c>
      <c r="AH36" s="13">
        <f t="shared" si="99"/>
        <v>0.67723551963527095</v>
      </c>
      <c r="AI36" s="261">
        <f t="shared" ref="AI36" si="100">AH36+0.005</f>
        <v>0.68223551963527096</v>
      </c>
      <c r="AJ36" s="261">
        <f t="shared" ref="AJ36" si="101">AI36+0.005</f>
        <v>0.68723551963527096</v>
      </c>
      <c r="AK36" s="261">
        <f t="shared" ref="AK36" si="102">AJ36+0.005</f>
        <v>0.69223551963527097</v>
      </c>
      <c r="AL36" s="261">
        <f t="shared" ref="AL36" si="103">AK36+0.005</f>
        <v>0.69723551963527097</v>
      </c>
      <c r="AM36" s="261">
        <f t="shared" ref="AM36" si="104">AL36+0.005</f>
        <v>0.70223551963527098</v>
      </c>
      <c r="AN36" s="261">
        <f t="shared" ref="AN36" si="105">AM36+0.005</f>
        <v>0.70723551963527098</v>
      </c>
      <c r="AO36" s="43"/>
    </row>
    <row r="37" spans="1:50" s="13" customFormat="1">
      <c r="A37" s="13" t="s">
        <v>182</v>
      </c>
      <c r="B37" s="13">
        <f t="shared" ref="B37:O37" si="106">B40/B$41</f>
        <v>0.49394613293797873</v>
      </c>
      <c r="C37" s="13">
        <f t="shared" si="106"/>
        <v>0.47947049584922596</v>
      </c>
      <c r="D37" s="13">
        <f t="shared" si="106"/>
        <v>0.48400392541707554</v>
      </c>
      <c r="E37" s="13">
        <f t="shared" si="106"/>
        <v>0.47832953149675383</v>
      </c>
      <c r="F37" s="13">
        <f t="shared" si="106"/>
        <v>0.47592295345104335</v>
      </c>
      <c r="G37" s="13">
        <f t="shared" si="106"/>
        <v>0.4690238742822605</v>
      </c>
      <c r="H37" s="13">
        <f t="shared" si="106"/>
        <v>0.45802306906117679</v>
      </c>
      <c r="I37" s="13">
        <f t="shared" si="106"/>
        <v>0.44847151459008799</v>
      </c>
      <c r="J37" s="13">
        <f t="shared" si="106"/>
        <v>0.4287983824378972</v>
      </c>
      <c r="K37" s="13">
        <f t="shared" si="106"/>
        <v>0.4232993665656844</v>
      </c>
      <c r="L37" s="13">
        <f t="shared" si="106"/>
        <v>0.41708607562266098</v>
      </c>
      <c r="M37" s="13">
        <f t="shared" si="106"/>
        <v>0.41384265357442224</v>
      </c>
      <c r="N37" s="13">
        <f t="shared" si="106"/>
        <v>0.39842961301177793</v>
      </c>
      <c r="O37" s="13">
        <f t="shared" si="106"/>
        <v>0.38634380453752182</v>
      </c>
      <c r="P37" s="13">
        <f t="shared" ref="P37:AF37" si="107">1-P36</f>
        <v>0.37454777612257928</v>
      </c>
      <c r="Q37" s="13">
        <f t="shared" si="107"/>
        <v>0.36025417648867475</v>
      </c>
      <c r="R37" s="13">
        <f t="shared" si="107"/>
        <v>0.34873729435188094</v>
      </c>
      <c r="S37" s="13">
        <f t="shared" si="107"/>
        <v>0.35332980972515859</v>
      </c>
      <c r="T37" s="13">
        <f t="shared" si="107"/>
        <v>0.36456341618865518</v>
      </c>
      <c r="U37" s="13">
        <f t="shared" si="107"/>
        <v>0.36851806340624227</v>
      </c>
      <c r="V37" s="13">
        <f t="shared" si="107"/>
        <v>0.36168961054241677</v>
      </c>
      <c r="W37" s="13">
        <f t="shared" si="107"/>
        <v>0.34712434644237322</v>
      </c>
      <c r="X37" s="13">
        <f t="shared" si="107"/>
        <v>0.33661202185792349</v>
      </c>
      <c r="Y37" s="13">
        <f t="shared" si="107"/>
        <v>0.32883696229421133</v>
      </c>
      <c r="Z37" s="13">
        <f t="shared" si="107"/>
        <v>0.32204618411514963</v>
      </c>
      <c r="AA37" s="13">
        <f t="shared" si="107"/>
        <v>0.31527791839627417</v>
      </c>
      <c r="AB37" s="13">
        <f t="shared" si="107"/>
        <v>0.3166998637173708</v>
      </c>
      <c r="AC37" s="13">
        <f t="shared" si="107"/>
        <v>0.32657739172397149</v>
      </c>
      <c r="AD37" s="13">
        <f t="shared" si="107"/>
        <v>0.32863959036424994</v>
      </c>
      <c r="AE37" s="13">
        <f t="shared" si="107"/>
        <v>0.32936113869579609</v>
      </c>
      <c r="AF37" s="13">
        <f t="shared" si="107"/>
        <v>0.33740441801189469</v>
      </c>
      <c r="AG37" s="13">
        <f t="shared" ref="AG37" si="108">1-AG36</f>
        <v>0.33705636743215028</v>
      </c>
      <c r="AH37" s="13">
        <f t="shared" ref="AH37:AN37" si="109">1-AH36</f>
        <v>0.32276448036472905</v>
      </c>
      <c r="AI37" s="13">
        <f t="shared" si="109"/>
        <v>0.31776448036472904</v>
      </c>
      <c r="AJ37" s="13">
        <f t="shared" si="109"/>
        <v>0.31276448036472904</v>
      </c>
      <c r="AK37" s="13">
        <f t="shared" si="109"/>
        <v>0.30776448036472903</v>
      </c>
      <c r="AL37" s="13">
        <f t="shared" si="109"/>
        <v>0.30276448036472903</v>
      </c>
      <c r="AM37" s="13">
        <f t="shared" si="109"/>
        <v>0.29776448036472902</v>
      </c>
      <c r="AN37" s="13">
        <f t="shared" si="109"/>
        <v>0.29276448036472902</v>
      </c>
      <c r="AO37" s="43"/>
    </row>
    <row r="38" spans="1:50">
      <c r="B38" s="183"/>
      <c r="C38" s="183"/>
      <c r="D38" s="183"/>
      <c r="E38" s="183"/>
      <c r="F38" s="183"/>
      <c r="G38" s="32"/>
      <c r="H38" s="32"/>
      <c r="I38" s="32"/>
      <c r="J38" s="32"/>
      <c r="K38" s="32"/>
      <c r="L38" s="32"/>
      <c r="M38" s="32"/>
      <c r="N38" s="32"/>
      <c r="O38" s="32"/>
      <c r="P38" s="32"/>
      <c r="Q38" s="32"/>
      <c r="R38" s="32"/>
      <c r="S38" s="32"/>
      <c r="T38" s="32"/>
      <c r="U38" s="32"/>
      <c r="V38" s="32"/>
      <c r="W38" s="32"/>
      <c r="X38" s="32"/>
      <c r="Y38" s="32"/>
      <c r="Z38" s="32"/>
      <c r="AA38" s="32"/>
      <c r="AB38" s="32"/>
      <c r="AC38" s="32"/>
      <c r="AD38" s="32"/>
      <c r="AE38" s="32"/>
      <c r="AF38" s="32"/>
      <c r="AG38" s="32"/>
      <c r="AH38" s="32"/>
      <c r="AI38" s="32"/>
      <c r="AJ38" s="32"/>
      <c r="AK38" s="32"/>
      <c r="AL38" s="32"/>
      <c r="AM38" s="32"/>
      <c r="AN38" s="32"/>
    </row>
    <row r="39" spans="1:50">
      <c r="A39" s="186" t="s">
        <v>624</v>
      </c>
      <c r="B39" s="17">
        <v>2048</v>
      </c>
      <c r="C39" s="17">
        <v>2320</v>
      </c>
      <c r="D39" s="17">
        <v>2629</v>
      </c>
      <c r="E39" s="17">
        <v>2973</v>
      </c>
      <c r="F39" s="17">
        <v>3265</v>
      </c>
      <c r="G39" s="17">
        <v>3514</v>
      </c>
      <c r="H39" s="17">
        <v>3712</v>
      </c>
      <c r="I39" s="17">
        <f>960+3803</f>
        <v>4763</v>
      </c>
      <c r="J39" s="17">
        <v>3955</v>
      </c>
      <c r="K39" s="17">
        <v>4188</v>
      </c>
      <c r="L39" s="17">
        <v>4517</v>
      </c>
      <c r="M39" s="17">
        <v>4895</v>
      </c>
      <c r="N39" s="17">
        <v>5363</v>
      </c>
      <c r="O39" s="17">
        <v>5626</v>
      </c>
      <c r="P39" s="17">
        <v>5878</v>
      </c>
      <c r="Q39" s="17">
        <v>6242</v>
      </c>
      <c r="R39" s="17">
        <f>1174+5041</f>
        <v>6215</v>
      </c>
      <c r="S39" s="17">
        <v>4894</v>
      </c>
      <c r="T39" s="17">
        <v>4985</v>
      </c>
      <c r="U39" s="17">
        <v>5139</v>
      </c>
      <c r="V39" s="17">
        <v>5425</v>
      </c>
      <c r="W39" s="17">
        <v>5744</v>
      </c>
      <c r="X39" s="17">
        <v>6070</v>
      </c>
      <c r="Y39" s="17">
        <v>6319</v>
      </c>
      <c r="Z39" s="17">
        <v>6547</v>
      </c>
      <c r="AA39" s="17">
        <v>6763</v>
      </c>
      <c r="AB39" s="30">
        <f>5149+1369</f>
        <v>6518</v>
      </c>
      <c r="AC39" s="30">
        <v>5582</v>
      </c>
      <c r="AD39" s="30">
        <v>5769</v>
      </c>
      <c r="AE39" s="30">
        <v>6078</v>
      </c>
      <c r="AF39" s="30">
        <v>6239</v>
      </c>
      <c r="AG39" s="30">
        <v>6351</v>
      </c>
      <c r="AH39" s="30">
        <v>6536</v>
      </c>
      <c r="AI39" s="3">
        <f t="shared" ref="AI39:AN39" si="110">AI$33*AI36</f>
        <v>7191.4421263364356</v>
      </c>
      <c r="AJ39" s="3">
        <f t="shared" si="110"/>
        <v>7655.428013446266</v>
      </c>
      <c r="AK39" s="3">
        <f t="shared" si="110"/>
        <v>7943.0922982125694</v>
      </c>
      <c r="AL39" s="3">
        <f t="shared" si="110"/>
        <v>8226.5387003935048</v>
      </c>
      <c r="AM39" s="3">
        <f t="shared" si="110"/>
        <v>8512.9724722953088</v>
      </c>
      <c r="AN39" s="3">
        <f t="shared" si="110"/>
        <v>8800.1385248153292</v>
      </c>
    </row>
    <row r="40" spans="1:50">
      <c r="A40" s="29" t="s">
        <v>625</v>
      </c>
      <c r="B40" s="17">
        <v>1999</v>
      </c>
      <c r="C40" s="17">
        <v>2137</v>
      </c>
      <c r="D40" s="17">
        <v>2466</v>
      </c>
      <c r="E40" s="17">
        <v>2726</v>
      </c>
      <c r="F40" s="17">
        <v>2965</v>
      </c>
      <c r="G40" s="56">
        <v>3104</v>
      </c>
      <c r="H40" s="56">
        <v>3137</v>
      </c>
      <c r="I40" s="17">
        <f>3115+758</f>
        <v>3873</v>
      </c>
      <c r="J40" s="56">
        <v>2969</v>
      </c>
      <c r="K40" s="56">
        <v>3074</v>
      </c>
      <c r="L40" s="56">
        <v>3232</v>
      </c>
      <c r="M40" s="56">
        <v>3456</v>
      </c>
      <c r="N40" s="56">
        <v>3552</v>
      </c>
      <c r="O40" s="56">
        <v>3542</v>
      </c>
      <c r="P40" s="56">
        <v>3520</v>
      </c>
      <c r="Q40" s="56">
        <v>3515</v>
      </c>
      <c r="R40" s="56">
        <f>2710+618</f>
        <v>3328</v>
      </c>
      <c r="S40" s="56">
        <v>2674</v>
      </c>
      <c r="T40" s="56">
        <v>2860</v>
      </c>
      <c r="U40" s="56">
        <v>2999</v>
      </c>
      <c r="V40" s="56">
        <v>3074</v>
      </c>
      <c r="W40" s="56">
        <v>3054</v>
      </c>
      <c r="X40" s="56">
        <v>3080</v>
      </c>
      <c r="Y40" s="56">
        <v>3096</v>
      </c>
      <c r="Z40" s="56">
        <v>3110</v>
      </c>
      <c r="AA40" s="56">
        <v>3114</v>
      </c>
      <c r="AB40" s="30">
        <f>2367+654</f>
        <v>3021</v>
      </c>
      <c r="AC40" s="30">
        <v>2707</v>
      </c>
      <c r="AD40" s="30">
        <v>2824</v>
      </c>
      <c r="AE40" s="30">
        <v>2985</v>
      </c>
      <c r="AF40" s="30">
        <v>3177</v>
      </c>
      <c r="AG40" s="30">
        <v>3229</v>
      </c>
      <c r="AH40" s="30">
        <v>3115</v>
      </c>
      <c r="AI40" s="3">
        <f t="shared" ref="AI40:AN40" si="111">AI$33*AI37</f>
        <v>3349.5542295569708</v>
      </c>
      <c r="AJ40" s="3">
        <f t="shared" si="111"/>
        <v>3484.0253394729025</v>
      </c>
      <c r="AK40" s="3">
        <f t="shared" si="111"/>
        <v>3531.459458966362</v>
      </c>
      <c r="AL40" s="3">
        <f t="shared" si="111"/>
        <v>3572.2559231174541</v>
      </c>
      <c r="AM40" s="3">
        <f t="shared" si="111"/>
        <v>3609.7018075770625</v>
      </c>
      <c r="AN40" s="3">
        <f t="shared" si="111"/>
        <v>3642.8713078266396</v>
      </c>
    </row>
    <row r="41" spans="1:50" s="62" customFormat="1">
      <c r="A41" s="109" t="s">
        <v>637</v>
      </c>
      <c r="B41" s="112">
        <f t="shared" ref="B41:AF41" si="112">SUM(B39:B40)</f>
        <v>4047</v>
      </c>
      <c r="C41" s="112">
        <f t="shared" si="112"/>
        <v>4457</v>
      </c>
      <c r="D41" s="112">
        <f t="shared" si="112"/>
        <v>5095</v>
      </c>
      <c r="E41" s="112">
        <f t="shared" si="112"/>
        <v>5699</v>
      </c>
      <c r="F41" s="112">
        <f t="shared" si="112"/>
        <v>6230</v>
      </c>
      <c r="G41" s="112">
        <f t="shared" si="112"/>
        <v>6618</v>
      </c>
      <c r="H41" s="112">
        <f t="shared" si="112"/>
        <v>6849</v>
      </c>
      <c r="I41" s="112">
        <f t="shared" si="112"/>
        <v>8636</v>
      </c>
      <c r="J41" s="112">
        <f t="shared" si="112"/>
        <v>6924</v>
      </c>
      <c r="K41" s="112">
        <f t="shared" si="112"/>
        <v>7262</v>
      </c>
      <c r="L41" s="112">
        <f t="shared" si="112"/>
        <v>7749</v>
      </c>
      <c r="M41" s="112">
        <f t="shared" si="112"/>
        <v>8351</v>
      </c>
      <c r="N41" s="112">
        <f t="shared" si="112"/>
        <v>8915</v>
      </c>
      <c r="O41" s="112">
        <f t="shared" si="112"/>
        <v>9168</v>
      </c>
      <c r="P41" s="112">
        <f t="shared" si="112"/>
        <v>9398</v>
      </c>
      <c r="Q41" s="112">
        <f t="shared" si="112"/>
        <v>9757</v>
      </c>
      <c r="R41" s="112">
        <f t="shared" si="112"/>
        <v>9543</v>
      </c>
      <c r="S41" s="112">
        <f t="shared" si="112"/>
        <v>7568</v>
      </c>
      <c r="T41" s="112">
        <f t="shared" si="112"/>
        <v>7845</v>
      </c>
      <c r="U41" s="112">
        <f t="shared" si="112"/>
        <v>8138</v>
      </c>
      <c r="V41" s="112">
        <f t="shared" si="112"/>
        <v>8499</v>
      </c>
      <c r="W41" s="112">
        <f t="shared" si="112"/>
        <v>8798</v>
      </c>
      <c r="X41" s="112">
        <f t="shared" si="112"/>
        <v>9150</v>
      </c>
      <c r="Y41" s="112">
        <f t="shared" si="112"/>
        <v>9415</v>
      </c>
      <c r="Z41" s="112">
        <f t="shared" si="112"/>
        <v>9657</v>
      </c>
      <c r="AA41" s="112">
        <f t="shared" si="112"/>
        <v>9877</v>
      </c>
      <c r="AB41" s="112">
        <f t="shared" si="112"/>
        <v>9539</v>
      </c>
      <c r="AC41" s="112">
        <f t="shared" si="112"/>
        <v>8289</v>
      </c>
      <c r="AD41" s="112">
        <f t="shared" si="112"/>
        <v>8593</v>
      </c>
      <c r="AE41" s="112">
        <f t="shared" si="112"/>
        <v>9063</v>
      </c>
      <c r="AF41" s="112">
        <f t="shared" si="112"/>
        <v>9416</v>
      </c>
      <c r="AG41" s="112">
        <f t="shared" ref="AG41" si="113">SUM(AG39:AG40)</f>
        <v>9580</v>
      </c>
      <c r="AH41" s="112">
        <f t="shared" ref="AH41:AN41" si="114">SUM(AH39:AH40)</f>
        <v>9651</v>
      </c>
      <c r="AI41" s="112">
        <f t="shared" si="114"/>
        <v>10540.996355893407</v>
      </c>
      <c r="AJ41" s="112">
        <f t="shared" si="114"/>
        <v>11139.453352919169</v>
      </c>
      <c r="AK41" s="112">
        <f t="shared" si="114"/>
        <v>11474.551757178931</v>
      </c>
      <c r="AL41" s="112">
        <f t="shared" si="114"/>
        <v>11798.794623510959</v>
      </c>
      <c r="AM41" s="112">
        <f t="shared" si="114"/>
        <v>12122.674279872372</v>
      </c>
      <c r="AN41" s="112">
        <f t="shared" si="114"/>
        <v>12443.009832641968</v>
      </c>
      <c r="AO41" s="260"/>
    </row>
    <row r="43" spans="1:50">
      <c r="A43" s="29" t="s">
        <v>626</v>
      </c>
      <c r="B43" s="13">
        <f t="shared" ref="B43:AF43" si="115">B45/B40</f>
        <v>0.40320160080040018</v>
      </c>
      <c r="C43" s="13">
        <f t="shared" si="115"/>
        <v>0.40196537201684607</v>
      </c>
      <c r="D43" s="13">
        <f t="shared" si="115"/>
        <v>0.40186536901865372</v>
      </c>
      <c r="E43" s="13">
        <f t="shared" si="115"/>
        <v>0.40132061628760091</v>
      </c>
      <c r="F43" s="13">
        <f t="shared" si="115"/>
        <v>0.40134907251264756</v>
      </c>
      <c r="G43" s="13">
        <f t="shared" si="115"/>
        <v>0.40128865979381445</v>
      </c>
      <c r="H43" s="13">
        <f t="shared" si="115"/>
        <v>0.40127510360216773</v>
      </c>
      <c r="I43" s="13">
        <f t="shared" si="115"/>
        <v>0.40103279111799639</v>
      </c>
      <c r="J43" s="13">
        <f t="shared" si="115"/>
        <v>0.40134725496800272</v>
      </c>
      <c r="K43" s="13">
        <f t="shared" si="115"/>
        <v>0.40130123617436569</v>
      </c>
      <c r="L43" s="13">
        <f t="shared" si="115"/>
        <v>0.40123762376237632</v>
      </c>
      <c r="M43" s="13">
        <f t="shared" si="115"/>
        <v>0.40104166666666669</v>
      </c>
      <c r="N43" s="13">
        <f t="shared" si="115"/>
        <v>0.40118243243243246</v>
      </c>
      <c r="O43" s="13">
        <f t="shared" si="115"/>
        <v>0.40118577075098816</v>
      </c>
      <c r="P43" s="13">
        <f t="shared" si="115"/>
        <v>0.40113636363636362</v>
      </c>
      <c r="Q43" s="13">
        <f t="shared" si="115"/>
        <v>0.40113798008534851</v>
      </c>
      <c r="R43" s="13">
        <f t="shared" si="115"/>
        <v>0.40084134615384615</v>
      </c>
      <c r="S43" s="13">
        <f t="shared" si="115"/>
        <v>0.40014958863126404</v>
      </c>
      <c r="T43" s="13">
        <f t="shared" si="115"/>
        <v>0.4</v>
      </c>
      <c r="U43" s="13">
        <f t="shared" si="115"/>
        <v>0.40013337779259756</v>
      </c>
      <c r="V43" s="13">
        <f t="shared" si="115"/>
        <v>0.39980481457384515</v>
      </c>
      <c r="W43" s="13">
        <f t="shared" si="115"/>
        <v>0.40013097576948264</v>
      </c>
      <c r="X43" s="13">
        <f t="shared" si="115"/>
        <v>0.60129870129870133</v>
      </c>
      <c r="Y43" s="13">
        <f t="shared" si="115"/>
        <v>0.69993540051679581</v>
      </c>
      <c r="Z43" s="13">
        <f t="shared" si="115"/>
        <v>0.7</v>
      </c>
      <c r="AA43" s="13">
        <f t="shared" si="115"/>
        <v>0.70006422607578678</v>
      </c>
      <c r="AB43" s="13">
        <f t="shared" si="115"/>
        <v>0.69976828864614371</v>
      </c>
      <c r="AC43" s="13">
        <f t="shared" si="115"/>
        <v>0.70003694126339122</v>
      </c>
      <c r="AD43" s="13">
        <f t="shared" si="115"/>
        <v>0.70007082152974509</v>
      </c>
      <c r="AE43" s="13">
        <f t="shared" si="115"/>
        <v>0.69983249581239526</v>
      </c>
      <c r="AF43" s="13">
        <f t="shared" si="115"/>
        <v>0.70003147623544226</v>
      </c>
      <c r="AG43" s="13">
        <f t="shared" ref="AG43:AH43" si="116">AG45/AG40</f>
        <v>0.70021678538247134</v>
      </c>
      <c r="AH43" s="13">
        <f t="shared" si="116"/>
        <v>0.6998394863563403</v>
      </c>
      <c r="AI43" s="261">
        <f t="shared" ref="AI43" si="117">AH43</f>
        <v>0.6998394863563403</v>
      </c>
      <c r="AJ43" s="261">
        <f t="shared" ref="AJ43" si="118">AI43</f>
        <v>0.6998394863563403</v>
      </c>
      <c r="AK43" s="261">
        <f t="shared" ref="AK43" si="119">AJ43</f>
        <v>0.6998394863563403</v>
      </c>
      <c r="AL43" s="261">
        <f t="shared" ref="AL43" si="120">AK43</f>
        <v>0.6998394863563403</v>
      </c>
      <c r="AM43" s="261">
        <f t="shared" ref="AM43" si="121">AL43</f>
        <v>0.6998394863563403</v>
      </c>
      <c r="AN43" s="261">
        <f t="shared" ref="AN43" si="122">AM43</f>
        <v>0.6998394863563403</v>
      </c>
      <c r="AR43" s="23"/>
      <c r="AS43" s="23"/>
      <c r="AT43" s="23"/>
      <c r="AU43" s="23"/>
      <c r="AV43" s="23"/>
      <c r="AW43" s="23"/>
      <c r="AX43" s="23"/>
    </row>
    <row r="44" spans="1:50">
      <c r="A44" s="29" t="s">
        <v>627</v>
      </c>
      <c r="B44" s="30">
        <f t="shared" ref="B44:M44" si="123">B39</f>
        <v>2048</v>
      </c>
      <c r="C44" s="30">
        <f t="shared" si="123"/>
        <v>2320</v>
      </c>
      <c r="D44" s="30">
        <f t="shared" si="123"/>
        <v>2629</v>
      </c>
      <c r="E44" s="30">
        <f t="shared" si="123"/>
        <v>2973</v>
      </c>
      <c r="F44" s="30">
        <f t="shared" si="123"/>
        <v>3265</v>
      </c>
      <c r="G44" s="30">
        <f t="shared" si="123"/>
        <v>3514</v>
      </c>
      <c r="H44" s="17">
        <f t="shared" si="123"/>
        <v>3712</v>
      </c>
      <c r="I44" s="17">
        <f t="shared" si="123"/>
        <v>4763</v>
      </c>
      <c r="J44" s="17">
        <f t="shared" si="123"/>
        <v>3955</v>
      </c>
      <c r="K44" s="17">
        <f t="shared" si="123"/>
        <v>4188</v>
      </c>
      <c r="L44" s="17">
        <f t="shared" si="123"/>
        <v>4517</v>
      </c>
      <c r="M44" s="17">
        <f t="shared" si="123"/>
        <v>4895</v>
      </c>
      <c r="N44" s="17">
        <v>5363</v>
      </c>
      <c r="O44" s="17">
        <v>5626</v>
      </c>
      <c r="P44" s="17">
        <f t="shared" ref="P44:Z44" si="124">P39</f>
        <v>5878</v>
      </c>
      <c r="Q44" s="17">
        <f t="shared" si="124"/>
        <v>6242</v>
      </c>
      <c r="R44" s="17">
        <f t="shared" si="124"/>
        <v>6215</v>
      </c>
      <c r="S44" s="17">
        <f t="shared" si="124"/>
        <v>4894</v>
      </c>
      <c r="T44" s="17">
        <f t="shared" si="124"/>
        <v>4985</v>
      </c>
      <c r="U44" s="17">
        <f t="shared" si="124"/>
        <v>5139</v>
      </c>
      <c r="V44" s="17">
        <f t="shared" si="124"/>
        <v>5425</v>
      </c>
      <c r="W44" s="17">
        <f t="shared" si="124"/>
        <v>5744</v>
      </c>
      <c r="X44" s="17">
        <f t="shared" si="124"/>
        <v>6070</v>
      </c>
      <c r="Y44" s="17">
        <f t="shared" si="124"/>
        <v>6319</v>
      </c>
      <c r="Z44" s="17">
        <f t="shared" si="124"/>
        <v>6547</v>
      </c>
      <c r="AA44" s="17">
        <v>6763</v>
      </c>
      <c r="AB44" s="30">
        <f t="shared" ref="AB44" si="125">AB39</f>
        <v>6518</v>
      </c>
      <c r="AC44" s="30">
        <v>5582</v>
      </c>
      <c r="AD44" s="30">
        <v>5769</v>
      </c>
      <c r="AE44" s="30">
        <v>6078</v>
      </c>
      <c r="AF44" s="30">
        <v>6239</v>
      </c>
      <c r="AG44" s="30">
        <v>6351</v>
      </c>
      <c r="AH44" s="30">
        <v>6536</v>
      </c>
      <c r="AI44" s="3">
        <f t="shared" ref="AI44:AN44" si="126">AI39</f>
        <v>7191.4421263364356</v>
      </c>
      <c r="AJ44" s="3">
        <f t="shared" si="126"/>
        <v>7655.428013446266</v>
      </c>
      <c r="AK44" s="3">
        <f t="shared" si="126"/>
        <v>7943.0922982125694</v>
      </c>
      <c r="AL44" s="3">
        <f t="shared" si="126"/>
        <v>8226.5387003935048</v>
      </c>
      <c r="AM44" s="3">
        <f t="shared" si="126"/>
        <v>8512.9724722953088</v>
      </c>
      <c r="AN44" s="3">
        <f t="shared" si="126"/>
        <v>8800.1385248153292</v>
      </c>
      <c r="AR44" s="23"/>
      <c r="AS44" s="23"/>
      <c r="AT44" s="23"/>
      <c r="AU44" s="23"/>
      <c r="AV44" s="23"/>
      <c r="AW44" s="23"/>
      <c r="AX44" s="23"/>
    </row>
    <row r="45" spans="1:50">
      <c r="A45" s="29" t="s">
        <v>628</v>
      </c>
      <c r="B45" s="30">
        <v>806</v>
      </c>
      <c r="C45" s="30">
        <v>859</v>
      </c>
      <c r="D45" s="30">
        <v>991</v>
      </c>
      <c r="E45" s="30">
        <v>1094</v>
      </c>
      <c r="F45" s="30">
        <v>1190</v>
      </c>
      <c r="G45" s="30">
        <f t="shared" ref="G45:L45" si="127">G40*0.4+4</f>
        <v>1245.6000000000001</v>
      </c>
      <c r="H45" s="17">
        <f t="shared" si="127"/>
        <v>1258.8000000000002</v>
      </c>
      <c r="I45" s="17">
        <f t="shared" si="127"/>
        <v>1553.2</v>
      </c>
      <c r="J45" s="17">
        <f t="shared" si="127"/>
        <v>1191.6000000000001</v>
      </c>
      <c r="K45" s="17">
        <f t="shared" si="127"/>
        <v>1233.6000000000001</v>
      </c>
      <c r="L45" s="17">
        <f t="shared" si="127"/>
        <v>1296.8000000000002</v>
      </c>
      <c r="M45" s="17">
        <v>1386</v>
      </c>
      <c r="N45" s="17">
        <v>1425</v>
      </c>
      <c r="O45" s="17">
        <v>1421</v>
      </c>
      <c r="P45" s="17">
        <v>1412</v>
      </c>
      <c r="Q45" s="17">
        <v>1410</v>
      </c>
      <c r="R45" s="17">
        <f>247+1087</f>
        <v>1334</v>
      </c>
      <c r="S45" s="17">
        <v>1070</v>
      </c>
      <c r="T45" s="17">
        <v>1144</v>
      </c>
      <c r="U45" s="17">
        <v>1200</v>
      </c>
      <c r="V45" s="17">
        <v>1229</v>
      </c>
      <c r="W45" s="17">
        <v>1222</v>
      </c>
      <c r="X45" s="17">
        <v>1852</v>
      </c>
      <c r="Y45" s="17">
        <v>2167</v>
      </c>
      <c r="Z45" s="17">
        <v>2177</v>
      </c>
      <c r="AA45" s="17">
        <v>2180</v>
      </c>
      <c r="AB45" s="30">
        <f>1656+458</f>
        <v>2114</v>
      </c>
      <c r="AC45" s="30">
        <v>1895</v>
      </c>
      <c r="AD45" s="30">
        <v>1977</v>
      </c>
      <c r="AE45" s="30">
        <v>2089</v>
      </c>
      <c r="AF45" s="30">
        <v>2224</v>
      </c>
      <c r="AG45" s="30">
        <v>2261</v>
      </c>
      <c r="AH45" s="30">
        <v>2180</v>
      </c>
      <c r="AI45" s="3">
        <f t="shared" ref="AI45:AN45" si="128">AI40*AI43</f>
        <v>2344.1503115358578</v>
      </c>
      <c r="AJ45" s="3">
        <f t="shared" si="128"/>
        <v>2438.2585040291901</v>
      </c>
      <c r="AK45" s="3">
        <f t="shared" si="128"/>
        <v>2471.4547738512583</v>
      </c>
      <c r="AL45" s="3">
        <f t="shared" si="128"/>
        <v>2500.0057503679132</v>
      </c>
      <c r="AM45" s="3">
        <f t="shared" si="128"/>
        <v>2526.2118589142847</v>
      </c>
      <c r="AN45" s="3">
        <f t="shared" si="128"/>
        <v>2549.4251849316452</v>
      </c>
      <c r="AO45" s="13"/>
      <c r="AR45" s="23"/>
      <c r="AS45" s="23"/>
      <c r="AT45" s="23"/>
      <c r="AU45" s="23"/>
      <c r="AV45" s="23"/>
      <c r="AW45" s="23"/>
      <c r="AX45" s="23"/>
    </row>
    <row r="46" spans="1:50" s="7" customFormat="1">
      <c r="A46" s="109" t="s">
        <v>183</v>
      </c>
      <c r="B46" s="112">
        <f t="shared" ref="B46:R46" si="129">SUM(B44:B45)</f>
        <v>2854</v>
      </c>
      <c r="C46" s="112">
        <f t="shared" si="129"/>
        <v>3179</v>
      </c>
      <c r="D46" s="112">
        <f t="shared" si="129"/>
        <v>3620</v>
      </c>
      <c r="E46" s="112">
        <f t="shared" si="129"/>
        <v>4067</v>
      </c>
      <c r="F46" s="112">
        <f t="shared" si="129"/>
        <v>4455</v>
      </c>
      <c r="G46" s="112">
        <f t="shared" si="129"/>
        <v>4759.6000000000004</v>
      </c>
      <c r="H46" s="112">
        <f t="shared" si="129"/>
        <v>4970.8</v>
      </c>
      <c r="I46" s="112">
        <f t="shared" si="129"/>
        <v>6316.2</v>
      </c>
      <c r="J46" s="112">
        <f t="shared" si="129"/>
        <v>5146.6000000000004</v>
      </c>
      <c r="K46" s="112">
        <f t="shared" si="129"/>
        <v>5421.6</v>
      </c>
      <c r="L46" s="112">
        <f t="shared" si="129"/>
        <v>5813.8</v>
      </c>
      <c r="M46" s="112">
        <f t="shared" si="129"/>
        <v>6281</v>
      </c>
      <c r="N46" s="112">
        <f t="shared" si="129"/>
        <v>6788</v>
      </c>
      <c r="O46" s="112">
        <f t="shared" si="129"/>
        <v>7047</v>
      </c>
      <c r="P46" s="112">
        <f t="shared" si="129"/>
        <v>7290</v>
      </c>
      <c r="Q46" s="112">
        <f t="shared" si="129"/>
        <v>7652</v>
      </c>
      <c r="R46" s="112">
        <f t="shared" si="129"/>
        <v>7549</v>
      </c>
      <c r="S46" s="112">
        <v>5964</v>
      </c>
      <c r="T46" s="112">
        <v>6129</v>
      </c>
      <c r="U46" s="112">
        <v>6339</v>
      </c>
      <c r="V46" s="112">
        <v>6654</v>
      </c>
      <c r="W46" s="112">
        <v>6966</v>
      </c>
      <c r="X46" s="112">
        <f t="shared" ref="X46:AF46" si="130">SUM(X44:X45)</f>
        <v>7922</v>
      </c>
      <c r="Y46" s="112">
        <f t="shared" si="130"/>
        <v>8486</v>
      </c>
      <c r="Z46" s="112">
        <f t="shared" si="130"/>
        <v>8724</v>
      </c>
      <c r="AA46" s="112">
        <f t="shared" si="130"/>
        <v>8943</v>
      </c>
      <c r="AB46" s="112">
        <f t="shared" si="130"/>
        <v>8632</v>
      </c>
      <c r="AC46" s="112">
        <f t="shared" si="130"/>
        <v>7477</v>
      </c>
      <c r="AD46" s="112">
        <f t="shared" si="130"/>
        <v>7746</v>
      </c>
      <c r="AE46" s="112">
        <f t="shared" si="130"/>
        <v>8167</v>
      </c>
      <c r="AF46" s="112">
        <f t="shared" si="130"/>
        <v>8463</v>
      </c>
      <c r="AG46" s="112">
        <f t="shared" ref="AG46" si="131">SUM(AG44:AG45)</f>
        <v>8612</v>
      </c>
      <c r="AH46" s="112">
        <f t="shared" ref="AH46:AN46" si="132">SUM(AH44:AH45)</f>
        <v>8716</v>
      </c>
      <c r="AI46" s="112">
        <f t="shared" si="132"/>
        <v>9535.5924378722939</v>
      </c>
      <c r="AJ46" s="112">
        <f t="shared" si="132"/>
        <v>10093.686517475457</v>
      </c>
      <c r="AK46" s="112">
        <f t="shared" si="132"/>
        <v>10414.547072063828</v>
      </c>
      <c r="AL46" s="112">
        <f t="shared" si="132"/>
        <v>10726.544450761417</v>
      </c>
      <c r="AM46" s="112">
        <f t="shared" si="132"/>
        <v>11039.184331209593</v>
      </c>
      <c r="AN46" s="112">
        <f t="shared" si="132"/>
        <v>11349.563709746973</v>
      </c>
    </row>
    <row r="47" spans="1:50">
      <c r="V47" s="131"/>
      <c r="W47" s="131"/>
      <c r="X47" s="131"/>
      <c r="Y47" s="131"/>
      <c r="Z47" s="131"/>
      <c r="AA47" s="131"/>
      <c r="AB47" s="131"/>
      <c r="AC47" s="131"/>
      <c r="AD47" s="131"/>
      <c r="AE47" s="131"/>
      <c r="AF47" s="131"/>
      <c r="AG47" s="131"/>
      <c r="AH47" s="131"/>
    </row>
    <row r="48" spans="1:50">
      <c r="B48" s="32"/>
      <c r="C48" s="32"/>
      <c r="D48" s="32"/>
      <c r="E48" s="32"/>
      <c r="F48" s="32"/>
      <c r="G48" s="32"/>
      <c r="H48" s="32"/>
      <c r="I48" s="32"/>
      <c r="J48" s="32"/>
      <c r="K48" s="32"/>
      <c r="L48" s="32"/>
      <c r="M48" s="32"/>
      <c r="N48" s="32"/>
      <c r="O48" s="32"/>
      <c r="P48" s="32"/>
      <c r="Q48" s="32"/>
      <c r="R48" s="32"/>
      <c r="S48" s="32"/>
      <c r="T48" s="32"/>
      <c r="U48" s="32"/>
      <c r="V48" s="32"/>
      <c r="W48" s="32"/>
      <c r="X48" s="32"/>
      <c r="Y48" s="32"/>
      <c r="Z48" s="14"/>
      <c r="AA48" s="14"/>
      <c r="AB48" s="14"/>
      <c r="AC48" s="32"/>
      <c r="AD48" s="32"/>
      <c r="AE48" s="32"/>
      <c r="AF48" s="32"/>
      <c r="AG48" s="32"/>
      <c r="AH48" s="32"/>
      <c r="AI48" s="32"/>
      <c r="AJ48" s="32"/>
      <c r="AK48" s="32"/>
      <c r="AL48" s="32"/>
      <c r="AM48" s="32"/>
      <c r="AN48" s="32"/>
      <c r="AO48" s="31"/>
      <c r="AP48" s="32"/>
    </row>
    <row r="49" spans="26:29">
      <c r="Z49" s="30"/>
      <c r="AA49" s="30"/>
      <c r="AB49" s="30"/>
      <c r="AC49" s="30"/>
    </row>
  </sheetData>
  <phoneticPr fontId="0" type="noConversion"/>
  <printOptions headings="1" gridLines="1"/>
  <pageMargins left="0.74803149606299213" right="0.74803149606299213" top="0.51181102362204722" bottom="0.70866141732283472" header="0.51181102362204722" footer="0.51181102362204722"/>
  <pageSetup paperSize="9" scale="85" orientation="landscape" horizontalDpi="4294967292" verticalDpi="300" r:id="rId1"/>
  <headerFooter alignWithMargins="0"/>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tabColor theme="5"/>
    <pageSetUpPr fitToPage="1"/>
  </sheetPr>
  <dimension ref="A1:AU71"/>
  <sheetViews>
    <sheetView showOutlineSymbols="0" zoomScale="130" zoomScaleNormal="130" workbookViewId="0">
      <pane xSplit="18" ySplit="2" topLeftCell="AC4" activePane="bottomRight" state="frozen"/>
      <selection pane="topRight" activeCell="S1" sqref="S1"/>
      <selection pane="bottomLeft" activeCell="A3" sqref="A3"/>
      <selection pane="bottomRight" activeCell="S1" sqref="S1:Y1048576"/>
    </sheetView>
  </sheetViews>
  <sheetFormatPr defaultColWidth="9.140625" defaultRowHeight="12.75" outlineLevelCol="1"/>
  <cols>
    <col min="1" max="1" width="21" style="29" customWidth="1"/>
    <col min="2" max="2" width="13.42578125" style="29" hidden="1" customWidth="1" outlineLevel="1"/>
    <col min="3" max="5" width="9.140625" style="29" hidden="1" customWidth="1" outlineLevel="1"/>
    <col min="6" max="6" width="10.140625" style="29" hidden="1" customWidth="1" outlineLevel="1"/>
    <col min="7" max="7" width="9.140625" style="29" hidden="1" customWidth="1" outlineLevel="1"/>
    <col min="8" max="8" width="9.85546875" style="29" hidden="1" customWidth="1" outlineLevel="1"/>
    <col min="9" max="9" width="8.7109375" style="29" hidden="1" customWidth="1" outlineLevel="1"/>
    <col min="10" max="18" width="9.140625" style="29" hidden="1" customWidth="1" outlineLevel="1"/>
    <col min="19" max="19" width="10.42578125" style="29" hidden="1" customWidth="1" collapsed="1"/>
    <col min="20" max="20" width="10.85546875" style="29" hidden="1" customWidth="1"/>
    <col min="21" max="21" width="9.85546875" style="29" hidden="1" customWidth="1"/>
    <col min="22" max="23" width="10.140625" style="29" hidden="1" customWidth="1"/>
    <col min="24" max="24" width="10.85546875" style="29" hidden="1" customWidth="1"/>
    <col min="25" max="26" width="10.140625" style="29" hidden="1" customWidth="1"/>
    <col min="27" max="27" width="10.5703125" style="29" hidden="1" customWidth="1"/>
    <col min="28" max="28" width="10.42578125" style="29" hidden="1" customWidth="1"/>
    <col min="29" max="40" width="10.42578125" style="29" bestFit="1" customWidth="1"/>
    <col min="41" max="41" width="4.7109375" style="29" customWidth="1"/>
    <col min="42" max="42" width="12.140625" style="29" bestFit="1" customWidth="1"/>
    <col min="43" max="43" width="28.7109375" style="29" bestFit="1" customWidth="1"/>
    <col min="44" max="46" width="9.28515625" style="29" bestFit="1" customWidth="1"/>
    <col min="47" max="16384" width="9.140625" style="29"/>
  </cols>
  <sheetData>
    <row r="1" spans="1:47" s="7" customFormat="1">
      <c r="A1" s="157" t="s">
        <v>198</v>
      </c>
      <c r="B1" s="156"/>
      <c r="C1" s="156"/>
      <c r="D1" s="156"/>
      <c r="E1" s="156"/>
      <c r="F1" s="156"/>
      <c r="G1" s="156"/>
      <c r="H1" s="156"/>
      <c r="I1" s="156"/>
      <c r="J1" s="156"/>
      <c r="K1" s="156"/>
      <c r="L1" s="156"/>
      <c r="M1" s="156"/>
      <c r="N1" s="156"/>
      <c r="O1" s="156"/>
      <c r="P1" s="156"/>
      <c r="Q1" s="156"/>
      <c r="R1" s="156"/>
      <c r="S1" s="156"/>
      <c r="T1" s="156"/>
      <c r="U1" s="156"/>
      <c r="V1" s="156"/>
      <c r="W1" s="156"/>
      <c r="X1" s="156"/>
      <c r="Y1" s="156"/>
      <c r="Z1" s="156"/>
      <c r="AA1" s="156"/>
      <c r="AB1" s="156"/>
      <c r="AC1" s="156"/>
      <c r="AD1" s="156"/>
      <c r="AE1" s="156"/>
      <c r="AF1" s="156"/>
      <c r="AG1" s="156"/>
      <c r="AH1" s="156"/>
      <c r="AI1" s="156"/>
      <c r="AJ1" s="156"/>
      <c r="AK1" s="156"/>
      <c r="AL1" s="156"/>
      <c r="AM1" s="156"/>
      <c r="AN1" s="156"/>
      <c r="AQ1" s="7" t="s">
        <v>500</v>
      </c>
    </row>
    <row r="2" spans="1:47">
      <c r="A2" s="62" t="s">
        <v>199</v>
      </c>
      <c r="B2" s="175">
        <v>1992</v>
      </c>
      <c r="C2" s="175">
        <v>1993</v>
      </c>
      <c r="D2" s="176">
        <v>1994</v>
      </c>
      <c r="E2" s="176">
        <v>1995</v>
      </c>
      <c r="F2" s="176">
        <v>1996</v>
      </c>
      <c r="G2" s="176">
        <f>Final!G2</f>
        <v>1997</v>
      </c>
      <c r="H2" s="176">
        <f>Final!H2</f>
        <v>1998</v>
      </c>
      <c r="I2" s="176" t="str">
        <f>Final!I2</f>
        <v>1999*</v>
      </c>
      <c r="J2" s="176">
        <f>Final!J2</f>
        <v>2000</v>
      </c>
      <c r="K2" s="176">
        <f>Final!K2</f>
        <v>2001</v>
      </c>
      <c r="L2" s="176">
        <f>Final!L2</f>
        <v>2002</v>
      </c>
      <c r="M2" s="176">
        <f>Final!M2</f>
        <v>2003</v>
      </c>
      <c r="N2" s="176">
        <f>Final!N2</f>
        <v>2004</v>
      </c>
      <c r="O2" s="176">
        <f>Final!O2</f>
        <v>2005</v>
      </c>
      <c r="P2" s="176">
        <f>Final!P2</f>
        <v>2006</v>
      </c>
      <c r="Q2" s="176">
        <f>Final!Q2</f>
        <v>2007</v>
      </c>
      <c r="R2" s="176">
        <f>Final!R2</f>
        <v>2008</v>
      </c>
      <c r="S2" s="176">
        <f>Final!S2</f>
        <v>2009</v>
      </c>
      <c r="T2" s="176">
        <f>Final!T2</f>
        <v>2010</v>
      </c>
      <c r="U2" s="176">
        <f>Final!U2</f>
        <v>2011</v>
      </c>
      <c r="V2" s="176">
        <f>Final!V2</f>
        <v>2012</v>
      </c>
      <c r="W2" s="176">
        <f>Final!W2</f>
        <v>2013</v>
      </c>
      <c r="X2" s="176">
        <f>Final!X2</f>
        <v>2014</v>
      </c>
      <c r="Y2" s="176">
        <f>Final!Y2</f>
        <v>2015</v>
      </c>
      <c r="Z2" s="176">
        <f>Final!Z2</f>
        <v>2016</v>
      </c>
      <c r="AA2" s="176">
        <f>Final!AA2</f>
        <v>2017</v>
      </c>
      <c r="AB2" s="176">
        <f>Final!AB2</f>
        <v>2018</v>
      </c>
      <c r="AC2" s="176">
        <f>Final!AC2</f>
        <v>2019</v>
      </c>
      <c r="AD2" s="176">
        <f>Final!AD2</f>
        <v>2020</v>
      </c>
      <c r="AE2" s="176">
        <f>Final!AE2</f>
        <v>2021</v>
      </c>
      <c r="AF2" s="176">
        <f>Final!AF2</f>
        <v>2022</v>
      </c>
      <c r="AG2" s="176">
        <f>Final!AG2</f>
        <v>2023</v>
      </c>
      <c r="AH2" s="176">
        <f>Final!AH2</f>
        <v>2024</v>
      </c>
      <c r="AI2" s="176" t="str">
        <f>Final!AI2</f>
        <v>2025E</v>
      </c>
      <c r="AJ2" s="176" t="str">
        <f>Final!AJ2</f>
        <v>2026E</v>
      </c>
      <c r="AK2" s="176" t="str">
        <f>Final!AK2</f>
        <v>2027E</v>
      </c>
      <c r="AL2" s="176" t="str">
        <f>Final!AL2</f>
        <v>2028E</v>
      </c>
      <c r="AM2" s="176" t="str">
        <f>Final!AM2</f>
        <v>2029E</v>
      </c>
      <c r="AN2" s="176" t="str">
        <f>Final!AN2</f>
        <v>2030E</v>
      </c>
      <c r="AR2" s="176" t="s">
        <v>506</v>
      </c>
      <c r="AS2" s="176" t="s">
        <v>501</v>
      </c>
    </row>
    <row r="3" spans="1:47" s="180" customFormat="1">
      <c r="A3" s="180" t="s">
        <v>53</v>
      </c>
      <c r="B3" s="30">
        <f t="shared" ref="B3:AE3" si="0">B36*B13/100</f>
        <v>11998.832399999999</v>
      </c>
      <c r="C3" s="30">
        <f t="shared" si="0"/>
        <v>13052.787</v>
      </c>
      <c r="D3" s="30">
        <f t="shared" si="0"/>
        <v>14810.807199999999</v>
      </c>
      <c r="E3" s="30">
        <f t="shared" si="0"/>
        <v>16535.0628</v>
      </c>
      <c r="F3" s="30">
        <f t="shared" si="0"/>
        <v>18394.495600000002</v>
      </c>
      <c r="G3" s="30">
        <f t="shared" si="0"/>
        <v>19875.179499999998</v>
      </c>
      <c r="H3" s="30">
        <f t="shared" si="0"/>
        <v>22166.482899999999</v>
      </c>
      <c r="I3" s="30">
        <f t="shared" si="0"/>
        <v>27739.914000000004</v>
      </c>
      <c r="J3" s="30">
        <f t="shared" si="0"/>
        <v>23300.109899999996</v>
      </c>
      <c r="K3" s="30">
        <f t="shared" si="0"/>
        <v>23877.7</v>
      </c>
      <c r="L3" s="30">
        <f t="shared" si="0"/>
        <v>24525.119999999999</v>
      </c>
      <c r="M3" s="30">
        <f t="shared" si="0"/>
        <v>24782.94</v>
      </c>
      <c r="N3" s="30">
        <f t="shared" si="0"/>
        <v>25224.791999999998</v>
      </c>
      <c r="O3" s="30">
        <f t="shared" si="0"/>
        <v>25914.923999999999</v>
      </c>
      <c r="P3" s="30">
        <f t="shared" si="0"/>
        <v>26013.68</v>
      </c>
      <c r="Q3" s="30">
        <f t="shared" si="0"/>
        <v>26396.521999999997</v>
      </c>
      <c r="R3" s="30">
        <f t="shared" si="0"/>
        <v>25735.64</v>
      </c>
      <c r="S3" s="30">
        <f t="shared" si="0"/>
        <v>23691.75</v>
      </c>
      <c r="T3" s="30">
        <f t="shared" si="0"/>
        <v>24774.129000000001</v>
      </c>
      <c r="U3" s="30">
        <f t="shared" si="0"/>
        <v>24934.400000000001</v>
      </c>
      <c r="V3" s="30">
        <f t="shared" si="0"/>
        <v>26939.79</v>
      </c>
      <c r="W3" s="30">
        <f t="shared" si="0"/>
        <v>26697.72</v>
      </c>
      <c r="X3" s="30">
        <f t="shared" si="0"/>
        <v>29171.55</v>
      </c>
      <c r="Y3" s="30">
        <f t="shared" si="0"/>
        <v>28769.13</v>
      </c>
      <c r="Z3" s="30">
        <f>Z36*Z13/100</f>
        <v>29547.693000000003</v>
      </c>
      <c r="AA3" s="30">
        <f>AA36*AA13/100</f>
        <v>30577.208000000002</v>
      </c>
      <c r="AB3" s="30">
        <f>AB36*AB13/100</f>
        <v>31516.047500000001</v>
      </c>
      <c r="AC3" s="30">
        <f>AC36*AC13/100</f>
        <v>31198.44</v>
      </c>
      <c r="AD3" s="30">
        <f t="shared" si="0"/>
        <v>31347.848999999998</v>
      </c>
      <c r="AE3" s="30">
        <f t="shared" si="0"/>
        <v>33092.28</v>
      </c>
      <c r="AF3" s="30">
        <f>AF36*AF13/100</f>
        <v>32490.791999999998</v>
      </c>
      <c r="AG3" s="30">
        <f>AG36*AG13/100</f>
        <v>32949.951999999997</v>
      </c>
      <c r="AH3" s="30">
        <f t="shared" ref="AH3" si="1">AH36*AH13/100</f>
        <v>34607.75</v>
      </c>
      <c r="AI3" s="30">
        <f t="shared" ref="AI3:AN3" si="2">AI36*AI13/100</f>
        <v>35894.827993845887</v>
      </c>
      <c r="AJ3" s="30">
        <f t="shared" si="2"/>
        <v>37250.365826772249</v>
      </c>
      <c r="AK3" s="30">
        <f t="shared" si="2"/>
        <v>38678.065760321275</v>
      </c>
      <c r="AL3" s="30">
        <f t="shared" si="2"/>
        <v>40181.830486266153</v>
      </c>
      <c r="AM3" s="30">
        <f t="shared" si="2"/>
        <v>41765.773978716483</v>
      </c>
      <c r="AN3" s="30">
        <f t="shared" si="2"/>
        <v>43434.232933821317</v>
      </c>
      <c r="AQ3" s="30" t="s">
        <v>502</v>
      </c>
      <c r="AR3" s="180">
        <f>AS3+210</f>
        <v>1772.8799999999999</v>
      </c>
      <c r="AS3" s="180">
        <f>AS11*$AS$8</f>
        <v>1562.8799999999999</v>
      </c>
    </row>
    <row r="4" spans="1:47" s="180" customFormat="1">
      <c r="A4" s="188" t="s">
        <v>52</v>
      </c>
      <c r="B4" s="30">
        <f>+'SOC Accounts'!B5</f>
        <v>-845.81439999999998</v>
      </c>
      <c r="C4" s="30">
        <f>+'SOC Accounts'!C5</f>
        <v>-1018.55</v>
      </c>
      <c r="D4" s="30">
        <f>+'SOC Accounts'!D5</f>
        <v>-832.05780000000004</v>
      </c>
      <c r="E4" s="30">
        <f>+'SOC Accounts'!E5</f>
        <v>-689.46</v>
      </c>
      <c r="F4" s="30">
        <f>+'SOC Accounts'!F5</f>
        <v>-443.30999999999995</v>
      </c>
      <c r="G4" s="30">
        <f>+'SOC Accounts'!G5</f>
        <v>422.68409999999994</v>
      </c>
      <c r="H4" s="30">
        <f>+'SOC Accounts'!H5</f>
        <v>10.321900000000028</v>
      </c>
      <c r="I4" s="30">
        <f>+'SOC Accounts'!I5</f>
        <v>380.55200000000013</v>
      </c>
      <c r="J4" s="30">
        <f>+'SOC Accounts'!J5</f>
        <v>288.75400000000002</v>
      </c>
      <c r="K4" s="30">
        <f>+'SOC Accounts'!K5</f>
        <v>107.90000000000009</v>
      </c>
      <c r="L4" s="30">
        <f>+'SOC Accounts'!L5</f>
        <v>462.52799999999991</v>
      </c>
      <c r="M4" s="30">
        <f>+'SOC Accounts'!M5</f>
        <v>170.66499999999996</v>
      </c>
      <c r="N4" s="30">
        <f>+'SOC Accounts'!N5</f>
        <v>26.104000000000042</v>
      </c>
      <c r="O4" s="30">
        <f>+'SOC Accounts'!O5</f>
        <v>497.76400000000001</v>
      </c>
      <c r="P4" s="30">
        <f>+'SOC Accounts'!P5</f>
        <v>620.22</v>
      </c>
      <c r="Q4" s="30">
        <f>+'SOC Accounts'!Q5</f>
        <v>1025.24</v>
      </c>
      <c r="R4" s="30">
        <f>+'SOC Accounts'!R5</f>
        <v>2862.7449999999999</v>
      </c>
      <c r="S4" s="30">
        <f>+'SOC Accounts'!S5</f>
        <v>2821.26</v>
      </c>
      <c r="T4" s="30">
        <f>+'SOC Accounts'!T5</f>
        <v>3836.835</v>
      </c>
      <c r="U4" s="30">
        <f>+'SOC Accounts'!U5</f>
        <v>4312.6880000000001</v>
      </c>
      <c r="V4" s="30">
        <f>+'SOC Accounts'!V5</f>
        <v>5820.11</v>
      </c>
      <c r="W4" s="30">
        <f>+'SOC Accounts'!W5</f>
        <v>5318.3919999999998</v>
      </c>
      <c r="X4" s="30">
        <f>+'SOC Accounts'!X5</f>
        <v>5873.2</v>
      </c>
      <c r="Y4" s="30">
        <f>+'SOC Accounts'!Y5</f>
        <v>8402.9599999999991</v>
      </c>
      <c r="Z4" s="30">
        <f>+'SOC Accounts'!Z5</f>
        <v>7435.5909999999994</v>
      </c>
      <c r="AA4" s="30">
        <f>+'SOC Accounts'!AA5</f>
        <v>7619.44</v>
      </c>
      <c r="AB4" s="30">
        <f>+'SOC Accounts'!AB5</f>
        <v>9204.7390000000014</v>
      </c>
      <c r="AC4" s="30">
        <f>+'SOC Accounts'!AC5</f>
        <v>9300.9520000000011</v>
      </c>
      <c r="AD4" s="30">
        <f>+'SOC Accounts'!AD5</f>
        <v>10430.492</v>
      </c>
      <c r="AE4" s="30">
        <f>+'SOC Accounts'!AE5</f>
        <v>12139.21</v>
      </c>
      <c r="AF4" s="30">
        <f>+'SOC Accounts'!AF5</f>
        <v>18480.864000000001</v>
      </c>
      <c r="AG4" s="30">
        <f>+'SOC Accounts'!AG5</f>
        <v>17453.928</v>
      </c>
      <c r="AH4" s="30">
        <f>+'SOC Accounts'!AH5</f>
        <v>16045.375</v>
      </c>
      <c r="AI4" s="30">
        <f>+'SOC Accounts'!AI5</f>
        <v>16408.166830647311</v>
      </c>
      <c r="AJ4" s="30">
        <f>+'SOC Accounts'!AJ5</f>
        <v>17173.091288156036</v>
      </c>
      <c r="AK4" s="30">
        <f>+'SOC Accounts'!AK5</f>
        <v>17967.883640645938</v>
      </c>
      <c r="AL4" s="30">
        <f>+'SOC Accounts'!AL5</f>
        <v>18793.371129234314</v>
      </c>
      <c r="AM4" s="30">
        <f>+'SOC Accounts'!AM5</f>
        <v>19650.411768319038</v>
      </c>
      <c r="AN4" s="30">
        <f>+'SOC Accounts'!AN5</f>
        <v>20793.317313013787</v>
      </c>
      <c r="AQ4" s="180" t="s">
        <v>503</v>
      </c>
      <c r="AR4" s="180">
        <f>AS4-23</f>
        <v>2712.04</v>
      </c>
      <c r="AS4" s="180">
        <f>AS12*$AS$8</f>
        <v>2735.04</v>
      </c>
    </row>
    <row r="5" spans="1:47" s="180" customFormat="1">
      <c r="A5" s="188" t="s">
        <v>55</v>
      </c>
      <c r="B5" s="30" t="e">
        <f t="shared" ref="B5:W5" si="3">+B6-B3-B4</f>
        <v>#REF!</v>
      </c>
      <c r="C5" s="30" t="e">
        <f t="shared" si="3"/>
        <v>#REF!</v>
      </c>
      <c r="D5" s="30" t="e">
        <f t="shared" si="3"/>
        <v>#REF!</v>
      </c>
      <c r="E5" s="30" t="e">
        <f t="shared" si="3"/>
        <v>#REF!</v>
      </c>
      <c r="F5" s="30">
        <f t="shared" si="3"/>
        <v>316.81439999999793</v>
      </c>
      <c r="G5" s="30">
        <f t="shared" si="3"/>
        <v>304.13640000000169</v>
      </c>
      <c r="H5" s="30">
        <f t="shared" si="3"/>
        <v>314.19520000000091</v>
      </c>
      <c r="I5" s="30">
        <f t="shared" si="3"/>
        <v>429.53399999999556</v>
      </c>
      <c r="J5" s="30">
        <f t="shared" si="3"/>
        <v>574.13610000000415</v>
      </c>
      <c r="K5" s="30">
        <f t="shared" si="3"/>
        <v>739.39999999999918</v>
      </c>
      <c r="L5" s="30">
        <f t="shared" si="3"/>
        <v>782.35200000000111</v>
      </c>
      <c r="M5" s="30">
        <f t="shared" si="3"/>
        <v>723.39500000000135</v>
      </c>
      <c r="N5" s="30">
        <f t="shared" si="3"/>
        <v>1410.1040000000023</v>
      </c>
      <c r="O5" s="30">
        <f t="shared" si="3"/>
        <v>2337.3120000000008</v>
      </c>
      <c r="P5" s="30">
        <f t="shared" si="3"/>
        <v>2370.0999999999995</v>
      </c>
      <c r="Q5" s="30">
        <f t="shared" si="3"/>
        <v>1814.2380000000028</v>
      </c>
      <c r="R5" s="30">
        <f t="shared" si="3"/>
        <v>1689.6150000000007</v>
      </c>
      <c r="S5" s="30">
        <f t="shared" si="3"/>
        <v>1835.9899999999998</v>
      </c>
      <c r="T5" s="30">
        <f t="shared" si="3"/>
        <v>1306.0359999999991</v>
      </c>
      <c r="U5" s="30">
        <f t="shared" si="3"/>
        <v>1576.9119999999984</v>
      </c>
      <c r="V5" s="30">
        <f t="shared" si="3"/>
        <v>1082.0999999999995</v>
      </c>
      <c r="W5" s="30">
        <f t="shared" si="3"/>
        <v>1047.887999999999</v>
      </c>
      <c r="X5" s="30">
        <f t="shared" ref="X5:AF5" si="4">+X6-X3-X4</f>
        <v>924.25000000000091</v>
      </c>
      <c r="Y5" s="30">
        <f t="shared" si="4"/>
        <v>914.90999999999985</v>
      </c>
      <c r="Z5" s="30">
        <f t="shared" si="4"/>
        <v>136.71599999999762</v>
      </c>
      <c r="AA5" s="30">
        <f t="shared" si="4"/>
        <v>964.35199999999804</v>
      </c>
      <c r="AB5" s="30">
        <f t="shared" si="4"/>
        <v>261.21349999999802</v>
      </c>
      <c r="AC5" s="30">
        <f t="shared" si="4"/>
        <v>-26.391999999999825</v>
      </c>
      <c r="AD5" s="30">
        <f t="shared" si="4"/>
        <v>19.65900000000147</v>
      </c>
      <c r="AE5" s="30">
        <f t="shared" si="4"/>
        <v>-9.4899999999979627</v>
      </c>
      <c r="AF5" s="30">
        <f t="shared" si="4"/>
        <v>-52.65599999999904</v>
      </c>
      <c r="AG5" s="30">
        <f t="shared" ref="AG5:AH5" si="5">+AG6-AG3-AG4</f>
        <v>-115.87999999999738</v>
      </c>
      <c r="AH5" s="30">
        <f t="shared" si="5"/>
        <v>-4.125</v>
      </c>
      <c r="AI5" s="3">
        <f t="shared" ref="AI5:AN5" si="6">AI29*AI37</f>
        <v>0</v>
      </c>
      <c r="AJ5" s="3">
        <f t="shared" si="6"/>
        <v>0</v>
      </c>
      <c r="AK5" s="3">
        <f t="shared" si="6"/>
        <v>0</v>
      </c>
      <c r="AL5" s="3">
        <f t="shared" si="6"/>
        <v>0</v>
      </c>
      <c r="AM5" s="3">
        <f t="shared" si="6"/>
        <v>0</v>
      </c>
      <c r="AN5" s="3">
        <f t="shared" si="6"/>
        <v>0</v>
      </c>
      <c r="AQ5" s="180" t="s">
        <v>504</v>
      </c>
      <c r="AR5" s="180">
        <f>AS5-66</f>
        <v>1757.3600000000001</v>
      </c>
      <c r="AS5" s="180">
        <f>AS13*$AS$8</f>
        <v>1823.3600000000001</v>
      </c>
    </row>
    <row r="6" spans="1:47" s="179" customFormat="1">
      <c r="A6" s="189" t="s">
        <v>54</v>
      </c>
      <c r="B6" s="108" t="e">
        <f>+#REF!</f>
        <v>#REF!</v>
      </c>
      <c r="C6" s="108" t="e">
        <f>+#REF!</f>
        <v>#REF!</v>
      </c>
      <c r="D6" s="108" t="e">
        <f>+#REF!</f>
        <v>#REF!</v>
      </c>
      <c r="E6" s="108" t="e">
        <f>+#REF!</f>
        <v>#REF!</v>
      </c>
      <c r="F6" s="108">
        <f>+F8-F7</f>
        <v>18268</v>
      </c>
      <c r="G6" s="108">
        <f>+G8-G7</f>
        <v>20602</v>
      </c>
      <c r="H6" s="108">
        <f>+H8-H7</f>
        <v>22491</v>
      </c>
      <c r="I6" s="108">
        <f>+I8-I7</f>
        <v>28550</v>
      </c>
      <c r="J6" s="108">
        <v>24163</v>
      </c>
      <c r="K6" s="108">
        <v>24725</v>
      </c>
      <c r="L6" s="108">
        <v>25770</v>
      </c>
      <c r="M6" s="108">
        <v>25677</v>
      </c>
      <c r="N6" s="108">
        <v>26661</v>
      </c>
      <c r="O6" s="108">
        <v>28750</v>
      </c>
      <c r="P6" s="108">
        <v>29004</v>
      </c>
      <c r="Q6" s="108">
        <v>29236</v>
      </c>
      <c r="R6" s="108">
        <v>30288</v>
      </c>
      <c r="S6" s="108">
        <v>28349</v>
      </c>
      <c r="T6" s="108">
        <v>29917</v>
      </c>
      <c r="U6" s="108">
        <v>30824</v>
      </c>
      <c r="V6" s="108">
        <v>33842</v>
      </c>
      <c r="W6" s="108">
        <v>33064</v>
      </c>
      <c r="X6" s="108">
        <v>35969</v>
      </c>
      <c r="Y6" s="108">
        <v>38087</v>
      </c>
      <c r="Z6" s="108">
        <v>37120</v>
      </c>
      <c r="AA6" s="108">
        <v>39161</v>
      </c>
      <c r="AB6" s="108">
        <v>40982</v>
      </c>
      <c r="AC6" s="108">
        <v>40473</v>
      </c>
      <c r="AD6" s="108">
        <v>41798</v>
      </c>
      <c r="AE6" s="108">
        <v>45222</v>
      </c>
      <c r="AF6" s="108">
        <v>50919</v>
      </c>
      <c r="AG6" s="108">
        <v>50288</v>
      </c>
      <c r="AH6" s="108">
        <v>50649</v>
      </c>
      <c r="AI6" s="477">
        <f t="shared" ref="AI6:AN6" si="7">SUM(AI3:AI5)</f>
        <v>52302.994824493202</v>
      </c>
      <c r="AJ6" s="477">
        <f t="shared" si="7"/>
        <v>54423.457114928286</v>
      </c>
      <c r="AK6" s="477">
        <f t="shared" si="7"/>
        <v>56645.949400967213</v>
      </c>
      <c r="AL6" s="477">
        <f t="shared" si="7"/>
        <v>58975.201615500468</v>
      </c>
      <c r="AM6" s="477">
        <f t="shared" si="7"/>
        <v>61416.185747035517</v>
      </c>
      <c r="AN6" s="477">
        <f t="shared" si="7"/>
        <v>64227.550246835104</v>
      </c>
      <c r="AQ6" s="180" t="s">
        <v>505</v>
      </c>
      <c r="AR6" s="180">
        <f>AS6-3</f>
        <v>387.71999999999997</v>
      </c>
      <c r="AS6" s="180">
        <f>AS14*$AS$8</f>
        <v>390.71999999999997</v>
      </c>
    </row>
    <row r="7" spans="1:47" s="180" customFormat="1">
      <c r="A7" s="180" t="s">
        <v>200</v>
      </c>
      <c r="B7" s="30">
        <v>60</v>
      </c>
      <c r="C7" s="30">
        <v>26</v>
      </c>
      <c r="D7" s="30">
        <v>22</v>
      </c>
      <c r="E7" s="30">
        <v>25</v>
      </c>
      <c r="F7" s="30">
        <v>27</v>
      </c>
      <c r="G7" s="30">
        <v>36</v>
      </c>
      <c r="H7" s="30">
        <v>56</v>
      </c>
      <c r="I7" s="30">
        <v>92</v>
      </c>
      <c r="J7" s="30">
        <f t="shared" ref="J7:AF7" si="8">J8-J6</f>
        <v>61</v>
      </c>
      <c r="K7" s="30">
        <f t="shared" si="8"/>
        <v>81</v>
      </c>
      <c r="L7" s="30">
        <f t="shared" si="8"/>
        <v>74</v>
      </c>
      <c r="M7" s="30">
        <f t="shared" si="8"/>
        <v>62</v>
      </c>
      <c r="N7" s="30">
        <f t="shared" si="8"/>
        <v>112</v>
      </c>
      <c r="O7" s="30">
        <f t="shared" si="8"/>
        <v>86</v>
      </c>
      <c r="P7" s="30">
        <f t="shared" si="8"/>
        <v>87</v>
      </c>
      <c r="Q7" s="30">
        <f t="shared" si="8"/>
        <v>95</v>
      </c>
      <c r="R7" s="30">
        <f t="shared" si="8"/>
        <v>98</v>
      </c>
      <c r="S7" s="30">
        <f t="shared" si="8"/>
        <v>88</v>
      </c>
      <c r="T7" s="30">
        <f t="shared" si="8"/>
        <v>99</v>
      </c>
      <c r="U7" s="30">
        <f t="shared" si="8"/>
        <v>104</v>
      </c>
      <c r="V7" s="30">
        <f t="shared" si="8"/>
        <v>102</v>
      </c>
      <c r="W7" s="30">
        <f t="shared" si="8"/>
        <v>120</v>
      </c>
      <c r="X7" s="30">
        <f t="shared" si="8"/>
        <v>123</v>
      </c>
      <c r="Y7" s="30">
        <f t="shared" si="8"/>
        <v>118</v>
      </c>
      <c r="Z7" s="30">
        <f t="shared" si="8"/>
        <v>103</v>
      </c>
      <c r="AA7" s="30">
        <f t="shared" si="8"/>
        <v>98</v>
      </c>
      <c r="AB7" s="30">
        <f t="shared" si="8"/>
        <v>104</v>
      </c>
      <c r="AC7" s="30">
        <f t="shared" si="8"/>
        <v>160</v>
      </c>
      <c r="AD7" s="30">
        <f t="shared" si="8"/>
        <v>107</v>
      </c>
      <c r="AE7" s="30">
        <f t="shared" si="8"/>
        <v>157</v>
      </c>
      <c r="AF7" s="30">
        <f t="shared" si="8"/>
        <v>184</v>
      </c>
      <c r="AG7" s="30">
        <f t="shared" ref="AG7" si="9">AG8-AG6</f>
        <v>167</v>
      </c>
      <c r="AH7" s="30">
        <f t="shared" ref="AH7:AN7" si="10">AG7</f>
        <v>167</v>
      </c>
      <c r="AI7" s="3">
        <f t="shared" si="10"/>
        <v>167</v>
      </c>
      <c r="AJ7" s="3">
        <f>AI7</f>
        <v>167</v>
      </c>
      <c r="AK7" s="3">
        <f>AJ7</f>
        <v>167</v>
      </c>
      <c r="AL7" s="3">
        <f>AK7</f>
        <v>167</v>
      </c>
      <c r="AM7" s="3">
        <f t="shared" si="10"/>
        <v>167</v>
      </c>
      <c r="AN7" s="3">
        <f t="shared" si="10"/>
        <v>167</v>
      </c>
    </row>
    <row r="8" spans="1:47" s="179" customFormat="1">
      <c r="A8" s="179" t="s">
        <v>201</v>
      </c>
      <c r="B8" s="108">
        <f>SOC!B4</f>
        <v>13229</v>
      </c>
      <c r="C8" s="108">
        <f>SOC!C4</f>
        <v>14573</v>
      </c>
      <c r="D8" s="108">
        <f>SOC!D4</f>
        <v>14903</v>
      </c>
      <c r="E8" s="108">
        <f>SOC!E4</f>
        <v>16758</v>
      </c>
      <c r="F8" s="108">
        <f>SOC!F4</f>
        <v>18295</v>
      </c>
      <c r="G8" s="108">
        <f>SOC!G4</f>
        <v>20638</v>
      </c>
      <c r="H8" s="108">
        <f>SOC!H4</f>
        <v>22547</v>
      </c>
      <c r="I8" s="108">
        <f>SOC!I4</f>
        <v>28642</v>
      </c>
      <c r="J8" s="108">
        <f>SOC!J4</f>
        <v>24224</v>
      </c>
      <c r="K8" s="108">
        <f>SOC!K4</f>
        <v>24806</v>
      </c>
      <c r="L8" s="108">
        <f>SOC!L4</f>
        <v>25844</v>
      </c>
      <c r="M8" s="108">
        <f>SOC!M4</f>
        <v>25739</v>
      </c>
      <c r="N8" s="108">
        <f>SOC!N4</f>
        <v>26773</v>
      </c>
      <c r="O8" s="108">
        <f>SOC!O4</f>
        <v>28836</v>
      </c>
      <c r="P8" s="108">
        <f>SOC!P4</f>
        <v>29091</v>
      </c>
      <c r="Q8" s="108">
        <f>SOC!Q4</f>
        <v>29331</v>
      </c>
      <c r="R8" s="108">
        <f>SOC!R4</f>
        <v>30386</v>
      </c>
      <c r="S8" s="108">
        <f>SOC!S4</f>
        <v>28437</v>
      </c>
      <c r="T8" s="108">
        <f>SOC!T4</f>
        <v>30016</v>
      </c>
      <c r="U8" s="108">
        <f>SOC!U4</f>
        <v>30928</v>
      </c>
      <c r="V8" s="108">
        <f>SOC!V4</f>
        <v>33944</v>
      </c>
      <c r="W8" s="108">
        <f>SOC!W4</f>
        <v>33184</v>
      </c>
      <c r="X8" s="108">
        <f>SOC!X4</f>
        <v>36092</v>
      </c>
      <c r="Y8" s="108">
        <f>SOC!Y4</f>
        <v>38205</v>
      </c>
      <c r="Z8" s="108">
        <f>SOC!Z4</f>
        <v>37223</v>
      </c>
      <c r="AA8" s="108">
        <f>SOC!AA4</f>
        <v>39259</v>
      </c>
      <c r="AB8" s="108">
        <f>SOC!AB4</f>
        <v>41086</v>
      </c>
      <c r="AC8" s="108">
        <f>SOC!AC4</f>
        <v>40633</v>
      </c>
      <c r="AD8" s="108">
        <f>SOC!AD4</f>
        <v>41905</v>
      </c>
      <c r="AE8" s="108">
        <f>SOC!AE4</f>
        <v>45379</v>
      </c>
      <c r="AF8" s="108">
        <f>SOC!AF4</f>
        <v>51103</v>
      </c>
      <c r="AG8" s="108">
        <f>SOC!AG4</f>
        <v>50455</v>
      </c>
      <c r="AH8" s="108">
        <f t="shared" ref="AH8" si="11">+AH6+AH7</f>
        <v>50816</v>
      </c>
      <c r="AI8" s="477">
        <f t="shared" ref="AI8:AN8" si="12">+AI6+AI7</f>
        <v>52469.994824493202</v>
      </c>
      <c r="AJ8" s="477">
        <f t="shared" si="12"/>
        <v>54590.457114928286</v>
      </c>
      <c r="AK8" s="477">
        <f t="shared" si="12"/>
        <v>56812.949400967213</v>
      </c>
      <c r="AL8" s="477">
        <f t="shared" si="12"/>
        <v>59142.201615500468</v>
      </c>
      <c r="AM8" s="477">
        <f t="shared" si="12"/>
        <v>61583.185747035517</v>
      </c>
      <c r="AN8" s="477">
        <f t="shared" si="12"/>
        <v>64394.550246835104</v>
      </c>
      <c r="AQ8" s="179" t="s">
        <v>77</v>
      </c>
      <c r="AR8" s="179">
        <f>SUM(AR3:AR7)</f>
        <v>6630.0000000000009</v>
      </c>
      <c r="AS8" s="179">
        <v>6512</v>
      </c>
    </row>
    <row r="9" spans="1:47">
      <c r="A9" s="29" t="s">
        <v>56</v>
      </c>
      <c r="C9" s="34">
        <f t="shared" ref="C9:H9" si="13">C8/B8-1</f>
        <v>0.10159498072416651</v>
      </c>
      <c r="D9" s="34">
        <f t="shared" si="13"/>
        <v>2.2644616757016456E-2</v>
      </c>
      <c r="E9" s="34">
        <f t="shared" si="13"/>
        <v>0.12447158290277116</v>
      </c>
      <c r="F9" s="34">
        <f t="shared" si="13"/>
        <v>9.1717388709869896E-2</v>
      </c>
      <c r="G9" s="34">
        <f t="shared" si="13"/>
        <v>0.12806777808144298</v>
      </c>
      <c r="H9" s="34">
        <f t="shared" si="13"/>
        <v>9.2499273185386199E-2</v>
      </c>
      <c r="I9" s="34">
        <f>4/5*I8/H8-1</f>
        <v>1.6259369317425998E-2</v>
      </c>
      <c r="J9" s="34">
        <f>J8/(4/5*I8)-1</f>
        <v>5.7188743802806918E-2</v>
      </c>
      <c r="K9" s="34">
        <f t="shared" ref="K9:S9" si="14">K8/J8-1</f>
        <v>2.4025759577278816E-2</v>
      </c>
      <c r="L9" s="34">
        <f t="shared" si="14"/>
        <v>4.1844714988309217E-2</v>
      </c>
      <c r="M9" s="34">
        <f t="shared" si="14"/>
        <v>-4.0628385698808778E-3</v>
      </c>
      <c r="N9" s="34">
        <f t="shared" si="14"/>
        <v>4.01725008741598E-2</v>
      </c>
      <c r="O9" s="34">
        <f t="shared" si="14"/>
        <v>7.7055242221641285E-2</v>
      </c>
      <c r="P9" s="34">
        <f t="shared" si="14"/>
        <v>8.8431127756969374E-3</v>
      </c>
      <c r="Q9" s="34">
        <f t="shared" si="14"/>
        <v>8.2499742188306691E-3</v>
      </c>
      <c r="R9" s="34">
        <f t="shared" si="14"/>
        <v>3.5968770243087533E-2</v>
      </c>
      <c r="S9" s="34">
        <f t="shared" si="14"/>
        <v>-6.4141380899098266E-2</v>
      </c>
      <c r="T9" s="34">
        <f t="shared" ref="T9:AG9" si="15">T8/S8-1</f>
        <v>5.5526251011006833E-2</v>
      </c>
      <c r="U9" s="34">
        <f t="shared" si="15"/>
        <v>3.0383795309168349E-2</v>
      </c>
      <c r="V9" s="34">
        <f t="shared" si="15"/>
        <v>9.7516813243662792E-2</v>
      </c>
      <c r="W9" s="34">
        <f t="shared" si="15"/>
        <v>-2.2389818524628846E-2</v>
      </c>
      <c r="X9" s="34">
        <f t="shared" si="15"/>
        <v>8.7632594021215038E-2</v>
      </c>
      <c r="Y9" s="34">
        <f t="shared" si="15"/>
        <v>5.8544829879197513E-2</v>
      </c>
      <c r="Z9" s="34">
        <f t="shared" si="15"/>
        <v>-2.5703441957858897E-2</v>
      </c>
      <c r="AA9" s="34">
        <f t="shared" si="15"/>
        <v>5.469736453268137E-2</v>
      </c>
      <c r="AB9" s="34">
        <f t="shared" si="15"/>
        <v>4.6537099773300339E-2</v>
      </c>
      <c r="AC9" s="34">
        <f t="shared" si="15"/>
        <v>-1.1025653507277466E-2</v>
      </c>
      <c r="AD9" s="34">
        <f t="shared" si="15"/>
        <v>3.130460463170337E-2</v>
      </c>
      <c r="AE9" s="34">
        <f t="shared" si="15"/>
        <v>8.2901801694308608E-2</v>
      </c>
      <c r="AF9" s="34">
        <f t="shared" si="15"/>
        <v>0.12613764075894141</v>
      </c>
      <c r="AG9" s="34">
        <f t="shared" si="15"/>
        <v>-1.2680273173786283E-2</v>
      </c>
      <c r="AH9" s="34">
        <f t="shared" ref="AH9:AN9" si="16">AH8/AG8-1</f>
        <v>7.1548904964819915E-3</v>
      </c>
      <c r="AI9" s="34">
        <f t="shared" si="16"/>
        <v>3.2548701678471348E-2</v>
      </c>
      <c r="AJ9" s="34">
        <f>AJ8/AI8-1</f>
        <v>4.0412854956967559E-2</v>
      </c>
      <c r="AK9" s="34">
        <f>AK8/AJ8-1</f>
        <v>4.0712102508318582E-2</v>
      </c>
      <c r="AL9" s="34">
        <f>AL8/AK8-1</f>
        <v>4.0998614560461499E-2</v>
      </c>
      <c r="AM9" s="34">
        <f t="shared" si="16"/>
        <v>4.1273136015540057E-2</v>
      </c>
      <c r="AN9" s="34">
        <f t="shared" si="16"/>
        <v>4.5651495058209424E-2</v>
      </c>
      <c r="AQ9" s="29" t="s">
        <v>213</v>
      </c>
      <c r="AS9" s="29">
        <v>174</v>
      </c>
    </row>
    <row r="10" spans="1:47">
      <c r="C10" s="34"/>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row>
    <row r="11" spans="1:47" s="7" customFormat="1">
      <c r="A11" s="6" t="s">
        <v>202</v>
      </c>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Q11" s="7" t="s">
        <v>502</v>
      </c>
      <c r="AR11" s="7">
        <f>AR3/$AR$8</f>
        <v>0.26740271493212664</v>
      </c>
      <c r="AS11" s="7">
        <v>0.24</v>
      </c>
    </row>
    <row r="12" spans="1:47">
      <c r="A12" s="186"/>
      <c r="B12" s="175"/>
      <c r="C12" s="175"/>
      <c r="D12" s="175"/>
      <c r="E12" s="175"/>
      <c r="F12" s="175"/>
      <c r="G12" s="175"/>
      <c r="H12" s="175"/>
      <c r="I12" s="176"/>
      <c r="J12" s="176"/>
      <c r="K12" s="176"/>
      <c r="L12" s="176"/>
      <c r="M12" s="176"/>
      <c r="N12" s="176"/>
      <c r="O12" s="176"/>
      <c r="P12" s="176"/>
      <c r="Q12" s="176"/>
      <c r="R12" s="176"/>
      <c r="S12" s="176"/>
      <c r="T12" s="176"/>
      <c r="U12" s="176"/>
      <c r="V12" s="176"/>
      <c r="W12" s="176"/>
      <c r="X12" s="176"/>
      <c r="Y12" s="176"/>
      <c r="Z12" s="176"/>
      <c r="AA12" s="176"/>
      <c r="AB12" s="176"/>
      <c r="AC12" s="176"/>
      <c r="AE12" s="449"/>
      <c r="AF12" s="176"/>
      <c r="AG12" s="176"/>
      <c r="AH12" s="176"/>
      <c r="AI12" s="176"/>
      <c r="AJ12" s="176"/>
      <c r="AK12" s="176"/>
      <c r="AL12" s="176"/>
      <c r="AM12" s="176"/>
      <c r="AN12" s="176"/>
      <c r="AP12" s="176"/>
      <c r="AQ12" s="180" t="s">
        <v>503</v>
      </c>
      <c r="AR12" s="131">
        <f>AR4/$AR$8</f>
        <v>0.40905580693815979</v>
      </c>
      <c r="AS12" s="131">
        <v>0.42</v>
      </c>
      <c r="AT12" s="176"/>
      <c r="AU12" s="176"/>
    </row>
    <row r="13" spans="1:47" s="180" customFormat="1">
      <c r="A13" s="190" t="s">
        <v>203</v>
      </c>
      <c r="B13" s="266">
        <v>63.81</v>
      </c>
      <c r="C13" s="262">
        <v>65.849999999999994</v>
      </c>
      <c r="D13" s="262">
        <v>71.959999999999994</v>
      </c>
      <c r="E13" s="262">
        <v>77.31</v>
      </c>
      <c r="F13" s="262">
        <v>82.42</v>
      </c>
      <c r="G13" s="262">
        <v>86.35</v>
      </c>
      <c r="H13" s="262">
        <v>89.09</v>
      </c>
      <c r="I13" s="262">
        <v>89.15</v>
      </c>
      <c r="J13" s="262">
        <v>88.57</v>
      </c>
      <c r="K13" s="262">
        <v>88.6</v>
      </c>
      <c r="L13" s="262">
        <v>88.5</v>
      </c>
      <c r="M13" s="262">
        <v>88.4</v>
      </c>
      <c r="N13" s="262">
        <v>88.1</v>
      </c>
      <c r="O13" s="262">
        <v>88.2</v>
      </c>
      <c r="P13" s="262">
        <v>88</v>
      </c>
      <c r="Q13" s="262">
        <v>88.1</v>
      </c>
      <c r="R13" s="262">
        <v>85.6</v>
      </c>
      <c r="S13" s="262">
        <v>77.5</v>
      </c>
      <c r="T13" s="262">
        <v>80.099999999999994</v>
      </c>
      <c r="U13" s="262">
        <v>80</v>
      </c>
      <c r="V13" s="262">
        <v>84.2</v>
      </c>
      <c r="W13" s="262">
        <v>84</v>
      </c>
      <c r="X13" s="262">
        <v>88.6</v>
      </c>
      <c r="Y13" s="262">
        <v>87.1</v>
      </c>
      <c r="Z13" s="262">
        <v>88.9</v>
      </c>
      <c r="AA13" s="262">
        <v>92.2</v>
      </c>
      <c r="AB13" s="262">
        <f>94.5*0.75+91*0.25</f>
        <v>93.625</v>
      </c>
      <c r="AC13" s="262">
        <v>91</v>
      </c>
      <c r="AD13" s="262">
        <v>92.3</v>
      </c>
      <c r="AE13" s="262">
        <v>93.6</v>
      </c>
      <c r="AF13" s="262">
        <v>93.3</v>
      </c>
      <c r="AG13" s="262">
        <v>93.1</v>
      </c>
      <c r="AH13" s="262">
        <v>95.8</v>
      </c>
      <c r="AI13" s="478">
        <f t="shared" ref="AI13:AN13" si="17">AH13*(1+AI14)</f>
        <v>97.715999999999994</v>
      </c>
      <c r="AJ13" s="478">
        <f>AI13*(1+AJ14)</f>
        <v>99.67031999999999</v>
      </c>
      <c r="AK13" s="478">
        <f>AJ13*(1+AK14)</f>
        <v>101.66372639999999</v>
      </c>
      <c r="AL13" s="478">
        <f>AK13*(1+AL14)</f>
        <v>103.69700092799999</v>
      </c>
      <c r="AM13" s="478">
        <f t="shared" si="17"/>
        <v>105.77094094655999</v>
      </c>
      <c r="AN13" s="478">
        <f t="shared" si="17"/>
        <v>107.88635976549119</v>
      </c>
      <c r="AP13" s="190"/>
      <c r="AQ13" s="180" t="s">
        <v>504</v>
      </c>
      <c r="AR13" s="131">
        <f>AR5/$AR$8</f>
        <v>0.26506184012066364</v>
      </c>
      <c r="AS13" s="131">
        <v>0.28000000000000003</v>
      </c>
      <c r="AT13" s="190"/>
      <c r="AU13" s="190"/>
    </row>
    <row r="14" spans="1:47" s="13" customFormat="1">
      <c r="A14" s="13" t="s">
        <v>376</v>
      </c>
      <c r="C14" s="34">
        <f>(D13/C13)-1</f>
        <v>9.2786636294609037E-2</v>
      </c>
      <c r="D14" s="34">
        <f>(E13/D13)-1</f>
        <v>7.4346859366314799E-2</v>
      </c>
      <c r="E14" s="34">
        <f t="shared" ref="E14:J14" si="18">(E13/D13)-1</f>
        <v>7.4346859366314799E-2</v>
      </c>
      <c r="F14" s="34">
        <f t="shared" si="18"/>
        <v>6.6097529426982327E-2</v>
      </c>
      <c r="G14" s="34">
        <f t="shared" si="18"/>
        <v>4.7682601310361505E-2</v>
      </c>
      <c r="H14" s="34">
        <f t="shared" si="18"/>
        <v>3.1731325998842097E-2</v>
      </c>
      <c r="I14" s="34">
        <f t="shared" si="18"/>
        <v>6.7347625996183602E-4</v>
      </c>
      <c r="J14" s="34">
        <f t="shared" si="18"/>
        <v>-6.5058889512059626E-3</v>
      </c>
      <c r="K14" s="34">
        <f t="shared" ref="K14:P14" si="19">(K13/J13)-1</f>
        <v>3.3871514056671437E-4</v>
      </c>
      <c r="L14" s="34">
        <f t="shared" si="19"/>
        <v>-1.1286681715575453E-3</v>
      </c>
      <c r="M14" s="34">
        <f t="shared" si="19"/>
        <v>-1.1299435028248039E-3</v>
      </c>
      <c r="N14" s="34">
        <f t="shared" si="19"/>
        <v>-3.3936651583711397E-3</v>
      </c>
      <c r="O14" s="34">
        <f t="shared" si="19"/>
        <v>1.1350737797957144E-3</v>
      </c>
      <c r="P14" s="34">
        <f t="shared" si="19"/>
        <v>-2.2675736961451642E-3</v>
      </c>
      <c r="Q14" s="34">
        <f t="shared" ref="Q14:Y14" si="20">(Q13/P13)-1</f>
        <v>1.136363636363491E-3</v>
      </c>
      <c r="R14" s="34">
        <f t="shared" si="20"/>
        <v>-2.8376844494892195E-2</v>
      </c>
      <c r="S14" s="34">
        <f t="shared" si="20"/>
        <v>-9.4626168224299034E-2</v>
      </c>
      <c r="T14" s="34">
        <f t="shared" si="20"/>
        <v>3.3548387096774102E-2</v>
      </c>
      <c r="U14" s="34">
        <f t="shared" si="20"/>
        <v>-1.2484394506865337E-3</v>
      </c>
      <c r="V14" s="34">
        <f t="shared" si="20"/>
        <v>5.2499999999999991E-2</v>
      </c>
      <c r="W14" s="34">
        <f t="shared" si="20"/>
        <v>-2.3752969121140222E-3</v>
      </c>
      <c r="X14" s="34">
        <f t="shared" si="20"/>
        <v>5.4761904761904789E-2</v>
      </c>
      <c r="Y14" s="34">
        <f t="shared" si="20"/>
        <v>-1.6930022573363401E-2</v>
      </c>
      <c r="Z14" s="34">
        <f t="shared" ref="Z14:AH14" si="21">(Z13/Y13)-1</f>
        <v>2.0665901262916231E-2</v>
      </c>
      <c r="AA14" s="34">
        <f t="shared" si="21"/>
        <v>3.7120359955005622E-2</v>
      </c>
      <c r="AB14" s="34">
        <f t="shared" si="21"/>
        <v>1.5455531453362203E-2</v>
      </c>
      <c r="AC14" s="34">
        <f t="shared" si="21"/>
        <v>-2.8037383177570097E-2</v>
      </c>
      <c r="AD14" s="34">
        <f t="shared" si="21"/>
        <v>1.4285714285714235E-2</v>
      </c>
      <c r="AE14" s="34">
        <f t="shared" si="21"/>
        <v>1.4084507042253502E-2</v>
      </c>
      <c r="AF14" s="34">
        <f t="shared" si="21"/>
        <v>-3.2051282051281937E-3</v>
      </c>
      <c r="AG14" s="34">
        <f t="shared" si="21"/>
        <v>-2.143622722400873E-3</v>
      </c>
      <c r="AH14" s="34">
        <f t="shared" si="21"/>
        <v>2.9001074113855996E-2</v>
      </c>
      <c r="AI14" s="484">
        <v>0.02</v>
      </c>
      <c r="AJ14" s="191">
        <f>AI14</f>
        <v>0.02</v>
      </c>
      <c r="AK14" s="191">
        <f t="shared" ref="AK14:AN14" si="22">AJ14</f>
        <v>0.02</v>
      </c>
      <c r="AL14" s="191">
        <f t="shared" si="22"/>
        <v>0.02</v>
      </c>
      <c r="AM14" s="191">
        <f t="shared" si="22"/>
        <v>0.02</v>
      </c>
      <c r="AN14" s="191">
        <f t="shared" si="22"/>
        <v>0.02</v>
      </c>
      <c r="AP14" s="192"/>
      <c r="AQ14" s="180" t="s">
        <v>505</v>
      </c>
      <c r="AR14" s="131">
        <f>AR6/$AR$8</f>
        <v>5.8479638009049761E-2</v>
      </c>
      <c r="AS14" s="131">
        <v>0.06</v>
      </c>
      <c r="AT14" s="192"/>
      <c r="AU14" s="34"/>
    </row>
    <row r="15" spans="1:47" s="13" customFormat="1">
      <c r="A15" s="13" t="s">
        <v>204</v>
      </c>
      <c r="B15" s="267"/>
      <c r="C15" s="263"/>
      <c r="D15" s="263">
        <v>-1.93</v>
      </c>
      <c r="E15" s="263"/>
      <c r="F15" s="263"/>
      <c r="G15" s="263">
        <v>-0.73</v>
      </c>
      <c r="H15" s="263">
        <v>-1.82</v>
      </c>
      <c r="I15" s="263">
        <v>-2.2000000000000002</v>
      </c>
      <c r="J15" s="263">
        <f>I15</f>
        <v>-2.2000000000000002</v>
      </c>
      <c r="K15" s="263">
        <f>J15</f>
        <v>-2.2000000000000002</v>
      </c>
      <c r="L15" s="263">
        <f>K15</f>
        <v>-2.2000000000000002</v>
      </c>
      <c r="M15" s="263">
        <f>L15</f>
        <v>-2.2000000000000002</v>
      </c>
      <c r="N15" s="263">
        <v>0</v>
      </c>
      <c r="O15" s="263">
        <f>N15</f>
        <v>0</v>
      </c>
      <c r="P15" s="263">
        <v>-1.8</v>
      </c>
      <c r="Q15" s="263">
        <v>-1.8</v>
      </c>
      <c r="R15" s="263">
        <v>-1.6</v>
      </c>
      <c r="S15" s="263">
        <v>0</v>
      </c>
      <c r="T15" s="263">
        <v>0</v>
      </c>
      <c r="U15" s="263">
        <v>0</v>
      </c>
      <c r="V15" s="263">
        <v>0</v>
      </c>
      <c r="W15" s="263">
        <v>0</v>
      </c>
      <c r="X15" s="263">
        <v>0</v>
      </c>
      <c r="Y15" s="263">
        <v>0</v>
      </c>
      <c r="Z15" s="263">
        <v>0</v>
      </c>
      <c r="AA15" s="263">
        <v>0</v>
      </c>
      <c r="AB15" s="263">
        <f t="shared" ref="AB15:AI15" si="23">AA15</f>
        <v>0</v>
      </c>
      <c r="AC15" s="263">
        <f t="shared" si="23"/>
        <v>0</v>
      </c>
      <c r="AD15" s="263">
        <v>0</v>
      </c>
      <c r="AE15" s="263">
        <v>0</v>
      </c>
      <c r="AF15" s="263">
        <f>AF22/AF36*100</f>
        <v>-2.0531817137606252</v>
      </c>
      <c r="AG15" s="263">
        <f>AG22/AG36*100</f>
        <v>-0.76570976491862563</v>
      </c>
      <c r="AH15" s="263">
        <f>AH22/AH36*100</f>
        <v>-5.536332179930796E-2</v>
      </c>
      <c r="AI15" s="265">
        <f t="shared" si="23"/>
        <v>-5.536332179930796E-2</v>
      </c>
      <c r="AJ15" s="265">
        <f>AI15</f>
        <v>-5.536332179930796E-2</v>
      </c>
      <c r="AK15" s="265">
        <f>AJ15</f>
        <v>-5.536332179930796E-2</v>
      </c>
      <c r="AL15" s="265">
        <f>AK15</f>
        <v>-5.536332179930796E-2</v>
      </c>
      <c r="AM15" s="265">
        <f>AL15</f>
        <v>-5.536332179930796E-2</v>
      </c>
      <c r="AN15" s="265">
        <f>AM15</f>
        <v>-5.536332179930796E-2</v>
      </c>
      <c r="AP15" s="190"/>
      <c r="AQ15" s="179" t="s">
        <v>77</v>
      </c>
      <c r="AR15" s="194">
        <f>SUM(AR11:AR14)</f>
        <v>0.99999999999999978</v>
      </c>
      <c r="AS15" s="194">
        <f>SUM(AS11:AS14)</f>
        <v>1</v>
      </c>
      <c r="AT15" s="193"/>
      <c r="AU15" s="193"/>
    </row>
    <row r="16" spans="1:47" s="195" customFormat="1">
      <c r="A16" s="195" t="s">
        <v>412</v>
      </c>
      <c r="B16" s="267">
        <v>-3.36</v>
      </c>
      <c r="C16" s="263">
        <v>-2.5</v>
      </c>
      <c r="D16" s="263">
        <v>-3.79</v>
      </c>
      <c r="E16" s="263">
        <v>-4.5</v>
      </c>
      <c r="F16" s="263">
        <v>-4.5</v>
      </c>
      <c r="G16" s="263">
        <v>-1.27</v>
      </c>
      <c r="H16" s="263">
        <v>0.99</v>
      </c>
      <c r="I16" s="263">
        <v>2.2000000000000002</v>
      </c>
      <c r="J16" s="263">
        <v>2.2000000000000002</v>
      </c>
      <c r="K16" s="263">
        <f>J16</f>
        <v>2.2000000000000002</v>
      </c>
      <c r="L16" s="263">
        <v>1.9</v>
      </c>
      <c r="M16" s="263">
        <v>1.9</v>
      </c>
      <c r="N16" s="263">
        <v>-0.3</v>
      </c>
      <c r="O16" s="263">
        <v>0.2</v>
      </c>
      <c r="P16" s="263">
        <v>2</v>
      </c>
      <c r="Q16" s="263">
        <f>P16</f>
        <v>2</v>
      </c>
      <c r="R16" s="263">
        <v>7.3</v>
      </c>
      <c r="S16" s="263">
        <v>11.8</v>
      </c>
      <c r="T16" s="263">
        <v>11.5</v>
      </c>
      <c r="U16" s="263">
        <v>14.1</v>
      </c>
      <c r="V16" s="263">
        <v>17.8</v>
      </c>
      <c r="W16" s="263">
        <v>22.4</v>
      </c>
      <c r="X16" s="263">
        <v>22.4</v>
      </c>
      <c r="Y16" s="263">
        <f>27-3.8</f>
        <v>23.2</v>
      </c>
      <c r="Z16" s="263">
        <v>24.3</v>
      </c>
      <c r="AA16" s="263">
        <v>21</v>
      </c>
      <c r="AB16" s="263">
        <f>22*0.75+27.8*0.25</f>
        <v>23.45</v>
      </c>
      <c r="AC16" s="263">
        <v>27.8</v>
      </c>
      <c r="AD16" s="263">
        <v>28.4</v>
      </c>
      <c r="AE16" s="263">
        <v>30.2</v>
      </c>
      <c r="AF16" s="263">
        <v>46.1</v>
      </c>
      <c r="AG16" s="263">
        <v>58.4</v>
      </c>
      <c r="AH16" s="263">
        <v>44.3</v>
      </c>
      <c r="AI16" s="264">
        <f>AH16</f>
        <v>44.3</v>
      </c>
      <c r="AJ16" s="264">
        <f>+AI16</f>
        <v>44.3</v>
      </c>
      <c r="AK16" s="264">
        <f>+AJ16</f>
        <v>44.3</v>
      </c>
      <c r="AL16" s="264">
        <f>+AK16</f>
        <v>44.3</v>
      </c>
      <c r="AM16" s="264">
        <f t="shared" ref="AM16:AN16" si="24">+AL16</f>
        <v>44.3</v>
      </c>
      <c r="AN16" s="264">
        <f t="shared" si="24"/>
        <v>44.3</v>
      </c>
      <c r="AP16" s="192"/>
      <c r="AQ16" s="13"/>
      <c r="AR16" s="193"/>
      <c r="AS16" s="193"/>
      <c r="AT16" s="192"/>
      <c r="AU16" s="192"/>
    </row>
    <row r="17" spans="1:47" s="180" customFormat="1">
      <c r="A17" s="180" t="s">
        <v>205</v>
      </c>
      <c r="B17" s="267">
        <v>-1.17</v>
      </c>
      <c r="C17" s="263">
        <v>-1.6</v>
      </c>
      <c r="D17" s="263">
        <v>-1.6</v>
      </c>
      <c r="E17" s="263">
        <v>-0.96</v>
      </c>
      <c r="F17" s="263">
        <v>-0.6</v>
      </c>
      <c r="G17" s="263">
        <v>-0.6</v>
      </c>
      <c r="H17" s="263">
        <v>-0.6</v>
      </c>
      <c r="I17" s="263">
        <v>-0.6</v>
      </c>
      <c r="J17" s="263">
        <v>-0.6</v>
      </c>
      <c r="K17" s="263">
        <v>-0.6</v>
      </c>
      <c r="L17" s="263">
        <v>-0.6</v>
      </c>
      <c r="M17" s="263">
        <v>-0.6</v>
      </c>
      <c r="N17" s="263">
        <v>-0.6</v>
      </c>
      <c r="O17" s="263">
        <v>-1.1000000000000001</v>
      </c>
      <c r="P17" s="263">
        <f>O17</f>
        <v>-1.1000000000000001</v>
      </c>
      <c r="Q17" s="263">
        <f>P17</f>
        <v>-1.1000000000000001</v>
      </c>
      <c r="R17" s="263">
        <v>-0.8</v>
      </c>
      <c r="S17" s="263">
        <v>-0.2</v>
      </c>
      <c r="T17" s="263">
        <v>0</v>
      </c>
      <c r="U17" s="263">
        <v>0</v>
      </c>
      <c r="V17" s="263">
        <v>0</v>
      </c>
      <c r="W17" s="263">
        <v>0</v>
      </c>
      <c r="X17" s="263">
        <v>0</v>
      </c>
      <c r="Y17" s="263">
        <v>0</v>
      </c>
      <c r="Z17" s="263">
        <v>0</v>
      </c>
      <c r="AA17" s="263">
        <v>0</v>
      </c>
      <c r="AB17" s="263">
        <v>0</v>
      </c>
      <c r="AC17" s="263">
        <v>0</v>
      </c>
      <c r="AD17" s="263">
        <v>0</v>
      </c>
      <c r="AE17" s="263">
        <v>0</v>
      </c>
      <c r="AF17" s="263">
        <v>0</v>
      </c>
      <c r="AG17" s="263">
        <v>0</v>
      </c>
      <c r="AH17" s="263">
        <v>0</v>
      </c>
      <c r="AI17" s="265">
        <v>0</v>
      </c>
      <c r="AJ17" s="265">
        <v>0</v>
      </c>
      <c r="AK17" s="265">
        <v>0</v>
      </c>
      <c r="AL17" s="265">
        <v>0</v>
      </c>
      <c r="AM17" s="265">
        <v>0</v>
      </c>
      <c r="AN17" s="265">
        <v>0</v>
      </c>
      <c r="AP17" s="76"/>
      <c r="AQ17" s="62" t="s">
        <v>56</v>
      </c>
      <c r="AR17" s="192"/>
      <c r="AS17" s="192"/>
      <c r="AT17" s="192"/>
      <c r="AU17" s="192"/>
    </row>
    <row r="18" spans="1:47" s="180" customFormat="1">
      <c r="A18" s="180" t="s">
        <v>51</v>
      </c>
      <c r="B18" s="267"/>
      <c r="C18" s="263"/>
      <c r="D18" s="263"/>
      <c r="E18" s="263"/>
      <c r="F18" s="263"/>
      <c r="G18" s="263"/>
      <c r="H18" s="263"/>
      <c r="I18" s="263"/>
      <c r="J18" s="263"/>
      <c r="K18" s="263"/>
      <c r="L18" s="263"/>
      <c r="M18" s="263"/>
      <c r="N18" s="263"/>
      <c r="O18" s="263"/>
      <c r="P18" s="263"/>
      <c r="Q18" s="263"/>
      <c r="R18" s="263"/>
      <c r="S18" s="263"/>
      <c r="T18" s="263"/>
      <c r="U18" s="263"/>
      <c r="V18" s="263">
        <v>-3.3</v>
      </c>
      <c r="W18" s="263">
        <v>-1.7</v>
      </c>
      <c r="X18" s="263">
        <v>0</v>
      </c>
      <c r="Y18" s="263">
        <v>0</v>
      </c>
      <c r="Z18" s="263">
        <v>0</v>
      </c>
      <c r="AA18" s="263">
        <v>0</v>
      </c>
      <c r="AB18" s="263">
        <v>-1.1000000000000001</v>
      </c>
      <c r="AC18" s="263">
        <v>-0.1</v>
      </c>
      <c r="AD18" s="263">
        <v>-1.2</v>
      </c>
      <c r="AE18" s="263">
        <v>0</v>
      </c>
      <c r="AF18" s="263">
        <v>-1.3</v>
      </c>
      <c r="AG18" s="263">
        <v>-0.4</v>
      </c>
      <c r="AH18" s="263">
        <v>0</v>
      </c>
      <c r="AI18" s="265">
        <v>0</v>
      </c>
      <c r="AJ18" s="265">
        <v>0</v>
      </c>
      <c r="AK18" s="265">
        <v>0</v>
      </c>
      <c r="AL18" s="265">
        <v>0</v>
      </c>
      <c r="AM18" s="265">
        <v>0</v>
      </c>
      <c r="AN18" s="265">
        <v>0</v>
      </c>
      <c r="AP18" s="192"/>
      <c r="AQ18" s="30" t="s">
        <v>502</v>
      </c>
      <c r="AR18" s="192"/>
      <c r="AS18" s="124">
        <f>AS3/AR3-1</f>
        <v>-0.11845133342358194</v>
      </c>
      <c r="AT18" s="192"/>
      <c r="AU18" s="192"/>
    </row>
    <row r="19" spans="1:47">
      <c r="A19" s="109" t="s">
        <v>206</v>
      </c>
      <c r="B19" s="270">
        <f t="shared" ref="B19:V19" si="25">B13+SUM(B15:B18)</f>
        <v>59.28</v>
      </c>
      <c r="C19" s="270">
        <f t="shared" si="25"/>
        <v>61.749999999999993</v>
      </c>
      <c r="D19" s="270">
        <f t="shared" si="25"/>
        <v>64.639999999999986</v>
      </c>
      <c r="E19" s="270">
        <f t="shared" si="25"/>
        <v>71.850000000000009</v>
      </c>
      <c r="F19" s="270">
        <f t="shared" si="25"/>
        <v>77.320000000000007</v>
      </c>
      <c r="G19" s="270">
        <f t="shared" si="25"/>
        <v>83.75</v>
      </c>
      <c r="H19" s="270">
        <f t="shared" si="25"/>
        <v>87.66</v>
      </c>
      <c r="I19" s="270">
        <f t="shared" si="25"/>
        <v>88.550000000000011</v>
      </c>
      <c r="J19" s="270">
        <f t="shared" si="25"/>
        <v>87.97</v>
      </c>
      <c r="K19" s="270">
        <f t="shared" si="25"/>
        <v>88</v>
      </c>
      <c r="L19" s="270">
        <f t="shared" si="25"/>
        <v>87.6</v>
      </c>
      <c r="M19" s="270">
        <f t="shared" si="25"/>
        <v>87.5</v>
      </c>
      <c r="N19" s="270">
        <f t="shared" si="25"/>
        <v>87.199999999999989</v>
      </c>
      <c r="O19" s="270">
        <f t="shared" si="25"/>
        <v>87.3</v>
      </c>
      <c r="P19" s="270">
        <f t="shared" si="25"/>
        <v>87.1</v>
      </c>
      <c r="Q19" s="270">
        <f t="shared" si="25"/>
        <v>87.199999999999989</v>
      </c>
      <c r="R19" s="270">
        <f t="shared" si="25"/>
        <v>90.5</v>
      </c>
      <c r="S19" s="270">
        <f t="shared" si="25"/>
        <v>89.1</v>
      </c>
      <c r="T19" s="270">
        <f t="shared" si="25"/>
        <v>91.6</v>
      </c>
      <c r="U19" s="270">
        <f t="shared" si="25"/>
        <v>94.1</v>
      </c>
      <c r="V19" s="270">
        <f t="shared" si="25"/>
        <v>98.7</v>
      </c>
      <c r="W19" s="270">
        <f>W13+SUM(W15:W18)</f>
        <v>104.7</v>
      </c>
      <c r="X19" s="270">
        <f t="shared" ref="X19:AF19" si="26">X13+SUM(X15:X18)</f>
        <v>111</v>
      </c>
      <c r="Y19" s="270">
        <f t="shared" si="26"/>
        <v>110.3</v>
      </c>
      <c r="Z19" s="270">
        <f t="shared" si="26"/>
        <v>113.2</v>
      </c>
      <c r="AA19" s="270">
        <f>AA13+SUM(AA15:AA18)</f>
        <v>113.2</v>
      </c>
      <c r="AB19" s="270">
        <f>AB13+SUM(AB15:AB18)</f>
        <v>115.97499999999999</v>
      </c>
      <c r="AC19" s="270">
        <f t="shared" si="26"/>
        <v>118.7</v>
      </c>
      <c r="AD19" s="270">
        <f t="shared" si="26"/>
        <v>119.5</v>
      </c>
      <c r="AE19" s="270">
        <f t="shared" si="26"/>
        <v>123.8</v>
      </c>
      <c r="AF19" s="270">
        <f t="shared" si="26"/>
        <v>136.04681828623939</v>
      </c>
      <c r="AG19" s="270">
        <f t="shared" ref="AG19:AN19" si="27">AG13+SUM(AG15:AG18)</f>
        <v>150.33429023508137</v>
      </c>
      <c r="AH19" s="270">
        <f t="shared" ref="AH19" si="28">AH13+SUM(AH15:AH18)</f>
        <v>140.04463667820067</v>
      </c>
      <c r="AI19" s="270">
        <f t="shared" si="27"/>
        <v>141.96063667820067</v>
      </c>
      <c r="AJ19" s="270">
        <f t="shared" si="27"/>
        <v>143.91495667820067</v>
      </c>
      <c r="AK19" s="270">
        <f t="shared" si="27"/>
        <v>145.90836307820069</v>
      </c>
      <c r="AL19" s="270">
        <f t="shared" si="27"/>
        <v>147.94163760620069</v>
      </c>
      <c r="AM19" s="270">
        <f t="shared" si="27"/>
        <v>150.01557762476068</v>
      </c>
      <c r="AN19" s="270">
        <f t="shared" si="27"/>
        <v>152.13099644369188</v>
      </c>
      <c r="AO19" s="13"/>
      <c r="AP19" s="190"/>
      <c r="AQ19" s="180" t="s">
        <v>503</v>
      </c>
      <c r="AR19" s="192"/>
      <c r="AS19" s="124">
        <f>AS4/AR4-1</f>
        <v>8.4807008746183854E-3</v>
      </c>
      <c r="AT19" s="190"/>
      <c r="AU19" s="190"/>
    </row>
    <row r="20" spans="1:47">
      <c r="A20" s="13" t="s">
        <v>376</v>
      </c>
      <c r="C20" s="124">
        <f t="shared" ref="C20:H20" si="29">(C19/B19)-1</f>
        <v>4.1666666666666519E-2</v>
      </c>
      <c r="D20" s="124">
        <f t="shared" si="29"/>
        <v>4.6801619433198383E-2</v>
      </c>
      <c r="E20" s="124">
        <f t="shared" si="29"/>
        <v>0.11154084158415878</v>
      </c>
      <c r="F20" s="124">
        <f t="shared" si="29"/>
        <v>7.6130828114126636E-2</v>
      </c>
      <c r="G20" s="124">
        <f t="shared" si="29"/>
        <v>8.3160889808587601E-2</v>
      </c>
      <c r="H20" s="124">
        <f t="shared" si="29"/>
        <v>4.668656716417896E-2</v>
      </c>
      <c r="I20" s="124">
        <f>(I19/H19)-1</f>
        <v>1.0152863335614937E-2</v>
      </c>
      <c r="J20" s="124">
        <f>(J19/I19)-1</f>
        <v>-6.5499717673631608E-3</v>
      </c>
      <c r="K20" s="124">
        <f t="shared" ref="K20:S20" si="30">(K19/J19)-1</f>
        <v>3.4102534955104957E-4</v>
      </c>
      <c r="L20" s="124">
        <f>(L19/K19)-1</f>
        <v>-4.5454545454546302E-3</v>
      </c>
      <c r="M20" s="124">
        <f>(M19/L19)-1</f>
        <v>-1.1415525114154557E-3</v>
      </c>
      <c r="N20" s="124">
        <f>(N19/M19)-1</f>
        <v>-3.4285714285715585E-3</v>
      </c>
      <c r="O20" s="124">
        <f>(O19/N19)-1</f>
        <v>1.1467889908258755E-3</v>
      </c>
      <c r="P20" s="124">
        <f t="shared" si="30"/>
        <v>-2.2909507445589838E-3</v>
      </c>
      <c r="Q20" s="124">
        <f t="shared" si="30"/>
        <v>1.1481056257174327E-3</v>
      </c>
      <c r="R20" s="124">
        <f t="shared" si="30"/>
        <v>3.7844036697247896E-2</v>
      </c>
      <c r="S20" s="124">
        <f t="shared" si="30"/>
        <v>-1.5469613259668558E-2</v>
      </c>
      <c r="T20" s="124">
        <f t="shared" ref="T20:AF20" si="31">(T19/S19)-1</f>
        <v>2.8058361391694708E-2</v>
      </c>
      <c r="U20" s="124">
        <f t="shared" si="31"/>
        <v>2.729257641921401E-2</v>
      </c>
      <c r="V20" s="124">
        <f>(V19/U19)-1</f>
        <v>4.8884165781084121E-2</v>
      </c>
      <c r="W20" s="124">
        <f t="shared" si="31"/>
        <v>6.07902735562309E-2</v>
      </c>
      <c r="X20" s="124">
        <f t="shared" si="31"/>
        <v>6.0171919770773519E-2</v>
      </c>
      <c r="Y20" s="124">
        <f t="shared" si="31"/>
        <v>-6.3063063063063529E-3</v>
      </c>
      <c r="Z20" s="124">
        <f>(Z19/Y19)-1</f>
        <v>2.6291931097008225E-2</v>
      </c>
      <c r="AA20" s="124">
        <f>(AA19/Z19)-1</f>
        <v>0</v>
      </c>
      <c r="AB20" s="124">
        <f t="shared" si="31"/>
        <v>2.4514134275618327E-2</v>
      </c>
      <c r="AC20" s="124">
        <f t="shared" si="31"/>
        <v>2.3496443198965267E-2</v>
      </c>
      <c r="AD20" s="124">
        <f t="shared" si="31"/>
        <v>6.7396798652064049E-3</v>
      </c>
      <c r="AE20" s="124">
        <f t="shared" si="31"/>
        <v>3.5983263598326376E-2</v>
      </c>
      <c r="AF20" s="124">
        <f t="shared" si="31"/>
        <v>9.892421879030211E-2</v>
      </c>
      <c r="AG20" s="124">
        <f t="shared" ref="AG20:AN20" si="32">(AG19/AF19)-1</f>
        <v>0.10501878786155427</v>
      </c>
      <c r="AH20" s="124">
        <f t="shared" si="32"/>
        <v>-6.8445153403062675E-2</v>
      </c>
      <c r="AI20" s="124">
        <f t="shared" si="32"/>
        <v>1.3681352213456455E-2</v>
      </c>
      <c r="AJ20" s="124">
        <f>(AJ19/AI19)-1</f>
        <v>1.3766633101470749E-2</v>
      </c>
      <c r="AK20" s="124">
        <f>(AK19/AJ19)-1</f>
        <v>1.3851280270037236E-2</v>
      </c>
      <c r="AL20" s="124">
        <f>(AL19/AK19)-1</f>
        <v>1.3935284346314303E-2</v>
      </c>
      <c r="AM20" s="124">
        <f t="shared" si="32"/>
        <v>1.4018636349561797E-2</v>
      </c>
      <c r="AN20" s="124">
        <f t="shared" si="32"/>
        <v>1.4101327691598664E-2</v>
      </c>
      <c r="AP20" s="124"/>
      <c r="AQ20" s="180" t="s">
        <v>504</v>
      </c>
      <c r="AR20" s="190"/>
      <c r="AS20" s="124">
        <f>AS5/AR5-1</f>
        <v>3.7556334501752664E-2</v>
      </c>
      <c r="AT20" s="124"/>
      <c r="AU20" s="124"/>
    </row>
    <row r="21" spans="1:47">
      <c r="C21" s="124"/>
      <c r="D21" s="124"/>
      <c r="E21" s="124"/>
      <c r="F21" s="124"/>
      <c r="G21" s="124"/>
      <c r="H21" s="124"/>
      <c r="I21" s="124"/>
      <c r="J21" s="124"/>
      <c r="K21" s="124"/>
      <c r="L21" s="124"/>
      <c r="M21" s="124"/>
      <c r="AQ21" s="180" t="s">
        <v>505</v>
      </c>
      <c r="AR21" s="124"/>
      <c r="AS21" s="124">
        <f>AS6/AR6-1</f>
        <v>7.7375425564840672E-3</v>
      </c>
    </row>
    <row r="22" spans="1:47">
      <c r="A22" s="29" t="s">
        <v>207</v>
      </c>
      <c r="B22" s="17">
        <f t="shared" ref="B22:I22" si="33">B15*B36/100</f>
        <v>0</v>
      </c>
      <c r="C22" s="17">
        <f t="shared" si="33"/>
        <v>0</v>
      </c>
      <c r="D22" s="17">
        <f t="shared" si="33"/>
        <v>-397.23260000000005</v>
      </c>
      <c r="E22" s="17">
        <f t="shared" si="33"/>
        <v>0</v>
      </c>
      <c r="F22" s="17">
        <f t="shared" si="33"/>
        <v>0</v>
      </c>
      <c r="G22" s="17">
        <f t="shared" si="33"/>
        <v>-168.0241</v>
      </c>
      <c r="H22" s="17">
        <f t="shared" si="33"/>
        <v>-452.83420000000001</v>
      </c>
      <c r="I22" s="17">
        <f t="shared" si="33"/>
        <v>-684.55200000000013</v>
      </c>
      <c r="J22" s="17">
        <f>J15*J36/100-387</f>
        <v>-965.75400000000002</v>
      </c>
      <c r="K22" s="17">
        <f>K15*K36/100-340-609</f>
        <v>-1541.9</v>
      </c>
      <c r="L22" s="17">
        <f>-(558+41+626)</f>
        <v>-1225</v>
      </c>
      <c r="M22" s="17">
        <v>-910</v>
      </c>
      <c r="N22" s="17">
        <f>8-1-15</f>
        <v>-8</v>
      </c>
      <c r="O22" s="17">
        <v>-13</v>
      </c>
      <c r="P22" s="17">
        <v>-551</v>
      </c>
      <c r="Q22" s="17">
        <v>-462</v>
      </c>
      <c r="R22" s="17">
        <v>-494</v>
      </c>
      <c r="S22" s="17">
        <v>0</v>
      </c>
      <c r="T22" s="17">
        <v>0</v>
      </c>
      <c r="U22" s="17">
        <f t="shared" ref="U22:AE22" si="34">U15*U36/100</f>
        <v>0</v>
      </c>
      <c r="V22" s="17">
        <f t="shared" si="34"/>
        <v>0</v>
      </c>
      <c r="W22" s="17">
        <f t="shared" si="34"/>
        <v>0</v>
      </c>
      <c r="X22" s="17">
        <f t="shared" si="34"/>
        <v>0</v>
      </c>
      <c r="Y22" s="17">
        <f t="shared" si="34"/>
        <v>0</v>
      </c>
      <c r="Z22" s="17">
        <f t="shared" si="34"/>
        <v>0</v>
      </c>
      <c r="AA22" s="17">
        <f t="shared" si="34"/>
        <v>0</v>
      </c>
      <c r="AB22" s="17">
        <f t="shared" si="34"/>
        <v>0</v>
      </c>
      <c r="AC22" s="17">
        <f t="shared" si="34"/>
        <v>0</v>
      </c>
      <c r="AD22" s="17">
        <f t="shared" si="34"/>
        <v>0</v>
      </c>
      <c r="AE22" s="17">
        <f t="shared" si="34"/>
        <v>0</v>
      </c>
      <c r="AF22" s="17">
        <v>-715</v>
      </c>
      <c r="AG22" s="17">
        <v>-271</v>
      </c>
      <c r="AH22" s="17">
        <v>-20</v>
      </c>
      <c r="AI22" s="55">
        <f t="shared" ref="AI22:AN22" si="35">AI15*AI36/100</f>
        <v>-20.337067759160199</v>
      </c>
      <c r="AJ22" s="55">
        <f t="shared" si="35"/>
        <v>-20.691254833028893</v>
      </c>
      <c r="AK22" s="55">
        <f t="shared" si="35"/>
        <v>-21.063030808434561</v>
      </c>
      <c r="AL22" s="55">
        <f t="shared" si="35"/>
        <v>-21.452882839311851</v>
      </c>
      <c r="AM22" s="55">
        <f t="shared" si="35"/>
        <v>-21.861316201669347</v>
      </c>
      <c r="AN22" s="55">
        <f t="shared" si="35"/>
        <v>-22.288854867734734</v>
      </c>
      <c r="AQ22" s="179" t="s">
        <v>77</v>
      </c>
      <c r="AS22" s="196">
        <f>AS8/AR8-1</f>
        <v>-1.7797888386123839E-2</v>
      </c>
    </row>
    <row r="23" spans="1:47">
      <c r="A23" s="29" t="s">
        <v>208</v>
      </c>
      <c r="B23" s="17">
        <f t="shared" ref="B23:J23" si="36">B17*B36/100</f>
        <v>-220.0068</v>
      </c>
      <c r="C23" s="17">
        <f t="shared" si="36"/>
        <v>-317.15199999999999</v>
      </c>
      <c r="D23" s="17">
        <f t="shared" si="36"/>
        <v>-329.31200000000007</v>
      </c>
      <c r="E23" s="17">
        <f t="shared" si="36"/>
        <v>-205.32479999999998</v>
      </c>
      <c r="F23" s="17">
        <f t="shared" si="36"/>
        <v>-133.90799999999999</v>
      </c>
      <c r="G23" s="17">
        <f t="shared" si="36"/>
        <v>-138.10199999999998</v>
      </c>
      <c r="H23" s="17">
        <f t="shared" si="36"/>
        <v>-149.28599999999997</v>
      </c>
      <c r="I23" s="17">
        <f t="shared" si="36"/>
        <v>-186.696</v>
      </c>
      <c r="J23" s="17">
        <f t="shared" si="36"/>
        <v>-157.84199999999998</v>
      </c>
      <c r="K23" s="17">
        <f>K17*K36/100-99</f>
        <v>-260.7</v>
      </c>
      <c r="L23" s="17">
        <f>L17*L36/100-5</f>
        <v>-171.27200000000002</v>
      </c>
      <c r="M23" s="17">
        <f>M17*M36/100-5</f>
        <v>-173.21</v>
      </c>
      <c r="N23" s="17">
        <f>N17*N36/100-5</f>
        <v>-176.792</v>
      </c>
      <c r="O23" s="17">
        <v>-334</v>
      </c>
      <c r="P23" s="17">
        <v>-340</v>
      </c>
      <c r="Q23" s="17">
        <f>-94-339</f>
        <v>-433</v>
      </c>
      <c r="R23" s="17">
        <f>-246+1</f>
        <v>-245</v>
      </c>
      <c r="S23" s="17">
        <f>0-72</f>
        <v>-72</v>
      </c>
      <c r="T23" s="17">
        <v>0</v>
      </c>
      <c r="U23" s="17">
        <f t="shared" ref="U23:AF23" si="37">U17*U36/100</f>
        <v>0</v>
      </c>
      <c r="V23" s="17">
        <f t="shared" si="37"/>
        <v>0</v>
      </c>
      <c r="W23" s="17">
        <f t="shared" si="37"/>
        <v>0</v>
      </c>
      <c r="X23" s="17">
        <f t="shared" si="37"/>
        <v>0</v>
      </c>
      <c r="Y23" s="17">
        <f t="shared" si="37"/>
        <v>0</v>
      </c>
      <c r="Z23" s="17">
        <f t="shared" si="37"/>
        <v>0</v>
      </c>
      <c r="AA23" s="17">
        <f t="shared" si="37"/>
        <v>0</v>
      </c>
      <c r="AB23" s="17">
        <f t="shared" si="37"/>
        <v>0</v>
      </c>
      <c r="AC23" s="17">
        <f t="shared" si="37"/>
        <v>0</v>
      </c>
      <c r="AD23" s="17">
        <f t="shared" si="37"/>
        <v>0</v>
      </c>
      <c r="AE23" s="17">
        <f t="shared" si="37"/>
        <v>0</v>
      </c>
      <c r="AF23" s="17">
        <f t="shared" si="37"/>
        <v>0</v>
      </c>
      <c r="AG23" s="17">
        <f t="shared" ref="AG23" si="38">AG17*AG36/100</f>
        <v>0</v>
      </c>
      <c r="AH23" s="17">
        <f t="shared" ref="AH23" si="39">AH17*AH36/100</f>
        <v>0</v>
      </c>
      <c r="AI23" s="17">
        <f t="shared" ref="AI23:AN23" si="40">AI17*AI36/100</f>
        <v>0</v>
      </c>
      <c r="AJ23" s="17">
        <f t="shared" si="40"/>
        <v>0</v>
      </c>
      <c r="AK23" s="17">
        <f t="shared" si="40"/>
        <v>0</v>
      </c>
      <c r="AL23" s="17">
        <f t="shared" si="40"/>
        <v>0</v>
      </c>
      <c r="AM23" s="17">
        <f t="shared" si="40"/>
        <v>0</v>
      </c>
      <c r="AN23" s="17">
        <f t="shared" si="40"/>
        <v>0</v>
      </c>
    </row>
    <row r="24" spans="1:47">
      <c r="B24" s="32"/>
      <c r="C24" s="32"/>
      <c r="D24" s="32"/>
      <c r="E24" s="32"/>
      <c r="F24" s="32"/>
      <c r="G24" s="32"/>
      <c r="H24" s="32"/>
      <c r="I24" s="32"/>
      <c r="J24" s="32"/>
      <c r="K24" s="32"/>
      <c r="L24" s="32"/>
      <c r="M24" s="32"/>
      <c r="N24" s="32"/>
      <c r="O24" s="32"/>
      <c r="P24" s="32"/>
      <c r="Q24" s="32"/>
      <c r="R24" s="32"/>
      <c r="S24" s="32"/>
      <c r="T24" s="32"/>
      <c r="U24" s="32"/>
      <c r="V24" s="197"/>
      <c r="W24" s="32"/>
      <c r="X24" s="32"/>
      <c r="Y24" s="32"/>
      <c r="Z24" s="32"/>
      <c r="AA24" s="32"/>
      <c r="AB24" s="32"/>
      <c r="AC24" s="32"/>
      <c r="AD24" s="32"/>
      <c r="AE24" s="32"/>
      <c r="AF24" s="32"/>
      <c r="AG24" s="32"/>
      <c r="AH24" s="32"/>
      <c r="AI24" s="32"/>
      <c r="AJ24" s="32"/>
      <c r="AK24" s="32"/>
      <c r="AL24" s="32"/>
      <c r="AM24" s="32"/>
      <c r="AN24" s="32"/>
    </row>
    <row r="25" spans="1:47" s="201" customFormat="1">
      <c r="A25" s="199" t="s">
        <v>50</v>
      </c>
      <c r="B25" s="200">
        <f>'SOC Accounts'!B21</f>
        <v>3222</v>
      </c>
      <c r="C25" s="200">
        <f>'SOC Accounts'!C21</f>
        <v>3847</v>
      </c>
      <c r="D25" s="200">
        <f>'SOC Accounts'!D21</f>
        <v>2944</v>
      </c>
      <c r="E25" s="200">
        <f>'SOC Accounts'!E21</f>
        <v>2419</v>
      </c>
      <c r="F25" s="200">
        <f>'SOC Accounts'!F21</f>
        <v>1926</v>
      </c>
      <c r="G25" s="200">
        <f>'SOC Accounts'!G21</f>
        <v>1432</v>
      </c>
      <c r="H25" s="200">
        <f>'SOC Accounts'!H21</f>
        <v>2528</v>
      </c>
      <c r="I25" s="200">
        <f>'SOC Accounts'!I21</f>
        <v>3320</v>
      </c>
      <c r="J25" s="200">
        <f>'SOC Accounts'!J21</f>
        <v>2923</v>
      </c>
      <c r="K25" s="200">
        <f>'SOC Accounts'!K21</f>
        <v>3177</v>
      </c>
      <c r="L25" s="200">
        <f>'SOC Accounts'!L21</f>
        <v>3372</v>
      </c>
      <c r="M25" s="200">
        <f>'SOC Accounts'!M21</f>
        <v>2960</v>
      </c>
      <c r="N25" s="200">
        <f>'SOC Accounts'!N21</f>
        <v>3171</v>
      </c>
      <c r="O25" s="200">
        <f>'SOC Accounts'!O21</f>
        <v>3685</v>
      </c>
      <c r="P25" s="200">
        <f>'SOC Accounts'!P21</f>
        <v>2932</v>
      </c>
      <c r="Q25" s="200">
        <f>'SOC Accounts'!Q21</f>
        <v>2117</v>
      </c>
      <c r="R25" s="200">
        <f>'SOC Accounts'!R21</f>
        <v>1756</v>
      </c>
      <c r="S25" s="200">
        <f>'SOC Accounts'!S21</f>
        <v>1653</v>
      </c>
      <c r="T25" s="200">
        <f>'SOC Accounts'!T21</f>
        <v>1505</v>
      </c>
      <c r="U25" s="200">
        <f>'SOC Accounts'!U21</f>
        <v>637</v>
      </c>
      <c r="V25" s="200">
        <f>'SOC Accounts'!V21</f>
        <v>712</v>
      </c>
      <c r="W25" s="200">
        <f>'SOC Accounts'!W21</f>
        <v>19</v>
      </c>
      <c r="X25" s="200">
        <f>'SOC Accounts'!X21</f>
        <v>1058</v>
      </c>
      <c r="Y25" s="200">
        <f>'SOC Accounts'!Y21</f>
        <v>935</v>
      </c>
      <c r="Z25" s="200">
        <f>'SOC Accounts'!Z21</f>
        <v>786</v>
      </c>
      <c r="AA25" s="200">
        <f>'SOC Accounts'!AA21</f>
        <v>746</v>
      </c>
      <c r="AB25" s="200">
        <f>'SOC Accounts'!AB21</f>
        <v>941</v>
      </c>
      <c r="AC25" s="200">
        <f>'SOC Accounts'!AC21</f>
        <v>1478</v>
      </c>
      <c r="AD25" s="200">
        <f>'SOC Accounts'!AD21</f>
        <v>2019</v>
      </c>
      <c r="AE25" s="200">
        <f>'SOC Accounts'!AE21</f>
        <v>3109</v>
      </c>
      <c r="AF25" s="200">
        <f>'SOC Accounts'!AF21</f>
        <v>2928</v>
      </c>
      <c r="AG25" s="200">
        <f>'SOC Accounts'!AG21</f>
        <v>2529</v>
      </c>
      <c r="AH25" s="200">
        <f>'SOC Accounts'!AH21</f>
        <v>3048</v>
      </c>
      <c r="AI25" s="200">
        <f>'SOC Accounts'!AI21</f>
        <v>3733.7394219959033</v>
      </c>
      <c r="AJ25" s="200">
        <f>'SOC Accounts'!AJ21</f>
        <v>4690.963489752673</v>
      </c>
      <c r="AK25" s="200">
        <f>'SOC Accounts'!AK21</f>
        <v>6028.1287856226018</v>
      </c>
      <c r="AL25" s="200">
        <f>'SOC Accounts'!AL21</f>
        <v>7820.8516694859309</v>
      </c>
      <c r="AM25" s="200">
        <f>'SOC Accounts'!AM21</f>
        <v>10144.63167960578</v>
      </c>
      <c r="AN25" s="200">
        <f>'SOC Accounts'!AN21</f>
        <v>13053.382300288025</v>
      </c>
    </row>
    <row r="26" spans="1:47" s="201" customFormat="1">
      <c r="A26" s="199" t="s">
        <v>414</v>
      </c>
      <c r="B26" s="200">
        <f>'SOC Accounts'!B7</f>
        <v>-107</v>
      </c>
      <c r="C26" s="200">
        <f>'SOC Accounts'!C7</f>
        <v>-630</v>
      </c>
      <c r="D26" s="200">
        <f>'SOC Accounts'!D7</f>
        <v>-682</v>
      </c>
      <c r="E26" s="200">
        <f>'SOC Accounts'!E7</f>
        <v>-409</v>
      </c>
      <c r="F26" s="200">
        <f>'SOC Accounts'!F7</f>
        <v>152</v>
      </c>
      <c r="G26" s="200">
        <f>'SOC Accounts'!G7</f>
        <v>867</v>
      </c>
      <c r="H26" s="200">
        <f>'SOC Accounts'!H7</f>
        <v>631</v>
      </c>
      <c r="I26" s="200">
        <f>'SOC Accounts'!I7</f>
        <v>327</v>
      </c>
      <c r="J26" s="200">
        <f>'SOC Accounts'!J7</f>
        <v>37</v>
      </c>
      <c r="K26" s="200">
        <f>'SOC Accounts'!K7</f>
        <v>-448</v>
      </c>
      <c r="L26" s="200">
        <f>'SOC Accounts'!L7</f>
        <v>-512</v>
      </c>
      <c r="M26" s="200">
        <f>'SOC Accounts'!M7</f>
        <v>-874</v>
      </c>
      <c r="N26" s="200">
        <f>'SOC Accounts'!N7</f>
        <v>-762</v>
      </c>
      <c r="O26" s="200">
        <f>'SOC Accounts'!O7</f>
        <v>-323</v>
      </c>
      <c r="P26" s="200">
        <f>'SOC Accounts'!P7</f>
        <v>-294</v>
      </c>
      <c r="Q26" s="200">
        <f>'SOC Accounts'!Q7</f>
        <v>132</v>
      </c>
      <c r="R26" s="200">
        <f>'SOC Accounts'!R7</f>
        <v>800</v>
      </c>
      <c r="S26" s="200">
        <f>'SOC Accounts'!S7</f>
        <v>14</v>
      </c>
      <c r="T26" s="200">
        <f>'SOC Accounts'!T7</f>
        <v>294</v>
      </c>
      <c r="U26" s="200">
        <f>'SOC Accounts'!U7</f>
        <v>212</v>
      </c>
      <c r="V26" s="200">
        <f>'SOC Accounts'!V7</f>
        <v>337</v>
      </c>
      <c r="W26" s="200">
        <f>'SOC Accounts'!W7</f>
        <v>-1464</v>
      </c>
      <c r="X26" s="202">
        <f>'SOC Accounts'!X7</f>
        <v>-2966</v>
      </c>
      <c r="Y26" s="202">
        <f>'SOC Accounts'!Y7</f>
        <v>-2226</v>
      </c>
      <c r="Z26" s="202">
        <f>'SOC Accounts'!Z7</f>
        <v>-2867</v>
      </c>
      <c r="AA26" s="200">
        <f>'SOC Accounts'!AA7</f>
        <v>-2212</v>
      </c>
      <c r="AB26" s="202">
        <f>'SOC Accounts'!AB7</f>
        <v>-901</v>
      </c>
      <c r="AC26" s="202">
        <f>'SOC Accounts'!AC7</f>
        <v>-1131</v>
      </c>
      <c r="AD26" s="202">
        <f>'SOC Accounts'!AD7</f>
        <v>-346</v>
      </c>
      <c r="AE26" s="202">
        <f>'SOC Accounts'!AE7</f>
        <v>1116</v>
      </c>
      <c r="AF26" s="202">
        <f>'SOC Accounts'!AF7</f>
        <v>3543</v>
      </c>
      <c r="AG26" s="202">
        <f>'SOC Accounts'!AG7</f>
        <v>328</v>
      </c>
      <c r="AH26" s="202">
        <f>'SOC Accounts'!AH7</f>
        <v>370</v>
      </c>
      <c r="AI26" s="202">
        <f>'SOC Accounts'!AI7</f>
        <v>505.08074313479665</v>
      </c>
      <c r="AJ26" s="202">
        <f>'SOC Accounts'!AJ7</f>
        <v>1121.6765156146466</v>
      </c>
      <c r="AK26" s="202">
        <f>'SOC Accounts'!AK7</f>
        <v>2235.5811230640174</v>
      </c>
      <c r="AL26" s="202">
        <f>'SOC Accounts'!AL7</f>
        <v>3863.0258068697185</v>
      </c>
      <c r="AM26" s="202">
        <f>'SOC Accounts'!AM7</f>
        <v>6020.6955167442502</v>
      </c>
      <c r="AN26" s="202">
        <f>'SOC Accounts'!AN7</f>
        <v>8979.1676913113224</v>
      </c>
      <c r="AP26" s="203"/>
      <c r="AQ26" s="203"/>
    </row>
    <row r="27" spans="1:47" s="201" customFormat="1">
      <c r="A27" s="199" t="s">
        <v>1</v>
      </c>
      <c r="B27" s="200">
        <f>'SOC Accounts'!B34</f>
        <v>312</v>
      </c>
      <c r="C27" s="200">
        <f>'SOC Accounts'!C34</f>
        <v>188</v>
      </c>
      <c r="D27" s="200">
        <f>'SOC Accounts'!D34</f>
        <v>115</v>
      </c>
      <c r="E27" s="200">
        <f>'SOC Accounts'!E34</f>
        <v>119</v>
      </c>
      <c r="F27" s="200">
        <f>'SOC Accounts'!F34</f>
        <v>156</v>
      </c>
      <c r="G27" s="200">
        <f>'SOC Accounts'!G34</f>
        <v>148</v>
      </c>
      <c r="H27" s="200">
        <f>'SOC Accounts'!H34</f>
        <v>154</v>
      </c>
      <c r="I27" s="200">
        <f>'SOC Accounts'!I34</f>
        <v>253</v>
      </c>
      <c r="J27" s="200">
        <f>'SOC Accounts'!J34</f>
        <v>371</v>
      </c>
      <c r="K27" s="200">
        <f>'SOC Accounts'!K34</f>
        <v>411</v>
      </c>
      <c r="L27" s="200">
        <f>'SOC Accounts'!L34</f>
        <v>458</v>
      </c>
      <c r="M27" s="200">
        <f>'SOC Accounts'!M34</f>
        <v>471</v>
      </c>
      <c r="N27" s="200">
        <f>'SOC Accounts'!N34</f>
        <v>549</v>
      </c>
      <c r="O27" s="200">
        <f>'SOC Accounts'!O34</f>
        <v>489</v>
      </c>
      <c r="P27" s="200">
        <f>'SOC Accounts'!P34</f>
        <v>414</v>
      </c>
      <c r="Q27" s="200">
        <f>'SOC Accounts'!Q34</f>
        <v>183</v>
      </c>
      <c r="R27" s="200">
        <f>'SOC Accounts'!R34</f>
        <v>70</v>
      </c>
      <c r="S27" s="200">
        <f>'SOC Accounts'!S34</f>
        <v>1</v>
      </c>
      <c r="T27" s="200">
        <f>'SOC Accounts'!T34</f>
        <v>4</v>
      </c>
      <c r="U27" s="200">
        <f>'SOC Accounts'!U34</f>
        <v>6</v>
      </c>
      <c r="V27" s="200">
        <f>'SOC Accounts'!V34</f>
        <v>8</v>
      </c>
      <c r="W27" s="200">
        <f>'SOC Accounts'!W34</f>
        <v>9</v>
      </c>
      <c r="X27" s="200">
        <f>'SOC Accounts'!X34</f>
        <v>1</v>
      </c>
      <c r="Y27" s="200">
        <f>'SOC Accounts'!Y34</f>
        <v>2</v>
      </c>
      <c r="Z27" s="200">
        <f>'SOC Accounts'!Z34</f>
        <v>2</v>
      </c>
      <c r="AA27" s="200">
        <f>'SOC Accounts'!AA34</f>
        <v>4</v>
      </c>
      <c r="AB27" s="200">
        <f>'SOC Accounts'!AB34</f>
        <v>11</v>
      </c>
      <c r="AC27" s="200">
        <f>'SOC Accounts'!AC34</f>
        <v>22</v>
      </c>
      <c r="AD27" s="200">
        <f>'SOC Accounts'!AD34</f>
        <v>18</v>
      </c>
      <c r="AE27" s="200">
        <f>'SOC Accounts'!AE34</f>
        <v>3</v>
      </c>
      <c r="AF27" s="200">
        <f>'SOC Accounts'!AF34</f>
        <v>40</v>
      </c>
      <c r="AG27" s="200">
        <f>'SOC Accounts'!AG34</f>
        <v>114</v>
      </c>
      <c r="AH27" s="200">
        <f>'SOC Accounts'!AH34</f>
        <v>124</v>
      </c>
      <c r="AI27" s="200">
        <f>'SOC Accounts'!AI34</f>
        <v>10</v>
      </c>
      <c r="AJ27" s="200">
        <f>'SOC Accounts'!AJ34</f>
        <v>-104</v>
      </c>
      <c r="AK27" s="200">
        <f>'SOC Accounts'!AK34</f>
        <v>-218</v>
      </c>
      <c r="AL27" s="200">
        <f>'SOC Accounts'!AL34</f>
        <v>-332</v>
      </c>
      <c r="AM27" s="200">
        <f>'SOC Accounts'!AM34</f>
        <v>-446</v>
      </c>
      <c r="AN27" s="200">
        <f>'SOC Accounts'!AN34</f>
        <v>-560</v>
      </c>
      <c r="AO27" s="204"/>
      <c r="AP27" s="205"/>
      <c r="AQ27" s="205"/>
      <c r="AR27" s="205"/>
    </row>
    <row r="28" spans="1:47" s="43" customFormat="1">
      <c r="S28" s="188"/>
      <c r="T28" s="188"/>
      <c r="U28" s="29"/>
    </row>
    <row r="29" spans="1:47" s="43" customFormat="1">
      <c r="A29" s="43" t="s">
        <v>25</v>
      </c>
      <c r="B29" s="268" t="e">
        <f>#REF!/B37</f>
        <v>#REF!</v>
      </c>
      <c r="C29" s="268" t="e">
        <f>#REF!/C37</f>
        <v>#REF!</v>
      </c>
      <c r="D29" s="268" t="e">
        <f>#REF!/D37</f>
        <v>#REF!</v>
      </c>
      <c r="E29" s="268" t="e">
        <f>#REF!/E37</f>
        <v>#REF!</v>
      </c>
      <c r="F29" s="268" t="e">
        <f>#REF!/F37</f>
        <v>#REF!</v>
      </c>
      <c r="G29" s="268" t="e">
        <f>#REF!/G37</f>
        <v>#REF!</v>
      </c>
      <c r="H29" s="268" t="e">
        <f>#REF!/H37</f>
        <v>#REF!</v>
      </c>
      <c r="I29" s="268" t="e">
        <f>#REF!/I37</f>
        <v>#REF!</v>
      </c>
      <c r="J29" s="268">
        <f t="shared" ref="J29:AB29" si="41">J5/J37</f>
        <v>0.48614403048264532</v>
      </c>
      <c r="K29" s="268">
        <f t="shared" si="41"/>
        <v>0.46767868437697607</v>
      </c>
      <c r="L29" s="268">
        <f t="shared" si="41"/>
        <v>0.35970206896551776</v>
      </c>
      <c r="M29" s="268">
        <f t="shared" si="41"/>
        <v>0.24048836030285697</v>
      </c>
      <c r="N29" s="268">
        <f t="shared" si="41"/>
        <v>0.45678781988986145</v>
      </c>
      <c r="O29" s="268">
        <f t="shared" si="41"/>
        <v>0.51974916611074062</v>
      </c>
      <c r="P29" s="268">
        <f t="shared" si="41"/>
        <v>0.52343197879858649</v>
      </c>
      <c r="Q29" s="268">
        <f t="shared" si="41"/>
        <v>0.44962527881040959</v>
      </c>
      <c r="R29" s="268">
        <f t="shared" si="41"/>
        <v>0.47567989864864885</v>
      </c>
      <c r="S29" s="268">
        <f t="shared" si="41"/>
        <v>0.4920905923344947</v>
      </c>
      <c r="T29" s="268">
        <f t="shared" si="41"/>
        <v>0.50058873131467962</v>
      </c>
      <c r="U29" s="268">
        <f t="shared" si="41"/>
        <v>0.53328102806898836</v>
      </c>
      <c r="V29" s="268">
        <f t="shared" si="41"/>
        <v>0.58873775843307918</v>
      </c>
      <c r="W29" s="268">
        <f t="shared" si="41"/>
        <v>0.63508363636363574</v>
      </c>
      <c r="X29" s="268">
        <f t="shared" si="41"/>
        <v>0.75387438825448683</v>
      </c>
      <c r="Y29" s="268">
        <f t="shared" si="41"/>
        <v>0.77077506318449862</v>
      </c>
      <c r="Z29" s="268">
        <f t="shared" si="41"/>
        <v>0.11345726141078641</v>
      </c>
      <c r="AA29" s="268">
        <f t="shared" si="41"/>
        <v>0.71912900820283221</v>
      </c>
      <c r="AB29" s="268">
        <f t="shared" si="41"/>
        <v>0.4698084532374065</v>
      </c>
      <c r="AC29" s="269">
        <v>0</v>
      </c>
      <c r="AD29" s="269">
        <f t="shared" ref="AD29:AI29" si="42">AC29</f>
        <v>0</v>
      </c>
      <c r="AE29" s="269">
        <f t="shared" si="42"/>
        <v>0</v>
      </c>
      <c r="AF29" s="269">
        <f t="shared" si="42"/>
        <v>0</v>
      </c>
      <c r="AG29" s="269">
        <f t="shared" si="42"/>
        <v>0</v>
      </c>
      <c r="AH29" s="269">
        <f t="shared" si="42"/>
        <v>0</v>
      </c>
      <c r="AI29" s="269">
        <f t="shared" si="42"/>
        <v>0</v>
      </c>
      <c r="AJ29" s="269">
        <f>AI29</f>
        <v>0</v>
      </c>
      <c r="AK29" s="269">
        <f>AJ29</f>
        <v>0</v>
      </c>
      <c r="AL29" s="269">
        <f>AK29</f>
        <v>0</v>
      </c>
      <c r="AM29" s="269">
        <f>AL29</f>
        <v>0</v>
      </c>
      <c r="AN29" s="269">
        <f>AM29</f>
        <v>0</v>
      </c>
    </row>
    <row r="30" spans="1:47" s="43" customFormat="1">
      <c r="B30" s="268"/>
      <c r="C30" s="268"/>
      <c r="D30" s="268"/>
      <c r="E30" s="268"/>
      <c r="F30" s="268"/>
      <c r="G30" s="268"/>
      <c r="H30" s="268"/>
      <c r="I30" s="268"/>
      <c r="J30" s="268"/>
      <c r="K30" s="268"/>
      <c r="L30" s="268"/>
      <c r="M30" s="268"/>
      <c r="N30" s="268"/>
      <c r="O30" s="268"/>
      <c r="P30" s="268"/>
      <c r="Q30" s="268"/>
      <c r="R30" s="268"/>
      <c r="S30" s="268"/>
      <c r="T30" s="268"/>
      <c r="U30" s="268"/>
      <c r="V30" s="268"/>
      <c r="W30" s="268"/>
      <c r="X30" s="268"/>
      <c r="Y30" s="268"/>
      <c r="Z30" s="268"/>
      <c r="AA30" s="269"/>
      <c r="AB30" s="269"/>
      <c r="AC30" s="269"/>
      <c r="AD30" s="269"/>
      <c r="AE30" s="269"/>
      <c r="AF30" s="269"/>
      <c r="AG30" s="269"/>
      <c r="AH30" s="269"/>
      <c r="AI30" s="269"/>
      <c r="AJ30" s="269"/>
      <c r="AK30" s="269"/>
      <c r="AL30" s="269"/>
      <c r="AM30" s="269"/>
      <c r="AN30" s="269"/>
    </row>
    <row r="31" spans="1:47" s="7" customFormat="1">
      <c r="A31" s="6" t="s">
        <v>215</v>
      </c>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row>
    <row r="32" spans="1:47">
      <c r="A32" s="207" t="s">
        <v>209</v>
      </c>
      <c r="B32" s="30">
        <v>6071</v>
      </c>
      <c r="C32" s="30">
        <v>6567</v>
      </c>
      <c r="D32" s="30">
        <v>7096</v>
      </c>
      <c r="E32" s="30">
        <v>7603</v>
      </c>
      <c r="F32" s="30">
        <v>8038</v>
      </c>
      <c r="G32" s="30">
        <v>8542</v>
      </c>
      <c r="H32" s="30">
        <v>9157</v>
      </c>
      <c r="I32" s="30">
        <v>11785</v>
      </c>
      <c r="J32" s="30">
        <v>10014</v>
      </c>
      <c r="K32" s="30">
        <v>10378</v>
      </c>
      <c r="L32" s="30">
        <v>10661</v>
      </c>
      <c r="M32" s="30">
        <v>10698</v>
      </c>
      <c r="N32" s="30">
        <v>11086</v>
      </c>
      <c r="O32" s="30">
        <v>11428</v>
      </c>
      <c r="P32" s="30">
        <v>11957</v>
      </c>
      <c r="Q32" s="30">
        <v>12144</v>
      </c>
      <c r="R32" s="30">
        <v>12312</v>
      </c>
      <c r="S32" s="30">
        <v>12488</v>
      </c>
      <c r="T32" s="30">
        <v>12642</v>
      </c>
      <c r="U32" s="30">
        <v>12670</v>
      </c>
      <c r="V32" s="30">
        <v>12917</v>
      </c>
      <c r="W32" s="30">
        <v>12935</v>
      </c>
      <c r="X32" s="30">
        <v>13099</v>
      </c>
      <c r="Y32" s="30">
        <v>13209</v>
      </c>
      <c r="Z32" s="30">
        <v>13234</v>
      </c>
      <c r="AA32" s="30">
        <v>13220</v>
      </c>
      <c r="AB32" s="30">
        <v>13425</v>
      </c>
      <c r="AC32" s="30">
        <v>13584</v>
      </c>
      <c r="AD32" s="30">
        <v>12878</v>
      </c>
      <c r="AE32" s="30">
        <v>13423</v>
      </c>
      <c r="AF32" s="30">
        <v>13233</v>
      </c>
      <c r="AG32" s="30">
        <v>13673</v>
      </c>
      <c r="AH32" s="30">
        <v>13882</v>
      </c>
      <c r="AI32" s="3">
        <f t="shared" ref="AI32:AI35" si="43">AH32*(1+AI41)</f>
        <v>14343.579384871155</v>
      </c>
      <c r="AJ32" s="3">
        <f t="shared" ref="AJ32:AK35" si="44">AI32*(1+AJ41)</f>
        <v>14820.506380211842</v>
      </c>
      <c r="AK32" s="3">
        <f t="shared" si="44"/>
        <v>15313.291297259617</v>
      </c>
      <c r="AL32" s="3">
        <f>AK32*(1+AL41)</f>
        <v>15822.461415206737</v>
      </c>
      <c r="AM32" s="3">
        <f t="shared" ref="AM32:AN35" si="45">AL32*(1+AM41)</f>
        <v>16348.561545388175</v>
      </c>
      <c r="AN32" s="3">
        <f t="shared" si="45"/>
        <v>16892.154614229014</v>
      </c>
      <c r="AS32" s="34"/>
    </row>
    <row r="33" spans="1:47">
      <c r="A33" s="207" t="s">
        <v>210</v>
      </c>
      <c r="B33" s="30">
        <v>4195</v>
      </c>
      <c r="C33" s="30">
        <v>4733</v>
      </c>
      <c r="D33" s="30">
        <v>5024</v>
      </c>
      <c r="E33" s="30">
        <v>5382</v>
      </c>
      <c r="F33" s="30">
        <v>5723</v>
      </c>
      <c r="G33" s="30">
        <v>5811</v>
      </c>
      <c r="H33" s="30">
        <v>6524</v>
      </c>
      <c r="I33" s="30">
        <v>7854</v>
      </c>
      <c r="J33" s="30">
        <v>6608</v>
      </c>
      <c r="K33" s="30">
        <v>6752</v>
      </c>
      <c r="L33" s="30">
        <v>6930</v>
      </c>
      <c r="M33" s="30">
        <v>7180</v>
      </c>
      <c r="N33" s="30">
        <v>7149</v>
      </c>
      <c r="O33" s="30">
        <v>7525</v>
      </c>
      <c r="P33" s="30">
        <v>7469</v>
      </c>
      <c r="Q33" s="30">
        <v>7724</v>
      </c>
      <c r="R33" s="30">
        <v>7890</v>
      </c>
      <c r="S33" s="30">
        <v>8331</v>
      </c>
      <c r="T33" s="30">
        <v>8457</v>
      </c>
      <c r="U33" s="30">
        <v>8594</v>
      </c>
      <c r="V33" s="30">
        <v>8900</v>
      </c>
      <c r="W33" s="30">
        <v>8658</v>
      </c>
      <c r="X33" s="30">
        <v>9450</v>
      </c>
      <c r="Y33" s="30">
        <v>9228</v>
      </c>
      <c r="Z33" s="30">
        <v>9394</v>
      </c>
      <c r="AA33" s="30">
        <v>9217</v>
      </c>
      <c r="AB33" s="30">
        <v>9191</v>
      </c>
      <c r="AC33" s="30">
        <v>9451</v>
      </c>
      <c r="AD33" s="30">
        <v>10298</v>
      </c>
      <c r="AE33" s="30">
        <v>10525</v>
      </c>
      <c r="AF33" s="30">
        <v>10113</v>
      </c>
      <c r="AG33" s="30">
        <v>9929</v>
      </c>
      <c r="AH33" s="30">
        <v>10204</v>
      </c>
      <c r="AI33" s="3">
        <f t="shared" si="43"/>
        <v>10018.344309304855</v>
      </c>
      <c r="AJ33" s="3">
        <f t="shared" si="44"/>
        <v>9836.0665131106416</v>
      </c>
      <c r="AK33" s="3">
        <f t="shared" si="44"/>
        <v>9657.1051526426945</v>
      </c>
      <c r="AL33" s="3">
        <f>AK33*(1+AL42)</f>
        <v>9481.3998873320797</v>
      </c>
      <c r="AM33" s="3">
        <f t="shared" si="45"/>
        <v>9308.8914744705053</v>
      </c>
      <c r="AN33" s="3">
        <f t="shared" si="45"/>
        <v>9139.5217492354059</v>
      </c>
      <c r="AQ33" s="14"/>
      <c r="AR33" s="14"/>
      <c r="AS33" s="34"/>
      <c r="AT33" s="32"/>
      <c r="AU33" s="32"/>
    </row>
    <row r="34" spans="1:47">
      <c r="A34" s="207" t="s">
        <v>211</v>
      </c>
      <c r="B34" s="30">
        <v>5170</v>
      </c>
      <c r="C34" s="30">
        <v>4915</v>
      </c>
      <c r="D34" s="30">
        <v>4654</v>
      </c>
      <c r="E34" s="30">
        <v>4344</v>
      </c>
      <c r="F34" s="30">
        <v>4162</v>
      </c>
      <c r="G34" s="30">
        <v>3928</v>
      </c>
      <c r="H34" s="30">
        <v>3776</v>
      </c>
      <c r="I34" s="30">
        <v>4270</v>
      </c>
      <c r="J34" s="30">
        <v>3488</v>
      </c>
      <c r="K34" s="30">
        <v>3245</v>
      </c>
      <c r="L34" s="30">
        <v>3085</v>
      </c>
      <c r="M34" s="30">
        <v>2856</v>
      </c>
      <c r="N34" s="30">
        <v>2833</v>
      </c>
      <c r="O34" s="30">
        <v>2734</v>
      </c>
      <c r="P34" s="30">
        <v>2653</v>
      </c>
      <c r="Q34" s="30">
        <v>2418</v>
      </c>
      <c r="R34" s="30">
        <v>2202</v>
      </c>
      <c r="S34" s="30">
        <v>1938</v>
      </c>
      <c r="T34" s="30">
        <v>1952</v>
      </c>
      <c r="U34" s="30">
        <v>1886</v>
      </c>
      <c r="V34" s="30">
        <v>1890</v>
      </c>
      <c r="W34" s="30">
        <v>1832</v>
      </c>
      <c r="X34" s="30">
        <v>1791</v>
      </c>
      <c r="Y34" s="30">
        <v>1791</v>
      </c>
      <c r="Z34" s="30">
        <v>1751</v>
      </c>
      <c r="AA34" s="30">
        <v>1740</v>
      </c>
      <c r="AB34" s="30">
        <v>1704</v>
      </c>
      <c r="AC34" s="30">
        <v>1663</v>
      </c>
      <c r="AD34" s="30">
        <v>1616</v>
      </c>
      <c r="AE34" s="30">
        <v>1665</v>
      </c>
      <c r="AF34" s="30">
        <v>1615</v>
      </c>
      <c r="AG34" s="30">
        <v>1594</v>
      </c>
      <c r="AH34" s="30">
        <v>1573</v>
      </c>
      <c r="AI34" s="3">
        <f t="shared" si="43"/>
        <v>1552.5461300309598</v>
      </c>
      <c r="AJ34" s="3">
        <f t="shared" si="44"/>
        <v>1532.358223696192</v>
      </c>
      <c r="AK34" s="3">
        <f t="shared" si="44"/>
        <v>1512.4328226450341</v>
      </c>
      <c r="AL34" s="3">
        <f>AK34*(1+AL43)</f>
        <v>1492.7665134960894</v>
      </c>
      <c r="AM34" s="3">
        <f t="shared" si="45"/>
        <v>1473.3559272524869</v>
      </c>
      <c r="AN34" s="3">
        <f t="shared" si="45"/>
        <v>1454.1977387247457</v>
      </c>
      <c r="AS34" s="34"/>
    </row>
    <row r="35" spans="1:47">
      <c r="A35" s="207" t="s">
        <v>212</v>
      </c>
      <c r="B35" s="30">
        <v>3368</v>
      </c>
      <c r="C35" s="30">
        <v>3607</v>
      </c>
      <c r="D35" s="30">
        <v>3808</v>
      </c>
      <c r="E35" s="30">
        <v>4059</v>
      </c>
      <c r="F35" s="30">
        <v>4395</v>
      </c>
      <c r="G35" s="30">
        <v>4736</v>
      </c>
      <c r="H35" s="30">
        <v>5424</v>
      </c>
      <c r="I35" s="30">
        <v>7207</v>
      </c>
      <c r="J35" s="30">
        <v>6197</v>
      </c>
      <c r="K35" s="30">
        <v>6575</v>
      </c>
      <c r="L35" s="30">
        <v>7036</v>
      </c>
      <c r="M35" s="30">
        <v>7301</v>
      </c>
      <c r="N35" s="30">
        <v>7564</v>
      </c>
      <c r="O35" s="30">
        <v>7695</v>
      </c>
      <c r="P35" s="30">
        <v>7482</v>
      </c>
      <c r="Q35" s="30">
        <v>7676</v>
      </c>
      <c r="R35" s="30">
        <v>7661</v>
      </c>
      <c r="S35" s="30">
        <v>7813</v>
      </c>
      <c r="T35" s="30">
        <v>7878</v>
      </c>
      <c r="U35" s="30">
        <v>8018</v>
      </c>
      <c r="V35" s="30">
        <v>8288</v>
      </c>
      <c r="W35" s="30">
        <v>8358</v>
      </c>
      <c r="X35" s="30">
        <v>8585</v>
      </c>
      <c r="Y35" s="30">
        <v>8802</v>
      </c>
      <c r="Z35" s="30">
        <v>8858</v>
      </c>
      <c r="AA35" s="30">
        <v>8987</v>
      </c>
      <c r="AB35" s="30">
        <v>9342</v>
      </c>
      <c r="AC35" s="30">
        <v>9586</v>
      </c>
      <c r="AD35" s="30">
        <v>9171</v>
      </c>
      <c r="AE35" s="30">
        <v>9742</v>
      </c>
      <c r="AF35" s="30">
        <v>9863</v>
      </c>
      <c r="AG35" s="30">
        <v>10196</v>
      </c>
      <c r="AH35" s="30">
        <v>10466</v>
      </c>
      <c r="AI35" s="3">
        <f t="shared" si="43"/>
        <v>10819.358815776133</v>
      </c>
      <c r="AJ35" s="3">
        <f t="shared" si="44"/>
        <v>11184.647925139761</v>
      </c>
      <c r="AK35" s="3">
        <f t="shared" si="44"/>
        <v>11562.270125187571</v>
      </c>
      <c r="AL35" s="3">
        <f>AK35*(1+AL44)</f>
        <v>11952.641812472117</v>
      </c>
      <c r="AM35" s="3">
        <f t="shared" si="45"/>
        <v>12356.193442154083</v>
      </c>
      <c r="AN35" s="3">
        <f t="shared" si="45"/>
        <v>12773.3700026567</v>
      </c>
    </row>
    <row r="36" spans="1:47">
      <c r="A36" s="209" t="s">
        <v>216</v>
      </c>
      <c r="B36" s="108">
        <f t="shared" ref="B36:S36" si="46">SUM(B32:B35)</f>
        <v>18804</v>
      </c>
      <c r="C36" s="108">
        <f t="shared" si="46"/>
        <v>19822</v>
      </c>
      <c r="D36" s="108">
        <f t="shared" si="46"/>
        <v>20582</v>
      </c>
      <c r="E36" s="108">
        <f t="shared" si="46"/>
        <v>21388</v>
      </c>
      <c r="F36" s="108">
        <f t="shared" si="46"/>
        <v>22318</v>
      </c>
      <c r="G36" s="108">
        <f>SUM(G32:G35)</f>
        <v>23017</v>
      </c>
      <c r="H36" s="108">
        <f t="shared" si="46"/>
        <v>24881</v>
      </c>
      <c r="I36" s="108">
        <f t="shared" si="46"/>
        <v>31116</v>
      </c>
      <c r="J36" s="108">
        <f t="shared" si="46"/>
        <v>26307</v>
      </c>
      <c r="K36" s="108">
        <f t="shared" si="46"/>
        <v>26950</v>
      </c>
      <c r="L36" s="108">
        <f t="shared" si="46"/>
        <v>27712</v>
      </c>
      <c r="M36" s="108">
        <f t="shared" si="46"/>
        <v>28035</v>
      </c>
      <c r="N36" s="108">
        <f t="shared" si="46"/>
        <v>28632</v>
      </c>
      <c r="O36" s="108">
        <f t="shared" si="46"/>
        <v>29382</v>
      </c>
      <c r="P36" s="108">
        <f t="shared" si="46"/>
        <v>29561</v>
      </c>
      <c r="Q36" s="108">
        <f t="shared" si="46"/>
        <v>29962</v>
      </c>
      <c r="R36" s="108">
        <f t="shared" si="46"/>
        <v>30065</v>
      </c>
      <c r="S36" s="108">
        <f t="shared" si="46"/>
        <v>30570</v>
      </c>
      <c r="T36" s="108">
        <f t="shared" ref="T36:AB36" si="47">SUM(T32:T35)</f>
        <v>30929</v>
      </c>
      <c r="U36" s="108">
        <f t="shared" si="47"/>
        <v>31168</v>
      </c>
      <c r="V36" s="108">
        <f>SUM(V32:V35)</f>
        <v>31995</v>
      </c>
      <c r="W36" s="108">
        <f t="shared" si="47"/>
        <v>31783</v>
      </c>
      <c r="X36" s="108">
        <f t="shared" si="47"/>
        <v>32925</v>
      </c>
      <c r="Y36" s="108">
        <f t="shared" si="47"/>
        <v>33030</v>
      </c>
      <c r="Z36" s="108">
        <f t="shared" si="47"/>
        <v>33237</v>
      </c>
      <c r="AA36" s="108">
        <f t="shared" si="47"/>
        <v>33164</v>
      </c>
      <c r="AB36" s="108">
        <f t="shared" si="47"/>
        <v>33662</v>
      </c>
      <c r="AC36" s="108">
        <f t="shared" ref="AC36:AI36" si="48">SUM(AC32:AC35)</f>
        <v>34284</v>
      </c>
      <c r="AD36" s="108">
        <f t="shared" si="48"/>
        <v>33963</v>
      </c>
      <c r="AE36" s="108">
        <f t="shared" si="48"/>
        <v>35355</v>
      </c>
      <c r="AF36" s="108">
        <f t="shared" si="48"/>
        <v>34824</v>
      </c>
      <c r="AG36" s="108">
        <f t="shared" si="48"/>
        <v>35392</v>
      </c>
      <c r="AH36" s="108">
        <f t="shared" ref="AH36" si="49">SUM(AH32:AH35)</f>
        <v>36125</v>
      </c>
      <c r="AI36" s="108">
        <f t="shared" si="48"/>
        <v>36733.828639983105</v>
      </c>
      <c r="AJ36" s="108">
        <f>SUM(AJ32:AJ35)</f>
        <v>37373.579042158439</v>
      </c>
      <c r="AK36" s="108">
        <f>SUM(AK32:AK35)</f>
        <v>38045.099397734921</v>
      </c>
      <c r="AL36" s="108">
        <f>SUM(AL32:AL35)</f>
        <v>38749.269628507027</v>
      </c>
      <c r="AM36" s="108">
        <f>SUM(AM32:AM35)</f>
        <v>39487.002389265253</v>
      </c>
      <c r="AN36" s="108">
        <f>SUM(AN32:AN35)</f>
        <v>40259.244104845864</v>
      </c>
      <c r="AS36" s="34"/>
    </row>
    <row r="37" spans="1:47" s="62" customFormat="1">
      <c r="A37" s="206" t="s">
        <v>213</v>
      </c>
      <c r="B37" s="30">
        <f>B38-B36</f>
        <v>4387</v>
      </c>
      <c r="C37" s="30">
        <v>5777</v>
      </c>
      <c r="D37" s="30">
        <v>1714</v>
      </c>
      <c r="E37" s="30">
        <v>1728</v>
      </c>
      <c r="F37" s="30">
        <v>520</v>
      </c>
      <c r="G37" s="30">
        <v>557</v>
      </c>
      <c r="H37" s="30">
        <v>601</v>
      </c>
      <c r="I37" s="30">
        <v>781</v>
      </c>
      <c r="J37" s="30">
        <v>1181</v>
      </c>
      <c r="K37" s="30">
        <v>1581</v>
      </c>
      <c r="L37" s="30">
        <v>2175</v>
      </c>
      <c r="M37" s="30">
        <v>3008.0250000000001</v>
      </c>
      <c r="N37" s="30">
        <v>3087</v>
      </c>
      <c r="O37" s="30">
        <v>4497</v>
      </c>
      <c r="P37" s="30">
        <v>4528</v>
      </c>
      <c r="Q37" s="30">
        <v>4035</v>
      </c>
      <c r="R37" s="30">
        <v>3552</v>
      </c>
      <c r="S37" s="30">
        <v>3731</v>
      </c>
      <c r="T37" s="30">
        <v>2609</v>
      </c>
      <c r="U37" s="30">
        <v>2957</v>
      </c>
      <c r="V37" s="30">
        <v>1838</v>
      </c>
      <c r="W37" s="30">
        <v>1650</v>
      </c>
      <c r="X37" s="30">
        <v>1226</v>
      </c>
      <c r="Y37" s="30">
        <v>1187</v>
      </c>
      <c r="Z37" s="30">
        <v>1205</v>
      </c>
      <c r="AA37" s="30">
        <v>1341</v>
      </c>
      <c r="AB37" s="30">
        <v>556</v>
      </c>
      <c r="AC37" s="30">
        <v>0</v>
      </c>
      <c r="AD37" s="30">
        <v>0</v>
      </c>
      <c r="AE37" s="30">
        <f t="shared" ref="AE37:AN37" si="50">AD37*(1+AE46)</f>
        <v>0</v>
      </c>
      <c r="AF37" s="30">
        <f t="shared" si="50"/>
        <v>0</v>
      </c>
      <c r="AG37" s="30">
        <f t="shared" si="50"/>
        <v>0</v>
      </c>
      <c r="AH37" s="30">
        <f t="shared" si="50"/>
        <v>0</v>
      </c>
      <c r="AI37" s="30">
        <f t="shared" si="50"/>
        <v>0</v>
      </c>
      <c r="AJ37" s="30">
        <f>AI37*(1+AJ46)</f>
        <v>0</v>
      </c>
      <c r="AK37" s="30">
        <f>AJ37*(1+AK46)</f>
        <v>0</v>
      </c>
      <c r="AL37" s="30">
        <f>AK37*(1+AL46)</f>
        <v>0</v>
      </c>
      <c r="AM37" s="30">
        <f t="shared" si="50"/>
        <v>0</v>
      </c>
      <c r="AN37" s="30">
        <f t="shared" si="50"/>
        <v>0</v>
      </c>
    </row>
    <row r="38" spans="1:47">
      <c r="A38" s="208" t="s">
        <v>214</v>
      </c>
      <c r="B38" s="108">
        <v>23191</v>
      </c>
      <c r="C38" s="108">
        <f t="shared" ref="C38:S38" si="51">SUM(C36:C37)</f>
        <v>25599</v>
      </c>
      <c r="D38" s="108">
        <f t="shared" si="51"/>
        <v>22296</v>
      </c>
      <c r="E38" s="108">
        <f t="shared" si="51"/>
        <v>23116</v>
      </c>
      <c r="F38" s="108">
        <f t="shared" si="51"/>
        <v>22838</v>
      </c>
      <c r="G38" s="108">
        <f t="shared" si="51"/>
        <v>23574</v>
      </c>
      <c r="H38" s="108">
        <f t="shared" si="51"/>
        <v>25482</v>
      </c>
      <c r="I38" s="108">
        <f t="shared" si="51"/>
        <v>31897</v>
      </c>
      <c r="J38" s="108">
        <f t="shared" si="51"/>
        <v>27488</v>
      </c>
      <c r="K38" s="108">
        <f t="shared" si="51"/>
        <v>28531</v>
      </c>
      <c r="L38" s="108">
        <f t="shared" si="51"/>
        <v>29887</v>
      </c>
      <c r="M38" s="108">
        <f t="shared" si="51"/>
        <v>31043.025000000001</v>
      </c>
      <c r="N38" s="108">
        <f t="shared" si="51"/>
        <v>31719</v>
      </c>
      <c r="O38" s="108">
        <f t="shared" si="51"/>
        <v>33879</v>
      </c>
      <c r="P38" s="108">
        <f t="shared" si="51"/>
        <v>34089</v>
      </c>
      <c r="Q38" s="108">
        <f t="shared" si="51"/>
        <v>33997</v>
      </c>
      <c r="R38" s="108">
        <f t="shared" si="51"/>
        <v>33617</v>
      </c>
      <c r="S38" s="108">
        <f t="shared" si="51"/>
        <v>34301</v>
      </c>
      <c r="T38" s="108">
        <f t="shared" ref="T38:AB38" si="52">SUM(T36:T37)</f>
        <v>33538</v>
      </c>
      <c r="U38" s="108">
        <f t="shared" si="52"/>
        <v>34125</v>
      </c>
      <c r="V38" s="108">
        <f t="shared" si="52"/>
        <v>33833</v>
      </c>
      <c r="W38" s="108">
        <f t="shared" si="52"/>
        <v>33433</v>
      </c>
      <c r="X38" s="108">
        <f t="shared" si="52"/>
        <v>34151</v>
      </c>
      <c r="Y38" s="108">
        <f t="shared" si="52"/>
        <v>34217</v>
      </c>
      <c r="Z38" s="108">
        <f t="shared" si="52"/>
        <v>34442</v>
      </c>
      <c r="AA38" s="108">
        <f t="shared" si="52"/>
        <v>34505</v>
      </c>
      <c r="AB38" s="108">
        <f t="shared" si="52"/>
        <v>34218</v>
      </c>
      <c r="AC38" s="108">
        <f t="shared" ref="AC38:AI38" si="53">SUM(AC36:AC37)</f>
        <v>34284</v>
      </c>
      <c r="AD38" s="108">
        <f t="shared" si="53"/>
        <v>33963</v>
      </c>
      <c r="AE38" s="108">
        <f t="shared" si="53"/>
        <v>35355</v>
      </c>
      <c r="AF38" s="108">
        <f t="shared" si="53"/>
        <v>34824</v>
      </c>
      <c r="AG38" s="108">
        <f t="shared" si="53"/>
        <v>35392</v>
      </c>
      <c r="AH38" s="108">
        <f t="shared" ref="AH38" si="54">SUM(AH36:AH37)</f>
        <v>36125</v>
      </c>
      <c r="AI38" s="108">
        <f t="shared" si="53"/>
        <v>36733.828639983105</v>
      </c>
      <c r="AJ38" s="108">
        <f>SUM(AJ36:AJ37)</f>
        <v>37373.579042158439</v>
      </c>
      <c r="AK38" s="108">
        <f>SUM(AK36:AK37)</f>
        <v>38045.099397734921</v>
      </c>
      <c r="AL38" s="108">
        <f>SUM(AL36:AL37)</f>
        <v>38749.269628507027</v>
      </c>
      <c r="AM38" s="108">
        <f>SUM(AM36:AM37)</f>
        <v>39487.002389265253</v>
      </c>
      <c r="AN38" s="108">
        <f>SUM(AN36:AN37)</f>
        <v>40259.244104845864</v>
      </c>
    </row>
    <row r="39" spans="1:47">
      <c r="U39" s="13"/>
      <c r="V39" s="13"/>
      <c r="W39" s="13"/>
      <c r="X39" s="13"/>
      <c r="Y39" s="13"/>
      <c r="Z39" s="13"/>
      <c r="AA39" s="13"/>
      <c r="AB39" s="13"/>
      <c r="AC39" s="34"/>
      <c r="AD39" s="13"/>
      <c r="AE39" s="13"/>
      <c r="AF39" s="13"/>
      <c r="AG39" s="13"/>
      <c r="AH39" s="13"/>
      <c r="AI39" s="13"/>
      <c r="AJ39" s="13"/>
      <c r="AK39" s="13"/>
      <c r="AL39" s="13"/>
      <c r="AM39" s="13"/>
      <c r="AN39" s="13"/>
    </row>
    <row r="40" spans="1:47" s="7" customFormat="1">
      <c r="A40" s="6" t="s">
        <v>217</v>
      </c>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row>
    <row r="41" spans="1:47">
      <c r="A41" s="29" t="s">
        <v>209</v>
      </c>
      <c r="B41" s="211" t="s">
        <v>218</v>
      </c>
      <c r="C41" s="124">
        <f t="shared" ref="C41:H44" si="55">(C32/B32)-1</f>
        <v>8.1699884697743475E-2</v>
      </c>
      <c r="D41" s="124">
        <f t="shared" si="55"/>
        <v>8.0554286584437307E-2</v>
      </c>
      <c r="E41" s="124">
        <f t="shared" si="55"/>
        <v>7.1448703494926713E-2</v>
      </c>
      <c r="F41" s="124">
        <f t="shared" si="55"/>
        <v>5.7214257529922374E-2</v>
      </c>
      <c r="G41" s="124">
        <f t="shared" si="55"/>
        <v>6.270216471759138E-2</v>
      </c>
      <c r="H41" s="124">
        <f>(H32/G32)-1</f>
        <v>7.1997190353547236E-2</v>
      </c>
      <c r="I41" s="124">
        <f>(I32/H32*4/5)-1</f>
        <v>2.9594845473408293E-2</v>
      </c>
      <c r="J41" s="124">
        <f>(J32/I32*5/4)-1</f>
        <v>6.2155282138311341E-2</v>
      </c>
      <c r="K41" s="124">
        <f t="shared" ref="K41:L47" si="56">K32/J32-1</f>
        <v>3.6349111244257992E-2</v>
      </c>
      <c r="L41" s="124">
        <f t="shared" si="56"/>
        <v>2.7269223357101469E-2</v>
      </c>
      <c r="M41" s="124">
        <f t="shared" ref="M41:M47" si="57">M32/L32-1</f>
        <v>3.4705937529313502E-3</v>
      </c>
      <c r="N41" s="124">
        <f t="shared" ref="N41:N47" si="58">N32/M32-1</f>
        <v>3.6268461394653118E-2</v>
      </c>
      <c r="O41" s="124">
        <f t="shared" ref="O41:AG41" si="59">O32/N32-1</f>
        <v>3.0849720368031797E-2</v>
      </c>
      <c r="P41" s="124">
        <f t="shared" si="59"/>
        <v>4.6289814490724446E-2</v>
      </c>
      <c r="Q41" s="124">
        <f t="shared" si="59"/>
        <v>1.5639374425022945E-2</v>
      </c>
      <c r="R41" s="124">
        <f t="shared" si="59"/>
        <v>1.383399209486158E-2</v>
      </c>
      <c r="S41" s="124">
        <f t="shared" si="59"/>
        <v>1.4294996751137212E-2</v>
      </c>
      <c r="T41" s="124">
        <f t="shared" si="59"/>
        <v>1.2331838565022402E-2</v>
      </c>
      <c r="U41" s="124">
        <f t="shared" si="59"/>
        <v>2.2148394241416902E-3</v>
      </c>
      <c r="V41" s="124">
        <f t="shared" si="59"/>
        <v>1.949486977111281E-2</v>
      </c>
      <c r="W41" s="124">
        <f t="shared" si="59"/>
        <v>1.3935124254857989E-3</v>
      </c>
      <c r="X41" s="124">
        <f t="shared" si="59"/>
        <v>1.2678778507924315E-2</v>
      </c>
      <c r="Y41" s="124">
        <f t="shared" si="59"/>
        <v>8.3975876021069595E-3</v>
      </c>
      <c r="Z41" s="124">
        <f t="shared" si="59"/>
        <v>1.8926489514725642E-3</v>
      </c>
      <c r="AA41" s="124">
        <f t="shared" si="59"/>
        <v>-1.0578812150521255E-3</v>
      </c>
      <c r="AB41" s="124">
        <f t="shared" si="59"/>
        <v>1.5506807866868311E-2</v>
      </c>
      <c r="AC41" s="124">
        <f t="shared" si="59"/>
        <v>1.1843575418994501E-2</v>
      </c>
      <c r="AD41" s="124">
        <f t="shared" si="59"/>
        <v>-5.1972909305064818E-2</v>
      </c>
      <c r="AE41" s="124">
        <f t="shared" si="59"/>
        <v>4.232023606150026E-2</v>
      </c>
      <c r="AF41" s="124">
        <f t="shared" si="59"/>
        <v>-1.4154808910079697E-2</v>
      </c>
      <c r="AG41" s="124">
        <f t="shared" si="59"/>
        <v>3.3250207813798838E-2</v>
      </c>
      <c r="AH41" s="124">
        <f t="shared" ref="AH41:AI44" si="60">AG41</f>
        <v>3.3250207813798838E-2</v>
      </c>
      <c r="AI41" s="210">
        <f t="shared" si="60"/>
        <v>3.3250207813798838E-2</v>
      </c>
      <c r="AJ41" s="210">
        <f t="shared" ref="AJ41:AK44" si="61">AI41</f>
        <v>3.3250207813798838E-2</v>
      </c>
      <c r="AK41" s="210">
        <f t="shared" si="61"/>
        <v>3.3250207813798838E-2</v>
      </c>
      <c r="AL41" s="210">
        <f>AK41</f>
        <v>3.3250207813798838E-2</v>
      </c>
      <c r="AM41" s="210">
        <f t="shared" ref="AM41:AN44" si="62">AL41</f>
        <v>3.3250207813798838E-2</v>
      </c>
      <c r="AN41" s="210">
        <f t="shared" si="62"/>
        <v>3.3250207813798838E-2</v>
      </c>
      <c r="AP41" s="210"/>
      <c r="AS41" s="210"/>
      <c r="AT41" s="210"/>
      <c r="AU41" s="210"/>
    </row>
    <row r="42" spans="1:47">
      <c r="A42" s="29" t="s">
        <v>210</v>
      </c>
      <c r="B42" s="211" t="s">
        <v>218</v>
      </c>
      <c r="C42" s="124">
        <f t="shared" si="55"/>
        <v>0.12824791418355175</v>
      </c>
      <c r="D42" s="124">
        <f t="shared" si="55"/>
        <v>6.1483203042467682E-2</v>
      </c>
      <c r="E42" s="124">
        <f t="shared" si="55"/>
        <v>7.1257961783439461E-2</v>
      </c>
      <c r="F42" s="124">
        <f t="shared" si="55"/>
        <v>6.3359345968041714E-2</v>
      </c>
      <c r="G42" s="124">
        <f t="shared" si="55"/>
        <v>1.5376550760090923E-2</v>
      </c>
      <c r="H42" s="124">
        <f t="shared" si="55"/>
        <v>0.12269833075202197</v>
      </c>
      <c r="I42" s="124">
        <f t="shared" ref="I42:I47" si="63">(I33/H33*4/5)-1</f>
        <v>-3.6909871244635184E-2</v>
      </c>
      <c r="J42" s="124">
        <f t="shared" ref="J42:J47" si="64">(J33/I33*5/4)-1</f>
        <v>5.1693404634581164E-2</v>
      </c>
      <c r="K42" s="124">
        <f t="shared" si="56"/>
        <v>2.1791767554479424E-2</v>
      </c>
      <c r="L42" s="124">
        <f t="shared" si="56"/>
        <v>2.6362559241706052E-2</v>
      </c>
      <c r="M42" s="124">
        <f t="shared" si="57"/>
        <v>3.6075036075036149E-2</v>
      </c>
      <c r="N42" s="124">
        <f t="shared" si="58"/>
        <v>-4.3175487465181295E-3</v>
      </c>
      <c r="O42" s="124">
        <f t="shared" ref="O42:AG42" si="65">O33/N33-1</f>
        <v>5.2594768499090838E-2</v>
      </c>
      <c r="P42" s="124">
        <f t="shared" si="65"/>
        <v>-7.4418604651163012E-3</v>
      </c>
      <c r="Q42" s="124">
        <f t="shared" si="65"/>
        <v>3.4141116615343359E-2</v>
      </c>
      <c r="R42" s="124">
        <f t="shared" si="65"/>
        <v>2.1491455204557308E-2</v>
      </c>
      <c r="S42" s="124">
        <f t="shared" si="65"/>
        <v>5.5893536121673026E-2</v>
      </c>
      <c r="T42" s="124">
        <f t="shared" si="65"/>
        <v>1.5124234785740098E-2</v>
      </c>
      <c r="U42" s="124">
        <f t="shared" si="65"/>
        <v>1.6199597966181756E-2</v>
      </c>
      <c r="V42" s="124">
        <f t="shared" si="65"/>
        <v>3.5606236909471622E-2</v>
      </c>
      <c r="W42" s="124">
        <f t="shared" si="65"/>
        <v>-2.719101123595502E-2</v>
      </c>
      <c r="X42" s="124">
        <f t="shared" si="65"/>
        <v>9.1476091476091481E-2</v>
      </c>
      <c r="Y42" s="124">
        <f t="shared" si="65"/>
        <v>-2.3492063492063453E-2</v>
      </c>
      <c r="Z42" s="124">
        <f t="shared" si="65"/>
        <v>1.7988729952318927E-2</v>
      </c>
      <c r="AA42" s="124">
        <f t="shared" si="65"/>
        <v>-1.8841813923781148E-2</v>
      </c>
      <c r="AB42" s="124">
        <f t="shared" si="65"/>
        <v>-2.8208744710860323E-3</v>
      </c>
      <c r="AC42" s="124">
        <f t="shared" si="65"/>
        <v>2.8288543140028377E-2</v>
      </c>
      <c r="AD42" s="124">
        <f t="shared" si="65"/>
        <v>8.9620146016294644E-2</v>
      </c>
      <c r="AE42" s="124">
        <f t="shared" si="65"/>
        <v>2.2043115167993843E-2</v>
      </c>
      <c r="AF42" s="124">
        <f t="shared" si="65"/>
        <v>-3.9144893111638934E-2</v>
      </c>
      <c r="AG42" s="124">
        <f t="shared" si="65"/>
        <v>-1.8194403243350088E-2</v>
      </c>
      <c r="AH42" s="124">
        <f t="shared" si="60"/>
        <v>-1.8194403243350088E-2</v>
      </c>
      <c r="AI42" s="210">
        <f t="shared" si="60"/>
        <v>-1.8194403243350088E-2</v>
      </c>
      <c r="AJ42" s="210">
        <f t="shared" si="61"/>
        <v>-1.8194403243350088E-2</v>
      </c>
      <c r="AK42" s="210">
        <f t="shared" si="61"/>
        <v>-1.8194403243350088E-2</v>
      </c>
      <c r="AL42" s="210">
        <f>AK42</f>
        <v>-1.8194403243350088E-2</v>
      </c>
      <c r="AM42" s="210">
        <f t="shared" si="62"/>
        <v>-1.8194403243350088E-2</v>
      </c>
      <c r="AN42" s="210">
        <f t="shared" si="62"/>
        <v>-1.8194403243350088E-2</v>
      </c>
      <c r="AS42" s="124"/>
      <c r="AT42" s="124"/>
      <c r="AU42" s="124"/>
    </row>
    <row r="43" spans="1:47">
      <c r="A43" s="29" t="s">
        <v>211</v>
      </c>
      <c r="B43" s="211" t="s">
        <v>218</v>
      </c>
      <c r="C43" s="124">
        <f t="shared" si="55"/>
        <v>-4.9323017408123837E-2</v>
      </c>
      <c r="D43" s="124">
        <f t="shared" si="55"/>
        <v>-5.3102746693794556E-2</v>
      </c>
      <c r="E43" s="124">
        <f t="shared" si="55"/>
        <v>-6.6609368285345916E-2</v>
      </c>
      <c r="F43" s="124">
        <f t="shared" si="55"/>
        <v>-4.189686924493552E-2</v>
      </c>
      <c r="G43" s="124">
        <f t="shared" si="55"/>
        <v>-5.6222969726093197E-2</v>
      </c>
      <c r="H43" s="124">
        <f>(H34/G34)-1</f>
        <v>-3.8696537678207688E-2</v>
      </c>
      <c r="I43" s="124">
        <f t="shared" si="63"/>
        <v>-9.5338983050847426E-2</v>
      </c>
      <c r="J43" s="124">
        <f t="shared" si="64"/>
        <v>2.1077283372365363E-2</v>
      </c>
      <c r="K43" s="124">
        <f t="shared" si="56"/>
        <v>-6.9667431192660501E-2</v>
      </c>
      <c r="L43" s="124">
        <f t="shared" si="56"/>
        <v>-4.9306625577812069E-2</v>
      </c>
      <c r="M43" s="124">
        <f t="shared" si="57"/>
        <v>-7.4230145867098862E-2</v>
      </c>
      <c r="N43" s="124">
        <f t="shared" si="58"/>
        <v>-8.0532212885153776E-3</v>
      </c>
      <c r="O43" s="124">
        <f t="shared" ref="O43:AG43" si="66">O34/N34-1</f>
        <v>-3.4945287680903658E-2</v>
      </c>
      <c r="P43" s="124">
        <f t="shared" si="66"/>
        <v>-2.9626920263350454E-2</v>
      </c>
      <c r="Q43" s="124">
        <f t="shared" si="66"/>
        <v>-8.8578967206935588E-2</v>
      </c>
      <c r="R43" s="124">
        <f t="shared" si="66"/>
        <v>-8.9330024813895736E-2</v>
      </c>
      <c r="S43" s="124">
        <f t="shared" si="66"/>
        <v>-0.11989100817438691</v>
      </c>
      <c r="T43" s="124">
        <f t="shared" si="66"/>
        <v>7.2239422084623417E-3</v>
      </c>
      <c r="U43" s="124">
        <f t="shared" si="66"/>
        <v>-3.3811475409836089E-2</v>
      </c>
      <c r="V43" s="124">
        <f t="shared" si="66"/>
        <v>2.1208907741250282E-3</v>
      </c>
      <c r="W43" s="124">
        <f t="shared" si="66"/>
        <v>-3.0687830687830653E-2</v>
      </c>
      <c r="X43" s="124">
        <f t="shared" si="66"/>
        <v>-2.2379912663755497E-2</v>
      </c>
      <c r="Y43" s="124">
        <f t="shared" si="66"/>
        <v>0</v>
      </c>
      <c r="Z43" s="124">
        <f t="shared" si="66"/>
        <v>-2.2333891680625384E-2</v>
      </c>
      <c r="AA43" s="124">
        <f t="shared" si="66"/>
        <v>-6.2821245002855353E-3</v>
      </c>
      <c r="AB43" s="124">
        <f t="shared" si="66"/>
        <v>-2.0689655172413834E-2</v>
      </c>
      <c r="AC43" s="124">
        <f t="shared" si="66"/>
        <v>-2.4061032863849752E-2</v>
      </c>
      <c r="AD43" s="124">
        <f t="shared" si="66"/>
        <v>-2.8262176788935611E-2</v>
      </c>
      <c r="AE43" s="124">
        <f t="shared" si="66"/>
        <v>3.0321782178217793E-2</v>
      </c>
      <c r="AF43" s="124">
        <f t="shared" si="66"/>
        <v>-3.0030030030030019E-2</v>
      </c>
      <c r="AG43" s="124">
        <f t="shared" si="66"/>
        <v>-1.3003095975232193E-2</v>
      </c>
      <c r="AH43" s="124">
        <f t="shared" si="60"/>
        <v>-1.3003095975232193E-2</v>
      </c>
      <c r="AI43" s="210">
        <f t="shared" si="60"/>
        <v>-1.3003095975232193E-2</v>
      </c>
      <c r="AJ43" s="210">
        <f t="shared" si="61"/>
        <v>-1.3003095975232193E-2</v>
      </c>
      <c r="AK43" s="210">
        <f t="shared" si="61"/>
        <v>-1.3003095975232193E-2</v>
      </c>
      <c r="AL43" s="210">
        <f>AK43</f>
        <v>-1.3003095975232193E-2</v>
      </c>
      <c r="AM43" s="210">
        <f t="shared" si="62"/>
        <v>-1.3003095975232193E-2</v>
      </c>
      <c r="AN43" s="210">
        <f t="shared" si="62"/>
        <v>-1.3003095975232193E-2</v>
      </c>
      <c r="AP43" s="124"/>
      <c r="AQ43" s="124"/>
      <c r="AR43" s="124"/>
      <c r="AS43" s="124"/>
      <c r="AT43" s="124"/>
      <c r="AU43" s="124"/>
    </row>
    <row r="44" spans="1:47">
      <c r="A44" s="29" t="s">
        <v>219</v>
      </c>
      <c r="B44" s="211"/>
      <c r="C44" s="124"/>
      <c r="D44" s="124">
        <f>(D35/C35)-1</f>
        <v>5.5724979207097292E-2</v>
      </c>
      <c r="E44" s="124">
        <f>(E35/D35)-1</f>
        <v>6.5913865546218586E-2</v>
      </c>
      <c r="F44" s="124">
        <f t="shared" si="55"/>
        <v>8.2779009608277887E-2</v>
      </c>
      <c r="G44" s="124">
        <f t="shared" si="55"/>
        <v>7.7588168373151412E-2</v>
      </c>
      <c r="H44" s="124">
        <f>(H35/G35)-1</f>
        <v>0.14527027027027017</v>
      </c>
      <c r="I44" s="124">
        <f t="shared" ref="I44:AG44" si="67">(I35/H35)-1</f>
        <v>0.32872418879056053</v>
      </c>
      <c r="J44" s="124">
        <f t="shared" si="67"/>
        <v>-0.14014152906896071</v>
      </c>
      <c r="K44" s="124">
        <f t="shared" si="67"/>
        <v>6.0997256737130856E-2</v>
      </c>
      <c r="L44" s="124">
        <f t="shared" si="67"/>
        <v>7.0114068441064603E-2</v>
      </c>
      <c r="M44" s="124">
        <f t="shared" si="67"/>
        <v>3.7663445139283658E-2</v>
      </c>
      <c r="N44" s="124">
        <f t="shared" si="67"/>
        <v>3.6022462676345679E-2</v>
      </c>
      <c r="O44" s="124">
        <f t="shared" si="67"/>
        <v>1.7318878900052903E-2</v>
      </c>
      <c r="P44" s="124">
        <f t="shared" si="67"/>
        <v>-2.7680311890838194E-2</v>
      </c>
      <c r="Q44" s="124">
        <f t="shared" si="67"/>
        <v>2.5928896017107794E-2</v>
      </c>
      <c r="R44" s="124">
        <f t="shared" si="67"/>
        <v>-1.9541427826993418E-3</v>
      </c>
      <c r="S44" s="124">
        <f t="shared" si="67"/>
        <v>1.9840751860070505E-2</v>
      </c>
      <c r="T44" s="124">
        <f t="shared" si="67"/>
        <v>8.3194675540765317E-3</v>
      </c>
      <c r="U44" s="124">
        <f t="shared" si="67"/>
        <v>1.777100787001773E-2</v>
      </c>
      <c r="V44" s="124">
        <f t="shared" si="67"/>
        <v>3.3674232975804408E-2</v>
      </c>
      <c r="W44" s="124">
        <f t="shared" si="67"/>
        <v>8.445945945946054E-3</v>
      </c>
      <c r="X44" s="124">
        <f t="shared" si="67"/>
        <v>2.7159607561617616E-2</v>
      </c>
      <c r="Y44" s="124">
        <f t="shared" si="67"/>
        <v>2.5276645311590018E-2</v>
      </c>
      <c r="Z44" s="124">
        <f t="shared" si="67"/>
        <v>6.3621904112700634E-3</v>
      </c>
      <c r="AA44" s="124">
        <f t="shared" si="67"/>
        <v>1.4563106796116498E-2</v>
      </c>
      <c r="AB44" s="124">
        <f t="shared" si="67"/>
        <v>3.9501502169800862E-2</v>
      </c>
      <c r="AC44" s="124">
        <f t="shared" si="67"/>
        <v>2.6118604153286151E-2</v>
      </c>
      <c r="AD44" s="124">
        <f t="shared" si="67"/>
        <v>-4.3292301272689349E-2</v>
      </c>
      <c r="AE44" s="124">
        <f t="shared" si="67"/>
        <v>6.2261476392977855E-2</v>
      </c>
      <c r="AF44" s="124">
        <f t="shared" si="67"/>
        <v>1.2420447546704905E-2</v>
      </c>
      <c r="AG44" s="124">
        <f t="shared" si="67"/>
        <v>3.3762546892426304E-2</v>
      </c>
      <c r="AH44" s="124">
        <f t="shared" si="60"/>
        <v>3.3762546892426304E-2</v>
      </c>
      <c r="AI44" s="210">
        <f t="shared" si="60"/>
        <v>3.3762546892426304E-2</v>
      </c>
      <c r="AJ44" s="210">
        <f t="shared" si="61"/>
        <v>3.3762546892426304E-2</v>
      </c>
      <c r="AK44" s="210">
        <f t="shared" si="61"/>
        <v>3.3762546892426304E-2</v>
      </c>
      <c r="AL44" s="210">
        <f>AK44</f>
        <v>3.3762546892426304E-2</v>
      </c>
      <c r="AM44" s="210">
        <f t="shared" si="62"/>
        <v>3.3762546892426304E-2</v>
      </c>
      <c r="AN44" s="210">
        <f t="shared" si="62"/>
        <v>3.3762546892426304E-2</v>
      </c>
      <c r="AP44" s="124"/>
      <c r="AQ44" s="124"/>
      <c r="AR44" s="124"/>
      <c r="AS44" s="124"/>
      <c r="AT44" s="124"/>
      <c r="AU44" s="124"/>
    </row>
    <row r="45" spans="1:47">
      <c r="A45" s="62" t="s">
        <v>216</v>
      </c>
      <c r="B45" s="212" t="s">
        <v>218</v>
      </c>
      <c r="C45" s="196">
        <f t="shared" ref="C45:H45" si="68">(C36/B36)-1</f>
        <v>5.4137417570729651E-2</v>
      </c>
      <c r="D45" s="196">
        <f t="shared" si="68"/>
        <v>3.8341237009383411E-2</v>
      </c>
      <c r="E45" s="196">
        <f t="shared" si="68"/>
        <v>3.9160431444951849E-2</v>
      </c>
      <c r="F45" s="196">
        <f t="shared" si="68"/>
        <v>4.3482326538245797E-2</v>
      </c>
      <c r="G45" s="196">
        <f t="shared" si="68"/>
        <v>3.1320010753651761E-2</v>
      </c>
      <c r="H45" s="196">
        <f t="shared" si="68"/>
        <v>8.0983620802015821E-2</v>
      </c>
      <c r="I45" s="196">
        <f>(I36/H36*4/5)-1</f>
        <v>4.7425746553608761E-4</v>
      </c>
      <c r="J45" s="196">
        <f t="shared" si="64"/>
        <v>5.6811608175858064E-2</v>
      </c>
      <c r="K45" s="196">
        <f t="shared" si="56"/>
        <v>2.4442163682669937E-2</v>
      </c>
      <c r="L45" s="196">
        <f t="shared" si="56"/>
        <v>2.8274582560296802E-2</v>
      </c>
      <c r="M45" s="196">
        <f t="shared" si="57"/>
        <v>1.1655600461893734E-2</v>
      </c>
      <c r="N45" s="196">
        <f t="shared" si="58"/>
        <v>2.1294810058855029E-2</v>
      </c>
      <c r="O45" s="196">
        <f>O36/N36-1</f>
        <v>2.6194467728415827E-2</v>
      </c>
      <c r="P45" s="196">
        <f t="shared" ref="P45:AG45" si="69">(P36/O36)-1</f>
        <v>6.0921652712544461E-3</v>
      </c>
      <c r="Q45" s="196">
        <f t="shared" si="69"/>
        <v>1.3565170325767095E-2</v>
      </c>
      <c r="R45" s="196">
        <f t="shared" si="69"/>
        <v>3.4376877378012871E-3</v>
      </c>
      <c r="S45" s="196">
        <f t="shared" si="69"/>
        <v>1.6796939963412694E-2</v>
      </c>
      <c r="T45" s="196">
        <f t="shared" si="69"/>
        <v>1.1743539417729876E-2</v>
      </c>
      <c r="U45" s="196">
        <f t="shared" si="69"/>
        <v>7.7273756021856155E-3</v>
      </c>
      <c r="V45" s="196">
        <f t="shared" si="69"/>
        <v>2.6533624229979402E-2</v>
      </c>
      <c r="W45" s="196">
        <f t="shared" si="69"/>
        <v>-6.6260353180184195E-3</v>
      </c>
      <c r="X45" s="196">
        <f t="shared" si="69"/>
        <v>3.5931158166315313E-2</v>
      </c>
      <c r="Y45" s="196">
        <f t="shared" si="69"/>
        <v>3.1890660592255315E-3</v>
      </c>
      <c r="Z45" s="196">
        <f t="shared" si="69"/>
        <v>6.2670299727520806E-3</v>
      </c>
      <c r="AA45" s="196">
        <f t="shared" si="69"/>
        <v>-2.1963474441134556E-3</v>
      </c>
      <c r="AB45" s="196">
        <f t="shared" si="69"/>
        <v>1.501628271619837E-2</v>
      </c>
      <c r="AC45" s="196">
        <f t="shared" si="69"/>
        <v>1.8477808805180906E-2</v>
      </c>
      <c r="AD45" s="196">
        <f t="shared" si="69"/>
        <v>-9.3629681484074245E-3</v>
      </c>
      <c r="AE45" s="196">
        <f t="shared" si="69"/>
        <v>4.0985778641462689E-2</v>
      </c>
      <c r="AF45" s="196">
        <f t="shared" si="69"/>
        <v>-1.5019092066185791E-2</v>
      </c>
      <c r="AG45" s="196">
        <f t="shared" si="69"/>
        <v>1.6310590397426994E-2</v>
      </c>
      <c r="AH45" s="196">
        <f t="shared" ref="AH45:AN45" si="70">(AH36/AG36)-1</f>
        <v>2.0710895117540762E-2</v>
      </c>
      <c r="AI45" s="196">
        <f t="shared" si="70"/>
        <v>1.6853387958009725E-2</v>
      </c>
      <c r="AJ45" s="196">
        <f>(AJ36/AI36)-1</f>
        <v>1.7415837822006841E-2</v>
      </c>
      <c r="AK45" s="196">
        <f>(AK36/AJ36)-1</f>
        <v>1.7967782930796927E-2</v>
      </c>
      <c r="AL45" s="196">
        <f>(AL36/AK36)-1</f>
        <v>1.8508828782664022E-2</v>
      </c>
      <c r="AM45" s="196">
        <f t="shared" si="70"/>
        <v>1.9038623639385799E-2</v>
      </c>
      <c r="AN45" s="196">
        <f t="shared" si="70"/>
        <v>1.9556858430726187E-2</v>
      </c>
      <c r="AP45" s="196"/>
      <c r="AQ45" s="196"/>
      <c r="AR45" s="196"/>
      <c r="AS45" s="196"/>
      <c r="AT45" s="196"/>
      <c r="AU45" s="196"/>
    </row>
    <row r="46" spans="1:47">
      <c r="A46" s="206" t="s">
        <v>213</v>
      </c>
      <c r="B46" s="212"/>
      <c r="C46" s="196"/>
      <c r="D46" s="124">
        <f t="shared" ref="D46:H47" si="71">D37/C37-1</f>
        <v>-0.7033062142980786</v>
      </c>
      <c r="E46" s="124">
        <f t="shared" si="71"/>
        <v>8.168028004667427E-3</v>
      </c>
      <c r="F46" s="124">
        <f t="shared" si="71"/>
        <v>-0.69907407407407407</v>
      </c>
      <c r="G46" s="124">
        <f t="shared" si="71"/>
        <v>7.1153846153846123E-2</v>
      </c>
      <c r="H46" s="124">
        <f t="shared" si="71"/>
        <v>7.8994614003590646E-2</v>
      </c>
      <c r="I46" s="124">
        <f t="shared" si="63"/>
        <v>3.960066555740438E-2</v>
      </c>
      <c r="J46" s="124">
        <f t="shared" si="64"/>
        <v>0.89020486555697831</v>
      </c>
      <c r="K46" s="124">
        <f t="shared" si="56"/>
        <v>0.33869602032176127</v>
      </c>
      <c r="L46" s="124">
        <f t="shared" si="56"/>
        <v>0.37571157495256169</v>
      </c>
      <c r="M46" s="124">
        <f t="shared" si="57"/>
        <v>0.38300000000000001</v>
      </c>
      <c r="N46" s="124">
        <f t="shared" si="58"/>
        <v>2.6254768494277769E-2</v>
      </c>
      <c r="O46" s="124">
        <f>O37/N37-1</f>
        <v>0.45675413022351807</v>
      </c>
      <c r="P46" s="124">
        <f>P37/O37-1</f>
        <v>6.8934845452524041E-3</v>
      </c>
      <c r="Q46" s="124">
        <f>Q37/P37-1</f>
        <v>-0.10887809187279152</v>
      </c>
      <c r="R46" s="124">
        <f>R37/Q37-1</f>
        <v>-0.11970260223048323</v>
      </c>
      <c r="S46" s="124">
        <f t="shared" ref="S46:AC46" si="72">S37/R37-1</f>
        <v>5.0394144144144226E-2</v>
      </c>
      <c r="T46" s="124">
        <f t="shared" si="72"/>
        <v>-0.30072366657732508</v>
      </c>
      <c r="U46" s="124">
        <f t="shared" si="72"/>
        <v>0.13338443848217718</v>
      </c>
      <c r="V46" s="124">
        <f t="shared" si="72"/>
        <v>-0.3784240784578965</v>
      </c>
      <c r="W46" s="124">
        <f t="shared" si="72"/>
        <v>-0.10228509249183892</v>
      </c>
      <c r="X46" s="124">
        <f t="shared" si="72"/>
        <v>-0.25696969696969696</v>
      </c>
      <c r="Y46" s="124">
        <f t="shared" si="72"/>
        <v>-3.1810766721043993E-2</v>
      </c>
      <c r="Z46" s="124">
        <f t="shared" si="72"/>
        <v>1.5164279696714411E-2</v>
      </c>
      <c r="AA46" s="124">
        <f t="shared" si="72"/>
        <v>0.11286307053941913</v>
      </c>
      <c r="AB46" s="124">
        <f t="shared" si="72"/>
        <v>-0.58538404175988068</v>
      </c>
      <c r="AC46" s="124">
        <f t="shared" si="72"/>
        <v>-1</v>
      </c>
      <c r="AD46" s="124">
        <v>0</v>
      </c>
      <c r="AE46" s="124">
        <v>0</v>
      </c>
      <c r="AF46" s="124">
        <v>0</v>
      </c>
      <c r="AG46" s="124">
        <v>0</v>
      </c>
      <c r="AH46" s="124">
        <f t="shared" ref="AH46:AN46" si="73">AG46</f>
        <v>0</v>
      </c>
      <c r="AI46" s="210">
        <f t="shared" si="73"/>
        <v>0</v>
      </c>
      <c r="AJ46" s="210">
        <f>AI46</f>
        <v>0</v>
      </c>
      <c r="AK46" s="210">
        <f>AJ46</f>
        <v>0</v>
      </c>
      <c r="AL46" s="210">
        <f>AK46</f>
        <v>0</v>
      </c>
      <c r="AM46" s="210">
        <f t="shared" si="73"/>
        <v>0</v>
      </c>
      <c r="AN46" s="210">
        <f t="shared" si="73"/>
        <v>0</v>
      </c>
      <c r="AP46" s="210"/>
      <c r="AQ46" s="210"/>
      <c r="AR46" s="210"/>
      <c r="AS46" s="210"/>
      <c r="AT46" s="210"/>
      <c r="AU46" s="210"/>
    </row>
    <row r="47" spans="1:47">
      <c r="A47" s="208" t="s">
        <v>214</v>
      </c>
      <c r="B47" s="212"/>
      <c r="C47" s="196">
        <f>C38/B38-1</f>
        <v>0.10383338364020522</v>
      </c>
      <c r="D47" s="196">
        <f t="shared" si="71"/>
        <v>-0.12902847767490921</v>
      </c>
      <c r="E47" s="196">
        <f t="shared" si="71"/>
        <v>3.6777897380696034E-2</v>
      </c>
      <c r="F47" s="196">
        <f t="shared" si="71"/>
        <v>-1.2026302128395949E-2</v>
      </c>
      <c r="G47" s="196">
        <f t="shared" si="71"/>
        <v>3.2226990104212261E-2</v>
      </c>
      <c r="H47" s="196">
        <f t="shared" si="71"/>
        <v>8.0936625095444192E-2</v>
      </c>
      <c r="I47" s="196">
        <f t="shared" si="63"/>
        <v>1.3970645946157489E-3</v>
      </c>
      <c r="J47" s="196">
        <f t="shared" si="64"/>
        <v>7.7217293162366474E-2</v>
      </c>
      <c r="K47" s="196">
        <f t="shared" si="56"/>
        <v>3.7943830034924408E-2</v>
      </c>
      <c r="L47" s="196">
        <f t="shared" si="56"/>
        <v>4.7527251060250242E-2</v>
      </c>
      <c r="M47" s="196">
        <f t="shared" si="57"/>
        <v>3.8679860809047506E-2</v>
      </c>
      <c r="N47" s="196">
        <f t="shared" si="58"/>
        <v>2.1775422981491044E-2</v>
      </c>
      <c r="O47" s="196">
        <f>O38/N38-1</f>
        <v>6.8097985434597552E-2</v>
      </c>
      <c r="P47" s="196">
        <f t="shared" ref="P47:AG47" si="74">P38/O38-1</f>
        <v>6.1985300628708551E-3</v>
      </c>
      <c r="Q47" s="196">
        <f t="shared" si="74"/>
        <v>-2.6988178004634378E-3</v>
      </c>
      <c r="R47" s="196">
        <f t="shared" si="74"/>
        <v>-1.1177456834426613E-2</v>
      </c>
      <c r="S47" s="196">
        <f t="shared" si="74"/>
        <v>2.0346848320790034E-2</v>
      </c>
      <c r="T47" s="196">
        <f t="shared" si="74"/>
        <v>-2.2244249438791885E-2</v>
      </c>
      <c r="U47" s="196">
        <f t="shared" si="74"/>
        <v>1.7502534438547324E-2</v>
      </c>
      <c r="V47" s="196">
        <f t="shared" si="74"/>
        <v>-8.5567765567765575E-3</v>
      </c>
      <c r="W47" s="196">
        <f t="shared" si="74"/>
        <v>-1.1822776579079597E-2</v>
      </c>
      <c r="X47" s="196">
        <f t="shared" si="74"/>
        <v>2.1475787395687007E-2</v>
      </c>
      <c r="Y47" s="196">
        <f t="shared" si="74"/>
        <v>1.9325934818892332E-3</v>
      </c>
      <c r="Z47" s="196">
        <f t="shared" si="74"/>
        <v>6.5756787561739305E-3</v>
      </c>
      <c r="AA47" s="196">
        <f t="shared" si="74"/>
        <v>1.8291620695662925E-3</v>
      </c>
      <c r="AB47" s="196">
        <f t="shared" si="74"/>
        <v>-8.3176351253441139E-3</v>
      </c>
      <c r="AC47" s="196">
        <f t="shared" si="74"/>
        <v>1.9288093985621035E-3</v>
      </c>
      <c r="AD47" s="196">
        <f t="shared" si="74"/>
        <v>-9.3629681484074245E-3</v>
      </c>
      <c r="AE47" s="196">
        <f t="shared" si="74"/>
        <v>4.0985778641462689E-2</v>
      </c>
      <c r="AF47" s="196">
        <f t="shared" si="74"/>
        <v>-1.5019092066185791E-2</v>
      </c>
      <c r="AG47" s="196">
        <f t="shared" si="74"/>
        <v>1.6310590397426994E-2</v>
      </c>
      <c r="AH47" s="196">
        <f t="shared" ref="AH47:AN47" si="75">AH38/AG38-1</f>
        <v>2.0710895117540762E-2</v>
      </c>
      <c r="AI47" s="196">
        <f t="shared" si="75"/>
        <v>1.6853387958009725E-2</v>
      </c>
      <c r="AJ47" s="196">
        <f>AJ38/AI38-1</f>
        <v>1.7415837822006841E-2</v>
      </c>
      <c r="AK47" s="196">
        <f>AK38/AJ38-1</f>
        <v>1.7967782930796927E-2</v>
      </c>
      <c r="AL47" s="196">
        <f>AL38/AK38-1</f>
        <v>1.8508828782664022E-2</v>
      </c>
      <c r="AM47" s="196">
        <f t="shared" si="75"/>
        <v>1.9038623639385799E-2</v>
      </c>
      <c r="AN47" s="196">
        <f t="shared" si="75"/>
        <v>1.9556858430726187E-2</v>
      </c>
      <c r="AP47" s="196"/>
      <c r="AQ47" s="196"/>
      <c r="AR47" s="196"/>
      <c r="AS47" s="196"/>
      <c r="AT47" s="196"/>
      <c r="AU47" s="196"/>
    </row>
    <row r="48" spans="1:47">
      <c r="C48" s="124"/>
      <c r="D48" s="124"/>
      <c r="E48" s="124"/>
      <c r="F48" s="124"/>
    </row>
    <row r="49" spans="1:40" s="7" customFormat="1">
      <c r="A49" s="6" t="s">
        <v>220</v>
      </c>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row>
    <row r="50" spans="1:40">
      <c r="A50" s="29" t="s">
        <v>209</v>
      </c>
      <c r="B50" s="131">
        <f t="shared" ref="B50:AF50" si="76">B32/B$36</f>
        <v>0.32285683897043183</v>
      </c>
      <c r="C50" s="131">
        <f t="shared" si="76"/>
        <v>0.33129855715871254</v>
      </c>
      <c r="D50" s="131">
        <f t="shared" si="76"/>
        <v>0.34476727237391896</v>
      </c>
      <c r="E50" s="131">
        <f t="shared" si="76"/>
        <v>0.35547970824761549</v>
      </c>
      <c r="F50" s="131">
        <f t="shared" si="76"/>
        <v>0.36015772022582671</v>
      </c>
      <c r="G50" s="131">
        <f t="shared" si="76"/>
        <v>0.37111700047790763</v>
      </c>
      <c r="H50" s="131">
        <f t="shared" si="76"/>
        <v>0.36803183151802582</v>
      </c>
      <c r="I50" s="131">
        <f t="shared" si="76"/>
        <v>0.37874405450572052</v>
      </c>
      <c r="J50" s="131">
        <f t="shared" si="76"/>
        <v>0.38065914015281105</v>
      </c>
      <c r="K50" s="131">
        <f t="shared" si="76"/>
        <v>0.3850834879406308</v>
      </c>
      <c r="L50" s="131">
        <f t="shared" si="76"/>
        <v>0.38470698614318705</v>
      </c>
      <c r="M50" s="131">
        <f t="shared" si="76"/>
        <v>0.38159443552701977</v>
      </c>
      <c r="N50" s="131">
        <f t="shared" si="76"/>
        <v>0.38718915898295614</v>
      </c>
      <c r="O50" s="131">
        <f t="shared" si="76"/>
        <v>0.38894561296031582</v>
      </c>
      <c r="P50" s="131">
        <f t="shared" si="76"/>
        <v>0.40448563986333347</v>
      </c>
      <c r="Q50" s="131">
        <f t="shared" si="76"/>
        <v>0.4053133969694947</v>
      </c>
      <c r="R50" s="131">
        <f t="shared" si="76"/>
        <v>0.40951272243472475</v>
      </c>
      <c r="S50" s="131">
        <f t="shared" si="76"/>
        <v>0.4085050703303893</v>
      </c>
      <c r="T50" s="131">
        <f t="shared" si="76"/>
        <v>0.40874260402858159</v>
      </c>
      <c r="U50" s="131">
        <f t="shared" si="76"/>
        <v>0.40650667351129366</v>
      </c>
      <c r="V50" s="131">
        <f t="shared" si="76"/>
        <v>0.40371933114549147</v>
      </c>
      <c r="W50" s="131">
        <f t="shared" si="76"/>
        <v>0.40697857345121607</v>
      </c>
      <c r="X50" s="131">
        <f t="shared" si="76"/>
        <v>0.39784358390280944</v>
      </c>
      <c r="Y50" s="131">
        <f t="shared" si="76"/>
        <v>0.39990917347865579</v>
      </c>
      <c r="Z50" s="131">
        <f t="shared" si="76"/>
        <v>0.39817071336161508</v>
      </c>
      <c r="AA50" s="131">
        <f t="shared" si="76"/>
        <v>0.3986250150765891</v>
      </c>
      <c r="AB50" s="131">
        <f t="shared" si="76"/>
        <v>0.39881765789317331</v>
      </c>
      <c r="AC50" s="131">
        <f t="shared" si="76"/>
        <v>0.39621981099054954</v>
      </c>
      <c r="AD50" s="131">
        <f t="shared" si="76"/>
        <v>0.37917734004652121</v>
      </c>
      <c r="AE50" s="131">
        <f t="shared" si="76"/>
        <v>0.37966341394427944</v>
      </c>
      <c r="AF50" s="131">
        <f t="shared" si="76"/>
        <v>0.37999655410062028</v>
      </c>
      <c r="AG50" s="131">
        <f t="shared" ref="AG50:AI53" si="77">AG32/AG$36</f>
        <v>0.38633024412296563</v>
      </c>
      <c r="AH50" s="131">
        <f t="shared" ref="AH50" si="78">AH32/AH$36</f>
        <v>0.38427681660899654</v>
      </c>
      <c r="AI50" s="131">
        <f t="shared" si="77"/>
        <v>0.39047330256391571</v>
      </c>
      <c r="AJ50" s="131">
        <f t="shared" ref="AJ50:AN53" si="79">AJ32/AJ$36</f>
        <v>0.39655036418893408</v>
      </c>
      <c r="AK50" s="131">
        <f t="shared" si="79"/>
        <v>0.40250364803019334</v>
      </c>
      <c r="AL50" s="131">
        <f t="shared" si="79"/>
        <v>0.40832928121996093</v>
      </c>
      <c r="AM50" s="131">
        <f t="shared" si="79"/>
        <v>0.41402387003761559</v>
      </c>
      <c r="AN50" s="131">
        <f t="shared" si="79"/>
        <v>0.41958449518419461</v>
      </c>
    </row>
    <row r="51" spans="1:40">
      <c r="A51" s="29" t="s">
        <v>210</v>
      </c>
      <c r="B51" s="131">
        <f t="shared" ref="B51:AF51" si="80">B33/B$36</f>
        <v>0.2230908317379281</v>
      </c>
      <c r="C51" s="131">
        <f t="shared" si="80"/>
        <v>0.23877509837554234</v>
      </c>
      <c r="D51" s="131">
        <f t="shared" si="80"/>
        <v>0.24409678359731804</v>
      </c>
      <c r="E51" s="131">
        <f t="shared" si="80"/>
        <v>0.25163643164391247</v>
      </c>
      <c r="F51" s="131">
        <f t="shared" si="80"/>
        <v>0.25642978761537771</v>
      </c>
      <c r="G51" s="131">
        <f t="shared" si="80"/>
        <v>0.25246556892731459</v>
      </c>
      <c r="H51" s="131">
        <f t="shared" si="80"/>
        <v>0.26220811060648685</v>
      </c>
      <c r="I51" s="131">
        <f t="shared" si="80"/>
        <v>0.25241033551870418</v>
      </c>
      <c r="J51" s="131">
        <f t="shared" si="80"/>
        <v>0.25118789675751702</v>
      </c>
      <c r="K51" s="131">
        <f t="shared" si="80"/>
        <v>0.25053803339517627</v>
      </c>
      <c r="L51" s="131">
        <f t="shared" si="80"/>
        <v>0.25007217090069284</v>
      </c>
      <c r="M51" s="131">
        <f t="shared" si="80"/>
        <v>0.25610843588371679</v>
      </c>
      <c r="N51" s="131">
        <f t="shared" si="80"/>
        <v>0.249685666387259</v>
      </c>
      <c r="O51" s="131">
        <f t="shared" si="80"/>
        <v>0.25610918249268261</v>
      </c>
      <c r="P51" s="131">
        <f t="shared" si="80"/>
        <v>0.25266398295050913</v>
      </c>
      <c r="Q51" s="131">
        <f t="shared" si="80"/>
        <v>0.25779320472598627</v>
      </c>
      <c r="R51" s="131">
        <f t="shared" si="80"/>
        <v>0.26243139863628806</v>
      </c>
      <c r="S51" s="131">
        <f t="shared" si="80"/>
        <v>0.27252208047105003</v>
      </c>
      <c r="T51" s="131">
        <f t="shared" si="80"/>
        <v>0.27343270070160691</v>
      </c>
      <c r="U51" s="131">
        <f t="shared" si="80"/>
        <v>0.27573151950718688</v>
      </c>
      <c r="V51" s="131">
        <f t="shared" si="80"/>
        <v>0.27816846382247223</v>
      </c>
      <c r="W51" s="131">
        <f t="shared" si="80"/>
        <v>0.27240977881257278</v>
      </c>
      <c r="X51" s="131">
        <f t="shared" si="80"/>
        <v>0.28701594533029612</v>
      </c>
      <c r="Y51" s="131">
        <f t="shared" si="80"/>
        <v>0.27938237965485924</v>
      </c>
      <c r="Z51" s="131">
        <f t="shared" si="80"/>
        <v>0.28263682041098775</v>
      </c>
      <c r="AA51" s="131">
        <f t="shared" si="80"/>
        <v>0.2779218429622482</v>
      </c>
      <c r="AB51" s="131">
        <f t="shared" si="80"/>
        <v>0.27303784683025367</v>
      </c>
      <c r="AC51" s="131">
        <f t="shared" si="80"/>
        <v>0.27566795006416989</v>
      </c>
      <c r="AD51" s="131">
        <f t="shared" si="80"/>
        <v>0.30321231928863762</v>
      </c>
      <c r="AE51" s="131">
        <f t="shared" si="80"/>
        <v>0.29769480978645169</v>
      </c>
      <c r="AF51" s="131">
        <f t="shared" si="80"/>
        <v>0.29040317022742934</v>
      </c>
      <c r="AG51" s="131">
        <f t="shared" si="77"/>
        <v>0.28054362567811936</v>
      </c>
      <c r="AH51" s="131">
        <f t="shared" ref="AH51" si="81">AH33/AH$36</f>
        <v>0.28246366782006921</v>
      </c>
      <c r="AI51" s="131">
        <f t="shared" si="77"/>
        <v>0.27272801883766462</v>
      </c>
      <c r="AJ51" s="131">
        <f t="shared" si="79"/>
        <v>0.26318235409071433</v>
      </c>
      <c r="AK51" s="131">
        <f t="shared" si="79"/>
        <v>0.25383309034586587</v>
      </c>
      <c r="AL51" s="131">
        <f t="shared" si="79"/>
        <v>0.24468589932742402</v>
      </c>
      <c r="AM51" s="131">
        <f t="shared" si="79"/>
        <v>0.23574571153066751</v>
      </c>
      <c r="AN51" s="131">
        <f t="shared" si="79"/>
        <v>0.22701672503918954</v>
      </c>
    </row>
    <row r="52" spans="1:40">
      <c r="A52" s="29" t="s">
        <v>211</v>
      </c>
      <c r="B52" s="131">
        <f t="shared" ref="B52:AF52" si="82">B34/B$36</f>
        <v>0.27494150180812593</v>
      </c>
      <c r="C52" s="131">
        <f t="shared" si="82"/>
        <v>0.24795681565936839</v>
      </c>
      <c r="D52" s="131">
        <f t="shared" si="82"/>
        <v>0.22611991060149644</v>
      </c>
      <c r="E52" s="131">
        <f t="shared" si="82"/>
        <v>0.2031045446044511</v>
      </c>
      <c r="F52" s="131">
        <f t="shared" si="82"/>
        <v>0.18648624428712252</v>
      </c>
      <c r="G52" s="131">
        <f t="shared" si="82"/>
        <v>0.17065647130381892</v>
      </c>
      <c r="H52" s="131">
        <f t="shared" si="82"/>
        <v>0.15176238897150435</v>
      </c>
      <c r="I52" s="131">
        <f t="shared" si="82"/>
        <v>0.13722843553155933</v>
      </c>
      <c r="J52" s="131">
        <f t="shared" si="82"/>
        <v>0.13258828448701868</v>
      </c>
      <c r="K52" s="131">
        <f t="shared" si="82"/>
        <v>0.12040816326530612</v>
      </c>
      <c r="L52" s="131">
        <f t="shared" si="82"/>
        <v>0.1113236143187067</v>
      </c>
      <c r="M52" s="131">
        <f t="shared" si="82"/>
        <v>0.10187265917602996</v>
      </c>
      <c r="N52" s="131">
        <f t="shared" si="82"/>
        <v>9.8945236099469119E-2</v>
      </c>
      <c r="O52" s="131">
        <f t="shared" si="82"/>
        <v>9.3050166768769996E-2</v>
      </c>
      <c r="P52" s="131">
        <f t="shared" si="82"/>
        <v>8.9746625621596021E-2</v>
      </c>
      <c r="Q52" s="131">
        <f t="shared" si="82"/>
        <v>8.0702222815566382E-2</v>
      </c>
      <c r="R52" s="131">
        <f t="shared" si="82"/>
        <v>7.3241310493929818E-2</v>
      </c>
      <c r="S52" s="131">
        <f t="shared" si="82"/>
        <v>6.3395485770363094E-2</v>
      </c>
      <c r="T52" s="131">
        <f t="shared" si="82"/>
        <v>6.3112289437097874E-2</v>
      </c>
      <c r="U52" s="131">
        <f t="shared" si="82"/>
        <v>6.0510780287474329E-2</v>
      </c>
      <c r="V52" s="131">
        <f t="shared" si="82"/>
        <v>5.9071729957805907E-2</v>
      </c>
      <c r="W52" s="131">
        <f t="shared" si="82"/>
        <v>5.7640877198502347E-2</v>
      </c>
      <c r="X52" s="131">
        <f t="shared" si="82"/>
        <v>5.4396355353075174E-2</v>
      </c>
      <c r="Y52" s="131">
        <f t="shared" si="82"/>
        <v>5.4223433242506815E-2</v>
      </c>
      <c r="Z52" s="131">
        <f t="shared" si="82"/>
        <v>5.2682251707434485E-2</v>
      </c>
      <c r="AA52" s="131">
        <f t="shared" si="82"/>
        <v>5.2466529972259077E-2</v>
      </c>
      <c r="AB52" s="131">
        <f t="shared" si="82"/>
        <v>5.0620878141524571E-2</v>
      </c>
      <c r="AC52" s="131">
        <f t="shared" si="82"/>
        <v>4.8506591996266481E-2</v>
      </c>
      <c r="AD52" s="131">
        <f t="shared" si="82"/>
        <v>4.7581191296410801E-2</v>
      </c>
      <c r="AE52" s="131">
        <f t="shared" si="82"/>
        <v>4.7093763258379294E-2</v>
      </c>
      <c r="AF52" s="131">
        <f t="shared" si="82"/>
        <v>4.6376062485642085E-2</v>
      </c>
      <c r="AG52" s="131">
        <f t="shared" si="77"/>
        <v>4.5038426763110311E-2</v>
      </c>
      <c r="AH52" s="131">
        <f t="shared" ref="AH52" si="83">AH34/AH$36</f>
        <v>4.3543252595155707E-2</v>
      </c>
      <c r="AI52" s="131">
        <f t="shared" si="77"/>
        <v>4.2264751252775318E-2</v>
      </c>
      <c r="AJ52" s="131">
        <f t="shared" si="79"/>
        <v>4.1001109954378445E-2</v>
      </c>
      <c r="AK52" s="131">
        <f t="shared" si="79"/>
        <v>3.9753683039006053E-2</v>
      </c>
      <c r="AL52" s="131">
        <f t="shared" si="79"/>
        <v>3.8523732906642766E-2</v>
      </c>
      <c r="AM52" s="131">
        <f t="shared" si="79"/>
        <v>3.7312427839623158E-2</v>
      </c>
      <c r="AN52" s="131">
        <f t="shared" si="79"/>
        <v>3.6120840593470281E-2</v>
      </c>
    </row>
    <row r="53" spans="1:40">
      <c r="A53" s="207" t="s">
        <v>212</v>
      </c>
      <c r="B53" s="131">
        <f t="shared" ref="B53:AF53" si="84">B35/B$36</f>
        <v>0.17911082748351415</v>
      </c>
      <c r="C53" s="131">
        <f t="shared" si="84"/>
        <v>0.18196952880637676</v>
      </c>
      <c r="D53" s="131">
        <f t="shared" si="84"/>
        <v>0.18501603342726655</v>
      </c>
      <c r="E53" s="131">
        <f t="shared" si="84"/>
        <v>0.18977931550402094</v>
      </c>
      <c r="F53" s="131">
        <f t="shared" si="84"/>
        <v>0.19692624787167309</v>
      </c>
      <c r="G53" s="131">
        <f t="shared" si="84"/>
        <v>0.20576095929095886</v>
      </c>
      <c r="H53" s="131">
        <f t="shared" si="84"/>
        <v>0.21799766890398295</v>
      </c>
      <c r="I53" s="131">
        <f t="shared" si="84"/>
        <v>0.23161717444401594</v>
      </c>
      <c r="J53" s="131">
        <f t="shared" si="84"/>
        <v>0.23556467860265329</v>
      </c>
      <c r="K53" s="131">
        <f t="shared" si="84"/>
        <v>0.24397031539888683</v>
      </c>
      <c r="L53" s="131">
        <f t="shared" si="84"/>
        <v>0.25389722863741337</v>
      </c>
      <c r="M53" s="131">
        <f t="shared" si="84"/>
        <v>0.26042446941323344</v>
      </c>
      <c r="N53" s="131">
        <f t="shared" si="84"/>
        <v>0.26417993853031574</v>
      </c>
      <c r="O53" s="131">
        <f t="shared" si="84"/>
        <v>0.26189503777823159</v>
      </c>
      <c r="P53" s="131">
        <f t="shared" si="84"/>
        <v>0.25310375156456144</v>
      </c>
      <c r="Q53" s="131">
        <f t="shared" si="84"/>
        <v>0.25619117548895265</v>
      </c>
      <c r="R53" s="131">
        <f t="shared" si="84"/>
        <v>0.2548145684350574</v>
      </c>
      <c r="S53" s="131">
        <f t="shared" si="84"/>
        <v>0.25557736342819759</v>
      </c>
      <c r="T53" s="131">
        <f t="shared" si="84"/>
        <v>0.25471240583271365</v>
      </c>
      <c r="U53" s="131">
        <f t="shared" si="84"/>
        <v>0.25725102669404515</v>
      </c>
      <c r="V53" s="131">
        <f t="shared" si="84"/>
        <v>0.25904047507423034</v>
      </c>
      <c r="W53" s="131">
        <f t="shared" si="84"/>
        <v>0.26297077053770884</v>
      </c>
      <c r="X53" s="131">
        <f t="shared" si="84"/>
        <v>0.26074411541381931</v>
      </c>
      <c r="Y53" s="131">
        <f t="shared" si="84"/>
        <v>0.2664850136239782</v>
      </c>
      <c r="Z53" s="131">
        <f t="shared" si="84"/>
        <v>0.26651021451996271</v>
      </c>
      <c r="AA53" s="131">
        <f t="shared" si="84"/>
        <v>0.27098661198890361</v>
      </c>
      <c r="AB53" s="131">
        <f t="shared" si="84"/>
        <v>0.27752361713504842</v>
      </c>
      <c r="AC53" s="131">
        <f t="shared" si="84"/>
        <v>0.27960564694901413</v>
      </c>
      <c r="AD53" s="131">
        <f t="shared" si="84"/>
        <v>0.27002914936843037</v>
      </c>
      <c r="AE53" s="131">
        <f t="shared" si="84"/>
        <v>0.27554801301088955</v>
      </c>
      <c r="AF53" s="131">
        <f t="shared" si="84"/>
        <v>0.2832242131863083</v>
      </c>
      <c r="AG53" s="131">
        <f t="shared" si="77"/>
        <v>0.2880877034358047</v>
      </c>
      <c r="AH53" s="131">
        <f t="shared" ref="AH53" si="85">AH35/AH$36</f>
        <v>0.28971626297577857</v>
      </c>
      <c r="AI53" s="131">
        <f t="shared" si="77"/>
        <v>0.29453392734564432</v>
      </c>
      <c r="AJ53" s="131">
        <f t="shared" si="79"/>
        <v>0.29926617176597314</v>
      </c>
      <c r="AK53" s="131">
        <f t="shared" si="79"/>
        <v>0.30390957858493467</v>
      </c>
      <c r="AL53" s="131">
        <f t="shared" si="79"/>
        <v>0.30846108654597215</v>
      </c>
      <c r="AM53" s="131">
        <f t="shared" si="79"/>
        <v>0.31291799059209363</v>
      </c>
      <c r="AN53" s="131">
        <f t="shared" si="79"/>
        <v>0.31727793918314562</v>
      </c>
    </row>
    <row r="54" spans="1:40">
      <c r="A54" s="62" t="s">
        <v>216</v>
      </c>
      <c r="B54" s="194">
        <f t="shared" ref="B54:S54" si="86">SUM(B50:B53)</f>
        <v>1</v>
      </c>
      <c r="C54" s="194">
        <f t="shared" si="86"/>
        <v>1</v>
      </c>
      <c r="D54" s="194">
        <f t="shared" si="86"/>
        <v>1</v>
      </c>
      <c r="E54" s="194">
        <f t="shared" si="86"/>
        <v>0.99999999999999989</v>
      </c>
      <c r="F54" s="194">
        <f t="shared" si="86"/>
        <v>1</v>
      </c>
      <c r="G54" s="194">
        <f t="shared" si="86"/>
        <v>0.99999999999999989</v>
      </c>
      <c r="H54" s="194">
        <f t="shared" si="86"/>
        <v>0.99999999999999989</v>
      </c>
      <c r="I54" s="194">
        <f t="shared" si="86"/>
        <v>1</v>
      </c>
      <c r="J54" s="194">
        <f t="shared" si="86"/>
        <v>1</v>
      </c>
      <c r="K54" s="194">
        <f t="shared" si="86"/>
        <v>1</v>
      </c>
      <c r="L54" s="194">
        <f t="shared" si="86"/>
        <v>1</v>
      </c>
      <c r="M54" s="194">
        <f>SUM(M50:M53)</f>
        <v>1</v>
      </c>
      <c r="N54" s="194">
        <f>SUM(N50:N53)</f>
        <v>1</v>
      </c>
      <c r="O54" s="194">
        <f>SUM(O50:O53)</f>
        <v>1</v>
      </c>
      <c r="P54" s="194">
        <f t="shared" si="86"/>
        <v>1</v>
      </c>
      <c r="Q54" s="194">
        <f t="shared" si="86"/>
        <v>1</v>
      </c>
      <c r="R54" s="194">
        <f t="shared" si="86"/>
        <v>1</v>
      </c>
      <c r="S54" s="194">
        <f t="shared" si="86"/>
        <v>1</v>
      </c>
      <c r="T54" s="194">
        <f t="shared" ref="T54:AB54" si="87">SUM(T50:T53)</f>
        <v>1</v>
      </c>
      <c r="U54" s="194">
        <f t="shared" si="87"/>
        <v>1</v>
      </c>
      <c r="V54" s="194">
        <f t="shared" si="87"/>
        <v>1</v>
      </c>
      <c r="W54" s="194">
        <f t="shared" si="87"/>
        <v>1</v>
      </c>
      <c r="X54" s="194">
        <f t="shared" si="87"/>
        <v>1</v>
      </c>
      <c r="Y54" s="194">
        <f t="shared" si="87"/>
        <v>1</v>
      </c>
      <c r="Z54" s="194">
        <f t="shared" si="87"/>
        <v>1</v>
      </c>
      <c r="AA54" s="194">
        <f t="shared" si="87"/>
        <v>1</v>
      </c>
      <c r="AB54" s="194">
        <f t="shared" si="87"/>
        <v>1</v>
      </c>
      <c r="AC54" s="194">
        <f t="shared" ref="AC54:AI54" si="88">SUM(AC50:AC53)</f>
        <v>1</v>
      </c>
      <c r="AD54" s="194">
        <f t="shared" si="88"/>
        <v>1</v>
      </c>
      <c r="AE54" s="194">
        <f t="shared" si="88"/>
        <v>1</v>
      </c>
      <c r="AF54" s="194">
        <f t="shared" si="88"/>
        <v>1</v>
      </c>
      <c r="AG54" s="194">
        <f t="shared" si="88"/>
        <v>1</v>
      </c>
      <c r="AH54" s="194">
        <f t="shared" ref="AH54" si="89">SUM(AH50:AH53)</f>
        <v>1</v>
      </c>
      <c r="AI54" s="194">
        <f t="shared" si="88"/>
        <v>1</v>
      </c>
      <c r="AJ54" s="194">
        <f>SUM(AJ50:AJ53)</f>
        <v>1</v>
      </c>
      <c r="AK54" s="194">
        <f>SUM(AK50:AK53)</f>
        <v>1</v>
      </c>
      <c r="AL54" s="194">
        <f>SUM(AL50:AL53)</f>
        <v>0.99999999999999989</v>
      </c>
      <c r="AM54" s="194">
        <f>SUM(AM50:AM53)</f>
        <v>1</v>
      </c>
      <c r="AN54" s="194">
        <f>SUM(AN50:AN53)</f>
        <v>1</v>
      </c>
    </row>
    <row r="55" spans="1:40" s="62" customFormat="1">
      <c r="A55" s="206" t="s">
        <v>213</v>
      </c>
      <c r="B55" s="131">
        <f t="shared" ref="B55:S55" si="90">B37/B$38</f>
        <v>0.18916821180630417</v>
      </c>
      <c r="C55" s="131">
        <f t="shared" si="90"/>
        <v>0.22567287784679088</v>
      </c>
      <c r="D55" s="131">
        <f t="shared" si="90"/>
        <v>7.6874775744528168E-2</v>
      </c>
      <c r="E55" s="131">
        <f t="shared" si="90"/>
        <v>7.4753417546288281E-2</v>
      </c>
      <c r="F55" s="131">
        <f t="shared" si="90"/>
        <v>2.276906909536737E-2</v>
      </c>
      <c r="G55" s="131">
        <f t="shared" si="90"/>
        <v>2.3627725460252821E-2</v>
      </c>
      <c r="H55" s="131">
        <f t="shared" si="90"/>
        <v>2.3585275881014049E-2</v>
      </c>
      <c r="I55" s="131">
        <f t="shared" si="90"/>
        <v>2.4485061291030504E-2</v>
      </c>
      <c r="J55" s="131">
        <f t="shared" si="90"/>
        <v>4.2964202561117576E-2</v>
      </c>
      <c r="K55" s="131">
        <f t="shared" si="90"/>
        <v>5.5413409975114784E-2</v>
      </c>
      <c r="L55" s="131">
        <f t="shared" si="90"/>
        <v>7.2774115836316794E-2</v>
      </c>
      <c r="M55" s="131">
        <f t="shared" ref="M55:O56" si="91">M37/M$38</f>
        <v>9.6898578666222118E-2</v>
      </c>
      <c r="N55" s="131">
        <f t="shared" si="91"/>
        <v>9.7323370850279006E-2</v>
      </c>
      <c r="O55" s="131">
        <f t="shared" si="91"/>
        <v>0.13273709377490481</v>
      </c>
      <c r="P55" s="131">
        <f t="shared" si="90"/>
        <v>0.13282877174455102</v>
      </c>
      <c r="Q55" s="131">
        <f t="shared" si="90"/>
        <v>0.11868694296555578</v>
      </c>
      <c r="R55" s="131">
        <f t="shared" si="90"/>
        <v>0.10566082636761162</v>
      </c>
      <c r="S55" s="131">
        <f t="shared" si="90"/>
        <v>0.108772338998863</v>
      </c>
      <c r="T55" s="131">
        <f t="shared" ref="T55:Y55" si="92">T37/T$38</f>
        <v>7.7792354940664318E-2</v>
      </c>
      <c r="U55" s="131">
        <f t="shared" si="92"/>
        <v>8.665201465201465E-2</v>
      </c>
      <c r="V55" s="131">
        <f t="shared" si="92"/>
        <v>5.432565838087075E-2</v>
      </c>
      <c r="W55" s="131">
        <f t="shared" si="92"/>
        <v>4.9352436215715015E-2</v>
      </c>
      <c r="X55" s="131">
        <f t="shared" si="92"/>
        <v>3.5899388012064069E-2</v>
      </c>
      <c r="Y55" s="131">
        <f t="shared" si="92"/>
        <v>3.4690358593681504E-2</v>
      </c>
      <c r="Z55" s="131">
        <f t="shared" ref="Z55:AB56" si="93">Z37/Z$38</f>
        <v>3.4986353870274663E-2</v>
      </c>
      <c r="AA55" s="131">
        <f t="shared" si="93"/>
        <v>3.886393276336763E-2</v>
      </c>
      <c r="AB55" s="131">
        <f t="shared" si="93"/>
        <v>1.6248757963644864E-2</v>
      </c>
      <c r="AC55" s="131">
        <f t="shared" ref="AC55:AE56" si="94">AC37/AC$38</f>
        <v>0</v>
      </c>
      <c r="AD55" s="131">
        <f t="shared" si="94"/>
        <v>0</v>
      </c>
      <c r="AE55" s="131">
        <f t="shared" si="94"/>
        <v>0</v>
      </c>
      <c r="AF55" s="131">
        <f t="shared" ref="AF55:AI56" si="95">AF37/AF$38</f>
        <v>0</v>
      </c>
      <c r="AG55" s="131">
        <f t="shared" si="95"/>
        <v>0</v>
      </c>
      <c r="AH55" s="131">
        <f t="shared" ref="AH55" si="96">AH37/AH$38</f>
        <v>0</v>
      </c>
      <c r="AI55" s="131">
        <f t="shared" si="95"/>
        <v>0</v>
      </c>
      <c r="AJ55" s="131">
        <f t="shared" ref="AJ55:AN56" si="97">AJ37/AJ$38</f>
        <v>0</v>
      </c>
      <c r="AK55" s="131">
        <f t="shared" si="97"/>
        <v>0</v>
      </c>
      <c r="AL55" s="131">
        <f t="shared" si="97"/>
        <v>0</v>
      </c>
      <c r="AM55" s="131">
        <f t="shared" si="97"/>
        <v>0</v>
      </c>
      <c r="AN55" s="131">
        <f t="shared" si="97"/>
        <v>0</v>
      </c>
    </row>
    <row r="56" spans="1:40">
      <c r="A56" s="208" t="s">
        <v>214</v>
      </c>
      <c r="B56" s="194">
        <f t="shared" ref="B56:S56" si="98">B38/B$38</f>
        <v>1</v>
      </c>
      <c r="C56" s="194">
        <f t="shared" si="98"/>
        <v>1</v>
      </c>
      <c r="D56" s="194">
        <f t="shared" si="98"/>
        <v>1</v>
      </c>
      <c r="E56" s="194">
        <f t="shared" si="98"/>
        <v>1</v>
      </c>
      <c r="F56" s="194">
        <f t="shared" si="98"/>
        <v>1</v>
      </c>
      <c r="G56" s="194">
        <f t="shared" si="98"/>
        <v>1</v>
      </c>
      <c r="H56" s="194">
        <f t="shared" si="98"/>
        <v>1</v>
      </c>
      <c r="I56" s="194">
        <f t="shared" si="98"/>
        <v>1</v>
      </c>
      <c r="J56" s="194">
        <f t="shared" si="98"/>
        <v>1</v>
      </c>
      <c r="K56" s="194">
        <f t="shared" si="98"/>
        <v>1</v>
      </c>
      <c r="L56" s="194">
        <f t="shared" si="98"/>
        <v>1</v>
      </c>
      <c r="M56" s="194">
        <f t="shared" si="91"/>
        <v>1</v>
      </c>
      <c r="N56" s="194">
        <f t="shared" si="91"/>
        <v>1</v>
      </c>
      <c r="O56" s="194">
        <f t="shared" si="91"/>
        <v>1</v>
      </c>
      <c r="P56" s="194">
        <f t="shared" si="98"/>
        <v>1</v>
      </c>
      <c r="Q56" s="194">
        <f t="shared" si="98"/>
        <v>1</v>
      </c>
      <c r="R56" s="194">
        <f t="shared" si="98"/>
        <v>1</v>
      </c>
      <c r="S56" s="194">
        <f t="shared" si="98"/>
        <v>1</v>
      </c>
      <c r="T56" s="194">
        <f t="shared" ref="T56:Y56" si="99">T38/T$38</f>
        <v>1</v>
      </c>
      <c r="U56" s="194">
        <f t="shared" si="99"/>
        <v>1</v>
      </c>
      <c r="V56" s="194">
        <f t="shared" si="99"/>
        <v>1</v>
      </c>
      <c r="W56" s="194">
        <f t="shared" si="99"/>
        <v>1</v>
      </c>
      <c r="X56" s="194">
        <f t="shared" si="99"/>
        <v>1</v>
      </c>
      <c r="Y56" s="194">
        <f t="shared" si="99"/>
        <v>1</v>
      </c>
      <c r="Z56" s="194">
        <f t="shared" si="93"/>
        <v>1</v>
      </c>
      <c r="AA56" s="194">
        <f t="shared" si="93"/>
        <v>1</v>
      </c>
      <c r="AB56" s="194">
        <f t="shared" si="93"/>
        <v>1</v>
      </c>
      <c r="AC56" s="194">
        <f t="shared" si="94"/>
        <v>1</v>
      </c>
      <c r="AD56" s="194">
        <f t="shared" si="94"/>
        <v>1</v>
      </c>
      <c r="AE56" s="194">
        <f t="shared" si="94"/>
        <v>1</v>
      </c>
      <c r="AF56" s="194">
        <f t="shared" si="95"/>
        <v>1</v>
      </c>
      <c r="AG56" s="194">
        <f t="shared" si="95"/>
        <v>1</v>
      </c>
      <c r="AH56" s="194">
        <f t="shared" ref="AH56" si="100">AH38/AH$38</f>
        <v>1</v>
      </c>
      <c r="AI56" s="194">
        <f t="shared" si="95"/>
        <v>1</v>
      </c>
      <c r="AJ56" s="194">
        <f t="shared" si="97"/>
        <v>1</v>
      </c>
      <c r="AK56" s="194">
        <f t="shared" si="97"/>
        <v>1</v>
      </c>
      <c r="AL56" s="194">
        <f t="shared" si="97"/>
        <v>1</v>
      </c>
      <c r="AM56" s="194">
        <f t="shared" si="97"/>
        <v>1</v>
      </c>
      <c r="AN56" s="194">
        <f t="shared" si="97"/>
        <v>1</v>
      </c>
    </row>
    <row r="57" spans="1:40" s="62" customFormat="1">
      <c r="A57" s="29"/>
      <c r="B57" s="131"/>
      <c r="C57" s="131"/>
      <c r="D57" s="131"/>
      <c r="E57" s="131"/>
      <c r="F57" s="131"/>
      <c r="G57" s="131"/>
      <c r="H57" s="131"/>
      <c r="I57" s="131"/>
      <c r="J57" s="131"/>
      <c r="K57" s="131"/>
      <c r="L57" s="131"/>
      <c r="M57" s="131"/>
      <c r="N57" s="29"/>
      <c r="O57" s="29"/>
      <c r="P57" s="29"/>
      <c r="Q57" s="29"/>
      <c r="R57" s="29"/>
      <c r="S57" s="29"/>
      <c r="T57" s="29"/>
      <c r="U57" s="29"/>
      <c r="V57" s="29"/>
      <c r="W57" s="29"/>
      <c r="X57" s="29"/>
      <c r="Y57" s="29"/>
    </row>
    <row r="64" spans="1:40">
      <c r="F64" s="49"/>
      <c r="G64" s="49"/>
    </row>
    <row r="65" spans="6:7">
      <c r="F65" s="49"/>
      <c r="G65" s="49"/>
    </row>
    <row r="67" spans="6:7">
      <c r="F67" s="49"/>
      <c r="G67" s="49"/>
    </row>
    <row r="69" spans="6:7">
      <c r="F69" s="34"/>
      <c r="G69" s="34"/>
    </row>
    <row r="70" spans="6:7">
      <c r="F70" s="34"/>
      <c r="G70" s="34"/>
    </row>
    <row r="71" spans="6:7">
      <c r="F71" s="34"/>
      <c r="G71" s="34"/>
    </row>
  </sheetData>
  <phoneticPr fontId="0" type="noConversion"/>
  <printOptions headings="1" gridLines="1" gridLinesSet="0"/>
  <pageMargins left="0.74803149606299213" right="0.74803149606299213" top="0.51181102362204722" bottom="0.70866141732283472" header="0.51181102362204722" footer="0.51181102362204722"/>
  <pageSetup paperSize="9" scale="59" orientation="portrait" r:id="rId1"/>
  <headerFooter alignWithMargins="0"/>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6">
    <tabColor theme="5"/>
    <pageSetUpPr fitToPage="1"/>
  </sheetPr>
  <dimension ref="A1:AS154"/>
  <sheetViews>
    <sheetView showOutlineSymbols="0" zoomScale="130" zoomScaleNormal="130" workbookViewId="0">
      <pane xSplit="30" ySplit="1" topLeftCell="AE2" activePane="bottomRight" state="frozen"/>
      <selection pane="topRight" activeCell="AE1" sqref="AE1"/>
      <selection pane="bottomLeft" activeCell="A2" sqref="A2"/>
      <selection pane="bottomRight" activeCell="AI6" sqref="AI6"/>
    </sheetView>
  </sheetViews>
  <sheetFormatPr defaultColWidth="9.140625" defaultRowHeight="12.75" outlineLevelRow="1" outlineLevelCol="1"/>
  <cols>
    <col min="1" max="1" width="22.140625" style="43" customWidth="1"/>
    <col min="2" max="17" width="9.140625" style="43" hidden="1" customWidth="1" outlineLevel="1"/>
    <col min="18" max="18" width="0" style="43" hidden="1" customWidth="1" collapsed="1"/>
    <col min="19" max="19" width="0" style="43" hidden="1" customWidth="1"/>
    <col min="20" max="21" width="9" style="43" hidden="1" customWidth="1"/>
    <col min="22" max="22" width="10" style="43" hidden="1" customWidth="1"/>
    <col min="23" max="29" width="8.85546875" style="43" hidden="1" customWidth="1"/>
    <col min="30" max="30" width="9" style="43" hidden="1" customWidth="1"/>
    <col min="31" max="40" width="8.85546875" style="43" customWidth="1"/>
    <col min="41" max="16384" width="9.140625" style="43"/>
  </cols>
  <sheetData>
    <row r="1" spans="1:45">
      <c r="A1" s="186" t="s">
        <v>163</v>
      </c>
      <c r="B1" s="175">
        <f>'HK Sales'!B$2</f>
        <v>1992</v>
      </c>
      <c r="C1" s="175">
        <f>'HK Sales'!C$2</f>
        <v>1993</v>
      </c>
      <c r="D1" s="175">
        <f>'HK Sales'!D$2</f>
        <v>1994</v>
      </c>
      <c r="E1" s="175">
        <f>'HK Sales'!E$2</f>
        <v>1995</v>
      </c>
      <c r="F1" s="175">
        <f>'HK Sales'!F$2</f>
        <v>1996</v>
      </c>
      <c r="G1" s="175">
        <f>'HK Sales'!G$2</f>
        <v>1997</v>
      </c>
      <c r="H1" s="175">
        <f>'HK Sales'!H$2</f>
        <v>1998</v>
      </c>
      <c r="I1" s="176" t="str">
        <f>'HK Sales'!I$2</f>
        <v>1999*</v>
      </c>
      <c r="J1" s="176">
        <f>'HK Sales'!J$2</f>
        <v>2000</v>
      </c>
      <c r="K1" s="176">
        <f>'HK Sales'!K$2</f>
        <v>2001</v>
      </c>
      <c r="L1" s="176">
        <f>'HK Sales'!L$2</f>
        <v>2002</v>
      </c>
      <c r="M1" s="176">
        <f>'HK Sales'!M$2</f>
        <v>2003</v>
      </c>
      <c r="N1" s="176">
        <f>'HK Sales'!N$2</f>
        <v>2004</v>
      </c>
      <c r="O1" s="176">
        <f>'HK Sales'!O$2</f>
        <v>2005</v>
      </c>
      <c r="P1" s="176">
        <f>'HK Sales'!P$2</f>
        <v>2006</v>
      </c>
      <c r="Q1" s="176">
        <f>'HK Sales'!Q$2</f>
        <v>2007</v>
      </c>
      <c r="R1" s="176">
        <f>'HK Sales'!R$2</f>
        <v>2008</v>
      </c>
      <c r="S1" s="176">
        <f>'HK Sales'!S$2</f>
        <v>2009</v>
      </c>
      <c r="T1" s="176">
        <f>'HK Sales'!T$2</f>
        <v>2010</v>
      </c>
      <c r="U1" s="176">
        <f>'HK Sales'!U$2</f>
        <v>2011</v>
      </c>
      <c r="V1" s="176">
        <f>'HK Sales'!V$2</f>
        <v>2012</v>
      </c>
      <c r="W1" s="176">
        <f>'HK Sales'!W$2</f>
        <v>2013</v>
      </c>
      <c r="X1" s="176">
        <f>'HK Sales'!X$2</f>
        <v>2014</v>
      </c>
      <c r="Y1" s="176">
        <f>'HK Sales'!Y$2</f>
        <v>2015</v>
      </c>
      <c r="Z1" s="176">
        <f>'HK Sales'!Z$2</f>
        <v>2016</v>
      </c>
      <c r="AA1" s="176">
        <f>'HK Sales'!AA$2</f>
        <v>2017</v>
      </c>
      <c r="AB1" s="176">
        <f>'HK Sales'!AB$2</f>
        <v>2018</v>
      </c>
      <c r="AC1" s="176">
        <f>'HK Sales'!AC$2</f>
        <v>2019</v>
      </c>
      <c r="AD1" s="176">
        <f>'HK Sales'!AD$2</f>
        <v>2020</v>
      </c>
      <c r="AE1" s="176">
        <f>'HK Sales'!AE$2</f>
        <v>2021</v>
      </c>
      <c r="AF1" s="176">
        <f>'HK Sales'!AF$2</f>
        <v>2022</v>
      </c>
      <c r="AG1" s="176">
        <f>'HK Sales'!AG$2</f>
        <v>2023</v>
      </c>
      <c r="AH1" s="176">
        <f>'HK Sales'!AH$2</f>
        <v>2024</v>
      </c>
      <c r="AI1" s="176" t="str">
        <f>'HK Sales'!AI$2</f>
        <v>2025E</v>
      </c>
      <c r="AJ1" s="176" t="str">
        <f>'HK Sales'!AJ$2</f>
        <v>2026E</v>
      </c>
      <c r="AK1" s="176" t="str">
        <f>'HK Sales'!AK$2</f>
        <v>2027E</v>
      </c>
      <c r="AL1" s="176" t="str">
        <f>'HK Sales'!AL$2</f>
        <v>2028E</v>
      </c>
      <c r="AM1" s="176" t="str">
        <f>'HK Sales'!AM$2</f>
        <v>2029E</v>
      </c>
      <c r="AN1" s="176" t="str">
        <f>'HK Sales'!AN$2</f>
        <v>2030E</v>
      </c>
    </row>
    <row r="2" spans="1:45">
      <c r="B2" s="62"/>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c r="AH2" s="29"/>
      <c r="AI2" s="29"/>
      <c r="AJ2" s="29"/>
      <c r="AK2" s="29"/>
      <c r="AL2" s="29"/>
      <c r="AM2" s="29"/>
      <c r="AN2" s="29"/>
    </row>
    <row r="3" spans="1:45" s="7" customFormat="1">
      <c r="A3" s="88" t="s">
        <v>221</v>
      </c>
      <c r="B3" s="89"/>
      <c r="C3" s="89"/>
      <c r="D3" s="89"/>
      <c r="E3" s="89"/>
      <c r="F3" s="89"/>
      <c r="G3" s="89"/>
      <c r="H3" s="89"/>
      <c r="I3" s="89"/>
      <c r="J3" s="89"/>
      <c r="K3" s="89"/>
      <c r="L3" s="89"/>
      <c r="M3" s="89"/>
      <c r="N3" s="89"/>
      <c r="O3" s="89"/>
      <c r="P3" s="89"/>
      <c r="Q3" s="89"/>
      <c r="R3" s="89"/>
      <c r="S3" s="89"/>
      <c r="T3" s="89"/>
      <c r="U3" s="89"/>
      <c r="V3" s="89"/>
      <c r="W3" s="89"/>
      <c r="X3" s="89"/>
      <c r="Y3" s="89"/>
      <c r="Z3" s="89"/>
      <c r="AA3" s="89"/>
      <c r="AB3" s="89"/>
      <c r="AC3" s="89"/>
      <c r="AD3" s="89"/>
      <c r="AE3" s="89"/>
      <c r="AF3" s="89"/>
      <c r="AG3" s="89"/>
      <c r="AH3" s="89"/>
      <c r="AI3" s="89"/>
      <c r="AJ3" s="89"/>
      <c r="AK3" s="89"/>
      <c r="AL3" s="89"/>
      <c r="AM3" s="89"/>
      <c r="AN3" s="89"/>
    </row>
    <row r="4" spans="1:45">
      <c r="A4" s="32" t="s">
        <v>189</v>
      </c>
      <c r="B4" s="30">
        <v>107</v>
      </c>
      <c r="C4" s="30">
        <f t="shared" ref="C4:H4" si="0">B7</f>
        <v>-107</v>
      </c>
      <c r="D4" s="30">
        <f t="shared" si="0"/>
        <v>-630</v>
      </c>
      <c r="E4" s="30">
        <f t="shared" si="0"/>
        <v>-682</v>
      </c>
      <c r="F4" s="30">
        <f t="shared" si="0"/>
        <v>-409</v>
      </c>
      <c r="G4" s="30">
        <f t="shared" si="0"/>
        <v>152</v>
      </c>
      <c r="H4" s="30">
        <f t="shared" si="0"/>
        <v>867</v>
      </c>
      <c r="I4" s="30">
        <f>H7</f>
        <v>631</v>
      </c>
      <c r="J4" s="30">
        <f>I7</f>
        <v>327</v>
      </c>
      <c r="K4" s="30">
        <f t="shared" ref="K4:S4" si="1">J7</f>
        <v>37</v>
      </c>
      <c r="L4" s="30">
        <f t="shared" si="1"/>
        <v>-448</v>
      </c>
      <c r="M4" s="30">
        <f t="shared" si="1"/>
        <v>-512</v>
      </c>
      <c r="N4" s="30">
        <f t="shared" si="1"/>
        <v>-874</v>
      </c>
      <c r="O4" s="30">
        <f t="shared" si="1"/>
        <v>-762</v>
      </c>
      <c r="P4" s="30">
        <f t="shared" si="1"/>
        <v>-323</v>
      </c>
      <c r="Q4" s="30">
        <f t="shared" si="1"/>
        <v>-294</v>
      </c>
      <c r="R4" s="30">
        <f t="shared" si="1"/>
        <v>132</v>
      </c>
      <c r="S4" s="30">
        <f t="shared" si="1"/>
        <v>800</v>
      </c>
      <c r="T4" s="30">
        <f t="shared" ref="T4:AG4" si="2">S7</f>
        <v>14</v>
      </c>
      <c r="U4" s="30">
        <f t="shared" si="2"/>
        <v>294</v>
      </c>
      <c r="V4" s="30">
        <f t="shared" si="2"/>
        <v>212</v>
      </c>
      <c r="W4" s="30">
        <f t="shared" si="2"/>
        <v>337</v>
      </c>
      <c r="X4" s="30">
        <f t="shared" si="2"/>
        <v>-1464</v>
      </c>
      <c r="Y4" s="30">
        <f t="shared" si="2"/>
        <v>-2966</v>
      </c>
      <c r="Z4" s="30">
        <f t="shared" si="2"/>
        <v>-2226</v>
      </c>
      <c r="AA4" s="30">
        <f t="shared" si="2"/>
        <v>-2867</v>
      </c>
      <c r="AB4" s="30">
        <f t="shared" si="2"/>
        <v>-2212</v>
      </c>
      <c r="AC4" s="30">
        <f t="shared" si="2"/>
        <v>-901</v>
      </c>
      <c r="AD4" s="30">
        <f t="shared" si="2"/>
        <v>-1131</v>
      </c>
      <c r="AE4" s="30">
        <f t="shared" si="2"/>
        <v>-346</v>
      </c>
      <c r="AF4" s="30">
        <f t="shared" si="2"/>
        <v>1116</v>
      </c>
      <c r="AG4" s="30">
        <f t="shared" si="2"/>
        <v>3543</v>
      </c>
      <c r="AH4" s="30">
        <f t="shared" ref="AH4:AN4" si="3">AG7</f>
        <v>328</v>
      </c>
      <c r="AI4" s="30">
        <f t="shared" si="3"/>
        <v>370</v>
      </c>
      <c r="AJ4" s="30">
        <f>AI7</f>
        <v>505.08074313479665</v>
      </c>
      <c r="AK4" s="30">
        <f>AJ7</f>
        <v>1121.6765156146466</v>
      </c>
      <c r="AL4" s="30">
        <f>AK7</f>
        <v>2235.5811230640174</v>
      </c>
      <c r="AM4" s="30">
        <f t="shared" si="3"/>
        <v>3863.0258068697185</v>
      </c>
      <c r="AN4" s="30">
        <f t="shared" si="3"/>
        <v>6020.6955167442502</v>
      </c>
    </row>
    <row r="5" spans="1:45">
      <c r="A5" s="32" t="s">
        <v>222</v>
      </c>
      <c r="B5" s="30">
        <f t="shared" ref="B5:N5" si="4">B7-B6-B4</f>
        <v>-845.81439999999998</v>
      </c>
      <c r="C5" s="30">
        <f t="shared" si="4"/>
        <v>-1018.55</v>
      </c>
      <c r="D5" s="30">
        <f t="shared" si="4"/>
        <v>-832.05780000000004</v>
      </c>
      <c r="E5" s="30">
        <f t="shared" si="4"/>
        <v>-689.46</v>
      </c>
      <c r="F5" s="30">
        <f t="shared" si="4"/>
        <v>-443.30999999999995</v>
      </c>
      <c r="G5" s="30">
        <f t="shared" si="4"/>
        <v>422.68409999999994</v>
      </c>
      <c r="H5" s="30">
        <f t="shared" si="4"/>
        <v>10.321900000000028</v>
      </c>
      <c r="I5" s="30">
        <f t="shared" si="4"/>
        <v>380.55200000000013</v>
      </c>
      <c r="J5" s="30">
        <f t="shared" si="4"/>
        <v>288.75400000000002</v>
      </c>
      <c r="K5" s="30">
        <f t="shared" si="4"/>
        <v>107.90000000000009</v>
      </c>
      <c r="L5" s="30">
        <f t="shared" si="4"/>
        <v>462.52799999999991</v>
      </c>
      <c r="M5" s="30">
        <f t="shared" si="4"/>
        <v>170.66499999999996</v>
      </c>
      <c r="N5" s="30">
        <f t="shared" si="4"/>
        <v>26.104000000000042</v>
      </c>
      <c r="O5" s="30">
        <f t="shared" ref="O5:X5" si="5">O7-O6-O4</f>
        <v>497.76400000000001</v>
      </c>
      <c r="P5" s="30">
        <f t="shared" si="5"/>
        <v>620.22</v>
      </c>
      <c r="Q5" s="30">
        <f t="shared" si="5"/>
        <v>1025.24</v>
      </c>
      <c r="R5" s="30">
        <f t="shared" si="5"/>
        <v>2862.7449999999999</v>
      </c>
      <c r="S5" s="30">
        <f t="shared" si="5"/>
        <v>2821.26</v>
      </c>
      <c r="T5" s="30">
        <f t="shared" si="5"/>
        <v>3836.835</v>
      </c>
      <c r="U5" s="30">
        <f t="shared" si="5"/>
        <v>4312.6880000000001</v>
      </c>
      <c r="V5" s="30">
        <f t="shared" si="5"/>
        <v>5820.11</v>
      </c>
      <c r="W5" s="30">
        <f t="shared" si="5"/>
        <v>5318.3919999999998</v>
      </c>
      <c r="X5" s="30">
        <f t="shared" si="5"/>
        <v>5873.2</v>
      </c>
      <c r="Y5" s="30">
        <f t="shared" ref="Y5:AF5" si="6">Y7-Y6-Y4</f>
        <v>8402.9599999999991</v>
      </c>
      <c r="Z5" s="30">
        <f t="shared" si="6"/>
        <v>7435.5909999999994</v>
      </c>
      <c r="AA5" s="30">
        <f t="shared" si="6"/>
        <v>7619.44</v>
      </c>
      <c r="AB5" s="30">
        <f t="shared" si="6"/>
        <v>9204.7390000000014</v>
      </c>
      <c r="AC5" s="30">
        <f t="shared" si="6"/>
        <v>9300.9520000000011</v>
      </c>
      <c r="AD5" s="30">
        <f t="shared" si="6"/>
        <v>10430.492</v>
      </c>
      <c r="AE5" s="30">
        <f t="shared" si="6"/>
        <v>12139.21</v>
      </c>
      <c r="AF5" s="30">
        <f t="shared" si="6"/>
        <v>18480.864000000001</v>
      </c>
      <c r="AG5" s="30">
        <f t="shared" ref="AG5:AH5" si="7">AG7-AG6-AG4</f>
        <v>17453.928</v>
      </c>
      <c r="AH5" s="30">
        <f t="shared" si="7"/>
        <v>16045.375</v>
      </c>
      <c r="AI5" s="3">
        <f>-AI13*('HK Sales'!AI38-AI56)</f>
        <v>16408.166830647311</v>
      </c>
      <c r="AJ5" s="3">
        <f>-AJ13*('HK Sales'!AJ38-AJ56)</f>
        <v>17173.091288156036</v>
      </c>
      <c r="AK5" s="3">
        <f>-AK13*('HK Sales'!AK38-AK56)</f>
        <v>17967.883640645938</v>
      </c>
      <c r="AL5" s="3">
        <f>-AL13*('HK Sales'!AL38-AL56)</f>
        <v>18793.371129234314</v>
      </c>
      <c r="AM5" s="3">
        <f>-AM13*('HK Sales'!AM38-AM56)</f>
        <v>19650.411768319038</v>
      </c>
      <c r="AN5" s="3">
        <f>-AN13*('HK Sales'!AN38-AN56)</f>
        <v>20793.317313013787</v>
      </c>
    </row>
    <row r="6" spans="1:45">
      <c r="A6" s="32" t="s">
        <v>413</v>
      </c>
      <c r="B6" s="30">
        <f>-'HK Sales'!B16*'HK Sales'!B36/100</f>
        <v>631.81439999999998</v>
      </c>
      <c r="C6" s="30">
        <f>-'HK Sales'!C16*'HK Sales'!C36/100</f>
        <v>495.55</v>
      </c>
      <c r="D6" s="30">
        <f>-'HK Sales'!D16*'HK Sales'!D36/100</f>
        <v>780.05780000000004</v>
      </c>
      <c r="E6" s="30">
        <f>-'HK Sales'!E16*'HK Sales'!E36/100</f>
        <v>962.46</v>
      </c>
      <c r="F6" s="30">
        <f>-'HK Sales'!F16*'HK Sales'!F36/100</f>
        <v>1004.31</v>
      </c>
      <c r="G6" s="30">
        <f>-'HK Sales'!G16*'HK Sales'!G36/100</f>
        <v>292.3159</v>
      </c>
      <c r="H6" s="30">
        <f>-'HK Sales'!H16*'HK Sales'!H36/100</f>
        <v>-246.3219</v>
      </c>
      <c r="I6" s="30">
        <f>-'HK Sales'!I16*'HK Sales'!I36/100</f>
        <v>-684.55200000000013</v>
      </c>
      <c r="J6" s="30">
        <f>-'HK Sales'!J16*'HK Sales'!J36/100</f>
        <v>-578.75400000000002</v>
      </c>
      <c r="K6" s="30">
        <f>-'HK Sales'!K16*'HK Sales'!K36/100</f>
        <v>-592.90000000000009</v>
      </c>
      <c r="L6" s="30">
        <f>-'HK Sales'!L16*'HK Sales'!L36/100</f>
        <v>-526.52799999999991</v>
      </c>
      <c r="M6" s="30">
        <f>-'HK Sales'!M16*'HK Sales'!M36/100</f>
        <v>-532.66499999999996</v>
      </c>
      <c r="N6" s="30">
        <f>-'HK Sales'!N16*'HK Sales'!N36/100</f>
        <v>85.896000000000001</v>
      </c>
      <c r="O6" s="30">
        <f>-'HK Sales'!O16*'HK Sales'!O36/100</f>
        <v>-58.764000000000003</v>
      </c>
      <c r="P6" s="30">
        <f>-'HK Sales'!P16*'HK Sales'!P36/100</f>
        <v>-591.22</v>
      </c>
      <c r="Q6" s="30">
        <f>-'HK Sales'!Q16*'HK Sales'!Q36/100</f>
        <v>-599.24</v>
      </c>
      <c r="R6" s="30">
        <f>-'HK Sales'!R16*'HK Sales'!R36/100</f>
        <v>-2194.7449999999999</v>
      </c>
      <c r="S6" s="30">
        <f>-'HK Sales'!S16*'HK Sales'!S36/100</f>
        <v>-3607.26</v>
      </c>
      <c r="T6" s="30">
        <f>-'HK Sales'!T16*'HK Sales'!T36/100</f>
        <v>-3556.835</v>
      </c>
      <c r="U6" s="30">
        <f>-'HK Sales'!U16*'HK Sales'!U36/100</f>
        <v>-4394.6880000000001</v>
      </c>
      <c r="V6" s="30">
        <f>-'HK Sales'!V16*'HK Sales'!V36/100</f>
        <v>-5695.11</v>
      </c>
      <c r="W6" s="30">
        <f>-'HK Sales'!W16*'HK Sales'!W36/100</f>
        <v>-7119.3919999999998</v>
      </c>
      <c r="X6" s="30">
        <f>-'HK Sales'!X16*'HK Sales'!X36/100</f>
        <v>-7375.2</v>
      </c>
      <c r="Y6" s="30">
        <f>-'HK Sales'!Y16*'HK Sales'!Y36/100</f>
        <v>-7662.96</v>
      </c>
      <c r="Z6" s="30">
        <f>-'HK Sales'!Z16*'HK Sales'!Z36/100</f>
        <v>-8076.5909999999994</v>
      </c>
      <c r="AA6" s="30">
        <f>-'HK Sales'!AA16*'HK Sales'!AA36/100</f>
        <v>-6964.44</v>
      </c>
      <c r="AB6" s="30">
        <f>-'HK Sales'!AB16*'HK Sales'!AB36/100</f>
        <v>-7893.7390000000005</v>
      </c>
      <c r="AC6" s="30">
        <f>-'HK Sales'!AC16*'HK Sales'!AC36/100</f>
        <v>-9530.9520000000011</v>
      </c>
      <c r="AD6" s="30">
        <f>-'HK Sales'!AD16*'HK Sales'!AD36/100</f>
        <v>-9645.4920000000002</v>
      </c>
      <c r="AE6" s="30">
        <f>-'HK Sales'!AE16*'HK Sales'!AE36/100</f>
        <v>-10677.21</v>
      </c>
      <c r="AF6" s="30">
        <f>-'HK Sales'!AF16*'HK Sales'!AF36/100</f>
        <v>-16053.864000000001</v>
      </c>
      <c r="AG6" s="30">
        <f>-'HK Sales'!AG16*'HK Sales'!AG36/100</f>
        <v>-20668.928</v>
      </c>
      <c r="AH6" s="30">
        <f>-'HK Sales'!AH16*'HK Sales'!AH36/100</f>
        <v>-16003.375</v>
      </c>
      <c r="AI6" s="30">
        <f>-'HK Sales'!AI16*'HK Sales'!AI36/100</f>
        <v>-16273.086087512514</v>
      </c>
      <c r="AJ6" s="30">
        <f>-'HK Sales'!AJ16*'HK Sales'!AJ36/100</f>
        <v>-16556.495515676186</v>
      </c>
      <c r="AK6" s="30">
        <f>-'HK Sales'!AK16*'HK Sales'!AK36/100</f>
        <v>-16853.979033196567</v>
      </c>
      <c r="AL6" s="30">
        <f>-'HK Sales'!AL16*'HK Sales'!AL36/100</f>
        <v>-17165.926445428613</v>
      </c>
      <c r="AM6" s="30">
        <f>-'HK Sales'!AM16*'HK Sales'!AM36/100</f>
        <v>-17492.742058444506</v>
      </c>
      <c r="AN6" s="30">
        <f>-'HK Sales'!AN16*'HK Sales'!AN36/100</f>
        <v>-17834.845138446715</v>
      </c>
    </row>
    <row r="7" spans="1:45">
      <c r="A7" s="185" t="s">
        <v>192</v>
      </c>
      <c r="B7" s="108">
        <f t="shared" ref="B7:H7" si="8">B8-B9</f>
        <v>-107</v>
      </c>
      <c r="C7" s="108">
        <f t="shared" si="8"/>
        <v>-630</v>
      </c>
      <c r="D7" s="108">
        <f t="shared" si="8"/>
        <v>-682</v>
      </c>
      <c r="E7" s="108">
        <f t="shared" si="8"/>
        <v>-409</v>
      </c>
      <c r="F7" s="108">
        <f t="shared" si="8"/>
        <v>152</v>
      </c>
      <c r="G7" s="108">
        <f t="shared" si="8"/>
        <v>867</v>
      </c>
      <c r="H7" s="108">
        <f t="shared" si="8"/>
        <v>631</v>
      </c>
      <c r="I7" s="108">
        <f>I8-I9</f>
        <v>327</v>
      </c>
      <c r="J7" s="108">
        <f>J8-J9</f>
        <v>37</v>
      </c>
      <c r="K7" s="108">
        <f>K8-K9</f>
        <v>-448</v>
      </c>
      <c r="L7" s="108">
        <f>L8-L9</f>
        <v>-512</v>
      </c>
      <c r="M7" s="108">
        <v>-874</v>
      </c>
      <c r="N7" s="108">
        <v>-762</v>
      </c>
      <c r="O7" s="108">
        <v>-323</v>
      </c>
      <c r="P7" s="108">
        <v>-294</v>
      </c>
      <c r="Q7" s="108">
        <v>132</v>
      </c>
      <c r="R7" s="108">
        <v>800</v>
      </c>
      <c r="S7" s="108">
        <v>14</v>
      </c>
      <c r="T7" s="108">
        <v>294</v>
      </c>
      <c r="U7" s="108">
        <v>212</v>
      </c>
      <c r="V7" s="108">
        <v>337</v>
      </c>
      <c r="W7" s="108">
        <v>-1464</v>
      </c>
      <c r="X7" s="108">
        <v>-2966</v>
      </c>
      <c r="Y7" s="108">
        <v>-2226</v>
      </c>
      <c r="Z7" s="108">
        <v>-2867</v>
      </c>
      <c r="AA7" s="108">
        <v>-2212</v>
      </c>
      <c r="AB7" s="108">
        <v>-901</v>
      </c>
      <c r="AC7" s="108">
        <v>-1131</v>
      </c>
      <c r="AD7" s="108">
        <v>-346</v>
      </c>
      <c r="AE7" s="108">
        <v>1116</v>
      </c>
      <c r="AF7" s="108">
        <v>3543</v>
      </c>
      <c r="AG7" s="108">
        <v>328</v>
      </c>
      <c r="AH7" s="108">
        <v>370</v>
      </c>
      <c r="AI7" s="477">
        <f t="shared" ref="AI7:AN7" si="9">SUM(AI4:AI6)</f>
        <v>505.08074313479665</v>
      </c>
      <c r="AJ7" s="477">
        <f t="shared" si="9"/>
        <v>1121.6765156146466</v>
      </c>
      <c r="AK7" s="477">
        <f t="shared" si="9"/>
        <v>2235.5811230640174</v>
      </c>
      <c r="AL7" s="477">
        <f t="shared" si="9"/>
        <v>3863.0258068697185</v>
      </c>
      <c r="AM7" s="477">
        <f t="shared" si="9"/>
        <v>6020.6955167442502</v>
      </c>
      <c r="AN7" s="477">
        <f t="shared" si="9"/>
        <v>8979.1676913113224</v>
      </c>
    </row>
    <row r="8" spans="1:45" s="214" customFormat="1">
      <c r="A8" s="213" t="s">
        <v>247</v>
      </c>
      <c r="B8" s="258">
        <v>0</v>
      </c>
      <c r="C8" s="258">
        <v>0</v>
      </c>
      <c r="D8" s="258">
        <v>0</v>
      </c>
      <c r="E8" s="258">
        <v>0</v>
      </c>
      <c r="F8" s="258">
        <v>152</v>
      </c>
      <c r="G8" s="258">
        <v>867</v>
      </c>
      <c r="H8" s="258">
        <v>631</v>
      </c>
      <c r="I8" s="258">
        <v>327</v>
      </c>
      <c r="J8" s="258">
        <v>37</v>
      </c>
      <c r="K8" s="258">
        <v>0</v>
      </c>
      <c r="L8" s="258">
        <v>0</v>
      </c>
      <c r="M8" s="258">
        <f t="shared" ref="M8:S8" si="10">IF(M7&lt;0,0,M7)</f>
        <v>0</v>
      </c>
      <c r="N8" s="258">
        <f t="shared" si="10"/>
        <v>0</v>
      </c>
      <c r="O8" s="258">
        <f t="shared" si="10"/>
        <v>0</v>
      </c>
      <c r="P8" s="258">
        <f t="shared" si="10"/>
        <v>0</v>
      </c>
      <c r="Q8" s="258">
        <f t="shared" si="10"/>
        <v>132</v>
      </c>
      <c r="R8" s="258">
        <f t="shared" si="10"/>
        <v>800</v>
      </c>
      <c r="S8" s="258">
        <f t="shared" si="10"/>
        <v>14</v>
      </c>
      <c r="T8" s="258">
        <f t="shared" ref="T8:AB8" si="11">IF(T7&lt;0,0,T7)</f>
        <v>294</v>
      </c>
      <c r="U8" s="258">
        <f t="shared" si="11"/>
        <v>212</v>
      </c>
      <c r="V8" s="258">
        <f t="shared" si="11"/>
        <v>337</v>
      </c>
      <c r="W8" s="258">
        <f t="shared" si="11"/>
        <v>0</v>
      </c>
      <c r="X8" s="258">
        <f t="shared" si="11"/>
        <v>0</v>
      </c>
      <c r="Y8" s="258">
        <f t="shared" si="11"/>
        <v>0</v>
      </c>
      <c r="Z8" s="258">
        <f>IF(Z7&lt;0,0,Z7)</f>
        <v>0</v>
      </c>
      <c r="AA8" s="258">
        <f t="shared" si="11"/>
        <v>0</v>
      </c>
      <c r="AB8" s="258">
        <f t="shared" si="11"/>
        <v>0</v>
      </c>
      <c r="AC8" s="258">
        <f t="shared" ref="AC8:AI8" si="12">IF(AC7&lt;0,0,AC7)</f>
        <v>0</v>
      </c>
      <c r="AD8" s="258">
        <f>IF(AD7&lt;0,0,AD7)</f>
        <v>0</v>
      </c>
      <c r="AE8" s="258">
        <f t="shared" si="12"/>
        <v>1116</v>
      </c>
      <c r="AF8" s="258">
        <f t="shared" si="12"/>
        <v>3543</v>
      </c>
      <c r="AG8" s="258">
        <f t="shared" ref="AG8" si="13">IF(AG7&lt;0,0,AG7)</f>
        <v>328</v>
      </c>
      <c r="AH8" s="258">
        <f t="shared" ref="AH8" si="14">IF(AH7&lt;0,0,AH7)</f>
        <v>370</v>
      </c>
      <c r="AI8" s="258">
        <f t="shared" si="12"/>
        <v>505.08074313479665</v>
      </c>
      <c r="AJ8" s="258">
        <f>IF(AJ7&lt;0,0,AJ7)</f>
        <v>1121.6765156146466</v>
      </c>
      <c r="AK8" s="258">
        <f>IF(AK7&lt;0,0,AK7)</f>
        <v>2235.5811230640174</v>
      </c>
      <c r="AL8" s="258">
        <f>IF(AL7&lt;0,0,AL7)</f>
        <v>3863.0258068697185</v>
      </c>
      <c r="AM8" s="258">
        <f>IF(AM7&lt;0,0,AM7)</f>
        <v>6020.6955167442502</v>
      </c>
      <c r="AN8" s="258">
        <f>IF(AN7&lt;0,0,AN7)</f>
        <v>8979.1676913113224</v>
      </c>
      <c r="AP8" s="43"/>
      <c r="AQ8" s="43"/>
      <c r="AR8" s="43"/>
      <c r="AS8" s="43"/>
    </row>
    <row r="9" spans="1:45" s="214" customFormat="1">
      <c r="A9" s="213" t="s">
        <v>248</v>
      </c>
      <c r="B9" s="258">
        <v>107</v>
      </c>
      <c r="C9" s="258">
        <v>630</v>
      </c>
      <c r="D9" s="258">
        <v>682</v>
      </c>
      <c r="E9" s="258">
        <v>409</v>
      </c>
      <c r="F9" s="258">
        <v>0</v>
      </c>
      <c r="G9" s="258">
        <v>0</v>
      </c>
      <c r="H9" s="258">
        <v>0</v>
      </c>
      <c r="I9" s="258">
        <v>0</v>
      </c>
      <c r="J9" s="258">
        <v>0</v>
      </c>
      <c r="K9" s="258">
        <v>448</v>
      </c>
      <c r="L9" s="258">
        <v>512</v>
      </c>
      <c r="M9" s="258">
        <f t="shared" ref="M9:S9" si="15">M8-M7</f>
        <v>874</v>
      </c>
      <c r="N9" s="258">
        <f t="shared" si="15"/>
        <v>762</v>
      </c>
      <c r="O9" s="258">
        <f t="shared" si="15"/>
        <v>323</v>
      </c>
      <c r="P9" s="258">
        <f t="shared" si="15"/>
        <v>294</v>
      </c>
      <c r="Q9" s="258">
        <f t="shared" si="15"/>
        <v>0</v>
      </c>
      <c r="R9" s="258">
        <f t="shared" si="15"/>
        <v>0</v>
      </c>
      <c r="S9" s="258">
        <f t="shared" si="15"/>
        <v>0</v>
      </c>
      <c r="T9" s="258">
        <f t="shared" ref="T9:AB9" si="16">T8-T7</f>
        <v>0</v>
      </c>
      <c r="U9" s="258">
        <f t="shared" si="16"/>
        <v>0</v>
      </c>
      <c r="V9" s="258">
        <f t="shared" si="16"/>
        <v>0</v>
      </c>
      <c r="W9" s="258">
        <f>W8-W7</f>
        <v>1464</v>
      </c>
      <c r="X9" s="258">
        <f t="shared" si="16"/>
        <v>2966</v>
      </c>
      <c r="Y9" s="258">
        <f t="shared" si="16"/>
        <v>2226</v>
      </c>
      <c r="Z9" s="258">
        <f t="shared" si="16"/>
        <v>2867</v>
      </c>
      <c r="AA9" s="258">
        <f t="shared" si="16"/>
        <v>2212</v>
      </c>
      <c r="AB9" s="258">
        <f t="shared" si="16"/>
        <v>901</v>
      </c>
      <c r="AC9" s="258">
        <f t="shared" ref="AC9:AI9" si="17">AC8-AC7</f>
        <v>1131</v>
      </c>
      <c r="AD9" s="258">
        <f t="shared" si="17"/>
        <v>346</v>
      </c>
      <c r="AE9" s="258">
        <f t="shared" si="17"/>
        <v>0</v>
      </c>
      <c r="AF9" s="258">
        <f t="shared" si="17"/>
        <v>0</v>
      </c>
      <c r="AG9" s="258">
        <f t="shared" ref="AG9" si="18">AG8-AG7</f>
        <v>0</v>
      </c>
      <c r="AH9" s="258">
        <f t="shared" ref="AH9" si="19">AH8-AH7</f>
        <v>0</v>
      </c>
      <c r="AI9" s="258">
        <f t="shared" si="17"/>
        <v>0</v>
      </c>
      <c r="AJ9" s="258">
        <f>AJ8-AJ7</f>
        <v>0</v>
      </c>
      <c r="AK9" s="258">
        <f>AK8-AK7</f>
        <v>0</v>
      </c>
      <c r="AL9" s="258">
        <f>AL8-AL7</f>
        <v>0</v>
      </c>
      <c r="AM9" s="258">
        <f>AM8-AM7</f>
        <v>0</v>
      </c>
      <c r="AN9" s="258">
        <f>AN8-AN7</f>
        <v>0</v>
      </c>
      <c r="AP9" s="43"/>
      <c r="AQ9" s="43"/>
      <c r="AR9" s="43"/>
      <c r="AS9" s="43"/>
    </row>
    <row r="10" spans="1:45" s="216" customFormat="1">
      <c r="A10" s="215"/>
      <c r="B10" s="215"/>
      <c r="C10" s="215"/>
      <c r="D10" s="215"/>
      <c r="E10" s="215"/>
      <c r="F10" s="215"/>
      <c r="G10" s="215"/>
      <c r="H10" s="215"/>
      <c r="I10" s="215"/>
      <c r="J10" s="215"/>
      <c r="K10" s="215"/>
      <c r="L10" s="215"/>
      <c r="M10" s="215"/>
      <c r="N10" s="215"/>
      <c r="O10" s="215"/>
      <c r="P10" s="215"/>
      <c r="Q10" s="215"/>
      <c r="R10" s="215"/>
      <c r="S10" s="215"/>
      <c r="T10" s="215"/>
      <c r="U10" s="215"/>
      <c r="V10" s="215"/>
      <c r="W10" s="215"/>
      <c r="X10" s="215"/>
      <c r="Y10" s="215"/>
      <c r="Z10" s="215"/>
      <c r="AA10" s="215"/>
      <c r="AB10" s="215"/>
      <c r="AC10" s="215"/>
      <c r="AD10" s="215"/>
      <c r="AE10" s="215"/>
      <c r="AF10" s="215"/>
      <c r="AG10" s="215"/>
      <c r="AH10" s="215"/>
      <c r="AI10" s="215"/>
      <c r="AJ10" s="215"/>
      <c r="AK10" s="215"/>
      <c r="AL10" s="215"/>
      <c r="AM10" s="215"/>
      <c r="AN10" s="215"/>
      <c r="AP10" s="43"/>
      <c r="AQ10" s="43"/>
      <c r="AR10" s="43"/>
      <c r="AS10" s="43"/>
    </row>
    <row r="11" spans="1:45" s="216" customFormat="1">
      <c r="A11" s="215"/>
      <c r="B11" s="215"/>
      <c r="C11" s="215"/>
      <c r="D11" s="215"/>
      <c r="E11" s="215"/>
      <c r="F11" s="215"/>
      <c r="G11" s="215"/>
      <c r="H11" s="215"/>
      <c r="I11" s="215"/>
      <c r="J11" s="215"/>
      <c r="K11" s="215"/>
      <c r="L11" s="215"/>
      <c r="M11" s="215"/>
      <c r="N11" s="215"/>
      <c r="O11" s="215"/>
      <c r="P11" s="215"/>
      <c r="Q11" s="215"/>
      <c r="R11" s="215"/>
      <c r="S11" s="215"/>
      <c r="T11" s="215"/>
      <c r="U11" s="215"/>
      <c r="V11" s="215"/>
      <c r="W11" s="215"/>
      <c r="X11" s="215"/>
      <c r="Y11" s="215"/>
      <c r="Z11" s="215"/>
      <c r="AA11" s="215"/>
      <c r="AB11" s="215"/>
      <c r="AC11" s="215"/>
      <c r="AD11" s="215"/>
      <c r="AE11" s="215"/>
      <c r="AF11" s="215"/>
      <c r="AG11" s="215"/>
      <c r="AH11" s="215"/>
      <c r="AI11" s="215"/>
      <c r="AJ11" s="215"/>
      <c r="AK11" s="215"/>
      <c r="AL11" s="215"/>
      <c r="AM11" s="215"/>
      <c r="AN11" s="215"/>
      <c r="AP11" s="43"/>
      <c r="AQ11" s="43"/>
      <c r="AR11" s="43"/>
      <c r="AS11" s="43"/>
    </row>
    <row r="12" spans="1:45" s="216" customFormat="1">
      <c r="A12" s="217" t="s">
        <v>350</v>
      </c>
      <c r="B12" s="218">
        <f t="shared" ref="B12:AB12" si="20">B70</f>
        <v>0.1259971540683886</v>
      </c>
      <c r="C12" s="218">
        <f t="shared" si="20"/>
        <v>0.11969217547560451</v>
      </c>
      <c r="D12" s="218">
        <f t="shared" si="20"/>
        <v>0.12120257153661919</v>
      </c>
      <c r="E12" s="218">
        <f t="shared" si="20"/>
        <v>0.12743719821526803</v>
      </c>
      <c r="F12" s="218">
        <f t="shared" si="20"/>
        <v>0.14481816407520656</v>
      </c>
      <c r="G12" s="218">
        <f t="shared" si="20"/>
        <v>0.18781224942947017</v>
      </c>
      <c r="H12" s="218">
        <f t="shared" si="20"/>
        <v>0.15863396953049783</v>
      </c>
      <c r="I12" s="218">
        <f t="shared" si="20"/>
        <v>0.16824002243200298</v>
      </c>
      <c r="J12" s="218">
        <f t="shared" si="20"/>
        <v>0.16402861488199177</v>
      </c>
      <c r="K12" s="218">
        <f t="shared" si="20"/>
        <v>0.15600430802369414</v>
      </c>
      <c r="L12" s="218">
        <f t="shared" si="20"/>
        <v>0.1625628015719047</v>
      </c>
      <c r="M12" s="218">
        <f t="shared" si="20"/>
        <v>0.13765108226443384</v>
      </c>
      <c r="N12" s="218">
        <f t="shared" si="20"/>
        <v>0.15439187691216247</v>
      </c>
      <c r="O12" s="218">
        <f t="shared" si="20"/>
        <v>0.17549864773495605</v>
      </c>
      <c r="P12" s="218">
        <f t="shared" si="20"/>
        <v>0.18310391136478094</v>
      </c>
      <c r="Q12" s="218">
        <f t="shared" si="20"/>
        <v>0.2058588995677173</v>
      </c>
      <c r="R12" s="218">
        <f t="shared" si="20"/>
        <v>0.2947863582908663</v>
      </c>
      <c r="S12" s="218">
        <f t="shared" si="20"/>
        <v>0.29881392679505164</v>
      </c>
      <c r="T12" s="218">
        <f t="shared" si="20"/>
        <v>0.33852391838847429</v>
      </c>
      <c r="U12" s="218">
        <f t="shared" si="20"/>
        <v>0.372803666921314</v>
      </c>
      <c r="V12" s="218">
        <f t="shared" si="20"/>
        <v>0.44403742607467561</v>
      </c>
      <c r="W12" s="218">
        <f t="shared" si="20"/>
        <v>0.40744339303818855</v>
      </c>
      <c r="X12" s="218">
        <f t="shared" si="20"/>
        <v>0.43114195478723405</v>
      </c>
      <c r="Y12" s="218">
        <f t="shared" si="20"/>
        <v>0.56112561391088889</v>
      </c>
      <c r="Z12" s="218">
        <f t="shared" si="20"/>
        <v>0.4786153376640363</v>
      </c>
      <c r="AA12" s="218">
        <f t="shared" si="20"/>
        <v>0.53906780812610411</v>
      </c>
      <c r="AB12" s="218">
        <f t="shared" si="20"/>
        <v>0.60338951828313525</v>
      </c>
      <c r="AC12" s="218">
        <f t="shared" ref="AC12:AI12" si="21">AC70</f>
        <v>0.59775444338379013</v>
      </c>
      <c r="AD12" s="218">
        <f t="shared" si="21"/>
        <v>0.64635575345676122</v>
      </c>
      <c r="AE12" s="218">
        <f t="shared" si="21"/>
        <v>0.68835676625659048</v>
      </c>
      <c r="AF12" s="218">
        <f>AF70</f>
        <v>0.98222600286532946</v>
      </c>
      <c r="AG12" s="218">
        <f>AG70</f>
        <v>0.88974674415645016</v>
      </c>
      <c r="AH12" s="218">
        <f>AH70</f>
        <v>0.80546702623191957</v>
      </c>
      <c r="AI12" s="218">
        <f t="shared" si="21"/>
        <v>0.80401736064539253</v>
      </c>
      <c r="AJ12" s="218">
        <f>AJ70</f>
        <v>0.81748512960170194</v>
      </c>
      <c r="AK12" s="218">
        <f>AK70</f>
        <v>0.83061181933099537</v>
      </c>
      <c r="AL12" s="218">
        <f>AL70</f>
        <v>0.84338462468491338</v>
      </c>
      <c r="AM12" s="218">
        <f>AM70</f>
        <v>0.8557931355066396</v>
      </c>
      <c r="AN12" s="218">
        <f>AN70</f>
        <v>0.87668756691914684</v>
      </c>
      <c r="AP12" s="43"/>
      <c r="AQ12" s="43"/>
      <c r="AR12" s="43"/>
      <c r="AS12" s="43"/>
    </row>
    <row r="13" spans="1:45" s="216" customFormat="1">
      <c r="A13" s="217" t="s">
        <v>351</v>
      </c>
      <c r="B13" s="41">
        <f>-B5/('HK Sales'!B38-B56)</f>
        <v>3.6471665732396186E-2</v>
      </c>
      <c r="C13" s="41">
        <f>-C5/('HK Sales'!C38-C56)</f>
        <v>3.9788663619672641E-2</v>
      </c>
      <c r="D13" s="41">
        <f>-D5/('HK Sales'!D38-D56)</f>
        <v>5.2442821126938106E-2</v>
      </c>
      <c r="E13" s="41">
        <f>-E5/('HK Sales'!E38-E56)</f>
        <v>4.2140455962349492E-2</v>
      </c>
      <c r="F13" s="41">
        <f>-F5/('HK Sales'!F38-F56)</f>
        <v>2.8840673996486887E-2</v>
      </c>
      <c r="G13" s="41">
        <f>-G5/('HK Sales'!G38-G56)</f>
        <v>-2.6070690186887062E-2</v>
      </c>
      <c r="H13" s="41">
        <f>-H5/('HK Sales'!H38-H56)</f>
        <v>-5.8457835419380578E-4</v>
      </c>
      <c r="I13" s="41">
        <f>-I5/('HK Sales'!I38-I56)</f>
        <v>-1.7784465837928785E-2</v>
      </c>
      <c r="J13" s="41">
        <f>-J5/('HK Sales'!J38-J56)</f>
        <v>-1.6265081957978933E-2</v>
      </c>
      <c r="K13" s="41">
        <f>-K5/('HK Sales'!K38-K56)</f>
        <v>-5.810446957458271E-3</v>
      </c>
      <c r="L13" s="41">
        <f>-L5/('HK Sales'!L38-L56)</f>
        <v>-2.3007909267273537E-2</v>
      </c>
      <c r="M13" s="41">
        <f>-M5/('HK Sales'!M38-M56)</f>
        <v>-8.0979737865079608E-3</v>
      </c>
      <c r="N13" s="41">
        <f>-N5/('HK Sales'!N38-N56)</f>
        <v>-1.1574513368509752E-3</v>
      </c>
      <c r="O13" s="41">
        <f>-O5/('HK Sales'!O38-O56)</f>
        <v>-2.1034651791751183E-2</v>
      </c>
      <c r="P13" s="41">
        <f>-P5/('HK Sales'!P38-P56)</f>
        <v>-2.6029041463824072E-2</v>
      </c>
      <c r="Q13" s="41">
        <f>-Q5/('HK Sales'!Q38-Q56)</f>
        <v>-4.3028497083140972E-2</v>
      </c>
      <c r="R13" s="41">
        <f>-R5/('HK Sales'!R38-R56)</f>
        <v>-0.12468944640446011</v>
      </c>
      <c r="S13" s="41">
        <f>-S5/('HK Sales'!S38-S56)</f>
        <v>-0.11993623262338989</v>
      </c>
      <c r="T13" s="41">
        <f>-T5/('HK Sales'!T38-T56)</f>
        <v>-0.16550209205020922</v>
      </c>
      <c r="U13" s="41">
        <f>-U5/('HK Sales'!U38-U56)</f>
        <v>-0.18303573550632374</v>
      </c>
      <c r="V13" s="41">
        <f>-V5/('HK Sales'!V38-V56)</f>
        <v>-0.25686777297201868</v>
      </c>
      <c r="W13" s="41">
        <f>-W5/('HK Sales'!W38-W56)</f>
        <v>-0.22467015883744507</v>
      </c>
      <c r="X13" s="41">
        <f>-X5/('HK Sales'!X38-X56)</f>
        <v>-0.24406582446808509</v>
      </c>
      <c r="Y13" s="41">
        <f>-Y5/('HK Sales'!Y38-Y56)</f>
        <v>-0.37179593823282153</v>
      </c>
      <c r="Z13" s="41">
        <f>-Z5/('HK Sales'!Z38-Z56)</f>
        <v>-0.32417452151545534</v>
      </c>
      <c r="AA13" s="41">
        <f>-AA5/('HK Sales'!AA38-AA56)</f>
        <v>-0.34513022602708698</v>
      </c>
      <c r="AB13" s="41">
        <f>-AB5/('HK Sales'!AB38-AB56)</f>
        <v>-0.42390803168462748</v>
      </c>
      <c r="AC13" s="41">
        <f>-AC5/('HK Sales'!AC38-AC56)</f>
        <v>-0.42278976317105327</v>
      </c>
      <c r="AD13" s="41">
        <f>-AD5/('HK Sales'!AD38-AD56)</f>
        <v>-0.48889111788141554</v>
      </c>
      <c r="AE13" s="41">
        <f>-AE5/('HK Sales'!AE38-AE56)</f>
        <v>-0.53335720562390154</v>
      </c>
      <c r="AF13" s="41">
        <f>-AF5/('HK Sales'!AF38-AF56)</f>
        <v>-0.82740257879656165</v>
      </c>
      <c r="AG13" s="41">
        <f>-AG5/('HK Sales'!AG38-AG56)</f>
        <v>-0.74042031137318121</v>
      </c>
      <c r="AH13" s="41">
        <f>-AH5/('HK Sales'!AH38-AH56)</f>
        <v>-0.65560901364713575</v>
      </c>
      <c r="AI13" s="219">
        <f t="shared" ref="AI13:AN13" si="22">AI14-AI12</f>
        <v>-0.65415934806060871</v>
      </c>
      <c r="AJ13" s="219">
        <f t="shared" si="22"/>
        <v>-0.66762711701691813</v>
      </c>
      <c r="AK13" s="219">
        <f t="shared" si="22"/>
        <v>-0.68075380674621155</v>
      </c>
      <c r="AL13" s="219">
        <f t="shared" si="22"/>
        <v>-0.69352661210012956</v>
      </c>
      <c r="AM13" s="219">
        <f t="shared" si="22"/>
        <v>-0.70593512292185578</v>
      </c>
      <c r="AN13" s="219">
        <f t="shared" si="22"/>
        <v>-0.72682955433436303</v>
      </c>
      <c r="AP13" s="43"/>
      <c r="AQ13" s="43"/>
      <c r="AR13" s="43"/>
      <c r="AS13" s="43"/>
    </row>
    <row r="14" spans="1:45" s="216" customFormat="1">
      <c r="A14" s="217" t="s">
        <v>352</v>
      </c>
      <c r="B14" s="218">
        <f>SUM(B12:B13)</f>
        <v>0.16246881980078479</v>
      </c>
      <c r="C14" s="218">
        <f t="shared" ref="C14:AE14" si="23">SUM(C12:C13)</f>
        <v>0.15948083909527716</v>
      </c>
      <c r="D14" s="218">
        <f t="shared" si="23"/>
        <v>0.1736453926635573</v>
      </c>
      <c r="E14" s="218">
        <f t="shared" si="23"/>
        <v>0.16957765417761753</v>
      </c>
      <c r="F14" s="218">
        <f t="shared" si="23"/>
        <v>0.17365883807169344</v>
      </c>
      <c r="G14" s="218">
        <f t="shared" si="23"/>
        <v>0.1617415592425831</v>
      </c>
      <c r="H14" s="218">
        <f t="shared" si="23"/>
        <v>0.15804939117630401</v>
      </c>
      <c r="I14" s="218">
        <f t="shared" si="23"/>
        <v>0.1504555565940742</v>
      </c>
      <c r="J14" s="218">
        <f t="shared" si="23"/>
        <v>0.14776353292401284</v>
      </c>
      <c r="K14" s="218">
        <f t="shared" si="23"/>
        <v>0.15019386106623586</v>
      </c>
      <c r="L14" s="218">
        <f t="shared" si="23"/>
        <v>0.13955489230463117</v>
      </c>
      <c r="M14" s="218">
        <f t="shared" si="23"/>
        <v>0.12955310847792589</v>
      </c>
      <c r="N14" s="218">
        <f t="shared" si="23"/>
        <v>0.1532344255753115</v>
      </c>
      <c r="O14" s="218">
        <f t="shared" si="23"/>
        <v>0.15446399594320487</v>
      </c>
      <c r="P14" s="218">
        <f t="shared" si="23"/>
        <v>0.15707486990095687</v>
      </c>
      <c r="Q14" s="218">
        <f t="shared" si="23"/>
        <v>0.16283040248457634</v>
      </c>
      <c r="R14" s="218">
        <f t="shared" si="23"/>
        <v>0.17009691188640619</v>
      </c>
      <c r="S14" s="218">
        <f t="shared" si="23"/>
        <v>0.17887769417166177</v>
      </c>
      <c r="T14" s="218">
        <f t="shared" si="23"/>
        <v>0.17302182633826507</v>
      </c>
      <c r="U14" s="218">
        <f t="shared" si="23"/>
        <v>0.18976793141499027</v>
      </c>
      <c r="V14" s="218">
        <f t="shared" si="23"/>
        <v>0.18716965310265693</v>
      </c>
      <c r="W14" s="218">
        <f t="shared" si="23"/>
        <v>0.18277323420074348</v>
      </c>
      <c r="X14" s="218">
        <f t="shared" si="23"/>
        <v>0.18707613031914896</v>
      </c>
      <c r="Y14" s="218">
        <f t="shared" si="23"/>
        <v>0.18932967567806736</v>
      </c>
      <c r="Z14" s="218">
        <f t="shared" si="23"/>
        <v>0.15444081614858096</v>
      </c>
      <c r="AA14" s="218">
        <f t="shared" si="23"/>
        <v>0.19393758209901713</v>
      </c>
      <c r="AB14" s="218">
        <f t="shared" si="23"/>
        <v>0.17948148659850777</v>
      </c>
      <c r="AC14" s="218">
        <f t="shared" si="23"/>
        <v>0.17496468021273687</v>
      </c>
      <c r="AD14" s="218">
        <f t="shared" si="23"/>
        <v>0.15746463557534568</v>
      </c>
      <c r="AE14" s="218">
        <f t="shared" si="23"/>
        <v>0.15499956063268894</v>
      </c>
      <c r="AF14" s="218">
        <f>SUM(AF12:AF13)</f>
        <v>0.15482342406876781</v>
      </c>
      <c r="AG14" s="218">
        <f>SUM(AG12:AG13)</f>
        <v>0.14932643278326896</v>
      </c>
      <c r="AH14" s="218">
        <f>SUM(AH12:AH13)</f>
        <v>0.14985801258478382</v>
      </c>
      <c r="AI14" s="219">
        <f t="shared" ref="AI14:AN14" si="24">AH14</f>
        <v>0.14985801258478382</v>
      </c>
      <c r="AJ14" s="219">
        <f>AI14</f>
        <v>0.14985801258478382</v>
      </c>
      <c r="AK14" s="219">
        <f>AJ14</f>
        <v>0.14985801258478382</v>
      </c>
      <c r="AL14" s="219">
        <f>AK14</f>
        <v>0.14985801258478382</v>
      </c>
      <c r="AM14" s="219">
        <f t="shared" si="24"/>
        <v>0.14985801258478382</v>
      </c>
      <c r="AN14" s="219">
        <f t="shared" si="24"/>
        <v>0.14985801258478382</v>
      </c>
      <c r="AP14" s="43"/>
      <c r="AQ14" s="43"/>
      <c r="AR14" s="43"/>
      <c r="AS14" s="43"/>
    </row>
    <row r="15" spans="1:45" s="220" customFormat="1">
      <c r="X15" s="14"/>
      <c r="AP15" s="43"/>
      <c r="AQ15" s="43"/>
      <c r="AR15" s="43"/>
      <c r="AS15" s="43"/>
    </row>
    <row r="16" spans="1:45" s="7" customFormat="1">
      <c r="A16" s="88" t="s">
        <v>280</v>
      </c>
      <c r="B16" s="89"/>
      <c r="C16" s="89"/>
      <c r="D16" s="89"/>
      <c r="E16" s="89"/>
      <c r="F16" s="89"/>
      <c r="G16" s="89"/>
      <c r="H16" s="89"/>
      <c r="I16" s="89"/>
      <c r="J16" s="89"/>
      <c r="K16" s="89"/>
      <c r="L16" s="89"/>
      <c r="M16" s="89"/>
      <c r="N16" s="89"/>
      <c r="O16" s="89"/>
      <c r="P16" s="89"/>
      <c r="Q16" s="89"/>
      <c r="R16" s="89"/>
      <c r="S16" s="89"/>
      <c r="T16" s="89"/>
      <c r="U16" s="89"/>
      <c r="V16" s="89"/>
      <c r="W16" s="89"/>
      <c r="X16" s="89"/>
      <c r="Y16" s="89"/>
      <c r="Z16" s="89"/>
      <c r="AA16" s="89"/>
      <c r="AB16" s="89"/>
      <c r="AC16" s="89"/>
      <c r="AD16" s="89"/>
      <c r="AE16" s="89"/>
      <c r="AF16" s="89"/>
      <c r="AG16" s="89"/>
      <c r="AH16" s="89"/>
      <c r="AI16" s="89"/>
      <c r="AJ16" s="89"/>
      <c r="AK16" s="89"/>
      <c r="AL16" s="89"/>
      <c r="AM16" s="89"/>
      <c r="AN16" s="89"/>
    </row>
    <row r="17" spans="1:40">
      <c r="A17" s="31" t="s">
        <v>189</v>
      </c>
      <c r="B17" s="7">
        <v>2849</v>
      </c>
      <c r="C17" s="7">
        <f>B21</f>
        <v>3222</v>
      </c>
      <c r="D17" s="7">
        <f t="shared" ref="D17:L17" si="25">C21</f>
        <v>3847</v>
      </c>
      <c r="E17" s="7">
        <f t="shared" si="25"/>
        <v>2944</v>
      </c>
      <c r="F17" s="7">
        <f t="shared" si="25"/>
        <v>2419</v>
      </c>
      <c r="G17" s="7">
        <f t="shared" si="25"/>
        <v>1926</v>
      </c>
      <c r="H17" s="7">
        <f t="shared" si="25"/>
        <v>1432</v>
      </c>
      <c r="I17" s="7">
        <f>H21</f>
        <v>2528</v>
      </c>
      <c r="J17" s="7">
        <f>I21</f>
        <v>3320</v>
      </c>
      <c r="K17" s="7">
        <f t="shared" si="25"/>
        <v>2923</v>
      </c>
      <c r="L17" s="7">
        <f t="shared" si="25"/>
        <v>3177</v>
      </c>
      <c r="M17" s="7">
        <f t="shared" ref="M17:S17" si="26">L21</f>
        <v>3372</v>
      </c>
      <c r="N17" s="7">
        <f t="shared" si="26"/>
        <v>2960</v>
      </c>
      <c r="O17" s="7">
        <f t="shared" si="26"/>
        <v>3171</v>
      </c>
      <c r="P17" s="7">
        <f t="shared" si="26"/>
        <v>3685</v>
      </c>
      <c r="Q17" s="7">
        <f t="shared" si="26"/>
        <v>2932</v>
      </c>
      <c r="R17" s="7">
        <f t="shared" si="26"/>
        <v>2117</v>
      </c>
      <c r="S17" s="7">
        <f t="shared" si="26"/>
        <v>1756</v>
      </c>
      <c r="T17" s="7">
        <f t="shared" ref="T17:AH17" si="27">S21</f>
        <v>1653</v>
      </c>
      <c r="U17" s="7">
        <f t="shared" si="27"/>
        <v>1505</v>
      </c>
      <c r="V17" s="7">
        <f t="shared" si="27"/>
        <v>637</v>
      </c>
      <c r="W17" s="7">
        <f t="shared" si="27"/>
        <v>712</v>
      </c>
      <c r="X17" s="7">
        <f t="shared" si="27"/>
        <v>19</v>
      </c>
      <c r="Y17" s="7">
        <f t="shared" si="27"/>
        <v>1058</v>
      </c>
      <c r="Z17" s="7">
        <f t="shared" si="27"/>
        <v>935</v>
      </c>
      <c r="AA17" s="7">
        <f t="shared" si="27"/>
        <v>786</v>
      </c>
      <c r="AB17" s="7">
        <f t="shared" si="27"/>
        <v>746</v>
      </c>
      <c r="AC17" s="7">
        <f t="shared" si="27"/>
        <v>941</v>
      </c>
      <c r="AD17" s="7">
        <f t="shared" si="27"/>
        <v>1478</v>
      </c>
      <c r="AE17" s="7">
        <f t="shared" si="27"/>
        <v>2019</v>
      </c>
      <c r="AF17" s="7">
        <f t="shared" si="27"/>
        <v>3109</v>
      </c>
      <c r="AG17" s="7">
        <f t="shared" si="27"/>
        <v>2928</v>
      </c>
      <c r="AH17" s="7">
        <f t="shared" si="27"/>
        <v>2529</v>
      </c>
      <c r="AI17" s="7">
        <f t="shared" ref="AI17:AN17" si="28">AH21</f>
        <v>3048</v>
      </c>
      <c r="AJ17" s="7">
        <f>AI21</f>
        <v>3733.7394219959033</v>
      </c>
      <c r="AK17" s="7">
        <f>AJ21</f>
        <v>4690.963489752673</v>
      </c>
      <c r="AL17" s="7">
        <f>AK21</f>
        <v>6028.1287856226018</v>
      </c>
      <c r="AM17" s="7">
        <f t="shared" si="28"/>
        <v>7820.8516694859309</v>
      </c>
      <c r="AN17" s="7">
        <f t="shared" si="28"/>
        <v>10144.63167960578</v>
      </c>
    </row>
    <row r="18" spans="1:40">
      <c r="A18" s="31" t="s">
        <v>281</v>
      </c>
      <c r="B18" s="7">
        <v>373</v>
      </c>
      <c r="C18" s="7">
        <f>-SOC!C23</f>
        <v>625</v>
      </c>
      <c r="D18" s="7">
        <f>-SOC!D23</f>
        <v>-493</v>
      </c>
      <c r="E18" s="7">
        <f>-SOC!E23</f>
        <v>-525</v>
      </c>
      <c r="F18" s="7">
        <f>-SOC!F23</f>
        <v>-493</v>
      </c>
      <c r="G18" s="7">
        <f>-SOC!G23</f>
        <v>-320.50100000000111</v>
      </c>
      <c r="H18" s="7">
        <f>-SOC!H23</f>
        <v>1556.2821363636376</v>
      </c>
      <c r="I18" s="7">
        <f>-SOC!I23</f>
        <v>1497</v>
      </c>
      <c r="J18" s="7">
        <f>-SOC!J23</f>
        <v>1230</v>
      </c>
      <c r="K18" s="7">
        <f>-SOC!K23</f>
        <v>1201</v>
      </c>
      <c r="L18" s="7">
        <f>-SOC!L23</f>
        <v>1420</v>
      </c>
      <c r="M18" s="7">
        <f>-SOC!M23</f>
        <v>572</v>
      </c>
      <c r="N18" s="7">
        <f>-SOC!N23</f>
        <v>219</v>
      </c>
      <c r="O18" s="7">
        <f>-SOC!O23</f>
        <v>527</v>
      </c>
      <c r="P18" s="7">
        <f>-SOC!P23</f>
        <v>-202</v>
      </c>
      <c r="Q18" s="7">
        <f>-SOC!Q23</f>
        <v>-353</v>
      </c>
      <c r="R18" s="7">
        <f>-SOC!R23</f>
        <v>133</v>
      </c>
      <c r="S18" s="7">
        <f>-SOC!S23</f>
        <v>-103</v>
      </c>
      <c r="T18" s="7">
        <f>-SOC!T23</f>
        <v>-148</v>
      </c>
      <c r="U18" s="7">
        <f>-SOC!U23</f>
        <v>-868</v>
      </c>
      <c r="V18" s="7">
        <f>-SOC!V23</f>
        <v>75</v>
      </c>
      <c r="W18" s="7">
        <f>-SOC!W23</f>
        <v>-693</v>
      </c>
      <c r="X18" s="7">
        <f>-SOC!X23</f>
        <v>1030</v>
      </c>
      <c r="Y18" s="7">
        <f>-SOC!Y23</f>
        <v>-124</v>
      </c>
      <c r="Z18" s="7">
        <f>-SOC!Z23</f>
        <v>-151</v>
      </c>
      <c r="AA18" s="7">
        <f>-SOC!AA23</f>
        <v>-42</v>
      </c>
      <c r="AB18" s="7">
        <f>-SOC!AB23</f>
        <v>191</v>
      </c>
      <c r="AC18" s="7">
        <f>-SOC!AC23</f>
        <v>526</v>
      </c>
      <c r="AD18" s="7">
        <f>-SOC!AD23</f>
        <v>519</v>
      </c>
      <c r="AE18" s="7">
        <f>-SOC!AE23</f>
        <v>1072</v>
      </c>
      <c r="AF18" s="7">
        <f>-SOC!AF23</f>
        <v>531</v>
      </c>
      <c r="AG18" s="7">
        <f>-SOC!AG23</f>
        <v>-168</v>
      </c>
      <c r="AH18" s="7">
        <f>-SOC!AH23</f>
        <v>425</v>
      </c>
      <c r="AI18" s="7">
        <f>-SOC!AI23</f>
        <v>592.07648975506345</v>
      </c>
      <c r="AJ18" s="7">
        <f>-SOC!AJ23</f>
        <v>863.91532258979896</v>
      </c>
      <c r="AK18" s="7">
        <f>-SOC!AK23</f>
        <v>1244.2283266783634</v>
      </c>
      <c r="AL18" s="7">
        <f>-SOC!AL23</f>
        <v>1700.1757667026413</v>
      </c>
      <c r="AM18" s="7">
        <f>-SOC!AM23</f>
        <v>2231.64132632152</v>
      </c>
      <c r="AN18" s="7">
        <f>-SOC!AN23</f>
        <v>2817.0394755499801</v>
      </c>
    </row>
    <row r="19" spans="1:40">
      <c r="A19" s="31" t="s">
        <v>282</v>
      </c>
      <c r="B19" s="7"/>
      <c r="C19" s="7">
        <f>C21-C20-SUM(C17:C18)</f>
        <v>0</v>
      </c>
      <c r="D19" s="7">
        <f>D21-D20-SUM(D17:D18)</f>
        <v>-410</v>
      </c>
      <c r="E19" s="7">
        <f t="shared" ref="E19:M19" si="29">E21-E20-SUM(E17:E18)</f>
        <v>0</v>
      </c>
      <c r="F19" s="7">
        <f t="shared" si="29"/>
        <v>0</v>
      </c>
      <c r="G19" s="7">
        <f t="shared" si="29"/>
        <v>-173.49899999999889</v>
      </c>
      <c r="H19" s="7">
        <f t="shared" si="29"/>
        <v>-460.28213636363762</v>
      </c>
      <c r="I19" s="7">
        <f t="shared" si="29"/>
        <v>-705</v>
      </c>
      <c r="J19" s="7">
        <f t="shared" si="29"/>
        <v>-824</v>
      </c>
      <c r="K19" s="7">
        <f t="shared" si="29"/>
        <v>-947</v>
      </c>
      <c r="L19" s="7">
        <f t="shared" si="29"/>
        <v>-1225</v>
      </c>
      <c r="M19" s="7">
        <f t="shared" si="29"/>
        <v>-984</v>
      </c>
      <c r="N19" s="7">
        <f>'HK Sales'!N22</f>
        <v>-8</v>
      </c>
      <c r="O19" s="7">
        <f>'HK Sales'!O22</f>
        <v>-13</v>
      </c>
      <c r="P19" s="7">
        <f>'HK Sales'!P22</f>
        <v>-551</v>
      </c>
      <c r="Q19" s="7">
        <f>'HK Sales'!Q22</f>
        <v>-462</v>
      </c>
      <c r="R19" s="7">
        <f>'HK Sales'!R22</f>
        <v>-494</v>
      </c>
      <c r="S19" s="7">
        <f>'HK Sales'!S22</f>
        <v>0</v>
      </c>
      <c r="T19" s="7">
        <f>'HK Sales'!T22</f>
        <v>0</v>
      </c>
      <c r="U19" s="7">
        <f>'HK Sales'!U22</f>
        <v>0</v>
      </c>
      <c r="V19" s="7">
        <f>'HK Sales'!V22</f>
        <v>0</v>
      </c>
      <c r="W19" s="7">
        <f>'HK Sales'!W22</f>
        <v>0</v>
      </c>
      <c r="X19" s="7">
        <f>'HK Sales'!X22</f>
        <v>0</v>
      </c>
      <c r="Y19" s="7">
        <f>'HK Sales'!Y22</f>
        <v>0</v>
      </c>
      <c r="Z19" s="7">
        <f>'HK Sales'!Z22</f>
        <v>0</v>
      </c>
      <c r="AA19" s="7">
        <f>'HK Sales'!AA22</f>
        <v>0</v>
      </c>
      <c r="AB19" s="30">
        <f>'HK Sales'!AB22</f>
        <v>0</v>
      </c>
      <c r="AC19" s="7">
        <f>'HK Sales'!AC22</f>
        <v>0</v>
      </c>
      <c r="AD19" s="7">
        <f>'HK Sales'!AD22</f>
        <v>0</v>
      </c>
      <c r="AE19" s="7">
        <f>'HK Sales'!AE22</f>
        <v>0</v>
      </c>
      <c r="AF19" s="7">
        <f>'HK Sales'!AF22</f>
        <v>-715</v>
      </c>
      <c r="AG19" s="7">
        <f>'HK Sales'!AG22</f>
        <v>-271</v>
      </c>
      <c r="AH19" s="7">
        <f>'HK Sales'!AH22</f>
        <v>-20</v>
      </c>
      <c r="AI19" s="7">
        <f>'HK Sales'!AI22</f>
        <v>-20.337067759160199</v>
      </c>
      <c r="AJ19" s="7">
        <f>'HK Sales'!AJ22</f>
        <v>-20.691254833028893</v>
      </c>
      <c r="AK19" s="7">
        <f>'HK Sales'!AK22</f>
        <v>-21.063030808434561</v>
      </c>
      <c r="AL19" s="7">
        <f>'HK Sales'!AL22</f>
        <v>-21.452882839311851</v>
      </c>
      <c r="AM19" s="7">
        <f>'HK Sales'!AM22</f>
        <v>-21.861316201669347</v>
      </c>
      <c r="AN19" s="7">
        <f>'HK Sales'!AN22</f>
        <v>-22.288854867734734</v>
      </c>
    </row>
    <row r="20" spans="1:40">
      <c r="A20" s="31" t="s">
        <v>111</v>
      </c>
      <c r="B20" s="7"/>
      <c r="C20" s="7"/>
      <c r="D20" s="7"/>
      <c r="E20" s="7"/>
      <c r="F20" s="7"/>
      <c r="G20" s="7"/>
      <c r="H20" s="7"/>
      <c r="I20" s="7"/>
      <c r="J20" s="7">
        <v>-803</v>
      </c>
      <c r="K20" s="7">
        <v>0</v>
      </c>
      <c r="L20" s="7"/>
      <c r="M20" s="7"/>
      <c r="N20" s="7"/>
      <c r="O20" s="7"/>
      <c r="P20" s="7"/>
      <c r="Q20" s="7"/>
      <c r="R20" s="7">
        <f>-SOC!R22</f>
        <v>0</v>
      </c>
      <c r="S20" s="7">
        <f>-SOC!S22</f>
        <v>0</v>
      </c>
      <c r="T20" s="7">
        <f>-SOC!T22</f>
        <v>0</v>
      </c>
      <c r="U20" s="7">
        <f>-SOC!U22</f>
        <v>0</v>
      </c>
      <c r="V20" s="7">
        <f>-SOC!V22</f>
        <v>0</v>
      </c>
      <c r="W20" s="30">
        <f>-SOC!W22-W33</f>
        <v>0</v>
      </c>
      <c r="X20" s="30">
        <f>-SOC!X22-X33</f>
        <v>9</v>
      </c>
      <c r="Y20" s="30">
        <f>-SOC!Y22-Y33</f>
        <v>1</v>
      </c>
      <c r="Z20" s="30">
        <f>-SOC!Z22-Z33</f>
        <v>2</v>
      </c>
      <c r="AA20" s="30">
        <f>-SOC!AA22-AA33</f>
        <v>2</v>
      </c>
      <c r="AB20" s="30">
        <f>-SOC!AB22-AB33</f>
        <v>4</v>
      </c>
      <c r="AC20" s="30">
        <f>-SOC!AC22-AC33</f>
        <v>11</v>
      </c>
      <c r="AD20" s="30">
        <f>-SOC!AD22-AD33</f>
        <v>22</v>
      </c>
      <c r="AE20" s="30">
        <f>-SOC!AE22-AE33</f>
        <v>18</v>
      </c>
      <c r="AF20" s="30">
        <f>-SOC!AF22-AF33</f>
        <v>3</v>
      </c>
      <c r="AG20" s="30">
        <f>-SOC!AG22-AG33</f>
        <v>40</v>
      </c>
      <c r="AH20" s="30">
        <f>-SOC!AH22-AH33</f>
        <v>114</v>
      </c>
      <c r="AI20" s="30">
        <f>-SOC!AI22-AI33</f>
        <v>114</v>
      </c>
      <c r="AJ20" s="30">
        <f>-SOC!AJ22-AJ33</f>
        <v>114</v>
      </c>
      <c r="AK20" s="30">
        <f>-SOC!AK22-AK33</f>
        <v>114</v>
      </c>
      <c r="AL20" s="30">
        <f>-SOC!AL22-AL33</f>
        <v>114</v>
      </c>
      <c r="AM20" s="30">
        <f>-SOC!AM22-AM33</f>
        <v>114</v>
      </c>
      <c r="AN20" s="30">
        <f>-SOC!AN22-AN33</f>
        <v>114</v>
      </c>
    </row>
    <row r="21" spans="1:40">
      <c r="A21" s="221" t="s">
        <v>192</v>
      </c>
      <c r="B21" s="79">
        <v>3222</v>
      </c>
      <c r="C21" s="79">
        <v>3847</v>
      </c>
      <c r="D21" s="79">
        <v>2944</v>
      </c>
      <c r="E21" s="79">
        <v>2419</v>
      </c>
      <c r="F21" s="79">
        <v>1926</v>
      </c>
      <c r="G21" s="79">
        <v>1432</v>
      </c>
      <c r="H21" s="79">
        <v>2528</v>
      </c>
      <c r="I21" s="79">
        <v>3320</v>
      </c>
      <c r="J21" s="79">
        <v>2923</v>
      </c>
      <c r="K21" s="79">
        <v>3177</v>
      </c>
      <c r="L21" s="79">
        <v>3372</v>
      </c>
      <c r="M21" s="79">
        <v>2960</v>
      </c>
      <c r="N21" s="79">
        <v>3171</v>
      </c>
      <c r="O21" s="79">
        <v>3685</v>
      </c>
      <c r="P21" s="79">
        <f t="shared" ref="P21:AF21" si="30">SUM(P17:P20)</f>
        <v>2932</v>
      </c>
      <c r="Q21" s="79">
        <f t="shared" si="30"/>
        <v>2117</v>
      </c>
      <c r="R21" s="108">
        <f t="shared" si="30"/>
        <v>1756</v>
      </c>
      <c r="S21" s="79">
        <f t="shared" si="30"/>
        <v>1653</v>
      </c>
      <c r="T21" s="79">
        <f t="shared" si="30"/>
        <v>1505</v>
      </c>
      <c r="U21" s="79">
        <f t="shared" si="30"/>
        <v>637</v>
      </c>
      <c r="V21" s="108">
        <f t="shared" si="30"/>
        <v>712</v>
      </c>
      <c r="W21" s="79">
        <f>SUM(W17:W20)</f>
        <v>19</v>
      </c>
      <c r="X21" s="108">
        <f t="shared" si="30"/>
        <v>1058</v>
      </c>
      <c r="Y21" s="79">
        <f t="shared" si="30"/>
        <v>935</v>
      </c>
      <c r="Z21" s="79">
        <f t="shared" si="30"/>
        <v>786</v>
      </c>
      <c r="AA21" s="79">
        <f t="shared" si="30"/>
        <v>746</v>
      </c>
      <c r="AB21" s="108">
        <f t="shared" si="30"/>
        <v>941</v>
      </c>
      <c r="AC21" s="108">
        <f t="shared" si="30"/>
        <v>1478</v>
      </c>
      <c r="AD21" s="108">
        <f t="shared" si="30"/>
        <v>2019</v>
      </c>
      <c r="AE21" s="108">
        <f t="shared" si="30"/>
        <v>3109</v>
      </c>
      <c r="AF21" s="108">
        <f t="shared" si="30"/>
        <v>2928</v>
      </c>
      <c r="AG21" s="108">
        <f t="shared" ref="AG21:AH21" si="31">SUM(AG17:AG20)</f>
        <v>2529</v>
      </c>
      <c r="AH21" s="108">
        <f t="shared" si="31"/>
        <v>3048</v>
      </c>
      <c r="AI21" s="100">
        <f t="shared" ref="AI21:AN21" si="32">MAX(0,SUM(AI17:AI20))</f>
        <v>3733.7394219959033</v>
      </c>
      <c r="AJ21" s="100">
        <f t="shared" si="32"/>
        <v>4690.963489752673</v>
      </c>
      <c r="AK21" s="100">
        <f t="shared" si="32"/>
        <v>6028.1287856226018</v>
      </c>
      <c r="AL21" s="100">
        <f t="shared" si="32"/>
        <v>7820.8516694859309</v>
      </c>
      <c r="AM21" s="100">
        <f t="shared" si="32"/>
        <v>10144.63167960578</v>
      </c>
      <c r="AN21" s="100">
        <f t="shared" si="32"/>
        <v>13053.382300288025</v>
      </c>
    </row>
    <row r="22" spans="1:40">
      <c r="A22" s="221"/>
      <c r="B22" s="79"/>
      <c r="C22" s="79"/>
      <c r="D22" s="79"/>
      <c r="E22" s="79"/>
      <c r="F22" s="79"/>
      <c r="G22" s="79"/>
      <c r="H22" s="79"/>
      <c r="I22" s="79"/>
      <c r="J22" s="79"/>
      <c r="K22" s="79"/>
      <c r="L22" s="79"/>
      <c r="M22" s="79"/>
      <c r="N22" s="79"/>
      <c r="O22" s="79"/>
      <c r="P22" s="79"/>
      <c r="Q22" s="79"/>
      <c r="R22" s="79"/>
      <c r="S22" s="79"/>
      <c r="T22" s="79"/>
      <c r="U22" s="79"/>
      <c r="V22" s="79"/>
      <c r="W22" s="79"/>
      <c r="X22" s="108"/>
      <c r="Y22" s="79"/>
      <c r="Z22" s="259"/>
      <c r="AA22" s="79"/>
      <c r="AB22" s="108"/>
      <c r="AC22" s="79"/>
      <c r="AD22" s="79"/>
      <c r="AE22" s="79"/>
      <c r="AF22" s="79"/>
      <c r="AG22" s="79"/>
      <c r="AH22" s="79"/>
      <c r="AI22" s="79"/>
      <c r="AJ22" s="79"/>
      <c r="AK22" s="79"/>
      <c r="AL22" s="79"/>
      <c r="AM22" s="79"/>
      <c r="AN22" s="79"/>
    </row>
    <row r="23" spans="1:40">
      <c r="A23" s="221" t="s">
        <v>329</v>
      </c>
      <c r="B23" s="7"/>
      <c r="C23" s="7"/>
      <c r="D23" s="7"/>
      <c r="E23" s="7"/>
      <c r="F23" s="7"/>
      <c r="G23" s="7"/>
      <c r="H23" s="7"/>
      <c r="I23" s="7"/>
      <c r="J23" s="7"/>
      <c r="K23" s="7"/>
      <c r="L23" s="7"/>
      <c r="M23" s="7"/>
      <c r="N23" s="7"/>
      <c r="O23" s="7"/>
      <c r="P23" s="7"/>
      <c r="Q23" s="7"/>
      <c r="R23" s="7"/>
      <c r="S23" s="7"/>
      <c r="T23" s="7"/>
      <c r="U23" s="7"/>
      <c r="V23" s="7"/>
      <c r="W23" s="7"/>
      <c r="X23" s="30"/>
      <c r="Y23" s="7"/>
      <c r="Z23" s="7"/>
      <c r="AA23" s="7"/>
      <c r="AB23" s="30"/>
      <c r="AC23" s="7"/>
      <c r="AD23" s="7"/>
      <c r="AE23" s="7"/>
      <c r="AF23" s="7"/>
      <c r="AG23" s="7"/>
      <c r="AH23" s="7"/>
      <c r="AI23" s="7"/>
      <c r="AJ23" s="7"/>
      <c r="AK23" s="7"/>
      <c r="AL23" s="7"/>
      <c r="AM23" s="7"/>
      <c r="AN23" s="7"/>
    </row>
    <row r="24" spans="1:40">
      <c r="A24" s="32" t="s">
        <v>189</v>
      </c>
      <c r="B24" s="7">
        <v>0</v>
      </c>
      <c r="C24" s="7">
        <f t="shared" ref="C24:K24" si="33">B27</f>
        <v>0</v>
      </c>
      <c r="D24" s="7">
        <f t="shared" si="33"/>
        <v>0</v>
      </c>
      <c r="E24" s="7">
        <f t="shared" si="33"/>
        <v>0</v>
      </c>
      <c r="F24" s="7">
        <f t="shared" si="33"/>
        <v>0</v>
      </c>
      <c r="G24" s="7">
        <f t="shared" si="33"/>
        <v>0</v>
      </c>
      <c r="H24" s="7">
        <f t="shared" si="33"/>
        <v>0</v>
      </c>
      <c r="I24" s="7">
        <f t="shared" si="33"/>
        <v>0</v>
      </c>
      <c r="J24" s="7">
        <f t="shared" si="33"/>
        <v>0</v>
      </c>
      <c r="K24" s="7">
        <f t="shared" si="33"/>
        <v>766</v>
      </c>
      <c r="L24" s="7">
        <f>K27</f>
        <v>766</v>
      </c>
      <c r="M24" s="7">
        <f t="shared" ref="M24:AG24" si="34">L27</f>
        <v>670</v>
      </c>
      <c r="N24" s="7">
        <f t="shared" si="34"/>
        <v>176</v>
      </c>
      <c r="O24" s="7">
        <f t="shared" si="34"/>
        <v>0</v>
      </c>
      <c r="P24" s="7">
        <f t="shared" si="34"/>
        <v>0</v>
      </c>
      <c r="Q24" s="7">
        <f t="shared" si="34"/>
        <v>0</v>
      </c>
      <c r="R24" s="7">
        <f t="shared" si="34"/>
        <v>0</v>
      </c>
      <c r="S24" s="7">
        <f t="shared" si="34"/>
        <v>0</v>
      </c>
      <c r="T24" s="7">
        <f t="shared" si="34"/>
        <v>0</v>
      </c>
      <c r="U24" s="7">
        <f t="shared" si="34"/>
        <v>0</v>
      </c>
      <c r="V24" s="7">
        <f t="shared" si="34"/>
        <v>0</v>
      </c>
      <c r="W24" s="7">
        <f t="shared" si="34"/>
        <v>0</v>
      </c>
      <c r="X24" s="30">
        <f t="shared" si="34"/>
        <v>0</v>
      </c>
      <c r="Y24" s="7">
        <f t="shared" si="34"/>
        <v>0</v>
      </c>
      <c r="Z24" s="7">
        <f t="shared" si="34"/>
        <v>0</v>
      </c>
      <c r="AA24" s="7">
        <f t="shared" si="34"/>
        <v>0</v>
      </c>
      <c r="AB24" s="30">
        <f t="shared" si="34"/>
        <v>0</v>
      </c>
      <c r="AC24" s="7">
        <f t="shared" si="34"/>
        <v>0</v>
      </c>
      <c r="AD24" s="7">
        <f t="shared" si="34"/>
        <v>0</v>
      </c>
      <c r="AE24" s="7">
        <f t="shared" si="34"/>
        <v>0</v>
      </c>
      <c r="AF24" s="7">
        <f t="shared" si="34"/>
        <v>0</v>
      </c>
      <c r="AG24" s="7">
        <f t="shared" si="34"/>
        <v>0</v>
      </c>
      <c r="AH24" s="7">
        <f t="shared" ref="AH24:AN24" si="35">AG27</f>
        <v>0</v>
      </c>
      <c r="AI24" s="7">
        <f t="shared" si="35"/>
        <v>0</v>
      </c>
      <c r="AJ24" s="7">
        <f>AI27</f>
        <v>0</v>
      </c>
      <c r="AK24" s="7">
        <f>AJ27</f>
        <v>0</v>
      </c>
      <c r="AL24" s="7">
        <f>AK27</f>
        <v>0</v>
      </c>
      <c r="AM24" s="7">
        <f t="shared" si="35"/>
        <v>0</v>
      </c>
      <c r="AN24" s="7">
        <f t="shared" si="35"/>
        <v>0</v>
      </c>
    </row>
    <row r="25" spans="1:40">
      <c r="A25" s="32" t="s">
        <v>222</v>
      </c>
      <c r="B25" s="7"/>
      <c r="C25" s="7"/>
      <c r="D25" s="7"/>
      <c r="E25" s="7"/>
      <c r="F25" s="7"/>
      <c r="G25" s="7"/>
      <c r="H25" s="7"/>
      <c r="I25" s="7"/>
      <c r="J25" s="7">
        <f>-J20</f>
        <v>803</v>
      </c>
      <c r="K25" s="7"/>
      <c r="L25" s="7"/>
      <c r="M25" s="7"/>
      <c r="N25" s="7"/>
      <c r="O25" s="7"/>
      <c r="P25" s="7"/>
      <c r="Q25" s="7"/>
      <c r="R25" s="7"/>
      <c r="S25" s="7"/>
      <c r="T25" s="7"/>
      <c r="U25" s="7"/>
      <c r="V25" s="7"/>
      <c r="W25" s="7"/>
      <c r="X25" s="7"/>
      <c r="Y25" s="7"/>
      <c r="Z25" s="7"/>
      <c r="AA25" s="7"/>
      <c r="AB25" s="30"/>
      <c r="AC25" s="7"/>
      <c r="AD25" s="7"/>
      <c r="AE25" s="7"/>
      <c r="AF25" s="7"/>
      <c r="AG25" s="7"/>
      <c r="AH25" s="7"/>
      <c r="AI25" s="7"/>
      <c r="AJ25" s="7"/>
      <c r="AK25" s="7"/>
      <c r="AL25" s="7"/>
      <c r="AM25" s="7"/>
      <c r="AN25" s="7"/>
    </row>
    <row r="26" spans="1:40">
      <c r="A26" s="32" t="s">
        <v>341</v>
      </c>
      <c r="B26" s="7"/>
      <c r="C26" s="7"/>
      <c r="D26" s="7"/>
      <c r="E26" s="7"/>
      <c r="F26" s="7"/>
      <c r="G26" s="7"/>
      <c r="H26" s="7"/>
      <c r="I26" s="7"/>
      <c r="J26" s="7">
        <f>J27-SUM(J24:J25)</f>
        <v>-37</v>
      </c>
      <c r="K26" s="7">
        <f>K27-SUM(K24:K25)</f>
        <v>0</v>
      </c>
      <c r="L26" s="7">
        <f>L27-SUM(L24:L25)</f>
        <v>-96</v>
      </c>
      <c r="M26" s="7">
        <f>M27-SUM(M24:M25)</f>
        <v>-494</v>
      </c>
      <c r="N26" s="7">
        <v>-176</v>
      </c>
      <c r="O26" s="7"/>
      <c r="P26" s="7"/>
      <c r="Q26" s="7"/>
      <c r="R26" s="7"/>
      <c r="S26" s="7"/>
      <c r="T26" s="7"/>
      <c r="U26" s="7"/>
      <c r="V26" s="7"/>
      <c r="W26" s="7"/>
      <c r="X26" s="7"/>
      <c r="Y26" s="7"/>
      <c r="Z26" s="7"/>
      <c r="AA26" s="7"/>
      <c r="AB26" s="30"/>
      <c r="AC26" s="7"/>
      <c r="AD26" s="7"/>
      <c r="AE26" s="7"/>
      <c r="AF26" s="7"/>
      <c r="AG26" s="7"/>
      <c r="AH26" s="7"/>
      <c r="AI26" s="7"/>
      <c r="AJ26" s="7"/>
      <c r="AK26" s="7"/>
      <c r="AL26" s="7"/>
      <c r="AM26" s="7"/>
      <c r="AN26" s="7"/>
    </row>
    <row r="27" spans="1:40">
      <c r="A27" s="185" t="s">
        <v>192</v>
      </c>
      <c r="B27" s="79">
        <v>0</v>
      </c>
      <c r="C27" s="79">
        <v>0</v>
      </c>
      <c r="D27" s="79">
        <v>0</v>
      </c>
      <c r="E27" s="79">
        <v>0</v>
      </c>
      <c r="F27" s="79">
        <v>0</v>
      </c>
      <c r="G27" s="79">
        <v>0</v>
      </c>
      <c r="H27" s="79">
        <v>0</v>
      </c>
      <c r="I27" s="79">
        <v>0</v>
      </c>
      <c r="J27" s="79">
        <v>766</v>
      </c>
      <c r="K27" s="79">
        <v>766</v>
      </c>
      <c r="L27" s="79">
        <v>670</v>
      </c>
      <c r="M27" s="79">
        <v>176</v>
      </c>
      <c r="N27" s="79">
        <v>0</v>
      </c>
      <c r="O27" s="79">
        <f t="shared" ref="O27:AB27" si="36">SUM(O24:O26)</f>
        <v>0</v>
      </c>
      <c r="P27" s="79">
        <f t="shared" si="36"/>
        <v>0</v>
      </c>
      <c r="Q27" s="79">
        <f t="shared" si="36"/>
        <v>0</v>
      </c>
      <c r="R27" s="79">
        <f t="shared" si="36"/>
        <v>0</v>
      </c>
      <c r="S27" s="79">
        <f t="shared" si="36"/>
        <v>0</v>
      </c>
      <c r="T27" s="79">
        <f t="shared" si="36"/>
        <v>0</v>
      </c>
      <c r="U27" s="79">
        <f t="shared" si="36"/>
        <v>0</v>
      </c>
      <c r="V27" s="79">
        <f t="shared" si="36"/>
        <v>0</v>
      </c>
      <c r="W27" s="79">
        <f t="shared" si="36"/>
        <v>0</v>
      </c>
      <c r="X27" s="79">
        <f t="shared" si="36"/>
        <v>0</v>
      </c>
      <c r="Y27" s="79">
        <f t="shared" si="36"/>
        <v>0</v>
      </c>
      <c r="Z27" s="79">
        <f t="shared" si="36"/>
        <v>0</v>
      </c>
      <c r="AA27" s="79">
        <f t="shared" si="36"/>
        <v>0</v>
      </c>
      <c r="AB27" s="108">
        <f t="shared" si="36"/>
        <v>0</v>
      </c>
      <c r="AC27" s="79">
        <f t="shared" ref="AC27:AI27" si="37">SUM(AC24:AC26)</f>
        <v>0</v>
      </c>
      <c r="AD27" s="79">
        <f t="shared" si="37"/>
        <v>0</v>
      </c>
      <c r="AE27" s="79">
        <f t="shared" si="37"/>
        <v>0</v>
      </c>
      <c r="AF27" s="79">
        <f t="shared" si="37"/>
        <v>0</v>
      </c>
      <c r="AG27" s="79">
        <f t="shared" ref="AG27" si="38">SUM(AG24:AG26)</f>
        <v>0</v>
      </c>
      <c r="AH27" s="79">
        <f t="shared" ref="AH27" si="39">SUM(AH24:AH26)</f>
        <v>0</v>
      </c>
      <c r="AI27" s="79">
        <f t="shared" si="37"/>
        <v>0</v>
      </c>
      <c r="AJ27" s="79">
        <f>SUM(AJ24:AJ26)</f>
        <v>0</v>
      </c>
      <c r="AK27" s="79">
        <f>SUM(AK24:AK26)</f>
        <v>0</v>
      </c>
      <c r="AL27" s="79">
        <f>SUM(AL24:AL26)</f>
        <v>0</v>
      </c>
      <c r="AM27" s="79">
        <f>SUM(AM24:AM26)</f>
        <v>0</v>
      </c>
      <c r="AN27" s="79">
        <f>SUM(AN24:AN26)</f>
        <v>0</v>
      </c>
    </row>
    <row r="28" spans="1:40">
      <c r="A28" s="31"/>
      <c r="B28" s="31"/>
      <c r="C28" s="31"/>
      <c r="D28" s="31"/>
      <c r="E28" s="31"/>
      <c r="F28" s="31"/>
      <c r="G28" s="31"/>
      <c r="H28" s="31"/>
      <c r="I28" s="31"/>
      <c r="J28" s="31"/>
      <c r="K28" s="31"/>
      <c r="L28" s="31"/>
      <c r="M28" s="31"/>
      <c r="N28" s="31"/>
      <c r="O28" s="31"/>
      <c r="P28" s="31"/>
      <c r="Q28" s="31"/>
      <c r="R28" s="31"/>
      <c r="S28" s="31"/>
      <c r="T28" s="31"/>
      <c r="U28" s="31"/>
      <c r="V28" s="31"/>
      <c r="W28" s="31"/>
      <c r="X28" s="31"/>
      <c r="Y28" s="31"/>
      <c r="Z28" s="31"/>
      <c r="AA28" s="31"/>
      <c r="AB28" s="32"/>
      <c r="AC28" s="31"/>
      <c r="AD28" s="31"/>
      <c r="AE28" s="31"/>
      <c r="AF28" s="31"/>
      <c r="AG28" s="31"/>
      <c r="AH28" s="31"/>
      <c r="AI28" s="31"/>
      <c r="AJ28" s="31"/>
      <c r="AK28" s="31"/>
      <c r="AL28" s="31"/>
      <c r="AM28" s="31"/>
      <c r="AN28" s="31"/>
    </row>
    <row r="29" spans="1:40" s="7" customFormat="1">
      <c r="A29" s="88" t="s">
        <v>165</v>
      </c>
      <c r="B29" s="89"/>
      <c r="C29" s="89"/>
      <c r="D29" s="89"/>
      <c r="E29" s="89"/>
      <c r="F29" s="89"/>
      <c r="G29" s="89"/>
      <c r="H29" s="89"/>
      <c r="I29" s="89"/>
      <c r="J29" s="89"/>
      <c r="K29" s="89"/>
      <c r="L29" s="89"/>
      <c r="M29" s="89"/>
      <c r="N29" s="89"/>
      <c r="O29" s="89"/>
      <c r="P29" s="89"/>
      <c r="Q29" s="89"/>
      <c r="R29" s="89"/>
      <c r="S29" s="89"/>
      <c r="T29" s="89"/>
      <c r="U29" s="89"/>
      <c r="V29" s="89"/>
      <c r="W29" s="89"/>
      <c r="X29" s="89"/>
      <c r="Y29" s="89"/>
      <c r="Z29" s="89"/>
      <c r="AA29" s="89"/>
      <c r="AB29" s="89"/>
      <c r="AC29" s="89"/>
      <c r="AD29" s="89"/>
      <c r="AE29" s="89"/>
      <c r="AF29" s="89"/>
      <c r="AG29" s="89"/>
      <c r="AH29" s="89"/>
      <c r="AI29" s="89"/>
      <c r="AJ29" s="89"/>
      <c r="AK29" s="89"/>
      <c r="AL29" s="89"/>
      <c r="AM29" s="89"/>
      <c r="AN29" s="89"/>
    </row>
    <row r="30" spans="1:40">
      <c r="A30" s="31" t="s">
        <v>189</v>
      </c>
      <c r="B30" s="7">
        <v>337</v>
      </c>
      <c r="C30" s="7">
        <f>B34</f>
        <v>312</v>
      </c>
      <c r="D30" s="7">
        <f t="shared" ref="D30:L30" si="40">C34</f>
        <v>188</v>
      </c>
      <c r="E30" s="7">
        <f t="shared" si="40"/>
        <v>115</v>
      </c>
      <c r="F30" s="7">
        <f t="shared" si="40"/>
        <v>119</v>
      </c>
      <c r="G30" s="7">
        <f t="shared" si="40"/>
        <v>156</v>
      </c>
      <c r="H30" s="7">
        <f t="shared" si="40"/>
        <v>148</v>
      </c>
      <c r="I30" s="7">
        <f>H34</f>
        <v>154</v>
      </c>
      <c r="J30" s="7">
        <f>I34</f>
        <v>253</v>
      </c>
      <c r="K30" s="7">
        <f t="shared" si="40"/>
        <v>371</v>
      </c>
      <c r="L30" s="7">
        <f t="shared" si="40"/>
        <v>411</v>
      </c>
      <c r="M30" s="7">
        <f>L34</f>
        <v>458</v>
      </c>
      <c r="N30" s="7">
        <f t="shared" ref="N30:S30" si="41">M34</f>
        <v>471</v>
      </c>
      <c r="O30" s="7">
        <f t="shared" si="41"/>
        <v>549</v>
      </c>
      <c r="P30" s="7">
        <f t="shared" si="41"/>
        <v>489</v>
      </c>
      <c r="Q30" s="7">
        <f t="shared" si="41"/>
        <v>414</v>
      </c>
      <c r="R30" s="7">
        <f t="shared" si="41"/>
        <v>183</v>
      </c>
      <c r="S30" s="7">
        <f t="shared" si="41"/>
        <v>70</v>
      </c>
      <c r="T30" s="7">
        <f t="shared" ref="T30:AG30" si="42">S34</f>
        <v>1</v>
      </c>
      <c r="U30" s="30">
        <f t="shared" si="42"/>
        <v>4</v>
      </c>
      <c r="V30" s="7">
        <f t="shared" si="42"/>
        <v>6</v>
      </c>
      <c r="W30" s="7">
        <f t="shared" si="42"/>
        <v>8</v>
      </c>
      <c r="X30" s="30">
        <f t="shared" si="42"/>
        <v>9</v>
      </c>
      <c r="Y30" s="30">
        <f t="shared" si="42"/>
        <v>1</v>
      </c>
      <c r="Z30" s="30">
        <f t="shared" si="42"/>
        <v>2</v>
      </c>
      <c r="AA30" s="7">
        <f t="shared" si="42"/>
        <v>2</v>
      </c>
      <c r="AB30" s="30">
        <f t="shared" si="42"/>
        <v>4</v>
      </c>
      <c r="AC30" s="7">
        <f t="shared" si="42"/>
        <v>11</v>
      </c>
      <c r="AD30" s="7">
        <f t="shared" si="42"/>
        <v>22</v>
      </c>
      <c r="AE30" s="7">
        <f t="shared" si="42"/>
        <v>18</v>
      </c>
      <c r="AF30" s="7">
        <f t="shared" si="42"/>
        <v>3</v>
      </c>
      <c r="AG30" s="7">
        <f t="shared" si="42"/>
        <v>40</v>
      </c>
      <c r="AH30" s="7">
        <f t="shared" ref="AH30:AN30" si="43">AG34</f>
        <v>114</v>
      </c>
      <c r="AI30" s="7">
        <f t="shared" si="43"/>
        <v>124</v>
      </c>
      <c r="AJ30" s="7">
        <f>AI34</f>
        <v>10</v>
      </c>
      <c r="AK30" s="7">
        <f>AJ34</f>
        <v>-104</v>
      </c>
      <c r="AL30" s="7">
        <f>AK34</f>
        <v>-218</v>
      </c>
      <c r="AM30" s="7">
        <f t="shared" si="43"/>
        <v>-332</v>
      </c>
      <c r="AN30" s="7">
        <f t="shared" si="43"/>
        <v>-446</v>
      </c>
    </row>
    <row r="31" spans="1:40">
      <c r="A31" s="31" t="s">
        <v>633</v>
      </c>
      <c r="B31" s="7">
        <f>-SOC!B30</f>
        <v>243</v>
      </c>
      <c r="C31" s="7">
        <f>-SOC!C30</f>
        <v>283</v>
      </c>
      <c r="D31" s="7">
        <f>-SOC!D30</f>
        <v>272</v>
      </c>
      <c r="E31" s="7">
        <f>-SOC!E30</f>
        <v>215</v>
      </c>
      <c r="F31" s="7">
        <f>-SOC!F30</f>
        <v>174</v>
      </c>
      <c r="G31" s="7">
        <f>-SOC!G30</f>
        <v>134</v>
      </c>
      <c r="H31" s="7">
        <f>-SOC!H30</f>
        <v>158</v>
      </c>
      <c r="I31" s="7">
        <f>-SOC!I30</f>
        <v>290</v>
      </c>
      <c r="J31" s="7">
        <f>-SOC!J30</f>
        <v>280</v>
      </c>
      <c r="K31" s="7">
        <f>-SOC!K30</f>
        <v>305</v>
      </c>
      <c r="L31" s="7">
        <f>-SOC!L30</f>
        <v>319</v>
      </c>
      <c r="M31" s="7">
        <f>-SOC!M30</f>
        <v>287</v>
      </c>
      <c r="N31" s="7">
        <f>-SOC!N30</f>
        <v>253</v>
      </c>
      <c r="O31" s="7">
        <f>-SOC!O30</f>
        <v>274</v>
      </c>
      <c r="P31" s="7">
        <f>-SOC!P30</f>
        <v>265</v>
      </c>
      <c r="Q31" s="7">
        <f>-SOC!Q30</f>
        <v>202</v>
      </c>
      <c r="R31" s="7">
        <f>-SOC!R30</f>
        <v>132</v>
      </c>
      <c r="S31" s="7">
        <f>-SOC!S30</f>
        <v>3</v>
      </c>
      <c r="T31" s="7">
        <f>-SOC!T30</f>
        <v>3</v>
      </c>
      <c r="U31" s="7">
        <f>-SOC!U30</f>
        <v>2</v>
      </c>
      <c r="V31" s="7">
        <f>-SOC!V30</f>
        <v>2</v>
      </c>
      <c r="W31" s="7">
        <f>-SOC!W30</f>
        <v>1</v>
      </c>
      <c r="X31" s="7">
        <v>1</v>
      </c>
      <c r="Y31" s="7">
        <f>-SOC!Y30</f>
        <v>2</v>
      </c>
      <c r="Z31" s="7">
        <f>-SOC!Z30</f>
        <v>2</v>
      </c>
      <c r="AA31" s="7">
        <f>-SOC!AA30</f>
        <v>4</v>
      </c>
      <c r="AB31" s="7">
        <f>-SOC!AB30</f>
        <v>11</v>
      </c>
      <c r="AC31" s="7">
        <f>-SOC!AC30</f>
        <v>22</v>
      </c>
      <c r="AD31" s="7">
        <f>-SOC!AD30</f>
        <v>18</v>
      </c>
      <c r="AE31" s="7">
        <f>-SOC!AE30</f>
        <v>3</v>
      </c>
      <c r="AF31" s="7">
        <f>-SOC!AF30</f>
        <v>40</v>
      </c>
      <c r="AG31" s="7">
        <f>-SOC!AG30</f>
        <v>114</v>
      </c>
      <c r="AH31" s="7">
        <f>-SOC!AH30</f>
        <v>124</v>
      </c>
      <c r="AI31" s="222">
        <v>0</v>
      </c>
      <c r="AJ31" s="222">
        <v>0</v>
      </c>
      <c r="AK31" s="222">
        <v>0</v>
      </c>
      <c r="AL31" s="222">
        <v>0</v>
      </c>
      <c r="AM31" s="222">
        <v>0</v>
      </c>
      <c r="AN31" s="222">
        <v>0</v>
      </c>
    </row>
    <row r="32" spans="1:40">
      <c r="A32" s="31" t="s">
        <v>282</v>
      </c>
      <c r="B32" s="7">
        <f>'HK Sales'!B23</f>
        <v>-220.0068</v>
      </c>
      <c r="C32" s="7">
        <f>'HK Sales'!C23</f>
        <v>-317.15199999999999</v>
      </c>
      <c r="D32" s="7">
        <f>'HK Sales'!D23</f>
        <v>-329.31200000000007</v>
      </c>
      <c r="E32" s="7">
        <f>'HK Sales'!E23</f>
        <v>-205.32479999999998</v>
      </c>
      <c r="F32" s="7">
        <f>'HK Sales'!F23</f>
        <v>-133.90799999999999</v>
      </c>
      <c r="G32" s="7">
        <f>'HK Sales'!G23</f>
        <v>-138.10199999999998</v>
      </c>
      <c r="H32" s="7">
        <f>'HK Sales'!H23</f>
        <v>-149.28599999999997</v>
      </c>
      <c r="I32" s="7">
        <f>'HK Sales'!I23</f>
        <v>-186.696</v>
      </c>
      <c r="J32" s="7">
        <f>'HK Sales'!J23</f>
        <v>-157.84199999999998</v>
      </c>
      <c r="K32" s="7">
        <f>'HK Sales'!K23</f>
        <v>-260.7</v>
      </c>
      <c r="L32" s="7">
        <f>'HK Sales'!L23</f>
        <v>-171.27200000000002</v>
      </c>
      <c r="M32" s="7">
        <f>'HK Sales'!M23</f>
        <v>-173.21</v>
      </c>
      <c r="N32" s="7">
        <f>'HK Sales'!N23</f>
        <v>-176.792</v>
      </c>
      <c r="O32" s="7">
        <f>'HK Sales'!O23</f>
        <v>-334</v>
      </c>
      <c r="P32" s="7">
        <f>'HK Sales'!P23</f>
        <v>-340</v>
      </c>
      <c r="Q32" s="7">
        <f>'HK Sales'!Q23</f>
        <v>-433</v>
      </c>
      <c r="R32" s="7">
        <f>'HK Sales'!R23</f>
        <v>-245</v>
      </c>
      <c r="S32" s="7">
        <f>'HK Sales'!S23</f>
        <v>-72</v>
      </c>
      <c r="T32" s="7">
        <f>'HK Sales'!T23</f>
        <v>0</v>
      </c>
      <c r="U32" s="30">
        <f>'HK Sales'!U23</f>
        <v>0</v>
      </c>
      <c r="V32" s="7">
        <f>'HK Sales'!V23</f>
        <v>0</v>
      </c>
      <c r="W32" s="7">
        <f>'HK Sales'!W23</f>
        <v>0</v>
      </c>
      <c r="X32" s="30">
        <f>'HK Sales'!X23</f>
        <v>0</v>
      </c>
      <c r="Y32" s="30">
        <f>'HK Sales'!Y23</f>
        <v>0</v>
      </c>
      <c r="Z32" s="30">
        <f>'HK Sales'!Z23</f>
        <v>0</v>
      </c>
      <c r="AA32" s="30">
        <f>'HK Sales'!AA23</f>
        <v>0</v>
      </c>
      <c r="AB32" s="30">
        <f>'HK Sales'!AB23</f>
        <v>0</v>
      </c>
      <c r="AC32" s="7">
        <f>'HK Sales'!AC23</f>
        <v>0</v>
      </c>
      <c r="AD32" s="7">
        <f>'HK Sales'!AD23</f>
        <v>0</v>
      </c>
      <c r="AE32" s="7">
        <f>'HK Sales'!AE23</f>
        <v>0</v>
      </c>
      <c r="AF32" s="7">
        <f>'HK Sales'!AF23</f>
        <v>0</v>
      </c>
      <c r="AG32" s="7">
        <f>'HK Sales'!AG23</f>
        <v>0</v>
      </c>
      <c r="AH32" s="7">
        <f>'HK Sales'!AH23</f>
        <v>0</v>
      </c>
      <c r="AI32" s="7">
        <f>'HK Sales'!AI23</f>
        <v>0</v>
      </c>
      <c r="AJ32" s="7">
        <f>'HK Sales'!AJ23</f>
        <v>0</v>
      </c>
      <c r="AK32" s="7">
        <f>'HK Sales'!AK23</f>
        <v>0</v>
      </c>
      <c r="AL32" s="7">
        <f>'HK Sales'!AL23</f>
        <v>0</v>
      </c>
      <c r="AM32" s="7">
        <f>'HK Sales'!AM23</f>
        <v>0</v>
      </c>
      <c r="AN32" s="7">
        <f>'HK Sales'!AN23</f>
        <v>0</v>
      </c>
    </row>
    <row r="33" spans="1:40">
      <c r="A33" s="31" t="s">
        <v>111</v>
      </c>
      <c r="B33" s="7">
        <v>-48</v>
      </c>
      <c r="C33" s="7">
        <f>C34-SUM(C30:C32)</f>
        <v>-89.848000000000013</v>
      </c>
      <c r="D33" s="7">
        <f t="shared" ref="D33:L33" si="44">D34-SUM(D30:D32)</f>
        <v>-15.687999999999931</v>
      </c>
      <c r="E33" s="7">
        <f t="shared" si="44"/>
        <v>-5.675200000000018</v>
      </c>
      <c r="F33" s="7">
        <f t="shared" si="44"/>
        <v>-3.092000000000013</v>
      </c>
      <c r="G33" s="7">
        <f t="shared" si="44"/>
        <v>-3.8980000000000246</v>
      </c>
      <c r="H33" s="7">
        <f t="shared" si="44"/>
        <v>-2.7140000000000271</v>
      </c>
      <c r="I33" s="7">
        <f t="shared" si="44"/>
        <v>-4.3039999999999736</v>
      </c>
      <c r="J33" s="7">
        <f t="shared" si="44"/>
        <v>-4.1580000000000155</v>
      </c>
      <c r="K33" s="7">
        <f t="shared" si="44"/>
        <v>-4.3000000000000114</v>
      </c>
      <c r="L33" s="7">
        <f t="shared" si="44"/>
        <v>-100.72799999999995</v>
      </c>
      <c r="M33" s="7">
        <f>M34-SUM(M30:M32)</f>
        <v>-100.78999999999996</v>
      </c>
      <c r="N33" s="7">
        <f>N34-SUM(N30:N32)</f>
        <v>1.79200000000003</v>
      </c>
      <c r="O33" s="7">
        <f>O34-SUM(O30:O32)</f>
        <v>0</v>
      </c>
      <c r="P33" s="7"/>
      <c r="Q33" s="7"/>
      <c r="R33" s="7"/>
      <c r="S33" s="7"/>
      <c r="T33" s="7"/>
      <c r="U33" s="30"/>
      <c r="V33" s="7"/>
      <c r="W33" s="7">
        <v>0</v>
      </c>
      <c r="X33" s="30">
        <v>-9</v>
      </c>
      <c r="Y33" s="30">
        <v>-1</v>
      </c>
      <c r="Z33" s="30">
        <v>-2</v>
      </c>
      <c r="AA33" s="30">
        <v>-2</v>
      </c>
      <c r="AB33" s="30">
        <v>-4</v>
      </c>
      <c r="AC33" s="30">
        <v>-11</v>
      </c>
      <c r="AD33" s="30">
        <v>-22</v>
      </c>
      <c r="AE33" s="30">
        <v>-18</v>
      </c>
      <c r="AF33" s="30">
        <v>-3</v>
      </c>
      <c r="AG33" s="30">
        <v>-40</v>
      </c>
      <c r="AH33" s="30">
        <v>-114</v>
      </c>
      <c r="AI33" s="3">
        <f t="shared" ref="AI33:AN33" si="45">AH33</f>
        <v>-114</v>
      </c>
      <c r="AJ33" s="3">
        <f>AI33</f>
        <v>-114</v>
      </c>
      <c r="AK33" s="3">
        <f>AJ33</f>
        <v>-114</v>
      </c>
      <c r="AL33" s="3">
        <f>AK33</f>
        <v>-114</v>
      </c>
      <c r="AM33" s="3">
        <f t="shared" si="45"/>
        <v>-114</v>
      </c>
      <c r="AN33" s="3">
        <f t="shared" si="45"/>
        <v>-114</v>
      </c>
    </row>
    <row r="34" spans="1:40" s="42" customFormat="1">
      <c r="A34" s="221" t="s">
        <v>192</v>
      </c>
      <c r="B34" s="79">
        <v>312</v>
      </c>
      <c r="C34" s="79">
        <v>188</v>
      </c>
      <c r="D34" s="79">
        <v>115</v>
      </c>
      <c r="E34" s="79">
        <v>119</v>
      </c>
      <c r="F34" s="79">
        <v>156</v>
      </c>
      <c r="G34" s="79">
        <v>148</v>
      </c>
      <c r="H34" s="79">
        <v>154</v>
      </c>
      <c r="I34" s="79">
        <v>253</v>
      </c>
      <c r="J34" s="79">
        <v>371</v>
      </c>
      <c r="K34" s="79">
        <v>411</v>
      </c>
      <c r="L34" s="79">
        <v>458</v>
      </c>
      <c r="M34" s="79">
        <v>471</v>
      </c>
      <c r="N34" s="79">
        <v>549</v>
      </c>
      <c r="O34" s="79">
        <v>489</v>
      </c>
      <c r="P34" s="79">
        <f t="shared" ref="P34:X34" si="46">SUM(P30:P33)</f>
        <v>414</v>
      </c>
      <c r="Q34" s="79">
        <f t="shared" si="46"/>
        <v>183</v>
      </c>
      <c r="R34" s="108">
        <f t="shared" si="46"/>
        <v>70</v>
      </c>
      <c r="S34" s="79">
        <f t="shared" si="46"/>
        <v>1</v>
      </c>
      <c r="T34" s="79">
        <f t="shared" si="46"/>
        <v>4</v>
      </c>
      <c r="U34" s="108">
        <f t="shared" si="46"/>
        <v>6</v>
      </c>
      <c r="V34" s="79">
        <f t="shared" si="46"/>
        <v>8</v>
      </c>
      <c r="W34" s="79">
        <f t="shared" si="46"/>
        <v>9</v>
      </c>
      <c r="X34" s="108">
        <f t="shared" si="46"/>
        <v>1</v>
      </c>
      <c r="Y34" s="108">
        <f t="shared" ref="Y34:AE34" si="47">SUM(Y30:Y33)</f>
        <v>2</v>
      </c>
      <c r="Z34" s="108">
        <f t="shared" si="47"/>
        <v>2</v>
      </c>
      <c r="AA34" s="108">
        <f t="shared" si="47"/>
        <v>4</v>
      </c>
      <c r="AB34" s="108">
        <f t="shared" si="47"/>
        <v>11</v>
      </c>
      <c r="AC34" s="79">
        <f t="shared" si="47"/>
        <v>22</v>
      </c>
      <c r="AD34" s="79">
        <f t="shared" si="47"/>
        <v>18</v>
      </c>
      <c r="AE34" s="79">
        <f t="shared" si="47"/>
        <v>3</v>
      </c>
      <c r="AF34" s="79">
        <f t="shared" ref="AF34:AN34" si="48">SUM(AF30:AF33)</f>
        <v>40</v>
      </c>
      <c r="AG34" s="79">
        <f t="shared" ref="AG34" si="49">SUM(AG30:AG33)</f>
        <v>114</v>
      </c>
      <c r="AH34" s="79">
        <f t="shared" ref="AH34" si="50">SUM(AH30:AH33)</f>
        <v>124</v>
      </c>
      <c r="AI34" s="79">
        <f t="shared" si="48"/>
        <v>10</v>
      </c>
      <c r="AJ34" s="79">
        <f t="shared" si="48"/>
        <v>-104</v>
      </c>
      <c r="AK34" s="79">
        <f t="shared" si="48"/>
        <v>-218</v>
      </c>
      <c r="AL34" s="79">
        <f t="shared" si="48"/>
        <v>-332</v>
      </c>
      <c r="AM34" s="79">
        <f t="shared" si="48"/>
        <v>-446</v>
      </c>
      <c r="AN34" s="79">
        <f t="shared" si="48"/>
        <v>-560</v>
      </c>
    </row>
    <row r="35" spans="1:40" s="42" customFormat="1">
      <c r="A35" s="221"/>
      <c r="B35" s="221"/>
      <c r="C35" s="221"/>
      <c r="D35" s="221"/>
      <c r="E35" s="221"/>
      <c r="F35" s="221"/>
      <c r="G35" s="221"/>
      <c r="H35" s="221"/>
      <c r="I35" s="221"/>
      <c r="J35" s="221"/>
      <c r="K35" s="221"/>
      <c r="L35" s="221"/>
      <c r="M35" s="221"/>
      <c r="N35" s="221"/>
      <c r="O35" s="221"/>
      <c r="P35" s="221"/>
      <c r="Q35" s="221"/>
      <c r="R35" s="185"/>
      <c r="S35" s="221"/>
      <c r="T35" s="221"/>
      <c r="U35" s="221"/>
      <c r="V35" s="221"/>
      <c r="W35" s="221"/>
      <c r="X35" s="185"/>
      <c r="Y35" s="185"/>
      <c r="Z35" s="185"/>
      <c r="AA35" s="221"/>
      <c r="AB35" s="185"/>
      <c r="AC35" s="221"/>
      <c r="AD35" s="221"/>
      <c r="AE35" s="221"/>
      <c r="AF35" s="221"/>
      <c r="AG35" s="221"/>
      <c r="AH35" s="221"/>
      <c r="AI35" s="221"/>
      <c r="AJ35" s="221"/>
      <c r="AK35" s="221"/>
      <c r="AL35" s="221"/>
      <c r="AM35" s="221"/>
      <c r="AN35" s="221"/>
    </row>
    <row r="36" spans="1:40" s="7" customFormat="1">
      <c r="A36" s="88" t="s">
        <v>43</v>
      </c>
      <c r="B36" s="89"/>
      <c r="C36" s="89"/>
      <c r="D36" s="89"/>
      <c r="E36" s="89"/>
      <c r="F36" s="89"/>
      <c r="G36" s="89"/>
      <c r="H36" s="89"/>
      <c r="I36" s="89"/>
      <c r="J36" s="89"/>
      <c r="K36" s="89"/>
      <c r="L36" s="89"/>
      <c r="M36" s="89"/>
      <c r="N36" s="89"/>
      <c r="O36" s="89"/>
      <c r="P36" s="89"/>
      <c r="Q36" s="89"/>
      <c r="R36" s="89"/>
      <c r="S36" s="89"/>
      <c r="T36" s="89"/>
      <c r="U36" s="89"/>
      <c r="V36" s="89"/>
      <c r="W36" s="89"/>
      <c r="X36" s="89"/>
      <c r="Y36" s="89"/>
      <c r="Z36" s="89"/>
      <c r="AA36" s="89"/>
      <c r="AB36" s="89"/>
      <c r="AC36" s="89"/>
      <c r="AD36" s="89"/>
      <c r="AE36" s="89"/>
      <c r="AF36" s="89"/>
      <c r="AG36" s="89"/>
      <c r="AH36" s="89"/>
      <c r="AI36" s="89"/>
      <c r="AJ36" s="89"/>
      <c r="AK36" s="89"/>
      <c r="AL36" s="89"/>
      <c r="AM36" s="89"/>
      <c r="AN36" s="89"/>
    </row>
    <row r="37" spans="1:40" s="42" customFormat="1">
      <c r="A37" s="31" t="s">
        <v>189</v>
      </c>
      <c r="B37" s="7"/>
      <c r="C37" s="7"/>
      <c r="D37" s="7"/>
      <c r="E37" s="7"/>
      <c r="F37" s="7"/>
      <c r="G37" s="7"/>
      <c r="H37" s="7"/>
      <c r="I37" s="7"/>
      <c r="J37" s="7"/>
      <c r="K37" s="7"/>
      <c r="L37" s="7"/>
      <c r="M37" s="7"/>
      <c r="N37" s="7"/>
      <c r="O37" s="7"/>
      <c r="P37" s="7">
        <f>O40</f>
        <v>0</v>
      </c>
      <c r="Q37" s="7">
        <f t="shared" ref="Q37:AF37" si="51">P40</f>
        <v>0</v>
      </c>
      <c r="R37" s="7">
        <f t="shared" si="51"/>
        <v>0</v>
      </c>
      <c r="S37" s="7">
        <f t="shared" si="51"/>
        <v>0</v>
      </c>
      <c r="T37" s="7">
        <f t="shared" si="51"/>
        <v>0</v>
      </c>
      <c r="U37" s="7">
        <f t="shared" si="51"/>
        <v>0</v>
      </c>
      <c r="V37" s="7">
        <f t="shared" si="51"/>
        <v>0</v>
      </c>
      <c r="W37" s="7">
        <f t="shared" si="51"/>
        <v>525</v>
      </c>
      <c r="X37" s="7">
        <f t="shared" si="51"/>
        <v>0</v>
      </c>
      <c r="Y37" s="30">
        <f t="shared" si="51"/>
        <v>72</v>
      </c>
      <c r="Z37" s="30">
        <f t="shared" si="51"/>
        <v>72</v>
      </c>
      <c r="AA37" s="30">
        <f t="shared" si="51"/>
        <v>72</v>
      </c>
      <c r="AB37" s="30">
        <f t="shared" si="51"/>
        <v>227</v>
      </c>
      <c r="AC37" s="7">
        <f t="shared" si="51"/>
        <v>46</v>
      </c>
      <c r="AD37" s="7">
        <f t="shared" si="51"/>
        <v>0</v>
      </c>
      <c r="AE37" s="7">
        <f t="shared" si="51"/>
        <v>337</v>
      </c>
      <c r="AF37" s="7">
        <f t="shared" si="51"/>
        <v>328</v>
      </c>
      <c r="AG37" s="7">
        <f t="shared" ref="AG37:AN37" si="52">AF40</f>
        <v>126</v>
      </c>
      <c r="AH37" s="7">
        <f t="shared" si="52"/>
        <v>0</v>
      </c>
      <c r="AI37" s="7">
        <f t="shared" si="52"/>
        <v>0</v>
      </c>
      <c r="AJ37" s="7">
        <f>AI40</f>
        <v>0</v>
      </c>
      <c r="AK37" s="7">
        <f>AJ40</f>
        <v>0</v>
      </c>
      <c r="AL37" s="7">
        <f>AK40</f>
        <v>0</v>
      </c>
      <c r="AM37" s="7">
        <f t="shared" si="52"/>
        <v>0</v>
      </c>
      <c r="AN37" s="7">
        <f t="shared" si="52"/>
        <v>0</v>
      </c>
    </row>
    <row r="38" spans="1:40" s="42" customFormat="1">
      <c r="A38" s="31" t="s">
        <v>44</v>
      </c>
      <c r="B38" s="7"/>
      <c r="C38" s="7"/>
      <c r="D38" s="7"/>
      <c r="E38" s="7"/>
      <c r="F38" s="7"/>
      <c r="G38" s="7"/>
      <c r="H38" s="7"/>
      <c r="I38" s="7"/>
      <c r="J38" s="7"/>
      <c r="K38" s="7"/>
      <c r="L38" s="7"/>
      <c r="M38" s="7"/>
      <c r="N38" s="7"/>
      <c r="O38" s="7"/>
      <c r="P38" s="7"/>
      <c r="Q38" s="7"/>
      <c r="R38" s="7"/>
      <c r="S38" s="7"/>
      <c r="T38" s="7"/>
      <c r="U38" s="7"/>
      <c r="V38" s="7">
        <f>+V40-V39</f>
        <v>1580.835</v>
      </c>
      <c r="W38" s="30">
        <v>40</v>
      </c>
      <c r="X38" s="30">
        <v>72</v>
      </c>
      <c r="Y38" s="30"/>
      <c r="Z38" s="30"/>
      <c r="AA38" s="30">
        <f>AA40-AA37</f>
        <v>155</v>
      </c>
      <c r="AB38" s="30">
        <f t="shared" ref="AB38:AH38" si="53">AB40-AB37-AB39</f>
        <v>189.28200000000004</v>
      </c>
      <c r="AC38" s="30">
        <f t="shared" si="53"/>
        <v>-11.716000000000001</v>
      </c>
      <c r="AD38" s="30">
        <f t="shared" si="53"/>
        <v>744.55600000000004</v>
      </c>
      <c r="AE38" s="30">
        <f t="shared" si="53"/>
        <v>-9</v>
      </c>
      <c r="AF38" s="3">
        <f t="shared" si="53"/>
        <v>250.71200000000005</v>
      </c>
      <c r="AG38" s="3">
        <f t="shared" si="53"/>
        <v>15.568000000000012</v>
      </c>
      <c r="AH38" s="3">
        <f t="shared" si="53"/>
        <v>0</v>
      </c>
      <c r="AI38" s="81"/>
      <c r="AJ38" s="81"/>
      <c r="AK38" s="81"/>
      <c r="AL38" s="81"/>
      <c r="AM38" s="81"/>
      <c r="AN38" s="81"/>
    </row>
    <row r="39" spans="1:40" s="42" customFormat="1">
      <c r="A39" s="31" t="s">
        <v>45</v>
      </c>
      <c r="B39" s="7"/>
      <c r="C39" s="7"/>
      <c r="D39" s="7"/>
      <c r="E39" s="7"/>
      <c r="F39" s="7"/>
      <c r="G39" s="7"/>
      <c r="H39" s="7"/>
      <c r="I39" s="7"/>
      <c r="J39" s="7"/>
      <c r="K39" s="7"/>
      <c r="L39" s="7"/>
      <c r="M39" s="7"/>
      <c r="N39" s="7"/>
      <c r="O39" s="7"/>
      <c r="P39" s="7"/>
      <c r="Q39" s="7"/>
      <c r="R39" s="7"/>
      <c r="S39" s="7"/>
      <c r="T39" s="7"/>
      <c r="U39" s="7"/>
      <c r="V39" s="7">
        <f>'HK Sales'!V18/100*'HK Sales'!V36</f>
        <v>-1055.835</v>
      </c>
      <c r="W39" s="7">
        <v>-565</v>
      </c>
      <c r="X39" s="7">
        <f>'HK Sales'!X18/100*'HK Sales'!X36</f>
        <v>0</v>
      </c>
      <c r="Y39" s="30">
        <v>0</v>
      </c>
      <c r="Z39" s="30">
        <f>'HK Sales'!Z18/100*'HK Sales'!Z36</f>
        <v>0</v>
      </c>
      <c r="AA39" s="30">
        <f>'HK Sales'!AA18/100*'HK Sales'!AA36</f>
        <v>0</v>
      </c>
      <c r="AB39" s="30">
        <f>'HK Sales'!AB18/100*'HK Sales'!AB36</f>
        <v>-370.28200000000004</v>
      </c>
      <c r="AC39" s="7">
        <f>'HK Sales'!AC18/100*'HK Sales'!AC36</f>
        <v>-34.283999999999999</v>
      </c>
      <c r="AD39" s="7">
        <f>'HK Sales'!AD18/100*'HK Sales'!AD36</f>
        <v>-407.55599999999998</v>
      </c>
      <c r="AE39" s="7">
        <f>'HK Sales'!AE18/100*'HK Sales'!AE36</f>
        <v>0</v>
      </c>
      <c r="AF39" s="7">
        <f>'HK Sales'!AF18/100*'HK Sales'!AF36</f>
        <v>-452.71200000000005</v>
      </c>
      <c r="AG39" s="7">
        <f>'HK Sales'!AG18/100*'HK Sales'!AG36</f>
        <v>-141.56800000000001</v>
      </c>
      <c r="AH39" s="7">
        <f>'HK Sales'!AH18/100*'HK Sales'!AH36</f>
        <v>0</v>
      </c>
      <c r="AI39" s="7">
        <f>'HK Sales'!AI18/100*'HK Sales'!AI36</f>
        <v>0</v>
      </c>
      <c r="AJ39" s="7">
        <f>'HK Sales'!AJ18/100*'HK Sales'!AJ36</f>
        <v>0</v>
      </c>
      <c r="AK39" s="7">
        <f>'HK Sales'!AK18/100*'HK Sales'!AK36</f>
        <v>0</v>
      </c>
      <c r="AL39" s="7">
        <f>'HK Sales'!AL18/100*'HK Sales'!AL36</f>
        <v>0</v>
      </c>
      <c r="AM39" s="7">
        <f>'HK Sales'!AM18/100*'HK Sales'!AM36</f>
        <v>0</v>
      </c>
      <c r="AN39" s="7">
        <f>'HK Sales'!AN18/100*'HK Sales'!AN36</f>
        <v>0</v>
      </c>
    </row>
    <row r="40" spans="1:40" s="42" customFormat="1">
      <c r="A40" s="221" t="s">
        <v>46</v>
      </c>
      <c r="B40" s="79"/>
      <c r="C40" s="79"/>
      <c r="D40" s="79"/>
      <c r="E40" s="79"/>
      <c r="F40" s="79"/>
      <c r="G40" s="79"/>
      <c r="H40" s="79"/>
      <c r="I40" s="79"/>
      <c r="J40" s="79"/>
      <c r="K40" s="79"/>
      <c r="L40" s="79"/>
      <c r="M40" s="79"/>
      <c r="N40" s="79"/>
      <c r="O40" s="79">
        <f>SUM(O37:O39)</f>
        <v>0</v>
      </c>
      <c r="P40" s="79">
        <f>SUM(P37:P39)</f>
        <v>0</v>
      </c>
      <c r="Q40" s="79">
        <f t="shared" ref="Q40:Z40" si="54">SUM(Q37:Q39)</f>
        <v>0</v>
      </c>
      <c r="R40" s="79">
        <f t="shared" si="54"/>
        <v>0</v>
      </c>
      <c r="S40" s="79">
        <f t="shared" si="54"/>
        <v>0</v>
      </c>
      <c r="T40" s="79">
        <f t="shared" si="54"/>
        <v>0</v>
      </c>
      <c r="U40" s="79">
        <f t="shared" si="54"/>
        <v>0</v>
      </c>
      <c r="V40" s="79">
        <v>525</v>
      </c>
      <c r="W40" s="106">
        <f t="shared" si="54"/>
        <v>0</v>
      </c>
      <c r="X40" s="79">
        <f t="shared" si="54"/>
        <v>72</v>
      </c>
      <c r="Y40" s="108">
        <f t="shared" si="54"/>
        <v>72</v>
      </c>
      <c r="Z40" s="108">
        <f t="shared" si="54"/>
        <v>72</v>
      </c>
      <c r="AA40" s="108">
        <v>227</v>
      </c>
      <c r="AB40" s="108">
        <v>46</v>
      </c>
      <c r="AC40" s="108">
        <v>0</v>
      </c>
      <c r="AD40" s="79">
        <v>337</v>
      </c>
      <c r="AE40" s="79">
        <v>328</v>
      </c>
      <c r="AF40" s="79">
        <v>126</v>
      </c>
      <c r="AG40" s="79">
        <v>0</v>
      </c>
      <c r="AH40" s="79">
        <v>0</v>
      </c>
      <c r="AI40" s="100">
        <f t="shared" ref="AI40:AN40" si="55">SUM(AI37:AI39)</f>
        <v>0</v>
      </c>
      <c r="AJ40" s="100">
        <f t="shared" si="55"/>
        <v>0</v>
      </c>
      <c r="AK40" s="100">
        <f t="shared" si="55"/>
        <v>0</v>
      </c>
      <c r="AL40" s="100">
        <f t="shared" si="55"/>
        <v>0</v>
      </c>
      <c r="AM40" s="100">
        <f t="shared" si="55"/>
        <v>0</v>
      </c>
      <c r="AN40" s="100">
        <f t="shared" si="55"/>
        <v>0</v>
      </c>
    </row>
    <row r="41" spans="1:40" s="42" customFormat="1">
      <c r="A41" s="213" t="s">
        <v>247</v>
      </c>
      <c r="B41" s="79"/>
      <c r="C41" s="79"/>
      <c r="D41" s="79"/>
      <c r="E41" s="79"/>
      <c r="F41" s="79"/>
      <c r="G41" s="79"/>
      <c r="H41" s="79"/>
      <c r="I41" s="79"/>
      <c r="J41" s="79"/>
      <c r="K41" s="79"/>
      <c r="L41" s="79"/>
      <c r="M41" s="79"/>
      <c r="N41" s="79"/>
      <c r="O41" s="79"/>
      <c r="P41" s="79"/>
      <c r="Q41" s="79"/>
      <c r="R41" s="108"/>
      <c r="S41" s="79"/>
      <c r="T41" s="79"/>
      <c r="U41" s="79"/>
      <c r="V41" s="258">
        <f>IF(V40&gt;0,0,V40)</f>
        <v>0</v>
      </c>
      <c r="W41" s="258">
        <f t="shared" ref="W41:AF41" si="56">IF(W40&gt;0,0,-W40)</f>
        <v>0</v>
      </c>
      <c r="X41" s="258">
        <f t="shared" si="56"/>
        <v>0</v>
      </c>
      <c r="Y41" s="258">
        <f t="shared" si="56"/>
        <v>0</v>
      </c>
      <c r="Z41" s="258">
        <f t="shared" si="56"/>
        <v>0</v>
      </c>
      <c r="AA41" s="258">
        <f t="shared" si="56"/>
        <v>0</v>
      </c>
      <c r="AB41" s="258">
        <f t="shared" si="56"/>
        <v>0</v>
      </c>
      <c r="AC41" s="258">
        <f t="shared" si="56"/>
        <v>0</v>
      </c>
      <c r="AD41" s="258">
        <f t="shared" si="56"/>
        <v>0</v>
      </c>
      <c r="AE41" s="258">
        <f t="shared" si="56"/>
        <v>0</v>
      </c>
      <c r="AF41" s="258">
        <f t="shared" si="56"/>
        <v>0</v>
      </c>
      <c r="AG41" s="258">
        <f t="shared" ref="AG41:AN41" si="57">IF(AG40&gt;0,0,-AG40)</f>
        <v>0</v>
      </c>
      <c r="AH41" s="258">
        <f t="shared" ref="AH41" si="58">IF(AH40&gt;0,0,-AH40)</f>
        <v>0</v>
      </c>
      <c r="AI41" s="258">
        <f t="shared" si="57"/>
        <v>0</v>
      </c>
      <c r="AJ41" s="258">
        <f t="shared" si="57"/>
        <v>0</v>
      </c>
      <c r="AK41" s="258">
        <f t="shared" si="57"/>
        <v>0</v>
      </c>
      <c r="AL41" s="258">
        <f t="shared" si="57"/>
        <v>0</v>
      </c>
      <c r="AM41" s="258">
        <f t="shared" si="57"/>
        <v>0</v>
      </c>
      <c r="AN41" s="258">
        <f t="shared" si="57"/>
        <v>0</v>
      </c>
    </row>
    <row r="42" spans="1:40">
      <c r="A42" s="213" t="s">
        <v>248</v>
      </c>
      <c r="B42" s="7"/>
      <c r="C42" s="7"/>
      <c r="D42" s="7"/>
      <c r="E42" s="7"/>
      <c r="F42" s="7"/>
      <c r="G42" s="7"/>
      <c r="H42" s="7"/>
      <c r="I42" s="7"/>
      <c r="J42" s="7"/>
      <c r="K42" s="7"/>
      <c r="L42" s="7"/>
      <c r="M42" s="7"/>
      <c r="N42" s="7"/>
      <c r="O42" s="7"/>
      <c r="P42" s="7"/>
      <c r="Q42" s="7"/>
      <c r="R42" s="7"/>
      <c r="S42" s="7"/>
      <c r="T42" s="7"/>
      <c r="U42" s="7"/>
      <c r="V42" s="258">
        <f>IF(V40&lt;0,0,V40)</f>
        <v>525</v>
      </c>
      <c r="W42" s="258">
        <f t="shared" ref="W42:AB42" si="59">IF(W40&lt;0,0,W40)</f>
        <v>0</v>
      </c>
      <c r="X42" s="258">
        <f t="shared" si="59"/>
        <v>72</v>
      </c>
      <c r="Y42" s="258">
        <f t="shared" si="59"/>
        <v>72</v>
      </c>
      <c r="Z42" s="258">
        <f t="shared" si="59"/>
        <v>72</v>
      </c>
      <c r="AA42" s="258">
        <f t="shared" si="59"/>
        <v>227</v>
      </c>
      <c r="AB42" s="258">
        <f t="shared" si="59"/>
        <v>46</v>
      </c>
      <c r="AC42" s="258">
        <f t="shared" ref="AC42:AI42" si="60">IF(AC40&lt;0,0,AC40)</f>
        <v>0</v>
      </c>
      <c r="AD42" s="258">
        <f t="shared" si="60"/>
        <v>337</v>
      </c>
      <c r="AE42" s="258">
        <f t="shared" si="60"/>
        <v>328</v>
      </c>
      <c r="AF42" s="258">
        <f t="shared" si="60"/>
        <v>126</v>
      </c>
      <c r="AG42" s="258">
        <f t="shared" si="60"/>
        <v>0</v>
      </c>
      <c r="AH42" s="258">
        <f t="shared" ref="AH42" si="61">IF(AH40&lt;0,0,AH40)</f>
        <v>0</v>
      </c>
      <c r="AI42" s="258">
        <f t="shared" si="60"/>
        <v>0</v>
      </c>
      <c r="AJ42" s="258">
        <f>IF(AJ40&lt;0,0,AJ40)</f>
        <v>0</v>
      </c>
      <c r="AK42" s="258">
        <f>IF(AK40&lt;0,0,AK40)</f>
        <v>0</v>
      </c>
      <c r="AL42" s="258">
        <f>IF(AL40&lt;0,0,AL40)</f>
        <v>0</v>
      </c>
      <c r="AM42" s="258">
        <f>IF(AM40&lt;0,0,AM40)</f>
        <v>0</v>
      </c>
      <c r="AN42" s="258">
        <f>IF(AN40&lt;0,0,AN40)</f>
        <v>0</v>
      </c>
    </row>
    <row r="43" spans="1:40">
      <c r="A43" s="213"/>
      <c r="B43" s="7"/>
      <c r="C43" s="7"/>
      <c r="D43" s="7"/>
      <c r="E43" s="7"/>
      <c r="F43" s="7"/>
      <c r="G43" s="7"/>
      <c r="H43" s="7"/>
      <c r="I43" s="7"/>
      <c r="J43" s="7"/>
      <c r="K43" s="7"/>
      <c r="L43" s="7"/>
      <c r="M43" s="7"/>
      <c r="N43" s="7"/>
      <c r="O43" s="7"/>
      <c r="P43" s="7"/>
      <c r="Q43" s="7"/>
      <c r="R43" s="7"/>
      <c r="S43" s="7"/>
      <c r="T43" s="7"/>
      <c r="U43" s="7"/>
      <c r="V43" s="258"/>
      <c r="W43" s="258"/>
      <c r="X43" s="258"/>
      <c r="Y43" s="258"/>
      <c r="Z43" s="258"/>
      <c r="AA43" s="258"/>
      <c r="AB43" s="258"/>
      <c r="AC43" s="258"/>
      <c r="AD43" s="258"/>
      <c r="AE43" s="258"/>
      <c r="AF43" s="258"/>
      <c r="AG43" s="258"/>
      <c r="AH43" s="258"/>
      <c r="AI43" s="258"/>
      <c r="AJ43" s="258"/>
      <c r="AK43" s="258"/>
      <c r="AL43" s="258"/>
      <c r="AM43" s="258"/>
      <c r="AN43" s="258"/>
    </row>
    <row r="44" spans="1:40" s="7" customFormat="1">
      <c r="A44" s="157" t="s">
        <v>116</v>
      </c>
      <c r="B44" s="156"/>
      <c r="C44" s="156"/>
      <c r="D44" s="156"/>
      <c r="E44" s="156"/>
      <c r="F44" s="156"/>
      <c r="G44" s="156"/>
      <c r="H44" s="156"/>
      <c r="I44" s="156"/>
      <c r="J44" s="156"/>
      <c r="K44" s="156"/>
      <c r="L44" s="156"/>
      <c r="M44" s="156"/>
      <c r="N44" s="156"/>
      <c r="O44" s="156"/>
      <c r="P44" s="156"/>
      <c r="Q44" s="156"/>
      <c r="R44" s="156"/>
      <c r="S44" s="156"/>
      <c r="T44" s="156"/>
      <c r="U44" s="156"/>
      <c r="V44" s="156"/>
      <c r="W44" s="156"/>
      <c r="X44" s="156"/>
      <c r="Y44" s="156"/>
      <c r="Z44" s="156"/>
      <c r="AA44" s="156"/>
      <c r="AB44" s="156"/>
      <c r="AC44" s="156"/>
      <c r="AD44" s="156"/>
      <c r="AE44" s="156"/>
      <c r="AF44" s="156"/>
      <c r="AG44" s="156"/>
      <c r="AH44" s="156"/>
      <c r="AI44" s="156"/>
      <c r="AJ44" s="156"/>
      <c r="AK44" s="156"/>
      <c r="AL44" s="156"/>
      <c r="AM44" s="156"/>
      <c r="AN44" s="156"/>
    </row>
    <row r="45" spans="1:40" s="42" customFormat="1">
      <c r="A45" s="62" t="s">
        <v>410</v>
      </c>
      <c r="B45" s="108">
        <f>SOC!B8</f>
        <v>0</v>
      </c>
      <c r="C45" s="108">
        <f>SOC!C8</f>
        <v>0</v>
      </c>
      <c r="D45" s="108">
        <f>SOC!D8</f>
        <v>-2841</v>
      </c>
      <c r="E45" s="108">
        <f>SOC!E8</f>
        <v>-3255</v>
      </c>
      <c r="F45" s="108">
        <f>SOC!F8</f>
        <v>-3771</v>
      </c>
      <c r="G45" s="108">
        <f>SOC!G8</f>
        <v>-3683</v>
      </c>
      <c r="H45" s="108">
        <f>SOC!H8</f>
        <v>-3645</v>
      </c>
      <c r="I45" s="108">
        <f>SOC!I8</f>
        <v>-4835</v>
      </c>
      <c r="J45" s="108">
        <f>SOC!J8</f>
        <v>-4587</v>
      </c>
      <c r="K45" s="108">
        <f>SOC!K8</f>
        <v>-5013</v>
      </c>
      <c r="L45" s="108">
        <f>SOC!L8</f>
        <v>-4976</v>
      </c>
      <c r="M45" s="108">
        <f>SOC!M8</f>
        <v>-5134</v>
      </c>
      <c r="N45" s="108">
        <f>SOC!N8</f>
        <v>-4763</v>
      </c>
      <c r="O45" s="108">
        <f>SOC!O8</f>
        <v>-5029</v>
      </c>
      <c r="P45" s="108">
        <f>SOC!P8</f>
        <v>-5040</v>
      </c>
      <c r="Q45" s="108">
        <f>SOC!Q8</f>
        <v>-4971</v>
      </c>
      <c r="R45" s="108">
        <f>SOC!R8</f>
        <v>-5031</v>
      </c>
      <c r="S45" s="108">
        <f>SOC!S8</f>
        <v>-5237</v>
      </c>
      <c r="T45" s="108">
        <f>SOC!T8</f>
        <v>-5003</v>
      </c>
      <c r="U45" s="108">
        <f>SOC!U8</f>
        <v>-4879</v>
      </c>
      <c r="V45" s="108">
        <f>SOC!V8</f>
        <v>-4636</v>
      </c>
      <c r="W45" s="108">
        <f>SOC!W8</f>
        <v>-4619</v>
      </c>
      <c r="X45" s="108">
        <f>SOC!X8</f>
        <v>-4867</v>
      </c>
      <c r="Y45" s="108">
        <f>SOC!Y8</f>
        <v>-5203</v>
      </c>
      <c r="Z45" s="108">
        <f>SOC!Z8</f>
        <v>-5198</v>
      </c>
      <c r="AA45" s="108">
        <f>SOC!AA8</f>
        <v>-5380</v>
      </c>
      <c r="AB45" s="108">
        <f>SOC!AB8</f>
        <v>-5543</v>
      </c>
      <c r="AC45" s="108">
        <f>SOC!AC8</f>
        <v>-5643</v>
      </c>
      <c r="AD45" s="108">
        <f>SOC!AD8</f>
        <v>-5582</v>
      </c>
      <c r="AE45" s="108">
        <f>SOC!AE8</f>
        <v>-5678</v>
      </c>
      <c r="AF45" s="108">
        <f>SOC!AF8</f>
        <v>-5822</v>
      </c>
      <c r="AG45" s="108">
        <f>SOC!AG8</f>
        <v>-5802</v>
      </c>
      <c r="AH45" s="108">
        <f>SOC!AH8</f>
        <v>-5800</v>
      </c>
      <c r="AI45" s="428">
        <f t="shared" ref="AI45:AN45" si="62">-AI56*AI46</f>
        <v>-5800</v>
      </c>
      <c r="AJ45" s="428">
        <f t="shared" si="62"/>
        <v>-5800</v>
      </c>
      <c r="AK45" s="428">
        <f t="shared" si="62"/>
        <v>-5800</v>
      </c>
      <c r="AL45" s="428">
        <f t="shared" si="62"/>
        <v>-5800</v>
      </c>
      <c r="AM45" s="428">
        <f t="shared" si="62"/>
        <v>-5800</v>
      </c>
      <c r="AN45" s="428">
        <f t="shared" si="62"/>
        <v>-5800</v>
      </c>
    </row>
    <row r="46" spans="1:40">
      <c r="A46" s="29" t="s">
        <v>298</v>
      </c>
      <c r="B46" s="198"/>
      <c r="C46" s="198"/>
      <c r="D46" s="198">
        <f t="shared" ref="D46:AD46" si="63">-D45/D56</f>
        <v>0.44183514774494559</v>
      </c>
      <c r="E46" s="198">
        <f t="shared" si="63"/>
        <v>0.48186528497409326</v>
      </c>
      <c r="F46" s="198">
        <f t="shared" si="63"/>
        <v>0.50502209722780234</v>
      </c>
      <c r="G46" s="198">
        <f t="shared" si="63"/>
        <v>0.50033962776796626</v>
      </c>
      <c r="H46" s="198">
        <f t="shared" si="63"/>
        <v>0.46581469648562301</v>
      </c>
      <c r="I46" s="198">
        <f t="shared" si="63"/>
        <v>0.46052004952852654</v>
      </c>
      <c r="J46" s="198">
        <f t="shared" si="63"/>
        <v>0.47118644067796611</v>
      </c>
      <c r="K46" s="198">
        <f t="shared" si="63"/>
        <v>0.5032627246260416</v>
      </c>
      <c r="L46" s="198">
        <f t="shared" si="63"/>
        <v>0.508585445625511</v>
      </c>
      <c r="M46" s="198">
        <f t="shared" si="63"/>
        <v>0.5150481540930979</v>
      </c>
      <c r="N46" s="198">
        <f t="shared" si="63"/>
        <v>0.5196377918394065</v>
      </c>
      <c r="O46" s="198">
        <f t="shared" si="63"/>
        <v>0.49231522271169847</v>
      </c>
      <c r="P46" s="198">
        <f t="shared" si="63"/>
        <v>0.49118019686190428</v>
      </c>
      <c r="Q46" s="198">
        <f t="shared" si="63"/>
        <v>0.48879056047197639</v>
      </c>
      <c r="R46" s="198">
        <f t="shared" si="63"/>
        <v>0.47203978232313754</v>
      </c>
      <c r="S46" s="198">
        <f t="shared" si="63"/>
        <v>0.48589719799591763</v>
      </c>
      <c r="T46" s="198">
        <f t="shared" si="63"/>
        <v>0.48314823756639302</v>
      </c>
      <c r="U46" s="198">
        <f t="shared" si="63"/>
        <v>0.46189529489728298</v>
      </c>
      <c r="V46" s="198">
        <f t="shared" si="63"/>
        <v>0.4148545861297539</v>
      </c>
      <c r="W46" s="198">
        <f t="shared" si="63"/>
        <v>0.4732097121196599</v>
      </c>
      <c r="X46" s="198">
        <f t="shared" si="63"/>
        <v>0.48250223059383363</v>
      </c>
      <c r="Y46" s="198">
        <f t="shared" si="63"/>
        <v>0.44791666666666669</v>
      </c>
      <c r="Z46" s="198">
        <f t="shared" si="63"/>
        <v>0.45180356366797042</v>
      </c>
      <c r="AA46" s="198">
        <f t="shared" si="63"/>
        <v>0.43289346636626969</v>
      </c>
      <c r="AB46" s="198">
        <f t="shared" si="63"/>
        <v>0.44329814459373001</v>
      </c>
      <c r="AC46" s="198">
        <f t="shared" si="63"/>
        <v>0.45934065934065932</v>
      </c>
      <c r="AD46" s="198">
        <f t="shared" si="63"/>
        <v>0.44203357617991762</v>
      </c>
      <c r="AE46" s="198">
        <f>-AE45/AE56</f>
        <v>0.45081381500595474</v>
      </c>
      <c r="AF46" s="198">
        <f>-AF45/AF56</f>
        <v>0.46620755925688662</v>
      </c>
      <c r="AG46" s="198">
        <f>-AG45/AG56</f>
        <v>0.49090447584398006</v>
      </c>
      <c r="AH46" s="198">
        <f>-AH45/AH56</f>
        <v>0.49781134666552229</v>
      </c>
      <c r="AI46" s="223">
        <f t="shared" ref="AI46:AN46" si="64">AH46</f>
        <v>0.49781134666552229</v>
      </c>
      <c r="AJ46" s="223">
        <f>AI46</f>
        <v>0.49781134666552229</v>
      </c>
      <c r="AK46" s="223">
        <f>AJ46</f>
        <v>0.49781134666552229</v>
      </c>
      <c r="AL46" s="223">
        <f>AK46</f>
        <v>0.49781134666552229</v>
      </c>
      <c r="AM46" s="223">
        <f t="shared" si="64"/>
        <v>0.49781134666552229</v>
      </c>
      <c r="AN46" s="223">
        <f t="shared" si="64"/>
        <v>0.49781134666552229</v>
      </c>
    </row>
    <row r="47" spans="1:40">
      <c r="A47" s="29"/>
      <c r="B47" s="224"/>
      <c r="C47" s="187"/>
      <c r="D47" s="187"/>
      <c r="E47" s="187"/>
      <c r="F47" s="187"/>
      <c r="G47" s="187"/>
      <c r="H47" s="187"/>
      <c r="I47" s="187"/>
      <c r="J47" s="187"/>
      <c r="K47" s="187"/>
      <c r="L47" s="187"/>
      <c r="M47" s="187"/>
      <c r="N47" s="187"/>
      <c r="O47" s="187"/>
      <c r="P47" s="187"/>
      <c r="Q47" s="187"/>
      <c r="R47" s="187"/>
      <c r="S47" s="187"/>
      <c r="T47" s="225"/>
      <c r="U47" s="187"/>
      <c r="V47" s="187"/>
      <c r="W47" s="187"/>
      <c r="X47" s="187"/>
      <c r="Y47" s="187"/>
      <c r="Z47" s="187"/>
      <c r="AA47" s="187"/>
      <c r="AB47" s="187"/>
      <c r="AC47" s="187"/>
      <c r="AD47" s="187"/>
      <c r="AE47" s="187"/>
      <c r="AF47" s="187"/>
      <c r="AG47" s="187"/>
      <c r="AH47" s="187"/>
      <c r="AI47" s="187"/>
      <c r="AJ47" s="187"/>
      <c r="AK47" s="187"/>
      <c r="AL47" s="187"/>
      <c r="AM47" s="187"/>
      <c r="AN47" s="187"/>
    </row>
    <row r="48" spans="1:40" s="42" customFormat="1">
      <c r="A48" s="185" t="s">
        <v>235</v>
      </c>
      <c r="B48" s="108">
        <v>-2947</v>
      </c>
      <c r="C48" s="108">
        <v>-3323</v>
      </c>
      <c r="D48" s="108">
        <v>-2894</v>
      </c>
      <c r="E48" s="108">
        <f>SOC!E7</f>
        <v>-2782</v>
      </c>
      <c r="F48" s="108">
        <f>SOC!F7</f>
        <v>-2747</v>
      </c>
      <c r="G48" s="108">
        <f>SOC!G7</f>
        <v>-2472</v>
      </c>
      <c r="H48" s="108">
        <f>SOC!H7</f>
        <v>-2329</v>
      </c>
      <c r="I48" s="108">
        <f>SOC!I7</f>
        <v>-3098</v>
      </c>
      <c r="J48" s="108">
        <f>SOC!J7</f>
        <v>-2636</v>
      </c>
      <c r="K48" s="108">
        <f>SOC!K7</f>
        <v>-2965</v>
      </c>
      <c r="L48" s="108">
        <f>SOC!L7</f>
        <v>-2848</v>
      </c>
      <c r="M48" s="108">
        <f>SOC!M7</f>
        <v>-2817</v>
      </c>
      <c r="N48" s="108">
        <f>SOC!N7</f>
        <v>-3166</v>
      </c>
      <c r="O48" s="108">
        <f>SOC!O7</f>
        <v>-3106</v>
      </c>
      <c r="P48" s="108">
        <f>SOC!P7</f>
        <v>-3328</v>
      </c>
      <c r="Q48" s="108">
        <f>SOC!Q7</f>
        <v>-3342</v>
      </c>
      <c r="R48" s="108">
        <f>SOC!R7</f>
        <v>-3200</v>
      </c>
      <c r="S48" s="108">
        <f>SOC!S7</f>
        <v>-3102</v>
      </c>
      <c r="T48" s="108">
        <f>SOC!T7</f>
        <v>-3467</v>
      </c>
      <c r="U48" s="108">
        <f>SOC!U7</f>
        <v>-3516</v>
      </c>
      <c r="V48" s="108">
        <f>SOC!V7</f>
        <v>-3698</v>
      </c>
      <c r="W48" s="108">
        <f>SOC!W7</f>
        <v>-3711</v>
      </c>
      <c r="X48" s="108">
        <f>SOC!X7</f>
        <v>-3842</v>
      </c>
      <c r="Y48" s="108">
        <f>SOC!Y7</f>
        <v>-4068</v>
      </c>
      <c r="Z48" s="108">
        <f>SOC!Z7</f>
        <v>-4312</v>
      </c>
      <c r="AA48" s="108">
        <f>SOC!AA7</f>
        <v>-4405</v>
      </c>
      <c r="AB48" s="108">
        <f>SOC!AB7</f>
        <v>-4534</v>
      </c>
      <c r="AC48" s="108">
        <f>SOC!AC7</f>
        <v>-5036</v>
      </c>
      <c r="AD48" s="108">
        <f>SOC!AD7</f>
        <v>-5170</v>
      </c>
      <c r="AE48" s="108">
        <f>SOC!AE7</f>
        <v>-5186</v>
      </c>
      <c r="AF48" s="108">
        <f>SOC!AF7</f>
        <v>-5027</v>
      </c>
      <c r="AG48" s="108">
        <f>SOC!AG7</f>
        <v>-5336</v>
      </c>
      <c r="AH48" s="108">
        <f>SOC!AH7</f>
        <v>-5571</v>
      </c>
      <c r="AI48" s="428">
        <f>-AI49*'HK Sales'!AI38*(1+AI50)</f>
        <v>-5926.8054635981252</v>
      </c>
      <c r="AJ48" s="428">
        <f>-AJ49*'HK Sales'!AJ38*(1+AJ50)</f>
        <v>-6167.8492933742</v>
      </c>
      <c r="AK48" s="428">
        <f>-AK49*'HK Sales'!AK38*(1+AK50)</f>
        <v>-6422.1785261842933</v>
      </c>
      <c r="AL48" s="428">
        <f>-AL49*'HK Sales'!AL38*(1+AL50)</f>
        <v>-6690.5490524600555</v>
      </c>
      <c r="AM48" s="428">
        <f>-AM49*'HK Sales'!AM38*(1+AM50)</f>
        <v>-6973.7599034646146</v>
      </c>
      <c r="AN48" s="428">
        <f>-AN49*'HK Sales'!AN38*(1+AN50)</f>
        <v>-7272.6557143535938</v>
      </c>
    </row>
    <row r="49" spans="1:41">
      <c r="A49" s="29" t="s">
        <v>234</v>
      </c>
      <c r="B49" s="198">
        <f>-B48/'HK Sales'!B38</f>
        <v>0.12707515846664655</v>
      </c>
      <c r="C49" s="198">
        <f>-C48/'HK Sales'!C38</f>
        <v>0.12980975819367943</v>
      </c>
      <c r="D49" s="198">
        <f>-D48/'HK Sales'!D38</f>
        <v>0.12979906709723718</v>
      </c>
      <c r="E49" s="198">
        <f>-E48/'HK Sales'!E38</f>
        <v>0.12034954144315625</v>
      </c>
      <c r="F49" s="198">
        <f>-F48/'HK Sales'!F38</f>
        <v>0.12028198616341186</v>
      </c>
      <c r="G49" s="198">
        <f>-G48/'HK Sales'!G38</f>
        <v>0.10486128785950624</v>
      </c>
      <c r="H49" s="198">
        <f>-H48/'HK Sales'!H38</f>
        <v>9.1397849462365593E-2</v>
      </c>
      <c r="I49" s="198">
        <f>-I48/'HK Sales'!I38</f>
        <v>9.7125121484779128E-2</v>
      </c>
      <c r="J49" s="198">
        <f>-J48/'HK Sales'!J38</f>
        <v>9.5896391152502911E-2</v>
      </c>
      <c r="K49" s="198">
        <f>-K48/'HK Sales'!K38</f>
        <v>0.10392204970032597</v>
      </c>
      <c r="L49" s="198">
        <f>-L48/'HK Sales'!L38</f>
        <v>9.5292267541071368E-2</v>
      </c>
      <c r="M49" s="198">
        <f>-M48/'HK Sales'!M38</f>
        <v>9.0745022432575428E-2</v>
      </c>
      <c r="N49" s="198">
        <f>-N48/'HK Sales'!N38</f>
        <v>9.9813991613859204E-2</v>
      </c>
      <c r="O49" s="198">
        <f>-O48/'HK Sales'!O38</f>
        <v>9.167921131084153E-2</v>
      </c>
      <c r="P49" s="198">
        <f>-P48/'HK Sales'!P38</f>
        <v>9.762680043415764E-2</v>
      </c>
      <c r="Q49" s="198">
        <f>-Q48/'HK Sales'!Q38</f>
        <v>9.8302791422772595E-2</v>
      </c>
      <c r="R49" s="198">
        <f>-R48/'HK Sales'!R38</f>
        <v>9.5189933664514975E-2</v>
      </c>
      <c r="S49" s="198">
        <f>-S48/'HK Sales'!S38</f>
        <v>9.0434681204629608E-2</v>
      </c>
      <c r="T49" s="198">
        <f>-T48/'HK Sales'!T38</f>
        <v>0.1033752758065478</v>
      </c>
      <c r="U49" s="198">
        <f>-U48/'HK Sales'!U38</f>
        <v>0.10303296703296703</v>
      </c>
      <c r="V49" s="198">
        <f>-V48/'HK Sales'!V38</f>
        <v>0.10930156947359088</v>
      </c>
      <c r="W49" s="198">
        <f>-W48/'HK Sales'!W38</f>
        <v>0.11099811563425359</v>
      </c>
      <c r="X49" s="198">
        <f>-X48/'HK Sales'!X38</f>
        <v>0.11250036602149278</v>
      </c>
      <c r="Y49" s="198">
        <f>-Y48/'HK Sales'!Y38</f>
        <v>0.11888827191162288</v>
      </c>
      <c r="Z49" s="198">
        <f>-Z48/'HK Sales'!Z38</f>
        <v>0.12519598165031068</v>
      </c>
      <c r="AA49" s="198">
        <f>-AA48/'HK Sales'!AA38</f>
        <v>0.12766265758585713</v>
      </c>
      <c r="AB49" s="198">
        <f>-AB48/'HK Sales'!AB38</f>
        <v>0.13250336080425507</v>
      </c>
      <c r="AC49" s="198">
        <f>-AC48/'HK Sales'!AC38</f>
        <v>0.1468906778672267</v>
      </c>
      <c r="AD49" s="198">
        <f>-AD48/'HK Sales'!AD38</f>
        <v>0.15222447958072019</v>
      </c>
      <c r="AE49" s="198">
        <f>-AE48/'HK Sales'!AE38</f>
        <v>0.14668363739216519</v>
      </c>
      <c r="AF49" s="198">
        <f>-AF48/'HK Sales'!AF38</f>
        <v>0.14435446818286241</v>
      </c>
      <c r="AG49" s="198">
        <f>-AG48/'HK Sales'!AG38</f>
        <v>0.15076853526220615</v>
      </c>
      <c r="AH49" s="198">
        <f>-AH48/'HK Sales'!AH38</f>
        <v>0.15421453287197232</v>
      </c>
      <c r="AI49" s="479">
        <f t="shared" ref="AI49:AN49" si="65">AH49*(1+AI50)</f>
        <v>0.15773929293377043</v>
      </c>
      <c r="AJ49" s="479">
        <f>AI49*(1+AJ50)</f>
        <v>0.16134461565890429</v>
      </c>
      <c r="AK49" s="479">
        <f>AJ49*(1+AK50)</f>
        <v>0.165032342404689</v>
      </c>
      <c r="AL49" s="479">
        <f>AK49*(1+AL50)</f>
        <v>0.1688043566148929</v>
      </c>
      <c r="AM49" s="479">
        <f t="shared" si="65"/>
        <v>0.17266258478167443</v>
      </c>
      <c r="AN49" s="479">
        <f t="shared" si="65"/>
        <v>0.17660899742950525</v>
      </c>
    </row>
    <row r="50" spans="1:41">
      <c r="A50" s="29" t="s">
        <v>112</v>
      </c>
      <c r="B50" s="29"/>
      <c r="C50" s="124">
        <f t="shared" ref="C50:AH50" si="66">C49/B49-1</f>
        <v>2.1519546070451145E-2</v>
      </c>
      <c r="D50" s="124">
        <f t="shared" si="66"/>
        <v>-8.2359728505898566E-5</v>
      </c>
      <c r="E50" s="124">
        <f t="shared" si="66"/>
        <v>-7.2801183131785852E-2</v>
      </c>
      <c r="F50" s="124">
        <f t="shared" si="66"/>
        <v>-5.6132560983868096E-4</v>
      </c>
      <c r="G50" s="124">
        <f t="shared" si="66"/>
        <v>-0.12820455328161506</v>
      </c>
      <c r="H50" s="124">
        <f t="shared" si="66"/>
        <v>-0.12839283850088734</v>
      </c>
      <c r="I50" s="124">
        <f t="shared" si="66"/>
        <v>6.266309389228919E-2</v>
      </c>
      <c r="J50" s="124">
        <f t="shared" si="66"/>
        <v>-1.2651004328151916E-2</v>
      </c>
      <c r="K50" s="124">
        <f t="shared" si="66"/>
        <v>8.3690934052564447E-2</v>
      </c>
      <c r="L50" s="124">
        <f t="shared" si="66"/>
        <v>-8.3040915610689048E-2</v>
      </c>
      <c r="M50" s="124">
        <f t="shared" si="66"/>
        <v>-4.7718930673321003E-2</v>
      </c>
      <c r="N50" s="124">
        <f t="shared" si="66"/>
        <v>9.9939026275762011E-2</v>
      </c>
      <c r="O50" s="124">
        <f t="shared" si="66"/>
        <v>-8.1499398746499585E-2</v>
      </c>
      <c r="P50" s="124">
        <f t="shared" si="66"/>
        <v>6.4873912398205613E-2</v>
      </c>
      <c r="Q50" s="124">
        <f t="shared" si="66"/>
        <v>6.9242358205814369E-3</v>
      </c>
      <c r="R50" s="124">
        <f t="shared" si="66"/>
        <v>-3.1666015920851054E-2</v>
      </c>
      <c r="S50" s="124">
        <f t="shared" si="66"/>
        <v>-4.9955413107489521E-2</v>
      </c>
      <c r="T50" s="124">
        <f t="shared" si="66"/>
        <v>0.14309327383636239</v>
      </c>
      <c r="U50" s="124">
        <f t="shared" si="66"/>
        <v>-3.3113215022647635E-3</v>
      </c>
      <c r="V50" s="124">
        <f t="shared" si="66"/>
        <v>6.0840744677556513E-2</v>
      </c>
      <c r="W50" s="124">
        <f t="shared" si="66"/>
        <v>1.5521699906355213E-2</v>
      </c>
      <c r="X50" s="124">
        <f t="shared" si="66"/>
        <v>1.353401702952528E-2</v>
      </c>
      <c r="Y50" s="124">
        <f t="shared" si="66"/>
        <v>5.6781200951023569E-2</v>
      </c>
      <c r="Z50" s="124">
        <f t="shared" si="66"/>
        <v>5.3055777809410065E-2</v>
      </c>
      <c r="AA50" s="124">
        <f t="shared" si="66"/>
        <v>1.9702516830262251E-2</v>
      </c>
      <c r="AB50" s="124">
        <f t="shared" si="66"/>
        <v>3.791792611823408E-2</v>
      </c>
      <c r="AC50" s="124">
        <f t="shared" si="66"/>
        <v>0.10858077090003615</v>
      </c>
      <c r="AD50" s="124">
        <f t="shared" si="66"/>
        <v>3.6311369727047405E-2</v>
      </c>
      <c r="AE50" s="124">
        <f t="shared" si="66"/>
        <v>-3.6399153433248177E-2</v>
      </c>
      <c r="AF50" s="124">
        <f t="shared" si="66"/>
        <v>-1.5878861819301981E-2</v>
      </c>
      <c r="AG50" s="124">
        <f t="shared" si="66"/>
        <v>4.4432757503693354E-2</v>
      </c>
      <c r="AH50" s="124">
        <f t="shared" si="66"/>
        <v>2.2856212032392076E-2</v>
      </c>
      <c r="AI50" s="454">
        <f t="shared" ref="AI50:AN50" si="67">AH50</f>
        <v>2.2856212032392076E-2</v>
      </c>
      <c r="AJ50" s="454">
        <f>AI50</f>
        <v>2.2856212032392076E-2</v>
      </c>
      <c r="AK50" s="454">
        <f>AJ50</f>
        <v>2.2856212032392076E-2</v>
      </c>
      <c r="AL50" s="454">
        <f>AK50</f>
        <v>2.2856212032392076E-2</v>
      </c>
      <c r="AM50" s="454">
        <f t="shared" si="67"/>
        <v>2.2856212032392076E-2</v>
      </c>
      <c r="AN50" s="454">
        <f t="shared" si="67"/>
        <v>2.2856212032392076E-2</v>
      </c>
    </row>
    <row r="51" spans="1:41">
      <c r="X51" s="29"/>
      <c r="Y51" s="29"/>
      <c r="Z51" s="29"/>
    </row>
    <row r="52" spans="1:41" s="7" customFormat="1">
      <c r="A52" s="88" t="s">
        <v>670</v>
      </c>
      <c r="B52" s="89"/>
      <c r="C52" s="89"/>
      <c r="D52" s="89"/>
      <c r="E52" s="89"/>
      <c r="F52" s="89"/>
      <c r="G52" s="89"/>
      <c r="H52" s="89"/>
      <c r="I52" s="89"/>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89"/>
      <c r="AL52" s="89"/>
      <c r="AM52" s="89"/>
      <c r="AN52" s="89"/>
    </row>
    <row r="53" spans="1:41" s="42" customFormat="1">
      <c r="A53" s="62" t="s">
        <v>669</v>
      </c>
      <c r="C53" s="79"/>
      <c r="D53" s="79"/>
      <c r="E53" s="79"/>
      <c r="F53" s="79"/>
      <c r="G53" s="79"/>
      <c r="H53" s="79"/>
      <c r="I53" s="79"/>
      <c r="J53" s="79"/>
      <c r="K53" s="79"/>
      <c r="L53" s="79">
        <f>+'HK Sales'!L36</f>
        <v>27712</v>
      </c>
      <c r="M53" s="79">
        <f>+'HK Sales'!M38</f>
        <v>31043.025000000001</v>
      </c>
      <c r="N53" s="79">
        <f>+'HK Sales'!N38</f>
        <v>31719</v>
      </c>
      <c r="O53" s="79">
        <f>+'HK Sales'!O38</f>
        <v>33879</v>
      </c>
      <c r="P53" s="79">
        <f>+'HK Sales'!P38</f>
        <v>34089</v>
      </c>
      <c r="Q53" s="79">
        <f>+'HK Sales'!Q38</f>
        <v>33997</v>
      </c>
      <c r="R53" s="79">
        <f>+'HK Sales'!R38</f>
        <v>33617</v>
      </c>
      <c r="S53" s="79">
        <f>+'HK Sales'!S38</f>
        <v>34301</v>
      </c>
      <c r="T53" s="79">
        <f>+'HK Sales'!T38</f>
        <v>33538</v>
      </c>
      <c r="U53" s="79">
        <f>+'HK Sales'!U38</f>
        <v>34125</v>
      </c>
      <c r="V53" s="79">
        <f>+'HK Sales'!V38</f>
        <v>33833</v>
      </c>
      <c r="W53" s="79">
        <f>+'HK Sales'!W38</f>
        <v>33433</v>
      </c>
      <c r="X53" s="108">
        <f>+'HK Sales'!X38</f>
        <v>34151</v>
      </c>
      <c r="Y53" s="108">
        <f>+'HK Sales'!Y38</f>
        <v>34217</v>
      </c>
      <c r="Z53" s="108">
        <f>+'HK Sales'!Z38</f>
        <v>34442</v>
      </c>
      <c r="AA53" s="108">
        <f>+'HK Sales'!AA38</f>
        <v>34505</v>
      </c>
      <c r="AB53" s="79">
        <f>+'HK Sales'!AB38</f>
        <v>34218</v>
      </c>
      <c r="AC53" s="79">
        <f>+'HK Sales'!AC38</f>
        <v>34284</v>
      </c>
      <c r="AD53" s="79">
        <f>+'HK Sales'!AD38</f>
        <v>33963</v>
      </c>
      <c r="AE53" s="79">
        <f>+'HK Sales'!AE38</f>
        <v>35355</v>
      </c>
      <c r="AF53" s="79">
        <f>+'HK Sales'!AF38</f>
        <v>34824</v>
      </c>
      <c r="AG53" s="79">
        <f>+'HK Sales'!AG38</f>
        <v>35392</v>
      </c>
      <c r="AH53" s="79">
        <f>+'HK Sales'!AH38</f>
        <v>36125</v>
      </c>
      <c r="AI53" s="79">
        <f>+'HK Sales'!AI38</f>
        <v>36733.828639983105</v>
      </c>
      <c r="AJ53" s="79">
        <f>+'HK Sales'!AJ38</f>
        <v>37373.579042158439</v>
      </c>
      <c r="AK53" s="79">
        <f>+'HK Sales'!AK38</f>
        <v>38045.099397734921</v>
      </c>
      <c r="AL53" s="79">
        <f>+'HK Sales'!AL38</f>
        <v>38749.269628507027</v>
      </c>
      <c r="AM53" s="79">
        <f>+'HK Sales'!AM38</f>
        <v>39487.002389265253</v>
      </c>
      <c r="AN53" s="79">
        <f>+'HK Sales'!AN38</f>
        <v>40259.244104845864</v>
      </c>
    </row>
    <row r="54" spans="1:41">
      <c r="A54" s="214" t="s">
        <v>270</v>
      </c>
      <c r="Q54" s="227"/>
      <c r="R54" s="227">
        <f t="shared" ref="R54:AF54" si="68">+R55/R53-1</f>
        <v>4.0604456078769724E-2</v>
      </c>
      <c r="S54" s="227">
        <f t="shared" si="68"/>
        <v>4.0727675577971523E-2</v>
      </c>
      <c r="T54" s="227">
        <f t="shared" si="68"/>
        <v>4.081936907388628E-2</v>
      </c>
      <c r="U54" s="227">
        <f t="shared" si="68"/>
        <v>4.08205128205128E-2</v>
      </c>
      <c r="V54" s="227">
        <f t="shared" si="68"/>
        <v>4.2680223450477284E-2</v>
      </c>
      <c r="W54" s="227">
        <f t="shared" si="68"/>
        <v>4.223372117369073E-2</v>
      </c>
      <c r="X54" s="228">
        <f t="shared" si="68"/>
        <v>4.4888875874791401E-2</v>
      </c>
      <c r="Y54" s="228">
        <f t="shared" si="68"/>
        <v>4.3078002162667772E-2</v>
      </c>
      <c r="Z54" s="228">
        <f t="shared" si="68"/>
        <v>4.1373903954474267E-2</v>
      </c>
      <c r="AA54" s="228">
        <f t="shared" si="68"/>
        <v>3.9965222431531666E-2</v>
      </c>
      <c r="AB54" s="228">
        <f t="shared" si="68"/>
        <v>3.8517739201589851E-2</v>
      </c>
      <c r="AC54" s="228">
        <f t="shared" si="68"/>
        <v>3.9960331349900846E-2</v>
      </c>
      <c r="AD54" s="228">
        <f t="shared" si="68"/>
        <v>3.7393634249035745E-2</v>
      </c>
      <c r="AE54" s="228">
        <f t="shared" si="68"/>
        <v>3.815584782916126E-2</v>
      </c>
      <c r="AF54" s="228">
        <f t="shared" si="68"/>
        <v>3.6354238456236976E-2</v>
      </c>
      <c r="AG54" s="228">
        <f t="shared" ref="AG54:AH54" si="69">+AG55/AG53-1</f>
        <v>3.5968580470162825E-2</v>
      </c>
      <c r="AH54" s="228">
        <f t="shared" si="69"/>
        <v>3.5626297577854737E-2</v>
      </c>
      <c r="AI54" s="229">
        <f t="shared" ref="AI54:AN54" si="70">+AH54</f>
        <v>3.5626297577854737E-2</v>
      </c>
      <c r="AJ54" s="229">
        <f>+AI54</f>
        <v>3.5626297577854737E-2</v>
      </c>
      <c r="AK54" s="229">
        <f>+AJ54</f>
        <v>3.5626297577854737E-2</v>
      </c>
      <c r="AL54" s="229">
        <f>+AK54</f>
        <v>3.5626297577854737E-2</v>
      </c>
      <c r="AM54" s="229">
        <f t="shared" si="70"/>
        <v>3.5626297577854737E-2</v>
      </c>
      <c r="AN54" s="229">
        <f t="shared" si="70"/>
        <v>3.5626297577854737E-2</v>
      </c>
    </row>
    <row r="55" spans="1:41">
      <c r="A55" s="62" t="s">
        <v>254</v>
      </c>
      <c r="B55" s="42"/>
      <c r="C55" s="42"/>
      <c r="D55" s="42"/>
      <c r="E55" s="42"/>
      <c r="F55" s="42"/>
      <c r="G55" s="42"/>
      <c r="H55" s="42"/>
      <c r="I55" s="42"/>
      <c r="J55" s="42"/>
      <c r="K55" s="42"/>
      <c r="L55" s="42"/>
      <c r="M55" s="42"/>
      <c r="N55" s="42"/>
      <c r="O55" s="42"/>
      <c r="P55" s="42"/>
      <c r="Q55" s="42"/>
      <c r="R55" s="79">
        <f t="shared" ref="R55:AD55" si="71">+SUM(R56:R57)</f>
        <v>34982</v>
      </c>
      <c r="S55" s="79">
        <f t="shared" si="71"/>
        <v>35698</v>
      </c>
      <c r="T55" s="79">
        <f t="shared" si="71"/>
        <v>34907</v>
      </c>
      <c r="U55" s="79">
        <f t="shared" si="71"/>
        <v>35518</v>
      </c>
      <c r="V55" s="79">
        <f t="shared" si="71"/>
        <v>35277</v>
      </c>
      <c r="W55" s="79">
        <f t="shared" si="71"/>
        <v>34845</v>
      </c>
      <c r="X55" s="108">
        <f t="shared" si="71"/>
        <v>35684</v>
      </c>
      <c r="Y55" s="108">
        <f t="shared" si="71"/>
        <v>35691</v>
      </c>
      <c r="Z55" s="108">
        <f t="shared" si="71"/>
        <v>35867</v>
      </c>
      <c r="AA55" s="108">
        <f t="shared" si="71"/>
        <v>35884</v>
      </c>
      <c r="AB55" s="108">
        <f t="shared" si="71"/>
        <v>35536</v>
      </c>
      <c r="AC55" s="108">
        <f t="shared" si="71"/>
        <v>35654</v>
      </c>
      <c r="AD55" s="108">
        <f t="shared" si="71"/>
        <v>35233</v>
      </c>
      <c r="AE55" s="108">
        <f>+SUM(AE56:AE57)</f>
        <v>36704</v>
      </c>
      <c r="AF55" s="108">
        <f>+SUM(AF56:AF57)</f>
        <v>36090</v>
      </c>
      <c r="AG55" s="108">
        <f>+SUM(AG56:AG57)</f>
        <v>36665</v>
      </c>
      <c r="AH55" s="108">
        <f>+SUM(AH56:AH57)</f>
        <v>37412</v>
      </c>
      <c r="AI55" s="100">
        <f t="shared" ref="AI55:AN55" si="72">+AI53*(1+AI54)</f>
        <v>38042.518950285063</v>
      </c>
      <c r="AJ55" s="100">
        <f t="shared" si="72"/>
        <v>38705.061290663849</v>
      </c>
      <c r="AK55" s="100">
        <f t="shared" si="72"/>
        <v>39400.50543025769</v>
      </c>
      <c r="AL55" s="100">
        <f t="shared" si="72"/>
        <v>40129.762639216744</v>
      </c>
      <c r="AM55" s="100">
        <f t="shared" si="72"/>
        <v>40893.778086842678</v>
      </c>
      <c r="AN55" s="100">
        <f t="shared" si="72"/>
        <v>41693.531915584594</v>
      </c>
    </row>
    <row r="56" spans="1:41">
      <c r="A56" s="111" t="s">
        <v>666</v>
      </c>
      <c r="B56" s="33">
        <v>0</v>
      </c>
      <c r="C56" s="33">
        <v>0</v>
      </c>
      <c r="D56" s="17">
        <v>6430</v>
      </c>
      <c r="E56" s="17">
        <v>6755</v>
      </c>
      <c r="F56" s="17">
        <v>7467</v>
      </c>
      <c r="G56" s="17">
        <v>7361</v>
      </c>
      <c r="H56" s="17">
        <v>7825</v>
      </c>
      <c r="I56" s="17">
        <f>8819+1680</f>
        <v>10499</v>
      </c>
      <c r="J56" s="17">
        <v>9735</v>
      </c>
      <c r="K56" s="17">
        <v>9961</v>
      </c>
      <c r="L56" s="17">
        <v>9784</v>
      </c>
      <c r="M56" s="17">
        <v>9968</v>
      </c>
      <c r="N56" s="17">
        <f>9165+1</f>
        <v>9166</v>
      </c>
      <c r="O56" s="17">
        <f>10212+3</f>
        <v>10215</v>
      </c>
      <c r="P56" s="17">
        <f>10256+5</f>
        <v>10261</v>
      </c>
      <c r="Q56" s="17">
        <f>10164+6</f>
        <v>10170</v>
      </c>
      <c r="R56" s="17">
        <f>10653+5</f>
        <v>10658</v>
      </c>
      <c r="S56" s="17">
        <f>10773+5</f>
        <v>10778</v>
      </c>
      <c r="T56" s="17">
        <f>10350+5</f>
        <v>10355</v>
      </c>
      <c r="U56" s="17">
        <f>10558+5</f>
        <v>10563</v>
      </c>
      <c r="V56" s="54">
        <f>11172+3</f>
        <v>11175</v>
      </c>
      <c r="W56" s="17">
        <f>9757+4</f>
        <v>9761</v>
      </c>
      <c r="X56" s="17">
        <f>10084+3</f>
        <v>10087</v>
      </c>
      <c r="Y56" s="17">
        <f>11612+4</f>
        <v>11616</v>
      </c>
      <c r="Z56" s="17">
        <f>11501+4</f>
        <v>11505</v>
      </c>
      <c r="AA56" s="17">
        <f>12426+2</f>
        <v>12428</v>
      </c>
      <c r="AB56" s="17">
        <f>12501+3</f>
        <v>12504</v>
      </c>
      <c r="AC56" s="17">
        <f>12276+9</f>
        <v>12285</v>
      </c>
      <c r="AD56" s="17">
        <f>12583+45</f>
        <v>12628</v>
      </c>
      <c r="AE56" s="17">
        <f>12484+111</f>
        <v>12595</v>
      </c>
      <c r="AF56" s="17">
        <f>12289+199</f>
        <v>12488</v>
      </c>
      <c r="AG56" s="17">
        <f>11552+267</f>
        <v>11819</v>
      </c>
      <c r="AH56" s="17">
        <f>11335+316</f>
        <v>11651</v>
      </c>
      <c r="AI56" s="55">
        <f t="shared" ref="AI56:AN56" si="73">AH56</f>
        <v>11651</v>
      </c>
      <c r="AJ56" s="55">
        <f>AI56</f>
        <v>11651</v>
      </c>
      <c r="AK56" s="55">
        <f>AJ56</f>
        <v>11651</v>
      </c>
      <c r="AL56" s="55">
        <f>AK56</f>
        <v>11651</v>
      </c>
      <c r="AM56" s="55">
        <f t="shared" si="73"/>
        <v>11651</v>
      </c>
      <c r="AN56" s="55">
        <f t="shared" si="73"/>
        <v>11651</v>
      </c>
    </row>
    <row r="57" spans="1:41">
      <c r="A57" s="111" t="s">
        <v>667</v>
      </c>
      <c r="R57" s="7">
        <v>24324</v>
      </c>
      <c r="S57" s="7">
        <v>24920</v>
      </c>
      <c r="T57" s="7">
        <v>24552</v>
      </c>
      <c r="U57" s="7">
        <v>24955</v>
      </c>
      <c r="V57" s="7">
        <v>24102</v>
      </c>
      <c r="W57" s="50">
        <v>25084</v>
      </c>
      <c r="X57" s="17">
        <v>25597</v>
      </c>
      <c r="Y57" s="17">
        <v>24075</v>
      </c>
      <c r="Z57" s="17">
        <v>24362</v>
      </c>
      <c r="AA57" s="50">
        <v>23456</v>
      </c>
      <c r="AB57" s="50">
        <v>23032</v>
      </c>
      <c r="AC57" s="50">
        <v>23369</v>
      </c>
      <c r="AD57" s="50">
        <v>22605</v>
      </c>
      <c r="AE57" s="50">
        <v>24109</v>
      </c>
      <c r="AF57" s="50">
        <v>23602</v>
      </c>
      <c r="AG57" s="50">
        <v>24846</v>
      </c>
      <c r="AH57" s="50">
        <v>25761</v>
      </c>
      <c r="AI57" s="148">
        <f t="shared" ref="AI57:AN57" si="74">+AI55-AI56</f>
        <v>26391.518950285063</v>
      </c>
      <c r="AJ57" s="148">
        <f t="shared" si="74"/>
        <v>27054.061290663849</v>
      </c>
      <c r="AK57" s="148">
        <f t="shared" si="74"/>
        <v>27749.50543025769</v>
      </c>
      <c r="AL57" s="148">
        <f t="shared" si="74"/>
        <v>28478.762639216744</v>
      </c>
      <c r="AM57" s="148">
        <f t="shared" si="74"/>
        <v>29242.778086842678</v>
      </c>
      <c r="AN57" s="148">
        <f t="shared" si="74"/>
        <v>30042.531915584594</v>
      </c>
    </row>
    <row r="58" spans="1:41">
      <c r="A58" s="29" t="s">
        <v>187</v>
      </c>
      <c r="R58" s="7"/>
      <c r="S58" s="7">
        <v>8871</v>
      </c>
      <c r="T58" s="7">
        <v>10548</v>
      </c>
      <c r="U58" s="7">
        <v>7311</v>
      </c>
      <c r="V58" s="30">
        <v>6787</v>
      </c>
      <c r="W58" s="50">
        <v>5675</v>
      </c>
      <c r="X58" s="17">
        <v>5315</v>
      </c>
      <c r="Y58" s="17">
        <v>8899</v>
      </c>
      <c r="Z58" s="17">
        <v>9175</v>
      </c>
      <c r="AA58" s="50">
        <v>9550</v>
      </c>
      <c r="AB58" s="50">
        <v>9304</v>
      </c>
      <c r="AC58" s="50">
        <v>10315</v>
      </c>
      <c r="AD58" s="17">
        <f>AC58/107183*134776</f>
        <v>12970.475168636816</v>
      </c>
      <c r="AE58" s="17">
        <f>AD58/134776*142304</f>
        <v>13694.949385630183</v>
      </c>
      <c r="AF58" s="50">
        <f>AE58/142304*151327</f>
        <v>14563.298330892025</v>
      </c>
      <c r="AG58" s="50">
        <f>AF58/151327*146370</f>
        <v>14086.250151609864</v>
      </c>
      <c r="AH58" s="50">
        <f>AG58/146370*151371</f>
        <v>14567.53277105511</v>
      </c>
      <c r="AI58" s="148">
        <f t="shared" ref="AI58:AN58" si="75">+AI57-AI59</f>
        <v>17039.087996806556</v>
      </c>
      <c r="AJ58" s="148">
        <f t="shared" si="75"/>
        <v>17902.540937185346</v>
      </c>
      <c r="AK58" s="148">
        <f t="shared" si="75"/>
        <v>18798.89567677919</v>
      </c>
      <c r="AL58" s="148">
        <f t="shared" si="75"/>
        <v>19729.063485738243</v>
      </c>
      <c r="AM58" s="148">
        <f t="shared" si="75"/>
        <v>20693.989533364176</v>
      </c>
      <c r="AN58" s="148">
        <f t="shared" si="75"/>
        <v>22006.107915584595</v>
      </c>
    </row>
    <row r="59" spans="1:41">
      <c r="A59" s="29" t="s">
        <v>253</v>
      </c>
      <c r="R59" s="7"/>
      <c r="S59" s="7">
        <v>16049</v>
      </c>
      <c r="T59" s="7">
        <v>14004</v>
      </c>
      <c r="U59" s="7">
        <v>17644</v>
      </c>
      <c r="V59" s="7">
        <v>17310</v>
      </c>
      <c r="W59" s="50">
        <v>19409</v>
      </c>
      <c r="X59" s="17">
        <v>20280</v>
      </c>
      <c r="Y59" s="17">
        <v>15176</v>
      </c>
      <c r="Z59" s="17">
        <v>15187</v>
      </c>
      <c r="AA59" s="50">
        <v>13906</v>
      </c>
      <c r="AB59" s="50">
        <v>13727</v>
      </c>
      <c r="AC59" s="50">
        <v>13052</v>
      </c>
      <c r="AD59" s="17">
        <f>AD57-AD58</f>
        <v>9634.5248313631837</v>
      </c>
      <c r="AE59" s="17">
        <f>AE57-AE58</f>
        <v>10414.050614369817</v>
      </c>
      <c r="AF59" s="17">
        <f>AF57-AF58</f>
        <v>9038.7016691079752</v>
      </c>
      <c r="AG59" s="17">
        <f>AG57-AG58</f>
        <v>10759.749848390136</v>
      </c>
      <c r="AH59" s="17">
        <f>AH57-AH58</f>
        <v>11193.46722894489</v>
      </c>
      <c r="AI59" s="148">
        <f>+AI62*AVERAGE(ROAFNA!AH64:AI64)*8760/1000</f>
        <v>9352.4309534785043</v>
      </c>
      <c r="AJ59" s="148">
        <f>+AJ62*AVERAGE(ROAFNA!AI64:AJ64)*8760/1000</f>
        <v>9151.5203534785032</v>
      </c>
      <c r="AK59" s="148">
        <f>+AK62*AVERAGE(ROAFNA!AJ64:AK64)*8760/1000</f>
        <v>8950.6097534785022</v>
      </c>
      <c r="AL59" s="148">
        <f>+AL62*AVERAGE(ROAFNA!AK64:AL64)*8760/1000</f>
        <v>8749.6991534785011</v>
      </c>
      <c r="AM59" s="148">
        <f>+AM62*AVERAGE(ROAFNA!AL64:AM64)*8760/1000</f>
        <v>8548.7885534785019</v>
      </c>
      <c r="AN59" s="148">
        <f>+AN62*AVERAGE(ROAFNA!AM64:AN64)*8760/1000</f>
        <v>8036.424</v>
      </c>
      <c r="AO59" s="226"/>
    </row>
    <row r="60" spans="1:41">
      <c r="A60" s="62" t="s">
        <v>68</v>
      </c>
      <c r="X60" s="29"/>
    </row>
    <row r="61" spans="1:41">
      <c r="A61" s="29" t="s">
        <v>28</v>
      </c>
      <c r="S61" s="226"/>
      <c r="T61" s="226">
        <f>+T58/AVERAGE(ROAFNA!S65:T65)/8760*1000</f>
        <v>0.48164383561643831</v>
      </c>
      <c r="U61" s="226">
        <f>+U58/AVERAGE(ROAFNA!T65:U65)/8760*1000</f>
        <v>0.33383561643835613</v>
      </c>
      <c r="V61" s="226">
        <f>+V58/AVERAGE(ROAFNA!U65:V65)/8760*1000</f>
        <v>0.30990867579908676</v>
      </c>
      <c r="W61" s="226">
        <f>+W58/AVERAGE(ROAFNA!V65:W65)/8760*1000</f>
        <v>0.2591324200913242</v>
      </c>
      <c r="X61" s="226">
        <f>+X58/AVERAGE(ROAFNA!W65:X65)/8760*1000</f>
        <v>0.24269406392694062</v>
      </c>
      <c r="Y61" s="226">
        <f>+Y58/AVERAGE(ROAFNA!X65:Y65)/8760*1000</f>
        <v>0.40634703196347033</v>
      </c>
      <c r="Z61" s="226">
        <f>+Z58/AVERAGE(ROAFNA!Y65:Z65)/8760*1000</f>
        <v>0.41686544446716189</v>
      </c>
      <c r="AA61" s="226">
        <f>+AA58/AVERAGE(ROAFNA!Z65:AA65)/8760*1000</f>
        <v>0.43175550431755505</v>
      </c>
      <c r="AB61" s="226">
        <f>+AB58/AVERAGE(ROAFNA!AA65:AB65)/8760*1000</f>
        <v>0.41650998298862923</v>
      </c>
      <c r="AC61" s="226">
        <f>+AC58/AVERAGE(ROAFNA!AB65:AC65)/8760*1000</f>
        <v>0.4550768755652615</v>
      </c>
      <c r="AD61" s="226">
        <f>+AD58/AVERAGE(ROAFNA!AC65:AD65)/8760*1000</f>
        <v>0.51277847629472084</v>
      </c>
      <c r="AE61" s="226">
        <f>+AE58/AVERAGE(ROAFNA!AD65:AE65)/8760*1000</f>
        <v>0.48854699577733252</v>
      </c>
      <c r="AF61" s="226">
        <f>+AF58/AVERAGE(ROAFNA!AE65:AF65)/8760*1000</f>
        <v>0.51350640259840352</v>
      </c>
      <c r="AG61" s="226">
        <f>+AG58/AVERAGE(ROAFNA!AF65:AG65)/8760*1000</f>
        <v>0.49477520729223268</v>
      </c>
      <c r="AH61" s="226">
        <f>+AH58/AVERAGE(ROAFNA!AG65:AH65)/8760*1000</f>
        <v>0.51168011138233627</v>
      </c>
      <c r="AI61" s="226">
        <f>+AI58/AVERAGE(ROAFNA!AH65:AI65)/8760*1000</f>
        <v>0.5984927290764509</v>
      </c>
      <c r="AJ61" s="226">
        <f>+AJ58/AVERAGE(ROAFNA!AI65:AJ65)/8760*1000</f>
        <v>0.62882124823271313</v>
      </c>
      <c r="AK61" s="226">
        <f>+AK58/AVERAGE(ROAFNA!AJ65:AK65)/8760*1000</f>
        <v>0.66030543297433053</v>
      </c>
      <c r="AL61" s="226">
        <f>+AL58/AVERAGE(ROAFNA!AK65:AL65)/8760*1000</f>
        <v>0.63891523319208021</v>
      </c>
      <c r="AM61" s="226">
        <f>+AM58/AVERAGE(ROAFNA!AL65:AM65)/8760*1000</f>
        <v>0.62166515060574912</v>
      </c>
      <c r="AN61" s="226">
        <f>+AN58/AVERAGE(ROAFNA!AM65:AN65)/8760*1000</f>
        <v>0.66108230940833312</v>
      </c>
    </row>
    <row r="62" spans="1:41">
      <c r="A62" s="29" t="s">
        <v>269</v>
      </c>
      <c r="S62" s="226"/>
      <c r="T62" s="226">
        <f>+T59/AVERAGE(ROAFNA!S64:T64)/8760*1000</f>
        <v>0.38915047151565269</v>
      </c>
      <c r="U62" s="226">
        <f>+U59/AVERAGE(ROAFNA!T64:U64)/8760*1000</f>
        <v>0.49030069404614224</v>
      </c>
      <c r="V62" s="226">
        <f>+V59/AVERAGE(ROAFNA!U64:V64)/8760*1000</f>
        <v>0.48101932747328968</v>
      </c>
      <c r="W62" s="226">
        <f>+W59/AVERAGE(ROAFNA!V64:W64)/8760*1000</f>
        <v>0.53934743656436046</v>
      </c>
      <c r="X62" s="226">
        <f>+X59/AVERAGE(ROAFNA!W64:X64)/8760*1000</f>
        <v>0.56355123981272759</v>
      </c>
      <c r="Y62" s="226">
        <f>+Y59/AVERAGE(ROAFNA!X64:Y64)/8760*1000</f>
        <v>0.42171862008865657</v>
      </c>
      <c r="Z62" s="226">
        <f>+Z59/AVERAGE(ROAFNA!Y64:Z64)/8760*1000</f>
        <v>0.42202429383806184</v>
      </c>
      <c r="AA62" s="226">
        <f>+AA59/AVERAGE(ROAFNA!Z64:AA64)/8760*1000</f>
        <v>0.386427196293678</v>
      </c>
      <c r="AB62" s="226">
        <f>+AB59/AVERAGE(ROAFNA!AA64:AB64)/8760*1000</f>
        <v>0.38145305073517322</v>
      </c>
      <c r="AC62" s="226">
        <f>+AC59/AVERAGE(ROAFNA!AB64:AC64)/8760*1000</f>
        <v>0.36269579793075546</v>
      </c>
      <c r="AD62" s="226">
        <f>+AD59/AVERAGE(ROAFNA!AC64:AD64)/8760*1000</f>
        <v>0.26772921172195424</v>
      </c>
      <c r="AE62" s="226">
        <f>+AE59/AVERAGE(ROAFNA!AD64:AE64)/8760*1000</f>
        <v>0.28939108161738697</v>
      </c>
      <c r="AF62" s="226">
        <f>+AF59/AVERAGE(ROAFNA!AE64:AF64)/8760*1000</f>
        <v>0.25117216626840089</v>
      </c>
      <c r="AG62" s="226">
        <f>+AG59/AVERAGE(ROAFNA!AF64:AG64)/8760*1000</f>
        <v>0.29899755262007244</v>
      </c>
      <c r="AH62" s="226">
        <f>+AH59/AVERAGE(ROAFNA!AG64:AH64)/8760*1000</f>
        <v>0.35662658740299802</v>
      </c>
      <c r="AI62" s="230">
        <f t="shared" ref="AI62:AM62" si="76">+MAX($AN$62,AH62-0.75%)</f>
        <v>0.34912658740299801</v>
      </c>
      <c r="AJ62" s="230">
        <f t="shared" si="76"/>
        <v>0.34162658740299801</v>
      </c>
      <c r="AK62" s="230">
        <f t="shared" si="76"/>
        <v>0.334126587402998</v>
      </c>
      <c r="AL62" s="230">
        <f t="shared" si="76"/>
        <v>0.32662658740299799</v>
      </c>
      <c r="AM62" s="230">
        <f t="shared" si="76"/>
        <v>0.31912658740299799</v>
      </c>
      <c r="AN62" s="230">
        <v>0.3</v>
      </c>
    </row>
    <row r="63" spans="1:41">
      <c r="A63" s="62" t="s">
        <v>267</v>
      </c>
      <c r="X63" s="29"/>
      <c r="Y63" s="29"/>
      <c r="Z63" s="29"/>
    </row>
    <row r="64" spans="1:41">
      <c r="A64" s="29" t="s">
        <v>262</v>
      </c>
      <c r="S64" s="226">
        <f t="shared" ref="S64:AF64" si="77">+(S56/S$55)</f>
        <v>0.30192167628438565</v>
      </c>
      <c r="T64" s="226">
        <f t="shared" si="77"/>
        <v>0.29664537198842639</v>
      </c>
      <c r="U64" s="226">
        <f t="shared" si="77"/>
        <v>0.29739850216791486</v>
      </c>
      <c r="V64" s="226">
        <f t="shared" si="77"/>
        <v>0.31677863763925501</v>
      </c>
      <c r="W64" s="226">
        <f t="shared" si="77"/>
        <v>0.28012627349691493</v>
      </c>
      <c r="X64" s="13">
        <f t="shared" si="77"/>
        <v>0.28267570900123307</v>
      </c>
      <c r="Y64" s="226">
        <f t="shared" si="77"/>
        <v>0.32546020005043286</v>
      </c>
      <c r="Z64" s="226">
        <f t="shared" si="77"/>
        <v>0.32076839434577747</v>
      </c>
      <c r="AA64" s="226">
        <f t="shared" si="77"/>
        <v>0.34633820086946826</v>
      </c>
      <c r="AB64" s="226">
        <f t="shared" si="77"/>
        <v>0.35186852769022964</v>
      </c>
      <c r="AC64" s="226">
        <f t="shared" si="77"/>
        <v>0.34456162001458462</v>
      </c>
      <c r="AD64" s="226">
        <f t="shared" si="77"/>
        <v>0.35841398688729315</v>
      </c>
      <c r="AE64" s="226">
        <f t="shared" si="77"/>
        <v>0.34315061028770705</v>
      </c>
      <c r="AF64" s="226">
        <f t="shared" si="77"/>
        <v>0.34602382931559988</v>
      </c>
      <c r="AG64" s="226">
        <f t="shared" ref="AG64" si="78">+(AG56/AG$55)</f>
        <v>0.32235101595527071</v>
      </c>
      <c r="AH64" s="226">
        <f t="shared" ref="AH64" si="79">+(AH56/AH$55)</f>
        <v>0.3114241419865284</v>
      </c>
      <c r="AI64" s="226">
        <f t="shared" ref="AI64:AN64" si="80">+(AI56/AI$55)</f>
        <v>0.30626257991027944</v>
      </c>
      <c r="AJ64" s="226">
        <f t="shared" si="80"/>
        <v>0.30102006330656217</v>
      </c>
      <c r="AK64" s="226">
        <f t="shared" si="80"/>
        <v>0.29570686651782374</v>
      </c>
      <c r="AL64" s="226">
        <f t="shared" si="80"/>
        <v>0.29033314013709316</v>
      </c>
      <c r="AM64" s="226">
        <f t="shared" si="80"/>
        <v>0.2849088674384096</v>
      </c>
      <c r="AN64" s="226">
        <f t="shared" si="80"/>
        <v>0.27944382413054775</v>
      </c>
    </row>
    <row r="65" spans="1:40">
      <c r="A65" s="29" t="s">
        <v>268</v>
      </c>
      <c r="S65" s="226">
        <f t="shared" ref="S65:AF65" si="81">+(S58/S$55)</f>
        <v>0.24850131660036978</v>
      </c>
      <c r="T65" s="226">
        <f t="shared" si="81"/>
        <v>0.3021743489844444</v>
      </c>
      <c r="U65" s="226">
        <f t="shared" si="81"/>
        <v>0.20583929275297033</v>
      </c>
      <c r="V65" s="226">
        <f t="shared" si="81"/>
        <v>0.19239164328032429</v>
      </c>
      <c r="W65" s="226">
        <f t="shared" si="81"/>
        <v>0.16286411249820634</v>
      </c>
      <c r="X65" s="13">
        <f t="shared" si="81"/>
        <v>0.14894630646788476</v>
      </c>
      <c r="Y65" s="226">
        <f t="shared" si="81"/>
        <v>0.24933456613712141</v>
      </c>
      <c r="Z65" s="226">
        <f t="shared" si="81"/>
        <v>0.25580617280508544</v>
      </c>
      <c r="AA65" s="226">
        <f t="shared" si="81"/>
        <v>0.26613532493590458</v>
      </c>
      <c r="AB65" s="226">
        <f t="shared" si="81"/>
        <v>0.26181900045024764</v>
      </c>
      <c r="AC65" s="226">
        <f t="shared" si="81"/>
        <v>0.28930835249901832</v>
      </c>
      <c r="AD65" s="226">
        <f t="shared" si="81"/>
        <v>0.3681342823102437</v>
      </c>
      <c r="AE65" s="226">
        <f t="shared" si="81"/>
        <v>0.37311871691451021</v>
      </c>
      <c r="AF65" s="226">
        <f t="shared" si="81"/>
        <v>0.40352724663042461</v>
      </c>
      <c r="AG65" s="226">
        <f t="shared" ref="AG65" si="82">+(AG58/AG$55)</f>
        <v>0.38418792176762206</v>
      </c>
      <c r="AH65" s="226">
        <f t="shared" ref="AH65" si="83">+(AH58/AH$55)</f>
        <v>0.38938128865217336</v>
      </c>
      <c r="AI65" s="226">
        <f t="shared" ref="AI65:AI66" si="84">+(AI58/AI$55)</f>
        <v>0.44789589298946458</v>
      </c>
      <c r="AJ65" s="226">
        <f t="shared" ref="AJ65:AN66" si="85">+(AJ58/AJ$55)</f>
        <v>0.46253746513259403</v>
      </c>
      <c r="AK65" s="226">
        <f t="shared" si="85"/>
        <v>0.47712321127592805</v>
      </c>
      <c r="AL65" s="226">
        <f t="shared" si="85"/>
        <v>0.49163170146583546</v>
      </c>
      <c r="AM65" s="226">
        <f t="shared" si="85"/>
        <v>0.50604249598601747</v>
      </c>
      <c r="AN65" s="226">
        <f t="shared" si="85"/>
        <v>0.52780627844480954</v>
      </c>
    </row>
    <row r="66" spans="1:40">
      <c r="A66" s="29" t="s">
        <v>269</v>
      </c>
      <c r="S66" s="226">
        <f t="shared" ref="S66:AF66" si="86">+(S59/S$55)</f>
        <v>0.44957700711524456</v>
      </c>
      <c r="T66" s="226">
        <f t="shared" si="86"/>
        <v>0.40118027902712922</v>
      </c>
      <c r="U66" s="226">
        <f t="shared" si="86"/>
        <v>0.49676220507911484</v>
      </c>
      <c r="V66" s="226">
        <f t="shared" si="86"/>
        <v>0.49068798367208094</v>
      </c>
      <c r="W66" s="226">
        <f t="shared" si="86"/>
        <v>0.55700961400487869</v>
      </c>
      <c r="X66" s="13">
        <f t="shared" si="86"/>
        <v>0.56832193700257816</v>
      </c>
      <c r="Y66" s="226">
        <f t="shared" si="86"/>
        <v>0.42520523381244574</v>
      </c>
      <c r="Z66" s="226">
        <f t="shared" si="86"/>
        <v>0.42342543284913708</v>
      </c>
      <c r="AA66" s="226">
        <f t="shared" si="86"/>
        <v>0.38752647419462716</v>
      </c>
      <c r="AB66" s="226">
        <f t="shared" si="86"/>
        <v>0.38628433138226026</v>
      </c>
      <c r="AC66" s="226">
        <f t="shared" si="86"/>
        <v>0.36607393279856398</v>
      </c>
      <c r="AD66" s="226">
        <f t="shared" si="86"/>
        <v>0.27345173080246316</v>
      </c>
      <c r="AE66" s="226">
        <f t="shared" si="86"/>
        <v>0.28373067279778269</v>
      </c>
      <c r="AF66" s="226">
        <f t="shared" si="86"/>
        <v>0.25044892405397551</v>
      </c>
      <c r="AG66" s="226">
        <f t="shared" ref="AG66" si="87">+(AG59/AG$55)</f>
        <v>0.29346106227710722</v>
      </c>
      <c r="AH66" s="226">
        <f t="shared" ref="AH66" si="88">+(AH59/AH$55)</f>
        <v>0.29919456936129823</v>
      </c>
      <c r="AI66" s="226">
        <f t="shared" si="84"/>
        <v>0.24584152710025592</v>
      </c>
      <c r="AJ66" s="226">
        <f t="shared" si="85"/>
        <v>0.2364424715608438</v>
      </c>
      <c r="AK66" s="226">
        <f t="shared" si="85"/>
        <v>0.22716992220624826</v>
      </c>
      <c r="AL66" s="226">
        <f t="shared" si="85"/>
        <v>0.21803515839707141</v>
      </c>
      <c r="AM66" s="226">
        <f t="shared" si="85"/>
        <v>0.2090486365755729</v>
      </c>
      <c r="AN66" s="226">
        <f t="shared" si="85"/>
        <v>0.19274989742464277</v>
      </c>
    </row>
    <row r="67" spans="1:40">
      <c r="A67" s="29"/>
      <c r="S67" s="226"/>
      <c r="T67" s="226"/>
      <c r="U67" s="226"/>
      <c r="V67" s="226"/>
      <c r="W67" s="226"/>
      <c r="X67" s="13"/>
      <c r="Y67" s="226"/>
      <c r="Z67" s="226"/>
      <c r="AA67" s="226"/>
      <c r="AB67" s="226"/>
      <c r="AC67" s="226"/>
      <c r="AD67" s="226"/>
      <c r="AE67" s="226"/>
      <c r="AF67" s="226"/>
      <c r="AG67" s="226"/>
      <c r="AH67" s="226"/>
      <c r="AI67" s="226"/>
      <c r="AJ67" s="226"/>
      <c r="AK67" s="226"/>
      <c r="AL67" s="226"/>
      <c r="AM67" s="226"/>
      <c r="AN67" s="226"/>
    </row>
    <row r="68" spans="1:40" s="7" customFormat="1">
      <c r="A68" s="88" t="s">
        <v>167</v>
      </c>
      <c r="B68" s="89"/>
      <c r="C68" s="89"/>
      <c r="D68" s="89"/>
      <c r="E68" s="89"/>
      <c r="F68" s="89"/>
      <c r="G68" s="89"/>
      <c r="H68" s="89"/>
      <c r="I68" s="89"/>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row>
    <row r="69" spans="1:40" s="42" customFormat="1">
      <c r="A69" s="185" t="s">
        <v>668</v>
      </c>
      <c r="B69" s="108">
        <f>SOC!B6</f>
        <v>-2922</v>
      </c>
      <c r="C69" s="108">
        <f>SOC!C6</f>
        <v>-3064</v>
      </c>
      <c r="D69" s="108">
        <f>SOC!D6</f>
        <v>-1923</v>
      </c>
      <c r="E69" s="108">
        <f>SOC!E6</f>
        <v>-2085</v>
      </c>
      <c r="F69" s="108">
        <f>SOC!F6</f>
        <v>-2226</v>
      </c>
      <c r="G69" s="108">
        <f>SOC!G6</f>
        <v>-3045</v>
      </c>
      <c r="H69" s="108">
        <f>SOC!H6</f>
        <v>-2801</v>
      </c>
      <c r="I69" s="108">
        <f>SOC!I6</f>
        <v>-3600</v>
      </c>
      <c r="J69" s="108">
        <f>SOC!J6</f>
        <v>-2912</v>
      </c>
      <c r="K69" s="108">
        <f>SOC!K6</f>
        <v>-2897</v>
      </c>
      <c r="L69" s="108">
        <f>SOC!L6</f>
        <v>-3268</v>
      </c>
      <c r="M69" s="108">
        <f>SOC!M6</f>
        <v>-2901</v>
      </c>
      <c r="N69" s="108">
        <f>SOC!N6</f>
        <v>-3482</v>
      </c>
      <c r="O69" s="108">
        <f>SOC!O6</f>
        <v>-4153</v>
      </c>
      <c r="P69" s="108">
        <f>SOC!P6</f>
        <v>-4363</v>
      </c>
      <c r="Q69" s="108">
        <f>SOC!Q6</f>
        <v>-4905</v>
      </c>
      <c r="R69" s="108">
        <f>SOC!R6</f>
        <v>-6768</v>
      </c>
      <c r="S69" s="108">
        <f>SOC!S6</f>
        <v>-7029</v>
      </c>
      <c r="T69" s="108">
        <f>SOC!T6</f>
        <v>-7848</v>
      </c>
      <c r="U69" s="108">
        <f>SOC!U6</f>
        <v>-8784</v>
      </c>
      <c r="V69" s="108">
        <f>SOC!V6</f>
        <v>-10061</v>
      </c>
      <c r="W69" s="108">
        <f>SOC!W6</f>
        <v>-9645</v>
      </c>
      <c r="X69" s="108">
        <f>SOC!X6</f>
        <v>-10375</v>
      </c>
      <c r="Y69" s="108">
        <f>SOC!Y6</f>
        <v>-12682</v>
      </c>
      <c r="Z69" s="108">
        <f>SOC!Z6</f>
        <v>-10978</v>
      </c>
      <c r="AA69" s="108">
        <f>SOC!AA6</f>
        <v>-11901</v>
      </c>
      <c r="AB69" s="108">
        <f>SOC!AB6</f>
        <v>-13102</v>
      </c>
      <c r="AC69" s="108">
        <f>SOC!AC6</f>
        <v>-13150</v>
      </c>
      <c r="AD69" s="108">
        <f>SOC!AD6</f>
        <v>-13790</v>
      </c>
      <c r="AE69" s="108">
        <f>SOC!AE6</f>
        <v>-15667</v>
      </c>
      <c r="AF69" s="108">
        <f>SOC!AF6</f>
        <v>-21939</v>
      </c>
      <c r="AG69" s="108">
        <f>SOC!AG6</f>
        <v>-20974</v>
      </c>
      <c r="AH69" s="108">
        <f>SOC!AH6</f>
        <v>-19713</v>
      </c>
      <c r="AI69" s="428">
        <f>AI76+AI82</f>
        <v>-20167.029680639876</v>
      </c>
      <c r="AJ69" s="428">
        <f t="shared" ref="AJ69:AM69" si="89">AJ76+AJ82</f>
        <v>-21027.825861968915</v>
      </c>
      <c r="AK69" s="428">
        <f t="shared" si="89"/>
        <v>-21923.250920355731</v>
      </c>
      <c r="AL69" s="428">
        <f t="shared" si="89"/>
        <v>-22854.263960248987</v>
      </c>
      <c r="AM69" s="428">
        <f t="shared" si="89"/>
        <v>-23821.859764679622</v>
      </c>
      <c r="AN69" s="428">
        <f>AN76+AN82</f>
        <v>-25080.491918106345</v>
      </c>
    </row>
    <row r="70" spans="1:40">
      <c r="A70" s="111" t="s">
        <v>234</v>
      </c>
      <c r="B70" s="198">
        <f>-B69/('HK Sales'!B38-B56)</f>
        <v>0.1259971540683886</v>
      </c>
      <c r="C70" s="198">
        <f>-C69/('HK Sales'!C38-C56)</f>
        <v>0.11969217547560451</v>
      </c>
      <c r="D70" s="198">
        <f>-D69/('HK Sales'!D38-D56)</f>
        <v>0.12120257153661919</v>
      </c>
      <c r="E70" s="198">
        <f>-E69/('HK Sales'!E38-E56)</f>
        <v>0.12743719821526803</v>
      </c>
      <c r="F70" s="198">
        <f>-F69/('HK Sales'!F38-F56)</f>
        <v>0.14481816407520656</v>
      </c>
      <c r="G70" s="198">
        <f>-G69/('HK Sales'!G38-G56)</f>
        <v>0.18781224942947017</v>
      </c>
      <c r="H70" s="198">
        <f>-H69/('HK Sales'!H38-H56)</f>
        <v>0.15863396953049783</v>
      </c>
      <c r="I70" s="198">
        <f>-I69/('HK Sales'!I38-I56)</f>
        <v>0.16824002243200298</v>
      </c>
      <c r="J70" s="198">
        <f>-J69/('HK Sales'!J38-J56)</f>
        <v>0.16402861488199177</v>
      </c>
      <c r="K70" s="198">
        <f>-K69/('HK Sales'!K38-K56)</f>
        <v>0.15600430802369414</v>
      </c>
      <c r="L70" s="198">
        <f>-L69/('HK Sales'!L38-L56)</f>
        <v>0.1625628015719047</v>
      </c>
      <c r="M70" s="198">
        <f>-M69/('HK Sales'!M38-M56)</f>
        <v>0.13765108226443384</v>
      </c>
      <c r="N70" s="198">
        <f>-N69/('HK Sales'!N38-N56)</f>
        <v>0.15439187691216247</v>
      </c>
      <c r="O70" s="198">
        <f>-O69/('HK Sales'!O38-O56)</f>
        <v>0.17549864773495605</v>
      </c>
      <c r="P70" s="198">
        <f>-P69/('HK Sales'!P38-P56)</f>
        <v>0.18310391136478094</v>
      </c>
      <c r="Q70" s="198">
        <f>-Q69/('HK Sales'!Q38-Q56)</f>
        <v>0.2058588995677173</v>
      </c>
      <c r="R70" s="198">
        <f>-R69/('HK Sales'!R38-R56)</f>
        <v>0.2947863582908663</v>
      </c>
      <c r="S70" s="198">
        <f>-S69/('HK Sales'!S38-S56)</f>
        <v>0.29881392679505164</v>
      </c>
      <c r="T70" s="198">
        <f>-T69/('HK Sales'!T38-T56)</f>
        <v>0.33852391838847429</v>
      </c>
      <c r="U70" s="198">
        <f>-U69/('HK Sales'!U38-U56)</f>
        <v>0.372803666921314</v>
      </c>
      <c r="V70" s="198">
        <f>-V69/('HK Sales'!V38-V56)</f>
        <v>0.44403742607467561</v>
      </c>
      <c r="W70" s="198">
        <f>-W69/('HK Sales'!W38-W56)</f>
        <v>0.40744339303818855</v>
      </c>
      <c r="X70" s="198">
        <f>-X69/('HK Sales'!X38-X56)</f>
        <v>0.43114195478723405</v>
      </c>
      <c r="Y70" s="198">
        <f>-Y69/('HK Sales'!Y38-Y56)</f>
        <v>0.56112561391088889</v>
      </c>
      <c r="Z70" s="198">
        <f>-Z69/('HK Sales'!Z38-Z56)</f>
        <v>0.4786153376640363</v>
      </c>
      <c r="AA70" s="198">
        <f>-AA69/('HK Sales'!AA38-AA56)</f>
        <v>0.53906780812610411</v>
      </c>
      <c r="AB70" s="198">
        <f>-AB69/('HK Sales'!AB38-AB56)</f>
        <v>0.60338951828313525</v>
      </c>
      <c r="AC70" s="198">
        <f>-AC69/('HK Sales'!AC38-AC56)</f>
        <v>0.59775444338379013</v>
      </c>
      <c r="AD70" s="198">
        <f>-AD69/('HK Sales'!AD38-AD56)</f>
        <v>0.64635575345676122</v>
      </c>
      <c r="AE70" s="198">
        <f>-AE69/('HK Sales'!AE38-AE56)</f>
        <v>0.68835676625659048</v>
      </c>
      <c r="AF70" s="198">
        <f>-AF69/('HK Sales'!AF38-AF56)</f>
        <v>0.98222600286532946</v>
      </c>
      <c r="AG70" s="198">
        <f>-AG69/('HK Sales'!AG38-AG56)</f>
        <v>0.88974674415645016</v>
      </c>
      <c r="AH70" s="198">
        <f>-AH69/('HK Sales'!AH38-AH56)</f>
        <v>0.80546702623191957</v>
      </c>
      <c r="AI70" s="198">
        <f>-AI69/('HK Sales'!AI38-AI56)</f>
        <v>0.80401736064539253</v>
      </c>
      <c r="AJ70" s="198">
        <f>-AJ69/('HK Sales'!AJ38-AJ56)</f>
        <v>0.81748512960170194</v>
      </c>
      <c r="AK70" s="198">
        <f>-AK69/('HK Sales'!AK38-AK56)</f>
        <v>0.83061181933099537</v>
      </c>
      <c r="AL70" s="198">
        <f>-AL69/('HK Sales'!AL38-AL56)</f>
        <v>0.84338462468491338</v>
      </c>
      <c r="AM70" s="198">
        <f>-AM69/('HK Sales'!AM38-AM56)</f>
        <v>0.8557931355066396</v>
      </c>
      <c r="AN70" s="198">
        <f>-AN69/('HK Sales'!AN38-AN56)</f>
        <v>0.87668756691914684</v>
      </c>
    </row>
    <row r="71" spans="1:40">
      <c r="A71" s="62" t="s">
        <v>401</v>
      </c>
      <c r="X71" s="29"/>
      <c r="Y71" s="226"/>
    </row>
    <row r="72" spans="1:40">
      <c r="A72" s="29" t="s">
        <v>262</v>
      </c>
      <c r="R72" s="231"/>
      <c r="S72" s="231">
        <f t="shared" ref="S72:AF72" si="90">+S46</f>
        <v>0.48589719799591763</v>
      </c>
      <c r="T72" s="231">
        <f t="shared" si="90"/>
        <v>0.48314823756639302</v>
      </c>
      <c r="U72" s="231">
        <f t="shared" si="90"/>
        <v>0.46189529489728298</v>
      </c>
      <c r="V72" s="231">
        <f t="shared" si="90"/>
        <v>0.4148545861297539</v>
      </c>
      <c r="W72" s="231">
        <f t="shared" si="90"/>
        <v>0.4732097121196599</v>
      </c>
      <c r="X72" s="232">
        <f t="shared" si="90"/>
        <v>0.48250223059383363</v>
      </c>
      <c r="Y72" s="231">
        <f t="shared" si="90"/>
        <v>0.44791666666666669</v>
      </c>
      <c r="Z72" s="231">
        <f t="shared" si="90"/>
        <v>0.45180356366797042</v>
      </c>
      <c r="AA72" s="231">
        <f t="shared" si="90"/>
        <v>0.43289346636626969</v>
      </c>
      <c r="AB72" s="231">
        <f t="shared" si="90"/>
        <v>0.44329814459373001</v>
      </c>
      <c r="AC72" s="231">
        <f t="shared" si="90"/>
        <v>0.45934065934065932</v>
      </c>
      <c r="AD72" s="231">
        <f t="shared" si="90"/>
        <v>0.44203357617991762</v>
      </c>
      <c r="AE72" s="231">
        <f t="shared" si="90"/>
        <v>0.45081381500595474</v>
      </c>
      <c r="AF72" s="231">
        <f t="shared" si="90"/>
        <v>0.46620755925688662</v>
      </c>
      <c r="AG72" s="231">
        <f t="shared" ref="AG72" si="91">+AG46</f>
        <v>0.49090447584398006</v>
      </c>
      <c r="AH72" s="231">
        <f t="shared" ref="AH72" si="92">+AH46</f>
        <v>0.49781134666552229</v>
      </c>
      <c r="AI72" s="231">
        <f t="shared" ref="AI72:AN72" si="93">+AI46</f>
        <v>0.49781134666552229</v>
      </c>
      <c r="AJ72" s="231">
        <f t="shared" si="93"/>
        <v>0.49781134666552229</v>
      </c>
      <c r="AK72" s="231">
        <f t="shared" si="93"/>
        <v>0.49781134666552229</v>
      </c>
      <c r="AL72" s="231">
        <f t="shared" si="93"/>
        <v>0.49781134666552229</v>
      </c>
      <c r="AM72" s="231">
        <f t="shared" si="93"/>
        <v>0.49781134666552229</v>
      </c>
      <c r="AN72" s="231">
        <f t="shared" si="93"/>
        <v>0.49781134666552229</v>
      </c>
    </row>
    <row r="73" spans="1:40">
      <c r="A73" s="29" t="s">
        <v>268</v>
      </c>
      <c r="R73" s="233"/>
      <c r="S73" s="233">
        <f t="shared" ref="S73:AF73" si="94">-S82/S58</f>
        <v>0.35147751301370295</v>
      </c>
      <c r="T73" s="233">
        <f t="shared" si="94"/>
        <v>0.3489205958237932</v>
      </c>
      <c r="U73" s="233">
        <f t="shared" si="94"/>
        <v>0.34971161410124552</v>
      </c>
      <c r="V73" s="233">
        <f t="shared" si="94"/>
        <v>0.45025093311215775</v>
      </c>
      <c r="W73" s="233">
        <f t="shared" si="94"/>
        <v>0.7277289786649932</v>
      </c>
      <c r="X73" s="41">
        <f t="shared" si="94"/>
        <v>0.82926998090364934</v>
      </c>
      <c r="Y73" s="233">
        <f t="shared" si="94"/>
        <v>1.0409034723002584</v>
      </c>
      <c r="Z73" s="233">
        <f t="shared" si="94"/>
        <v>0.8878474114441417</v>
      </c>
      <c r="AA73" s="233">
        <f t="shared" si="94"/>
        <v>0.85141361256544501</v>
      </c>
      <c r="AB73" s="233">
        <f t="shared" si="94"/>
        <v>0.91240326741186584</v>
      </c>
      <c r="AC73" s="233">
        <f t="shared" si="94"/>
        <v>0.92060106640814343</v>
      </c>
      <c r="AD73" s="233">
        <f t="shared" si="94"/>
        <v>0.96526918537833639</v>
      </c>
      <c r="AE73" s="233">
        <f t="shared" si="94"/>
        <v>0.9624716111642253</v>
      </c>
      <c r="AF73" s="233">
        <f t="shared" si="94"/>
        <v>1.0746878656465284</v>
      </c>
      <c r="AG73" s="233">
        <f t="shared" ref="AG73" si="95">-AG82/AG58</f>
        <v>1.1573697630335489</v>
      </c>
      <c r="AH73" s="233">
        <f t="shared" ref="AH73" si="96">-AH82/AH58</f>
        <v>1.1741864781651083</v>
      </c>
      <c r="AI73" s="233">
        <f t="shared" ref="AI73:AN73" si="97">-AI82/AI58</f>
        <v>1.0524918966114083</v>
      </c>
      <c r="AJ73" s="233">
        <f t="shared" si="97"/>
        <v>1.0524918966114085</v>
      </c>
      <c r="AK73" s="233">
        <f t="shared" si="97"/>
        <v>1.0524918966114085</v>
      </c>
      <c r="AL73" s="233">
        <f t="shared" si="97"/>
        <v>1.0524918966114085</v>
      </c>
      <c r="AM73" s="233">
        <f t="shared" si="97"/>
        <v>1.0524918966114085</v>
      </c>
      <c r="AN73" s="233">
        <f t="shared" si="97"/>
        <v>1.0524918966114085</v>
      </c>
    </row>
    <row r="74" spans="1:40">
      <c r="A74" s="29" t="s">
        <v>269</v>
      </c>
      <c r="S74" s="233">
        <f t="shared" ref="S74:AF74" si="98">-S76/S59</f>
        <v>0.24369387388967792</v>
      </c>
      <c r="T74" s="233">
        <f t="shared" si="98"/>
        <v>0.29759965404531769</v>
      </c>
      <c r="U74" s="233">
        <f t="shared" si="98"/>
        <v>0.35293915151359073</v>
      </c>
      <c r="V74" s="233">
        <f t="shared" si="98"/>
        <v>0.4046878634874515</v>
      </c>
      <c r="W74" s="233">
        <f t="shared" si="98"/>
        <v>0.28415364243784658</v>
      </c>
      <c r="X74" s="41">
        <f t="shared" si="98"/>
        <v>0.29425197492589267</v>
      </c>
      <c r="Y74" s="233">
        <f t="shared" si="98"/>
        <v>0.22528993147074328</v>
      </c>
      <c r="Z74" s="233">
        <f t="shared" si="98"/>
        <v>0.18647527490616975</v>
      </c>
      <c r="AA74" s="233">
        <f t="shared" si="98"/>
        <v>0.2711059974111894</v>
      </c>
      <c r="AB74" s="233">
        <f t="shared" si="98"/>
        <v>0.33605303416624172</v>
      </c>
      <c r="AC74" s="233">
        <f t="shared" si="98"/>
        <v>0.27995709469813057</v>
      </c>
      <c r="AD74" s="233">
        <f t="shared" si="98"/>
        <v>0.13181760618497554</v>
      </c>
      <c r="AE74" s="233">
        <f t="shared" si="98"/>
        <v>0.23871595136763551</v>
      </c>
      <c r="AF74" s="233">
        <f t="shared" si="98"/>
        <v>0.69567513457057817</v>
      </c>
      <c r="AG74" s="233">
        <f t="shared" ref="AG74" si="99">-AG76/AG59</f>
        <v>0.43411789919064619</v>
      </c>
      <c r="AH74" s="233">
        <f t="shared" ref="AH74" si="100">-AH76/AH59</f>
        <v>0.23299304376896213</v>
      </c>
      <c r="AI74" s="233">
        <f t="shared" ref="AI74:AN74" si="101">-AI76/AI59</f>
        <v>0.23881786986318612</v>
      </c>
      <c r="AJ74" s="233">
        <f t="shared" si="101"/>
        <v>0.23881786986318618</v>
      </c>
      <c r="AK74" s="233">
        <f t="shared" si="101"/>
        <v>0.23881786986318615</v>
      </c>
      <c r="AL74" s="233">
        <f t="shared" si="101"/>
        <v>0.23881786986318615</v>
      </c>
      <c r="AM74" s="233">
        <f t="shared" si="101"/>
        <v>0.23881786986318615</v>
      </c>
      <c r="AN74" s="233">
        <f t="shared" si="101"/>
        <v>0.23881786986318615</v>
      </c>
    </row>
    <row r="75" spans="1:40">
      <c r="A75" s="62"/>
      <c r="O75" s="50"/>
      <c r="P75" s="7"/>
      <c r="Q75" s="7"/>
      <c r="R75" s="7"/>
      <c r="S75" s="7"/>
      <c r="T75" s="7"/>
      <c r="U75" s="7"/>
      <c r="V75" s="7"/>
      <c r="W75" s="7"/>
      <c r="X75" s="30"/>
      <c r="Y75" s="33"/>
      <c r="Z75" s="30"/>
      <c r="AA75" s="7"/>
      <c r="AB75" s="7"/>
      <c r="AC75" s="7"/>
      <c r="AD75" s="7"/>
      <c r="AE75" s="7"/>
      <c r="AF75" s="7"/>
      <c r="AG75" s="7"/>
      <c r="AH75" s="7"/>
      <c r="AI75" s="7"/>
      <c r="AJ75" s="7"/>
      <c r="AK75" s="7"/>
      <c r="AL75" s="7"/>
      <c r="AM75" s="7"/>
      <c r="AN75" s="7"/>
    </row>
    <row r="76" spans="1:40" s="42" customFormat="1">
      <c r="A76" s="409" t="s">
        <v>261</v>
      </c>
      <c r="O76" s="79"/>
      <c r="P76" s="79"/>
      <c r="Q76" s="79"/>
      <c r="R76" s="79"/>
      <c r="S76" s="79">
        <f t="shared" ref="S76:X76" si="102">+S69-S82</f>
        <v>-3911.0429820554409</v>
      </c>
      <c r="T76" s="79">
        <f t="shared" si="102"/>
        <v>-4167.5855552506291</v>
      </c>
      <c r="U76" s="79">
        <f t="shared" si="102"/>
        <v>-6227.2583893057945</v>
      </c>
      <c r="V76" s="79">
        <f t="shared" si="102"/>
        <v>-7005.1469169677857</v>
      </c>
      <c r="W76" s="79">
        <f t="shared" si="102"/>
        <v>-5515.1380460761638</v>
      </c>
      <c r="X76" s="79">
        <f t="shared" si="102"/>
        <v>-5967.4300514971037</v>
      </c>
      <c r="Y76" s="79">
        <v>-3419</v>
      </c>
      <c r="Z76" s="79">
        <v>-2832</v>
      </c>
      <c r="AA76" s="79">
        <v>-3770</v>
      </c>
      <c r="AB76" s="79">
        <v>-4613</v>
      </c>
      <c r="AC76" s="79">
        <v>-3654</v>
      </c>
      <c r="AD76" s="108">
        <v>-1270</v>
      </c>
      <c r="AE76" s="79">
        <v>-2486</v>
      </c>
      <c r="AF76" s="79">
        <v>-6288</v>
      </c>
      <c r="AG76" s="79">
        <v>-4671</v>
      </c>
      <c r="AH76" s="79">
        <v>-2608</v>
      </c>
      <c r="AI76" s="100">
        <f>-AI77*AI80*7.8*AI59/1000000</f>
        <v>-2233.5276383522632</v>
      </c>
      <c r="AJ76" s="100">
        <f t="shared" ref="AJ76:AM76" si="103">-AJ77*AJ80*7.8*AJ59/1000000</f>
        <v>-2185.5465968273288</v>
      </c>
      <c r="AK76" s="100">
        <f t="shared" si="103"/>
        <v>-2137.5655553023935</v>
      </c>
      <c r="AL76" s="100">
        <f t="shared" si="103"/>
        <v>-2089.5845137774586</v>
      </c>
      <c r="AM76" s="100">
        <f t="shared" si="103"/>
        <v>-2041.6034722525242</v>
      </c>
      <c r="AN76" s="100">
        <f>-AN77*AN80*7.8*AN59/1000000</f>
        <v>-1919.2416609973859</v>
      </c>
    </row>
    <row r="77" spans="1:40">
      <c r="A77" s="29" t="s">
        <v>266</v>
      </c>
      <c r="O77" s="7"/>
      <c r="P77" s="7"/>
      <c r="Q77" s="7"/>
      <c r="R77" s="7"/>
      <c r="S77" s="7">
        <f t="shared" ref="S77:AF77" si="104">-S76/S79/7.8</f>
        <v>86.568785124761817</v>
      </c>
      <c r="T77" s="7">
        <f t="shared" si="104"/>
        <v>105.64222450480547</v>
      </c>
      <c r="U77" s="7">
        <f t="shared" si="104"/>
        <v>124.18983332220697</v>
      </c>
      <c r="V77" s="7">
        <f t="shared" si="104"/>
        <v>144.10577518316055</v>
      </c>
      <c r="W77" s="7">
        <f t="shared" si="104"/>
        <v>100.98792669403066</v>
      </c>
      <c r="X77" s="30">
        <f t="shared" si="104"/>
        <v>104.11046128309705</v>
      </c>
      <c r="Y77" s="30">
        <f t="shared" si="104"/>
        <v>79.305343323842564</v>
      </c>
      <c r="Z77" s="30">
        <f t="shared" si="104"/>
        <v>66.232168640482769</v>
      </c>
      <c r="AA77" s="30">
        <f t="shared" si="104"/>
        <v>95.669858455684334</v>
      </c>
      <c r="AB77" s="30">
        <f t="shared" si="104"/>
        <v>115.31392959061841</v>
      </c>
      <c r="AC77" s="30">
        <f t="shared" si="104"/>
        <v>96.802513118215941</v>
      </c>
      <c r="AD77" s="30">
        <f t="shared" si="104"/>
        <v>75.141868952635548</v>
      </c>
      <c r="AE77" s="30">
        <f t="shared" si="104"/>
        <v>124.03720443596369</v>
      </c>
      <c r="AF77" s="30">
        <f t="shared" si="104"/>
        <v>306.15331731348658</v>
      </c>
      <c r="AG77" s="30">
        <f t="shared" ref="AG77:AH77" si="105">-AG76/AG79/7.8</f>
        <v>228.82652101211258</v>
      </c>
      <c r="AH77" s="30">
        <f t="shared" si="105"/>
        <v>141.21208241107334</v>
      </c>
      <c r="AI77" s="54">
        <f>+AH77/80*82</f>
        <v>144.74238447135016</v>
      </c>
      <c r="AJ77" s="54">
        <f>+AI77</f>
        <v>144.74238447135016</v>
      </c>
      <c r="AK77" s="54">
        <f>+AJ77</f>
        <v>144.74238447135016</v>
      </c>
      <c r="AL77" s="54">
        <f>+AK77</f>
        <v>144.74238447135016</v>
      </c>
      <c r="AM77" s="54">
        <f>+AL77</f>
        <v>144.74238447135016</v>
      </c>
      <c r="AN77" s="54">
        <f>+AM77</f>
        <v>144.74238447135016</v>
      </c>
    </row>
    <row r="78" spans="1:40">
      <c r="A78" s="29" t="s">
        <v>258</v>
      </c>
      <c r="O78" s="7"/>
      <c r="P78" s="7"/>
      <c r="Q78" s="7"/>
      <c r="R78" s="7"/>
      <c r="S78" s="7">
        <v>169753</v>
      </c>
      <c r="T78" s="7">
        <v>148229</v>
      </c>
      <c r="U78" s="7">
        <v>188407</v>
      </c>
      <c r="V78" s="30">
        <v>182651</v>
      </c>
      <c r="W78" s="50">
        <v>205198</v>
      </c>
      <c r="X78" s="17">
        <v>215367</v>
      </c>
      <c r="Y78" s="17">
        <v>161988</v>
      </c>
      <c r="Z78" s="17">
        <v>160661</v>
      </c>
      <c r="AA78" s="50">
        <v>148065</v>
      </c>
      <c r="AB78" s="50">
        <v>150310</v>
      </c>
      <c r="AC78" s="50">
        <v>141830</v>
      </c>
      <c r="AD78" s="50">
        <v>63505</v>
      </c>
      <c r="AE78" s="50">
        <v>75307</v>
      </c>
      <c r="AF78" s="50">
        <v>77172</v>
      </c>
      <c r="AG78" s="50">
        <v>76699</v>
      </c>
      <c r="AH78" s="50">
        <v>69394</v>
      </c>
      <c r="AI78" s="148">
        <f t="shared" ref="AI78:AN78" si="106">+AI80*AI59/34.1208</f>
        <v>57980.479176947847</v>
      </c>
      <c r="AJ78" s="148">
        <f t="shared" si="106"/>
        <v>56734.932118897064</v>
      </c>
      <c r="AK78" s="148">
        <f t="shared" si="106"/>
        <v>55489.385060846289</v>
      </c>
      <c r="AL78" s="148">
        <f t="shared" si="106"/>
        <v>54243.838002795514</v>
      </c>
      <c r="AM78" s="148">
        <f t="shared" si="106"/>
        <v>52998.290944744753</v>
      </c>
      <c r="AN78" s="148">
        <f t="shared" si="106"/>
        <v>49821.882322030753</v>
      </c>
    </row>
    <row r="79" spans="1:40">
      <c r="A79" s="29" t="s">
        <v>259</v>
      </c>
      <c r="P79" s="105"/>
      <c r="Q79" s="105"/>
      <c r="R79" s="105"/>
      <c r="S79" s="251">
        <f t="shared" ref="S79:AE79" si="107">+S78*34.1208/1000000</f>
        <v>5.7921081624000008</v>
      </c>
      <c r="T79" s="251">
        <f t="shared" si="107"/>
        <v>5.0576920632000011</v>
      </c>
      <c r="U79" s="251">
        <f t="shared" si="107"/>
        <v>6.4285975656000005</v>
      </c>
      <c r="V79" s="251">
        <f t="shared" si="107"/>
        <v>6.2321982408000007</v>
      </c>
      <c r="W79" s="251">
        <f t="shared" si="107"/>
        <v>7.0015199184000005</v>
      </c>
      <c r="X79" s="252">
        <f t="shared" si="107"/>
        <v>7.3484943336000006</v>
      </c>
      <c r="Y79" s="252">
        <f t="shared" si="107"/>
        <v>5.5271601504000003</v>
      </c>
      <c r="Z79" s="252">
        <f t="shared" si="107"/>
        <v>5.4818818488000005</v>
      </c>
      <c r="AA79" s="252">
        <f t="shared" si="107"/>
        <v>5.0520962520000001</v>
      </c>
      <c r="AB79" s="252">
        <f t="shared" si="107"/>
        <v>5.1286974480000005</v>
      </c>
      <c r="AC79" s="252">
        <f t="shared" si="107"/>
        <v>4.839353064</v>
      </c>
      <c r="AD79" s="252">
        <f t="shared" si="107"/>
        <v>2.1668414039999999</v>
      </c>
      <c r="AE79" s="252">
        <f t="shared" si="107"/>
        <v>2.5695350856000005</v>
      </c>
      <c r="AF79" s="251">
        <f t="shared" ref="AF79:AN79" si="108">+AF80*AF59/1000000</f>
        <v>2.6331703776000004</v>
      </c>
      <c r="AG79" s="251">
        <f t="shared" ref="AG79:AH79" si="109">+AG80*AG59/1000000</f>
        <v>2.6170312392000001</v>
      </c>
      <c r="AH79" s="251">
        <f t="shared" si="109"/>
        <v>2.3677787952</v>
      </c>
      <c r="AI79" s="251">
        <f t="shared" si="108"/>
        <v>1.9783403339008023</v>
      </c>
      <c r="AJ79" s="251">
        <f t="shared" si="108"/>
        <v>1.9358412718424631</v>
      </c>
      <c r="AK79" s="251">
        <f t="shared" si="108"/>
        <v>1.8933422097841244</v>
      </c>
      <c r="AL79" s="251">
        <f t="shared" si="108"/>
        <v>1.8508431477257854</v>
      </c>
      <c r="AM79" s="251">
        <f t="shared" si="108"/>
        <v>1.8083440856674469</v>
      </c>
      <c r="AN79" s="251">
        <f t="shared" si="108"/>
        <v>1.6999624823335471</v>
      </c>
    </row>
    <row r="80" spans="1:40">
      <c r="A80" s="29" t="s">
        <v>260</v>
      </c>
      <c r="P80" s="105"/>
      <c r="Q80" s="105"/>
      <c r="R80" s="105"/>
      <c r="S80" s="7">
        <f t="shared" ref="S80:AF80" si="110">++S78*34.1208/S59</f>
        <v>360.90149930836816</v>
      </c>
      <c r="T80" s="7">
        <f t="shared" si="110"/>
        <v>361.16053007712088</v>
      </c>
      <c r="U80" s="7">
        <f t="shared" si="110"/>
        <v>364.35034944457038</v>
      </c>
      <c r="V80" s="7">
        <f t="shared" si="110"/>
        <v>360.03456041594461</v>
      </c>
      <c r="W80" s="7">
        <f t="shared" si="110"/>
        <v>360.73573694677731</v>
      </c>
      <c r="X80" s="7">
        <f t="shared" si="110"/>
        <v>362.35179159763317</v>
      </c>
      <c r="Y80" s="7">
        <f t="shared" si="110"/>
        <v>364.20401623616243</v>
      </c>
      <c r="Z80" s="7">
        <f t="shared" si="110"/>
        <v>360.95883642589064</v>
      </c>
      <c r="AA80" s="7">
        <f t="shared" si="110"/>
        <v>363.30334042859198</v>
      </c>
      <c r="AB80" s="7">
        <f t="shared" si="110"/>
        <v>373.6211443141255</v>
      </c>
      <c r="AC80" s="7">
        <f t="shared" si="110"/>
        <v>370.77482868525897</v>
      </c>
      <c r="AD80" s="7">
        <f t="shared" si="110"/>
        <v>224.90381642344212</v>
      </c>
      <c r="AE80" s="7">
        <f t="shared" si="110"/>
        <v>246.73733408347661</v>
      </c>
      <c r="AF80" s="7">
        <f t="shared" si="110"/>
        <v>291.32174885243961</v>
      </c>
      <c r="AG80" s="7">
        <f t="shared" ref="AG80:AH80" si="111">++AG78*34.1208/AG59</f>
        <v>243.2241712005561</v>
      </c>
      <c r="AH80" s="7">
        <f t="shared" si="111"/>
        <v>211.53220416612501</v>
      </c>
      <c r="AI80" s="181">
        <f t="shared" ref="AI80:AN80" si="112">+AH80</f>
        <v>211.53220416612501</v>
      </c>
      <c r="AJ80" s="181">
        <f>+AI80</f>
        <v>211.53220416612501</v>
      </c>
      <c r="AK80" s="181">
        <f>+AJ80</f>
        <v>211.53220416612501</v>
      </c>
      <c r="AL80" s="181">
        <f>+AK80</f>
        <v>211.53220416612501</v>
      </c>
      <c r="AM80" s="181">
        <f t="shared" si="112"/>
        <v>211.53220416612501</v>
      </c>
      <c r="AN80" s="181">
        <f t="shared" si="112"/>
        <v>211.53220416612501</v>
      </c>
    </row>
    <row r="81" spans="1:40">
      <c r="A81" s="29"/>
      <c r="Q81" s="220"/>
      <c r="R81" s="220"/>
      <c r="S81" s="233"/>
      <c r="T81" s="233"/>
      <c r="U81" s="233"/>
      <c r="V81" s="233"/>
      <c r="W81" s="233"/>
      <c r="X81" s="41"/>
      <c r="Y81" s="29"/>
      <c r="Z81" s="29"/>
    </row>
    <row r="82" spans="1:40" s="42" customFormat="1">
      <c r="A82" s="409" t="s">
        <v>271</v>
      </c>
      <c r="S82" s="79">
        <f t="shared" ref="S82:X82" si="113">-S83*7.8*S91*947.81712031332/1000000</f>
        <v>-3117.9570179445591</v>
      </c>
      <c r="T82" s="79">
        <f t="shared" si="113"/>
        <v>-3680.4144447493704</v>
      </c>
      <c r="U82" s="79">
        <f t="shared" si="113"/>
        <v>-2556.741610694206</v>
      </c>
      <c r="V82" s="79">
        <f t="shared" si="113"/>
        <v>-3055.8530830322147</v>
      </c>
      <c r="W82" s="108">
        <f t="shared" si="113"/>
        <v>-4129.8619539238362</v>
      </c>
      <c r="X82" s="108">
        <f t="shared" si="113"/>
        <v>-4407.5699485028963</v>
      </c>
      <c r="Y82" s="108">
        <f t="shared" ref="Y82:AF82" si="114">+Y69-Y76</f>
        <v>-9263</v>
      </c>
      <c r="Z82" s="108">
        <f t="shared" si="114"/>
        <v>-8146</v>
      </c>
      <c r="AA82" s="108">
        <f t="shared" si="114"/>
        <v>-8131</v>
      </c>
      <c r="AB82" s="108">
        <f t="shared" si="114"/>
        <v>-8489</v>
      </c>
      <c r="AC82" s="108">
        <f t="shared" si="114"/>
        <v>-9496</v>
      </c>
      <c r="AD82" s="108">
        <f t="shared" si="114"/>
        <v>-12520</v>
      </c>
      <c r="AE82" s="108">
        <f t="shared" si="114"/>
        <v>-13181</v>
      </c>
      <c r="AF82" s="108">
        <f t="shared" si="114"/>
        <v>-15651</v>
      </c>
      <c r="AG82" s="108">
        <f t="shared" ref="AG82:AH82" si="115">+AG69-AG76</f>
        <v>-16303</v>
      </c>
      <c r="AH82" s="108">
        <f t="shared" si="115"/>
        <v>-17105</v>
      </c>
      <c r="AI82" s="100">
        <f t="shared" ref="AI82:AN82" si="116">-AI83*7.8*AI91*947.81712031332/1000000</f>
        <v>-17933.502042287615</v>
      </c>
      <c r="AJ82" s="100">
        <f t="shared" si="116"/>
        <v>-18842.279265141588</v>
      </c>
      <c r="AK82" s="100">
        <f t="shared" si="116"/>
        <v>-19785.685365053338</v>
      </c>
      <c r="AL82" s="100">
        <f t="shared" si="116"/>
        <v>-20764.679446471528</v>
      </c>
      <c r="AM82" s="100">
        <f t="shared" si="116"/>
        <v>-21780.256292427097</v>
      </c>
      <c r="AN82" s="100">
        <f t="shared" si="116"/>
        <v>-23161.250257108961</v>
      </c>
    </row>
    <row r="83" spans="1:40">
      <c r="A83" s="29" t="s">
        <v>264</v>
      </c>
      <c r="S83" s="253">
        <v>6</v>
      </c>
      <c r="T83" s="253">
        <v>6</v>
      </c>
      <c r="U83" s="253">
        <v>6</v>
      </c>
      <c r="V83" s="254">
        <f>+SUMPRODUCT(V84:V86,V88:V90)</f>
        <v>8.1999999999999993</v>
      </c>
      <c r="W83" s="254">
        <f>+SUMPRODUCT(W84:W86,W88:W90)</f>
        <v>12.375</v>
      </c>
      <c r="X83" s="254">
        <f>+SUMPRODUCT(X84:X86,X88:X90)</f>
        <v>14.05</v>
      </c>
      <c r="Y83" s="75">
        <f t="shared" ref="Y83:AF83" si="117">-Y82/(7.8*Y91*947.81712031332/1000000)</f>
        <v>17.546795182080931</v>
      </c>
      <c r="Z83" s="75">
        <f t="shared" si="117"/>
        <v>14.778323852702602</v>
      </c>
      <c r="AA83" s="75">
        <f t="shared" si="117"/>
        <v>14.508265655822319</v>
      </c>
      <c r="AB83" s="75">
        <f t="shared" si="117"/>
        <v>15.736168139000993</v>
      </c>
      <c r="AC83" s="75">
        <f t="shared" si="117"/>
        <v>15.917502556285047</v>
      </c>
      <c r="AD83" s="75">
        <f t="shared" si="117"/>
        <v>12.903446306314526</v>
      </c>
      <c r="AE83" s="75">
        <f t="shared" si="117"/>
        <v>13.444857644329918</v>
      </c>
      <c r="AF83" s="75">
        <f t="shared" si="117"/>
        <v>16.480815141361266</v>
      </c>
      <c r="AG83" s="75">
        <f t="shared" ref="AG83:AH83" si="118">-AG82/(7.8*AG91*947.81712031332/1000000)</f>
        <v>16.254160798604278</v>
      </c>
      <c r="AH83" s="75">
        <f t="shared" si="118"/>
        <v>15.836299653438152</v>
      </c>
      <c r="AI83" s="254">
        <f t="shared" ref="AI83:AN83" si="119">+SUMPRODUCT(AI84:AI86,AI88:AI90)</f>
        <v>14.194999999999999</v>
      </c>
      <c r="AJ83" s="254">
        <f t="shared" si="119"/>
        <v>14.194999999999999</v>
      </c>
      <c r="AK83" s="254">
        <f t="shared" si="119"/>
        <v>14.194999999999999</v>
      </c>
      <c r="AL83" s="254">
        <f t="shared" si="119"/>
        <v>14.194999999999999</v>
      </c>
      <c r="AM83" s="254">
        <f t="shared" si="119"/>
        <v>14.194999999999999</v>
      </c>
      <c r="AN83" s="254">
        <f t="shared" si="119"/>
        <v>14.194999999999999</v>
      </c>
    </row>
    <row r="84" spans="1:40">
      <c r="A84" s="29" t="s">
        <v>272</v>
      </c>
      <c r="S84" s="253"/>
      <c r="T84" s="253"/>
      <c r="U84" s="253"/>
      <c r="V84" s="254">
        <v>6.5</v>
      </c>
      <c r="W84" s="254">
        <f>+V84</f>
        <v>6.5</v>
      </c>
      <c r="X84" s="254">
        <f>+W84</f>
        <v>6.5</v>
      </c>
      <c r="Y84" s="254">
        <f>+X84</f>
        <v>6.5</v>
      </c>
      <c r="Z84" s="254">
        <f>+Y84</f>
        <v>6.5</v>
      </c>
      <c r="AA84" s="254">
        <v>10</v>
      </c>
      <c r="AB84" s="254">
        <v>12</v>
      </c>
      <c r="AC84" s="455">
        <f>+AB84</f>
        <v>12</v>
      </c>
      <c r="AD84" s="254">
        <f>+AC84*0.85</f>
        <v>10.199999999999999</v>
      </c>
      <c r="AE84" s="254">
        <f t="shared" ref="AE84:AG86" si="120">+AD84</f>
        <v>10.199999999999999</v>
      </c>
      <c r="AF84" s="254">
        <f t="shared" si="120"/>
        <v>10.199999999999999</v>
      </c>
      <c r="AG84" s="254">
        <f t="shared" si="120"/>
        <v>10.199999999999999</v>
      </c>
      <c r="AH84" s="254">
        <f t="shared" ref="AH84:AI86" si="121">+AG84</f>
        <v>10.199999999999999</v>
      </c>
      <c r="AI84" s="254">
        <f t="shared" si="121"/>
        <v>10.199999999999999</v>
      </c>
      <c r="AJ84" s="254">
        <f t="shared" ref="AJ84:AK86" si="122">+AI84</f>
        <v>10.199999999999999</v>
      </c>
      <c r="AK84" s="254">
        <f t="shared" si="122"/>
        <v>10.199999999999999</v>
      </c>
      <c r="AL84" s="254">
        <f>+AK84</f>
        <v>10.199999999999999</v>
      </c>
      <c r="AM84" s="254">
        <f t="shared" ref="AM84:AN86" si="123">+AL84</f>
        <v>10.199999999999999</v>
      </c>
      <c r="AN84" s="254">
        <f t="shared" si="123"/>
        <v>10.199999999999999</v>
      </c>
    </row>
    <row r="85" spans="1:40">
      <c r="A85" s="29" t="s">
        <v>274</v>
      </c>
      <c r="S85" s="253"/>
      <c r="T85" s="253"/>
      <c r="U85" s="253"/>
      <c r="V85" s="254">
        <v>15</v>
      </c>
      <c r="W85" s="254">
        <v>15</v>
      </c>
      <c r="X85" s="254">
        <v>15</v>
      </c>
      <c r="Y85" s="254">
        <v>13</v>
      </c>
      <c r="Z85" s="254">
        <f>+Y85</f>
        <v>13</v>
      </c>
      <c r="AA85" s="254">
        <f>+Z85</f>
        <v>13</v>
      </c>
      <c r="AB85" s="254">
        <f>+AA85</f>
        <v>13</v>
      </c>
      <c r="AC85" s="455">
        <f>+AB85</f>
        <v>13</v>
      </c>
      <c r="AD85" s="254">
        <f>+AC85*0.85</f>
        <v>11.049999999999999</v>
      </c>
      <c r="AE85" s="254">
        <f t="shared" si="120"/>
        <v>11.049999999999999</v>
      </c>
      <c r="AF85" s="254">
        <f t="shared" si="120"/>
        <v>11.049999999999999</v>
      </c>
      <c r="AG85" s="254">
        <f t="shared" si="120"/>
        <v>11.049999999999999</v>
      </c>
      <c r="AH85" s="254">
        <f t="shared" si="121"/>
        <v>11.049999999999999</v>
      </c>
      <c r="AI85" s="254">
        <f t="shared" si="121"/>
        <v>11.049999999999999</v>
      </c>
      <c r="AJ85" s="254">
        <f t="shared" si="122"/>
        <v>11.049999999999999</v>
      </c>
      <c r="AK85" s="254">
        <f t="shared" si="122"/>
        <v>11.049999999999999</v>
      </c>
      <c r="AL85" s="254">
        <f>+AK85</f>
        <v>11.049999999999999</v>
      </c>
      <c r="AM85" s="254">
        <f t="shared" si="123"/>
        <v>11.049999999999999</v>
      </c>
      <c r="AN85" s="254">
        <f t="shared" si="123"/>
        <v>11.049999999999999</v>
      </c>
    </row>
    <row r="86" spans="1:40">
      <c r="A86" s="29" t="s">
        <v>273</v>
      </c>
      <c r="S86" s="253"/>
      <c r="T86" s="253"/>
      <c r="U86" s="253"/>
      <c r="V86" s="254">
        <v>19</v>
      </c>
      <c r="W86" s="254">
        <v>19</v>
      </c>
      <c r="X86" s="254">
        <v>19</v>
      </c>
      <c r="Y86" s="75">
        <f>+(Y83-Y84*Y88-Y85*Y89)/Y90</f>
        <v>20.888278831544188</v>
      </c>
      <c r="Z86" s="75">
        <f>+(Z83-Z84*Z88-Z85*Z89)/Z90</f>
        <v>16.671098470270135</v>
      </c>
      <c r="AA86" s="75">
        <f>+(AA83-AA84*AA88-AA85*AA89)/AA90</f>
        <v>15.587520071567075</v>
      </c>
      <c r="AB86" s="75">
        <f>+(AB83-AB84*AB88-AB85*AB89)/AB90</f>
        <v>16.848224185334658</v>
      </c>
      <c r="AC86" s="455">
        <v>17</v>
      </c>
      <c r="AD86" s="254">
        <f>+AC86</f>
        <v>17</v>
      </c>
      <c r="AE86" s="254">
        <f t="shared" si="120"/>
        <v>17</v>
      </c>
      <c r="AF86" s="254">
        <f t="shared" si="120"/>
        <v>17</v>
      </c>
      <c r="AG86" s="254">
        <f t="shared" si="120"/>
        <v>17</v>
      </c>
      <c r="AH86" s="254">
        <f t="shared" si="121"/>
        <v>17</v>
      </c>
      <c r="AI86" s="254">
        <f t="shared" si="121"/>
        <v>17</v>
      </c>
      <c r="AJ86" s="254">
        <f t="shared" si="122"/>
        <v>17</v>
      </c>
      <c r="AK86" s="254">
        <f t="shared" si="122"/>
        <v>17</v>
      </c>
      <c r="AL86" s="254">
        <f>+AK86</f>
        <v>17</v>
      </c>
      <c r="AM86" s="254">
        <f t="shared" si="123"/>
        <v>17</v>
      </c>
      <c r="AN86" s="254">
        <f t="shared" si="123"/>
        <v>17</v>
      </c>
    </row>
    <row r="87" spans="1:40">
      <c r="A87" s="29" t="s">
        <v>275</v>
      </c>
      <c r="S87" s="253"/>
      <c r="T87" s="253"/>
      <c r="U87" s="253"/>
      <c r="V87" s="254"/>
      <c r="W87" s="75"/>
      <c r="X87" s="75"/>
      <c r="Y87" s="75"/>
      <c r="Z87" s="75"/>
      <c r="AA87" s="75"/>
      <c r="AB87" s="75"/>
      <c r="AC87" s="75"/>
      <c r="AD87" s="75"/>
      <c r="AE87" s="75"/>
      <c r="AF87" s="75"/>
      <c r="AG87" s="75"/>
      <c r="AH87" s="75"/>
      <c r="AI87" s="75"/>
      <c r="AJ87" s="75"/>
      <c r="AK87" s="75"/>
      <c r="AL87" s="75"/>
      <c r="AM87" s="75"/>
      <c r="AN87" s="75"/>
    </row>
    <row r="88" spans="1:40">
      <c r="A88" s="29" t="s">
        <v>276</v>
      </c>
      <c r="S88" s="253"/>
      <c r="T88" s="253"/>
      <c r="U88" s="76">
        <v>1</v>
      </c>
      <c r="V88" s="76">
        <v>0.8</v>
      </c>
      <c r="W88" s="76">
        <v>0.45</v>
      </c>
      <c r="X88" s="76">
        <v>0.3</v>
      </c>
      <c r="Y88" s="76">
        <v>0.15</v>
      </c>
      <c r="Z88" s="76">
        <v>0.15</v>
      </c>
      <c r="AA88" s="76">
        <v>0.17</v>
      </c>
      <c r="AB88" s="76">
        <v>0.15</v>
      </c>
      <c r="AC88" s="456">
        <f t="shared" ref="AC88:AG89" si="124">+AB88</f>
        <v>0.15</v>
      </c>
      <c r="AD88" s="255">
        <f t="shared" si="124"/>
        <v>0.15</v>
      </c>
      <c r="AE88" s="255">
        <f t="shared" si="124"/>
        <v>0.15</v>
      </c>
      <c r="AF88" s="255">
        <f t="shared" si="124"/>
        <v>0.15</v>
      </c>
      <c r="AG88" s="255">
        <f t="shared" si="124"/>
        <v>0.15</v>
      </c>
      <c r="AH88" s="255">
        <f t="shared" ref="AG88:AI89" si="125">+AG88</f>
        <v>0.15</v>
      </c>
      <c r="AI88" s="255">
        <f t="shared" si="125"/>
        <v>0.15</v>
      </c>
      <c r="AJ88" s="255">
        <f t="shared" ref="AJ88:AL89" si="126">+AI88</f>
        <v>0.15</v>
      </c>
      <c r="AK88" s="255">
        <f t="shared" si="126"/>
        <v>0.15</v>
      </c>
      <c r="AL88" s="255">
        <f t="shared" si="126"/>
        <v>0.15</v>
      </c>
      <c r="AM88" s="255">
        <f t="shared" ref="AM88:AN89" si="127">+AL88</f>
        <v>0.15</v>
      </c>
      <c r="AN88" s="255">
        <f t="shared" si="127"/>
        <v>0.15</v>
      </c>
    </row>
    <row r="89" spans="1:40">
      <c r="A89" s="29" t="s">
        <v>277</v>
      </c>
      <c r="S89" s="253"/>
      <c r="T89" s="253"/>
      <c r="U89" s="76">
        <v>0</v>
      </c>
      <c r="V89" s="76">
        <f>1-V88</f>
        <v>0.19999999999999996</v>
      </c>
      <c r="W89" s="76">
        <v>0.25</v>
      </c>
      <c r="X89" s="76">
        <v>0.3</v>
      </c>
      <c r="Y89" s="76">
        <v>0.15</v>
      </c>
      <c r="Z89" s="76">
        <v>0.1</v>
      </c>
      <c r="AA89" s="76">
        <v>0.05</v>
      </c>
      <c r="AB89" s="76">
        <v>0.1</v>
      </c>
      <c r="AC89" s="456">
        <f t="shared" si="124"/>
        <v>0.1</v>
      </c>
      <c r="AD89" s="255">
        <f t="shared" si="124"/>
        <v>0.1</v>
      </c>
      <c r="AE89" s="255">
        <f t="shared" si="124"/>
        <v>0.1</v>
      </c>
      <c r="AF89" s="255">
        <v>0.3</v>
      </c>
      <c r="AG89" s="255">
        <f t="shared" si="125"/>
        <v>0.3</v>
      </c>
      <c r="AH89" s="255">
        <f t="shared" si="125"/>
        <v>0.3</v>
      </c>
      <c r="AI89" s="255">
        <f t="shared" si="125"/>
        <v>0.3</v>
      </c>
      <c r="AJ89" s="255">
        <f t="shared" si="126"/>
        <v>0.3</v>
      </c>
      <c r="AK89" s="255">
        <f t="shared" si="126"/>
        <v>0.3</v>
      </c>
      <c r="AL89" s="255">
        <f t="shared" si="126"/>
        <v>0.3</v>
      </c>
      <c r="AM89" s="255">
        <f t="shared" si="127"/>
        <v>0.3</v>
      </c>
      <c r="AN89" s="255">
        <f t="shared" si="127"/>
        <v>0.3</v>
      </c>
    </row>
    <row r="90" spans="1:40">
      <c r="A90" s="29" t="s">
        <v>278</v>
      </c>
      <c r="S90" s="253"/>
      <c r="T90" s="253"/>
      <c r="U90" s="76">
        <v>0</v>
      </c>
      <c r="V90" s="76">
        <v>0</v>
      </c>
      <c r="W90" s="76">
        <v>0.3</v>
      </c>
      <c r="X90" s="76">
        <v>0.4</v>
      </c>
      <c r="Y90" s="76">
        <v>0.7</v>
      </c>
      <c r="Z90" s="76">
        <f t="shared" ref="Z90:AF90" si="128">1-Z89-Z88</f>
        <v>0.75</v>
      </c>
      <c r="AA90" s="76">
        <f t="shared" si="128"/>
        <v>0.77999999999999992</v>
      </c>
      <c r="AB90" s="76">
        <f t="shared" si="128"/>
        <v>0.75</v>
      </c>
      <c r="AC90" s="431">
        <f t="shared" si="128"/>
        <v>0.75</v>
      </c>
      <c r="AD90" s="76">
        <f t="shared" si="128"/>
        <v>0.75</v>
      </c>
      <c r="AE90" s="76">
        <f t="shared" si="128"/>
        <v>0.75</v>
      </c>
      <c r="AF90" s="76">
        <f t="shared" si="128"/>
        <v>0.54999999999999993</v>
      </c>
      <c r="AG90" s="76">
        <f t="shared" ref="AG90" si="129">1-AG89-AG88</f>
        <v>0.54999999999999993</v>
      </c>
      <c r="AH90" s="76">
        <f t="shared" ref="AH90" si="130">1-AH89-AH88</f>
        <v>0.54999999999999993</v>
      </c>
      <c r="AI90" s="76">
        <f t="shared" ref="AI90:AN90" si="131">1-AI89-AI88</f>
        <v>0.54999999999999993</v>
      </c>
      <c r="AJ90" s="76">
        <f t="shared" si="131"/>
        <v>0.54999999999999993</v>
      </c>
      <c r="AK90" s="76">
        <f t="shared" si="131"/>
        <v>0.54999999999999993</v>
      </c>
      <c r="AL90" s="76">
        <f t="shared" si="131"/>
        <v>0.54999999999999993</v>
      </c>
      <c r="AM90" s="76">
        <f t="shared" si="131"/>
        <v>0.54999999999999993</v>
      </c>
      <c r="AN90" s="76">
        <f t="shared" si="131"/>
        <v>0.54999999999999993</v>
      </c>
    </row>
    <row r="91" spans="1:40">
      <c r="A91" s="29" t="s">
        <v>263</v>
      </c>
      <c r="S91" s="50">
        <v>70291</v>
      </c>
      <c r="T91" s="50">
        <v>82971</v>
      </c>
      <c r="U91" s="50">
        <v>57639</v>
      </c>
      <c r="V91" s="50">
        <v>50408</v>
      </c>
      <c r="W91" s="50">
        <v>45141</v>
      </c>
      <c r="X91" s="17">
        <v>42433</v>
      </c>
      <c r="Y91" s="17">
        <v>71406</v>
      </c>
      <c r="Z91" s="17">
        <v>74559</v>
      </c>
      <c r="AA91" s="17">
        <v>75807</v>
      </c>
      <c r="AB91" s="50">
        <v>72969</v>
      </c>
      <c r="AC91" s="50">
        <f>80648+47</f>
        <v>80695</v>
      </c>
      <c r="AD91" s="50">
        <v>131244</v>
      </c>
      <c r="AE91" s="50">
        <v>132609</v>
      </c>
      <c r="AF91" s="50">
        <v>128453</v>
      </c>
      <c r="AG91" s="50">
        <v>135670</v>
      </c>
      <c r="AH91" s="50">
        <v>146100</v>
      </c>
      <c r="AI91" s="148">
        <f t="shared" ref="AI91:AN91" si="132">+AI92*AI58</f>
        <v>170887.60296319777</v>
      </c>
      <c r="AJ91" s="148">
        <f t="shared" si="132"/>
        <v>179547.30372185988</v>
      </c>
      <c r="AK91" s="148">
        <f t="shared" si="132"/>
        <v>188536.98162496134</v>
      </c>
      <c r="AL91" s="148">
        <f t="shared" si="132"/>
        <v>197865.77593932449</v>
      </c>
      <c r="AM91" s="148">
        <f t="shared" si="132"/>
        <v>207543.16591151388</v>
      </c>
      <c r="AN91" s="148">
        <f t="shared" si="132"/>
        <v>220702.60057043575</v>
      </c>
    </row>
    <row r="92" spans="1:40">
      <c r="A92" s="29" t="s">
        <v>265</v>
      </c>
      <c r="S92" s="233">
        <f t="shared" ref="S92:AB92" si="133">+S91/S58</f>
        <v>7.923683913876677</v>
      </c>
      <c r="T92" s="233">
        <f t="shared" si="133"/>
        <v>7.8660409556313997</v>
      </c>
      <c r="U92" s="233">
        <f t="shared" si="133"/>
        <v>7.8838736151005335</v>
      </c>
      <c r="V92" s="233">
        <f t="shared" si="133"/>
        <v>7.4271401208192129</v>
      </c>
      <c r="W92" s="233">
        <f t="shared" si="133"/>
        <v>7.9543612334801761</v>
      </c>
      <c r="X92" s="41">
        <f t="shared" si="133"/>
        <v>7.9836312323612422</v>
      </c>
      <c r="Y92" s="41">
        <f t="shared" si="133"/>
        <v>8.0240476458028986</v>
      </c>
      <c r="Z92" s="41">
        <f t="shared" si="133"/>
        <v>8.1263215258855581</v>
      </c>
      <c r="AA92" s="41">
        <f t="shared" si="133"/>
        <v>7.9379057591623035</v>
      </c>
      <c r="AB92" s="41">
        <f t="shared" si="133"/>
        <v>7.8427558039552885</v>
      </c>
      <c r="AC92" s="41">
        <f t="shared" ref="AC92:AH92" si="134">+AC91/AC58</f>
        <v>7.8230731943771206</v>
      </c>
      <c r="AD92" s="41">
        <f t="shared" si="134"/>
        <v>10.118673240079424</v>
      </c>
      <c r="AE92" s="41">
        <f t="shared" si="134"/>
        <v>9.6830587880188723</v>
      </c>
      <c r="AF92" s="41">
        <f t="shared" si="134"/>
        <v>8.8203233279594606</v>
      </c>
      <c r="AG92" s="41">
        <f t="shared" si="134"/>
        <v>9.6313780132958087</v>
      </c>
      <c r="AH92" s="41">
        <f t="shared" si="134"/>
        <v>10.029151970764239</v>
      </c>
      <c r="AI92" s="242">
        <f t="shared" ref="AI92:AN92" si="135">+AH92</f>
        <v>10.029151970764239</v>
      </c>
      <c r="AJ92" s="242">
        <f>+AI92</f>
        <v>10.029151970764239</v>
      </c>
      <c r="AK92" s="242">
        <f>+AJ92</f>
        <v>10.029151970764239</v>
      </c>
      <c r="AL92" s="242">
        <f>+AK92</f>
        <v>10.029151970764239</v>
      </c>
      <c r="AM92" s="242">
        <f t="shared" si="135"/>
        <v>10.029151970764239</v>
      </c>
      <c r="AN92" s="242">
        <f t="shared" si="135"/>
        <v>10.029151970764239</v>
      </c>
    </row>
    <row r="93" spans="1:40">
      <c r="V93" s="29"/>
      <c r="X93" s="29"/>
      <c r="Y93" s="41"/>
    </row>
    <row r="94" spans="1:40">
      <c r="A94" s="42" t="s">
        <v>10</v>
      </c>
      <c r="X94" s="29"/>
    </row>
    <row r="95" spans="1:40">
      <c r="A95" s="29" t="s">
        <v>251</v>
      </c>
      <c r="X95" s="29"/>
      <c r="Y95" s="29"/>
      <c r="Z95" s="29"/>
    </row>
    <row r="96" spans="1:40">
      <c r="A96" s="43" t="s">
        <v>255</v>
      </c>
      <c r="S96" s="249">
        <f t="shared" ref="S96:AC96" si="136">+S124*1000/(S$91)*1000</f>
        <v>2.1339858587870424</v>
      </c>
      <c r="T96" s="249">
        <f t="shared" si="136"/>
        <v>2.1694326933506889</v>
      </c>
      <c r="U96" s="249">
        <f t="shared" si="136"/>
        <v>2.2554173389545271</v>
      </c>
      <c r="V96" s="249">
        <f t="shared" si="136"/>
        <v>2.3805745119822252</v>
      </c>
      <c r="W96" s="249">
        <f t="shared" si="136"/>
        <v>1.7722248067167321</v>
      </c>
      <c r="X96" s="197">
        <f t="shared" si="136"/>
        <v>1.6496594631536774</v>
      </c>
      <c r="Y96" s="197">
        <f t="shared" si="136"/>
        <v>0.75623897151499864</v>
      </c>
      <c r="Z96" s="197">
        <f t="shared" si="136"/>
        <v>0.67060985259995431</v>
      </c>
      <c r="AA96" s="197">
        <f t="shared" si="136"/>
        <v>1.0553115147677654</v>
      </c>
      <c r="AB96" s="197">
        <f t="shared" si="136"/>
        <v>1.0963559867889103</v>
      </c>
      <c r="AC96" s="197">
        <f t="shared" si="136"/>
        <v>0.86746390730528533</v>
      </c>
      <c r="AD96" s="197">
        <f t="shared" ref="AD96:AF96" si="137">+AD124*1000/(AD$91)*1000</f>
        <v>0</v>
      </c>
      <c r="AE96" s="197">
        <f t="shared" si="137"/>
        <v>0</v>
      </c>
      <c r="AF96" s="197">
        <f t="shared" si="137"/>
        <v>0</v>
      </c>
      <c r="AG96" s="197">
        <f t="shared" ref="AG96:AH96" si="138">+AG124*1000/(AG$91)*1000</f>
        <v>0</v>
      </c>
      <c r="AH96" s="197">
        <f t="shared" si="138"/>
        <v>0</v>
      </c>
      <c r="AI96" s="256">
        <f t="shared" ref="AI96:AI98" si="139">+AH96</f>
        <v>0</v>
      </c>
      <c r="AJ96" s="256">
        <f t="shared" ref="AJ96:AK98" si="140">+AI96</f>
        <v>0</v>
      </c>
      <c r="AK96" s="256">
        <f t="shared" si="140"/>
        <v>0</v>
      </c>
      <c r="AL96" s="256">
        <f>+AK96</f>
        <v>0</v>
      </c>
      <c r="AM96" s="256">
        <f t="shared" ref="AM96:AN98" si="141">+AL96</f>
        <v>0</v>
      </c>
      <c r="AN96" s="256">
        <f t="shared" si="141"/>
        <v>0</v>
      </c>
    </row>
    <row r="97" spans="1:41">
      <c r="A97" s="43" t="s">
        <v>256</v>
      </c>
      <c r="S97" s="249">
        <f t="shared" ref="S97:AC97" si="142">+S125*1000/(S$91)</f>
        <v>2.4185173066253146E-2</v>
      </c>
      <c r="T97" s="249">
        <f t="shared" si="142"/>
        <v>2.2899567318701713E-2</v>
      </c>
      <c r="U97" s="249">
        <f t="shared" si="142"/>
        <v>2.6024046218706083E-2</v>
      </c>
      <c r="V97" s="249">
        <f t="shared" si="142"/>
        <v>2.9757181399777812E-2</v>
      </c>
      <c r="W97" s="249">
        <f t="shared" si="142"/>
        <v>2.4368091092355066E-2</v>
      </c>
      <c r="X97" s="197">
        <f t="shared" si="142"/>
        <v>2.1209907383404426E-2</v>
      </c>
      <c r="Y97" s="197">
        <f t="shared" si="142"/>
        <v>2.1328739881802655E-2</v>
      </c>
      <c r="Z97" s="197">
        <f t="shared" si="142"/>
        <v>2.1459515283198539E-2</v>
      </c>
      <c r="AA97" s="197">
        <f t="shared" si="142"/>
        <v>1.8467951508435897E-2</v>
      </c>
      <c r="AB97" s="197">
        <f t="shared" si="142"/>
        <v>1.9186229768805931E-2</v>
      </c>
      <c r="AC97" s="197">
        <f t="shared" si="142"/>
        <v>1.8712435714728297E-2</v>
      </c>
      <c r="AD97" s="197">
        <f t="shared" ref="AD97:AF97" si="143">+AD125*1000/(AD$91)</f>
        <v>0</v>
      </c>
      <c r="AE97" s="197">
        <f t="shared" si="143"/>
        <v>0</v>
      </c>
      <c r="AF97" s="197">
        <f t="shared" si="143"/>
        <v>0</v>
      </c>
      <c r="AG97" s="197">
        <f t="shared" ref="AG97:AH97" si="144">+AG125*1000/(AG$91)</f>
        <v>0</v>
      </c>
      <c r="AH97" s="197">
        <f t="shared" si="144"/>
        <v>0</v>
      </c>
      <c r="AI97" s="256">
        <f t="shared" si="139"/>
        <v>0</v>
      </c>
      <c r="AJ97" s="256">
        <f t="shared" si="140"/>
        <v>0</v>
      </c>
      <c r="AK97" s="256">
        <f t="shared" si="140"/>
        <v>0</v>
      </c>
      <c r="AL97" s="256">
        <f>+AK97</f>
        <v>0</v>
      </c>
      <c r="AM97" s="256">
        <f t="shared" si="141"/>
        <v>0</v>
      </c>
      <c r="AN97" s="256">
        <f t="shared" si="141"/>
        <v>0</v>
      </c>
    </row>
    <row r="98" spans="1:41">
      <c r="A98" s="29" t="s">
        <v>257</v>
      </c>
      <c r="S98" s="249">
        <f t="shared" ref="S98:AC98" si="145">+S126*1000/(S$58)</f>
        <v>6.7636117686844773E-3</v>
      </c>
      <c r="T98" s="249">
        <f t="shared" si="145"/>
        <v>6.6363291619264313E-3</v>
      </c>
      <c r="U98" s="249">
        <f t="shared" si="145"/>
        <v>6.8390097113937903E-3</v>
      </c>
      <c r="V98" s="249">
        <f t="shared" si="145"/>
        <v>7.3670251952261678E-3</v>
      </c>
      <c r="W98" s="249">
        <f t="shared" si="145"/>
        <v>7.048458149779736E-3</v>
      </c>
      <c r="X98" s="197">
        <f t="shared" si="145"/>
        <v>5.6444026340545629E-3</v>
      </c>
      <c r="Y98" s="197">
        <f t="shared" si="145"/>
        <v>6.6299584222946403E-3</v>
      </c>
      <c r="Z98" s="197">
        <f t="shared" si="145"/>
        <v>6.5395095367847414E-3</v>
      </c>
      <c r="AA98" s="197">
        <f t="shared" si="145"/>
        <v>6.2827225130890054E-3</v>
      </c>
      <c r="AB98" s="197">
        <f t="shared" si="145"/>
        <v>6.4488392089423908E-3</v>
      </c>
      <c r="AC98" s="197">
        <f t="shared" si="145"/>
        <v>6.7862336403296175E-3</v>
      </c>
      <c r="AD98" s="197">
        <f t="shared" ref="AD98:AF98" si="146">+AD126*1000/(AD$58)</f>
        <v>0</v>
      </c>
      <c r="AE98" s="197">
        <f t="shared" si="146"/>
        <v>0</v>
      </c>
      <c r="AF98" s="197">
        <f t="shared" si="146"/>
        <v>0</v>
      </c>
      <c r="AG98" s="197">
        <f t="shared" ref="AG98:AH98" si="147">+AG126*1000/(AG$58)</f>
        <v>0</v>
      </c>
      <c r="AH98" s="197">
        <f t="shared" si="147"/>
        <v>0</v>
      </c>
      <c r="AI98" s="256">
        <f t="shared" si="139"/>
        <v>0</v>
      </c>
      <c r="AJ98" s="256">
        <f t="shared" si="140"/>
        <v>0</v>
      </c>
      <c r="AK98" s="256">
        <f t="shared" si="140"/>
        <v>0</v>
      </c>
      <c r="AL98" s="256">
        <f>+AK98</f>
        <v>0</v>
      </c>
      <c r="AM98" s="256">
        <f t="shared" si="141"/>
        <v>0</v>
      </c>
      <c r="AN98" s="256">
        <f t="shared" si="141"/>
        <v>0</v>
      </c>
    </row>
    <row r="99" spans="1:41">
      <c r="A99" s="43" t="s">
        <v>252</v>
      </c>
      <c r="V99" s="182"/>
      <c r="W99" s="182"/>
      <c r="X99" s="243"/>
      <c r="Y99" s="243"/>
      <c r="Z99" s="243"/>
      <c r="AA99" s="243"/>
      <c r="AB99" s="243"/>
      <c r="AC99" s="243"/>
      <c r="AD99" s="243"/>
      <c r="AE99" s="243"/>
      <c r="AF99" s="243"/>
      <c r="AG99" s="243"/>
      <c r="AH99" s="243"/>
      <c r="AI99" s="243"/>
      <c r="AJ99" s="243"/>
      <c r="AK99" s="243"/>
      <c r="AL99" s="243"/>
      <c r="AM99" s="243"/>
      <c r="AN99" s="243"/>
      <c r="AO99" s="29"/>
    </row>
    <row r="100" spans="1:41">
      <c r="A100" s="43" t="s">
        <v>255</v>
      </c>
      <c r="S100" s="41">
        <f t="shared" ref="S100:AA102" si="148">+S128/(S$79)</f>
        <v>5.0413423198058469</v>
      </c>
      <c r="T100" s="41">
        <f t="shared" si="148"/>
        <v>2.392395552912395</v>
      </c>
      <c r="U100" s="41">
        <f t="shared" si="148"/>
        <v>1.5088827541337422</v>
      </c>
      <c r="V100" s="41">
        <f t="shared" si="148"/>
        <v>1.8131644025735401</v>
      </c>
      <c r="W100" s="41">
        <f t="shared" si="148"/>
        <v>1.6853483440059336</v>
      </c>
      <c r="X100" s="41">
        <f t="shared" si="148"/>
        <v>1.891543950227208</v>
      </c>
      <c r="Y100" s="41">
        <f t="shared" si="148"/>
        <v>0.77797637177001444</v>
      </c>
      <c r="Z100" s="41">
        <f t="shared" si="148"/>
        <v>0.94857936442725321</v>
      </c>
      <c r="AA100" s="41">
        <f t="shared" si="148"/>
        <v>0.93030689946562006</v>
      </c>
      <c r="AB100" s="41">
        <f t="shared" ref="AB100:AC102" si="149">+AB128/(AB$79)</f>
        <v>0.91641202228312835</v>
      </c>
      <c r="AC100" s="41">
        <f t="shared" si="149"/>
        <v>0.68810850457923933</v>
      </c>
      <c r="AD100" s="41">
        <f t="shared" ref="AD100:AF100" si="150">+AD128/(AD$79)</f>
        <v>0</v>
      </c>
      <c r="AE100" s="41">
        <f t="shared" si="150"/>
        <v>0</v>
      </c>
      <c r="AF100" s="41">
        <f t="shared" si="150"/>
        <v>0</v>
      </c>
      <c r="AG100" s="41">
        <f t="shared" ref="AG100:AH100" si="151">+AG128/(AG$79)</f>
        <v>0</v>
      </c>
      <c r="AH100" s="41">
        <f t="shared" si="151"/>
        <v>0</v>
      </c>
      <c r="AI100" s="192">
        <f t="shared" ref="AI100:AI102" si="152">+AH100</f>
        <v>0</v>
      </c>
      <c r="AJ100" s="192">
        <f t="shared" ref="AJ100:AK102" si="153">+AI100</f>
        <v>0</v>
      </c>
      <c r="AK100" s="192">
        <f t="shared" si="153"/>
        <v>0</v>
      </c>
      <c r="AL100" s="192">
        <f>+AK100</f>
        <v>0</v>
      </c>
      <c r="AM100" s="192">
        <f t="shared" ref="AM100:AN102" si="154">+AL100</f>
        <v>0</v>
      </c>
      <c r="AN100" s="192">
        <f t="shared" si="154"/>
        <v>0</v>
      </c>
      <c r="AO100" s="29"/>
    </row>
    <row r="101" spans="1:41">
      <c r="A101" s="43" t="s">
        <v>256</v>
      </c>
      <c r="S101" s="41">
        <f t="shared" si="148"/>
        <v>4.1263041590191687</v>
      </c>
      <c r="T101" s="41">
        <f t="shared" si="148"/>
        <v>3.0448670673430485</v>
      </c>
      <c r="U101" s="41">
        <f t="shared" si="148"/>
        <v>3.048876492888799</v>
      </c>
      <c r="V101" s="41">
        <f t="shared" si="148"/>
        <v>3.3375061569495248</v>
      </c>
      <c r="W101" s="41">
        <f t="shared" si="148"/>
        <v>3.5420880450294199</v>
      </c>
      <c r="X101" s="41">
        <f t="shared" si="148"/>
        <v>3.5381397630149216</v>
      </c>
      <c r="Y101" s="41">
        <f t="shared" si="148"/>
        <v>2.8767033281728449</v>
      </c>
      <c r="Z101" s="41">
        <f t="shared" si="148"/>
        <v>2.8092542715730189</v>
      </c>
      <c r="AA101" s="41">
        <f t="shared" si="148"/>
        <v>2.5929830602126858</v>
      </c>
      <c r="AB101" s="41">
        <f t="shared" si="149"/>
        <v>2.807730451250436</v>
      </c>
      <c r="AC101" s="41">
        <f t="shared" si="149"/>
        <v>2.9053470193345663</v>
      </c>
      <c r="AD101" s="41">
        <f t="shared" ref="AD101:AF101" si="155">+AD129/(AD$79)</f>
        <v>0</v>
      </c>
      <c r="AE101" s="41">
        <f t="shared" si="155"/>
        <v>0</v>
      </c>
      <c r="AF101" s="41">
        <f t="shared" si="155"/>
        <v>0</v>
      </c>
      <c r="AG101" s="41">
        <f t="shared" ref="AG101:AH101" si="156">+AG129/(AG$79)</f>
        <v>0</v>
      </c>
      <c r="AH101" s="41">
        <f t="shared" si="156"/>
        <v>0</v>
      </c>
      <c r="AI101" s="257">
        <f t="shared" si="152"/>
        <v>0</v>
      </c>
      <c r="AJ101" s="257">
        <f t="shared" si="153"/>
        <v>0</v>
      </c>
      <c r="AK101" s="257">
        <f t="shared" si="153"/>
        <v>0</v>
      </c>
      <c r="AL101" s="257">
        <f>+AK101</f>
        <v>0</v>
      </c>
      <c r="AM101" s="257">
        <f t="shared" si="154"/>
        <v>0</v>
      </c>
      <c r="AN101" s="257">
        <f t="shared" si="154"/>
        <v>0</v>
      </c>
    </row>
    <row r="102" spans="1:41">
      <c r="A102" s="29" t="s">
        <v>257</v>
      </c>
      <c r="S102" s="41">
        <f t="shared" si="148"/>
        <v>0.18991358054063123</v>
      </c>
      <c r="T102" s="41">
        <f t="shared" si="148"/>
        <v>0.1384030485155931</v>
      </c>
      <c r="U102" s="41">
        <f t="shared" si="148"/>
        <v>0.10888844617459996</v>
      </c>
      <c r="V102" s="41">
        <f t="shared" si="148"/>
        <v>0.11231991874349362</v>
      </c>
      <c r="W102" s="41">
        <f t="shared" si="148"/>
        <v>9.9978291593572327E-2</v>
      </c>
      <c r="X102" s="41">
        <f t="shared" si="148"/>
        <v>0.10886583886199759</v>
      </c>
      <c r="Y102" s="41">
        <f t="shared" si="148"/>
        <v>5.4277421286280082E-2</v>
      </c>
      <c r="Z102" s="41">
        <f t="shared" si="148"/>
        <v>5.4725732563110759E-2</v>
      </c>
      <c r="AA102" s="41">
        <f t="shared" si="148"/>
        <v>7.9175055273669803E-2</v>
      </c>
      <c r="AB102" s="41">
        <f t="shared" si="149"/>
        <v>7.7992512534734326E-2</v>
      </c>
      <c r="AC102" s="41">
        <f t="shared" si="149"/>
        <v>6.6124540980587565E-2</v>
      </c>
      <c r="AD102" s="41">
        <f t="shared" ref="AD102:AF102" si="157">+AD130/(AD$79)</f>
        <v>0</v>
      </c>
      <c r="AE102" s="41">
        <f t="shared" si="157"/>
        <v>0</v>
      </c>
      <c r="AF102" s="41">
        <f t="shared" si="157"/>
        <v>0</v>
      </c>
      <c r="AG102" s="41">
        <f t="shared" ref="AG102:AH102" si="158">+AG130/(AG$79)</f>
        <v>0</v>
      </c>
      <c r="AH102" s="41">
        <f t="shared" si="158"/>
        <v>0</v>
      </c>
      <c r="AI102" s="257">
        <f t="shared" si="152"/>
        <v>0</v>
      </c>
      <c r="AJ102" s="257">
        <f t="shared" si="153"/>
        <v>0</v>
      </c>
      <c r="AK102" s="257">
        <f t="shared" si="153"/>
        <v>0</v>
      </c>
      <c r="AL102" s="257">
        <f>+AK102</f>
        <v>0</v>
      </c>
      <c r="AM102" s="257">
        <f t="shared" si="154"/>
        <v>0</v>
      </c>
      <c r="AN102" s="257">
        <f t="shared" si="154"/>
        <v>0</v>
      </c>
    </row>
    <row r="103" spans="1:41">
      <c r="X103" s="29"/>
      <c r="Y103" s="29"/>
      <c r="Z103" s="29"/>
    </row>
    <row r="104" spans="1:41" outlineLevel="1">
      <c r="A104" s="62" t="s">
        <v>29</v>
      </c>
      <c r="X104" s="29"/>
      <c r="Y104" s="226"/>
    </row>
    <row r="105" spans="1:41" outlineLevel="1">
      <c r="A105" s="29" t="s">
        <v>30</v>
      </c>
      <c r="X105" s="29"/>
    </row>
    <row r="106" spans="1:41" outlineLevel="1">
      <c r="A106" s="43" t="s">
        <v>255</v>
      </c>
      <c r="T106" s="234"/>
      <c r="X106" s="29"/>
      <c r="Y106" s="235" t="str">
        <f>+IF(Y120-Y134&lt;0, "OK", "FAIL")</f>
        <v>OK</v>
      </c>
      <c r="Z106" s="236"/>
      <c r="AA106" s="235" t="str">
        <f>+IF(AA120-AA134&lt;0, "OK", "FAIL")</f>
        <v>OK</v>
      </c>
      <c r="AC106" s="235" t="str">
        <f>+IF(AC120-AC134&lt;0, "OK", "FAIL")</f>
        <v>OK</v>
      </c>
    </row>
    <row r="107" spans="1:41" outlineLevel="1">
      <c r="A107" s="43" t="s">
        <v>256</v>
      </c>
      <c r="T107" s="234"/>
      <c r="X107" s="29"/>
      <c r="Y107" s="235" t="str">
        <f>+IF(Y121-Y135&lt;0, "OK", "FAIL")</f>
        <v>OK</v>
      </c>
      <c r="Z107" s="236"/>
      <c r="AA107" s="235" t="str">
        <f>+IF(AA121-AA135&lt;0, "OK", "FAIL")</f>
        <v>OK</v>
      </c>
      <c r="AC107" s="235" t="str">
        <f>+IF(AC121-AC135&lt;0, "OK", "FAIL")</f>
        <v>FAIL</v>
      </c>
    </row>
    <row r="108" spans="1:41" outlineLevel="1">
      <c r="A108" s="29" t="s">
        <v>257</v>
      </c>
      <c r="T108" s="234"/>
      <c r="X108" s="29"/>
      <c r="Y108" s="235" t="str">
        <f>+IF(Y122-Y136&lt;0, "OK", "FAIL")</f>
        <v>OK</v>
      </c>
      <c r="Z108" s="236"/>
      <c r="AA108" s="235" t="str">
        <f>+IF(AA122-AA136&lt;0, "OK", "FAIL")</f>
        <v>OK</v>
      </c>
      <c r="AC108" s="235" t="str">
        <f>+IF(AC122-AC136&lt;0, "OK", "FAIL")</f>
        <v>FAIL</v>
      </c>
    </row>
    <row r="109" spans="1:41" outlineLevel="1">
      <c r="A109" s="29" t="s">
        <v>251</v>
      </c>
      <c r="X109" s="29"/>
      <c r="Y109" s="235"/>
      <c r="Z109" s="236"/>
      <c r="AA109" s="235"/>
      <c r="AC109" s="235"/>
    </row>
    <row r="110" spans="1:41" outlineLevel="1">
      <c r="A110" s="43" t="s">
        <v>255</v>
      </c>
      <c r="X110" s="29"/>
      <c r="Y110" s="235" t="str">
        <f>+IF(Y124-Y138&lt;0, "OK", "FAIL")</f>
        <v>OK</v>
      </c>
      <c r="Z110" s="236"/>
      <c r="AA110" s="235" t="str">
        <f>+IF(AA124-AA138&lt;0, "OK", "FAIL")</f>
        <v>OK</v>
      </c>
      <c r="AC110" s="235" t="str">
        <f>+IF(AC124-AC138&lt;0, "OK", "FAIL")</f>
        <v>OK</v>
      </c>
    </row>
    <row r="111" spans="1:41" outlineLevel="1">
      <c r="A111" s="43" t="s">
        <v>256</v>
      </c>
      <c r="X111" s="29"/>
      <c r="Y111" s="235" t="str">
        <f>+IF(Y125-Y139&lt;0, "OK", "FAIL")</f>
        <v>OK</v>
      </c>
      <c r="Z111" s="236"/>
      <c r="AA111" s="235" t="str">
        <f>+IF(AA125-AA139&lt;0, "OK", "FAIL")</f>
        <v>OK</v>
      </c>
      <c r="AC111" s="235" t="str">
        <f>+IF(AC125-AC139&lt;0, "OK", "FAIL")</f>
        <v>OK</v>
      </c>
    </row>
    <row r="112" spans="1:41" outlineLevel="1">
      <c r="A112" s="29" t="s">
        <v>257</v>
      </c>
      <c r="X112" s="29"/>
      <c r="Y112" s="235" t="str">
        <f>+IF(Y126-Y140&lt;0, "OK", "FAIL")</f>
        <v>OK</v>
      </c>
      <c r="Z112" s="236"/>
      <c r="AA112" s="235" t="str">
        <f>+IF(AA126-AA140&lt;0, "OK", "FAIL")</f>
        <v>OK</v>
      </c>
      <c r="AC112" s="235" t="str">
        <f>+IF(AC126-AC140&lt;0, "OK", "FAIL")</f>
        <v>OK</v>
      </c>
    </row>
    <row r="113" spans="1:40" outlineLevel="1">
      <c r="A113" s="43" t="s">
        <v>252</v>
      </c>
      <c r="X113" s="29"/>
      <c r="Y113" s="237"/>
      <c r="Z113" s="238"/>
      <c r="AA113" s="237"/>
      <c r="AC113" s="237"/>
    </row>
    <row r="114" spans="1:40" outlineLevel="1">
      <c r="A114" s="43" t="s">
        <v>255</v>
      </c>
      <c r="X114" s="29"/>
      <c r="Y114" s="235" t="str">
        <f>+IF(Y128-Y142&lt;0, "OK", "FAIL")</f>
        <v>FAIL</v>
      </c>
      <c r="Z114" s="236"/>
      <c r="AA114" s="235" t="str">
        <f>+IF(AA128-AA142&lt;0, "OK", "FAIL")</f>
        <v>FAIL</v>
      </c>
      <c r="AC114" s="235" t="str">
        <f>+IF(AC128-AC142&lt;0, "OK", "FAIL")</f>
        <v>OK</v>
      </c>
    </row>
    <row r="115" spans="1:40" outlineLevel="1">
      <c r="A115" s="43" t="s">
        <v>256</v>
      </c>
      <c r="X115" s="29"/>
      <c r="Y115" s="239" t="str">
        <f>+IF(Y129-Y143&lt;0, "OK", "FAIL")</f>
        <v>FAIL</v>
      </c>
      <c r="Z115" s="236"/>
      <c r="AA115" s="235" t="str">
        <f>+IF(AA129-AA143&lt;0, "OK", "FAIL")</f>
        <v>FAIL</v>
      </c>
      <c r="AC115" s="235" t="str">
        <f>+IF(AC129-AC143&lt;0, "OK", "FAIL")</f>
        <v>FAIL</v>
      </c>
    </row>
    <row r="116" spans="1:40" outlineLevel="1">
      <c r="A116" s="29" t="s">
        <v>257</v>
      </c>
      <c r="X116" s="29"/>
      <c r="Y116" s="235" t="str">
        <f>+IF(Y130-Y144&lt;0, "OK", "FAIL")</f>
        <v>OK</v>
      </c>
      <c r="Z116" s="236"/>
      <c r="AA116" s="235" t="str">
        <f>+IF(AA130-AA144&lt;0, "OK", "FAIL")</f>
        <v>FAIL</v>
      </c>
      <c r="AC116" s="235" t="str">
        <f>+IF(AC130-AC144&lt;0, "OK", "FAIL")</f>
        <v>OK</v>
      </c>
    </row>
    <row r="117" spans="1:40" outlineLevel="1">
      <c r="X117" s="29"/>
    </row>
    <row r="118" spans="1:40" outlineLevel="1">
      <c r="A118" s="62" t="s">
        <v>9</v>
      </c>
      <c r="X118" s="29"/>
    </row>
    <row r="119" spans="1:40" outlineLevel="1">
      <c r="A119" s="29" t="s">
        <v>30</v>
      </c>
      <c r="X119" s="29"/>
    </row>
    <row r="120" spans="1:40" outlineLevel="1">
      <c r="A120" s="43" t="s">
        <v>255</v>
      </c>
      <c r="S120" s="234">
        <f>+S124+S128</f>
        <v>29.349999999999998</v>
      </c>
      <c r="T120" s="234">
        <f t="shared" ref="T120:AA120" si="159">+T124+T128</f>
        <v>12.28</v>
      </c>
      <c r="U120" s="234">
        <f t="shared" si="159"/>
        <v>9.83</v>
      </c>
      <c r="V120" s="234">
        <f t="shared" si="159"/>
        <v>11.42</v>
      </c>
      <c r="W120" s="234">
        <f t="shared" si="159"/>
        <v>11.88</v>
      </c>
      <c r="X120" s="75">
        <f t="shared" si="159"/>
        <v>13.97</v>
      </c>
      <c r="Y120" s="234">
        <f t="shared" si="159"/>
        <v>4.3540000000000001</v>
      </c>
      <c r="Z120" s="234">
        <f t="shared" si="159"/>
        <v>5.25</v>
      </c>
      <c r="AA120" s="234">
        <f t="shared" si="159"/>
        <v>4.78</v>
      </c>
      <c r="AB120" s="234">
        <f>+AB124+AB128</f>
        <v>4.78</v>
      </c>
      <c r="AC120" s="234">
        <f>+AC124+AC128</f>
        <v>3.4</v>
      </c>
      <c r="AD120" s="234"/>
      <c r="AE120" s="234"/>
      <c r="AF120" s="234"/>
      <c r="AG120" s="234"/>
      <c r="AH120" s="234"/>
      <c r="AI120" s="234"/>
      <c r="AJ120" s="234"/>
      <c r="AK120" s="234"/>
      <c r="AL120" s="234"/>
      <c r="AM120" s="234"/>
      <c r="AN120" s="234"/>
    </row>
    <row r="121" spans="1:40" outlineLevel="1">
      <c r="A121" s="43" t="s">
        <v>256</v>
      </c>
      <c r="S121" s="234">
        <f t="shared" ref="S121:AB121" si="160">+S125+S129</f>
        <v>25.599999999999998</v>
      </c>
      <c r="T121" s="234">
        <f t="shared" si="160"/>
        <v>17.3</v>
      </c>
      <c r="U121" s="234">
        <f t="shared" si="160"/>
        <v>21.1</v>
      </c>
      <c r="V121" s="234">
        <f t="shared" si="160"/>
        <v>22.3</v>
      </c>
      <c r="W121" s="234">
        <f t="shared" si="160"/>
        <v>25.900000000000002</v>
      </c>
      <c r="X121" s="75">
        <f t="shared" si="160"/>
        <v>26.9</v>
      </c>
      <c r="Y121" s="234">
        <f t="shared" si="160"/>
        <v>17.423000000000002</v>
      </c>
      <c r="Z121" s="234">
        <f t="shared" si="160"/>
        <v>17</v>
      </c>
      <c r="AA121" s="234">
        <f t="shared" si="160"/>
        <v>14.5</v>
      </c>
      <c r="AB121" s="234">
        <f t="shared" si="160"/>
        <v>15.8</v>
      </c>
      <c r="AC121" s="234">
        <f>+AC125+AC129</f>
        <v>15.57</v>
      </c>
      <c r="AD121" s="234"/>
      <c r="AE121" s="234"/>
      <c r="AF121" s="234"/>
      <c r="AG121" s="234"/>
      <c r="AH121" s="234"/>
      <c r="AI121" s="234"/>
      <c r="AJ121" s="234"/>
      <c r="AK121" s="234"/>
      <c r="AL121" s="234"/>
      <c r="AM121" s="234"/>
      <c r="AN121" s="234"/>
    </row>
    <row r="122" spans="1:40" outlineLevel="1">
      <c r="A122" s="29" t="s">
        <v>257</v>
      </c>
      <c r="S122" s="234">
        <f t="shared" ref="S122:AB122" si="161">+S126+S130</f>
        <v>1.1600000000000001</v>
      </c>
      <c r="T122" s="234">
        <f t="shared" si="161"/>
        <v>0.77</v>
      </c>
      <c r="U122" s="234">
        <f t="shared" si="161"/>
        <v>0.75</v>
      </c>
      <c r="V122" s="234">
        <f t="shared" si="161"/>
        <v>0.75</v>
      </c>
      <c r="W122" s="234">
        <f t="shared" si="161"/>
        <v>0.74</v>
      </c>
      <c r="X122" s="75">
        <f t="shared" si="161"/>
        <v>0.83000000000000007</v>
      </c>
      <c r="Y122" s="234">
        <f t="shared" si="161"/>
        <v>0.35899999999999999</v>
      </c>
      <c r="Z122" s="234">
        <f t="shared" si="161"/>
        <v>0.36</v>
      </c>
      <c r="AA122" s="234">
        <f t="shared" si="161"/>
        <v>0.46</v>
      </c>
      <c r="AB122" s="234">
        <f t="shared" si="161"/>
        <v>0.46</v>
      </c>
      <c r="AC122" s="234">
        <f>+AC126+AC130</f>
        <v>0.39</v>
      </c>
      <c r="AD122" s="234"/>
      <c r="AE122" s="234"/>
      <c r="AF122" s="234"/>
      <c r="AG122" s="234"/>
      <c r="AH122" s="234"/>
      <c r="AI122" s="234"/>
      <c r="AJ122" s="234"/>
      <c r="AK122" s="234"/>
      <c r="AL122" s="234"/>
      <c r="AM122" s="234"/>
      <c r="AN122" s="234"/>
    </row>
    <row r="123" spans="1:40" outlineLevel="1">
      <c r="A123" s="29" t="s">
        <v>251</v>
      </c>
      <c r="X123" s="29"/>
    </row>
    <row r="124" spans="1:40" outlineLevel="1">
      <c r="A124" s="43" t="s">
        <v>255</v>
      </c>
      <c r="S124" s="240">
        <v>0.15</v>
      </c>
      <c r="T124" s="240">
        <v>0.18</v>
      </c>
      <c r="U124" s="240">
        <v>0.13</v>
      </c>
      <c r="V124" s="240">
        <v>0.12</v>
      </c>
      <c r="W124" s="240">
        <v>0.08</v>
      </c>
      <c r="X124" s="240">
        <v>7.0000000000000007E-2</v>
      </c>
      <c r="Y124" s="241">
        <f>0.013+0.015+0.013+0.013</f>
        <v>5.3999999999999992E-2</v>
      </c>
      <c r="Z124" s="241">
        <v>0.05</v>
      </c>
      <c r="AA124" s="241">
        <v>0.08</v>
      </c>
      <c r="AB124" s="241">
        <v>0.08</v>
      </c>
      <c r="AC124" s="241">
        <v>7.0000000000000007E-2</v>
      </c>
      <c r="AD124" s="242"/>
      <c r="AE124" s="242"/>
      <c r="AF124" s="242"/>
      <c r="AG124" s="242"/>
      <c r="AH124" s="242"/>
      <c r="AI124" s="242"/>
      <c r="AJ124" s="242"/>
      <c r="AK124" s="242"/>
      <c r="AL124" s="242"/>
      <c r="AM124" s="242"/>
      <c r="AN124" s="242"/>
    </row>
    <row r="125" spans="1:40" outlineLevel="1">
      <c r="A125" s="43" t="s">
        <v>256</v>
      </c>
      <c r="S125" s="240">
        <v>1.7</v>
      </c>
      <c r="T125" s="240">
        <v>1.9</v>
      </c>
      <c r="U125" s="240">
        <v>1.5</v>
      </c>
      <c r="V125" s="240">
        <v>1.5</v>
      </c>
      <c r="W125" s="240">
        <v>1.1000000000000001</v>
      </c>
      <c r="X125" s="240">
        <v>0.9</v>
      </c>
      <c r="Y125" s="241">
        <f>0.281+0.426+0.492+0.324</f>
        <v>1.5230000000000001</v>
      </c>
      <c r="Z125" s="241">
        <v>1.6</v>
      </c>
      <c r="AA125" s="241">
        <v>1.4</v>
      </c>
      <c r="AB125" s="241">
        <v>1.4</v>
      </c>
      <c r="AC125" s="241">
        <v>1.51</v>
      </c>
      <c r="AD125" s="242"/>
      <c r="AE125" s="242"/>
      <c r="AF125" s="242"/>
      <c r="AG125" s="242"/>
      <c r="AH125" s="242"/>
      <c r="AI125" s="242"/>
      <c r="AJ125" s="242"/>
      <c r="AK125" s="242"/>
      <c r="AL125" s="242"/>
      <c r="AM125" s="242"/>
      <c r="AN125" s="242"/>
    </row>
    <row r="126" spans="1:40" outlineLevel="1">
      <c r="A126" s="29" t="s">
        <v>257</v>
      </c>
      <c r="S126" s="240">
        <v>0.06</v>
      </c>
      <c r="T126" s="240">
        <v>7.0000000000000007E-2</v>
      </c>
      <c r="U126" s="240">
        <v>0.05</v>
      </c>
      <c r="V126" s="240">
        <v>0.05</v>
      </c>
      <c r="W126" s="240">
        <v>0.04</v>
      </c>
      <c r="X126" s="240">
        <v>0.03</v>
      </c>
      <c r="Y126" s="241">
        <f>0.011+0.017+0.019+0.012</f>
        <v>5.8999999999999997E-2</v>
      </c>
      <c r="Z126" s="241">
        <v>0.06</v>
      </c>
      <c r="AA126" s="241">
        <v>0.06</v>
      </c>
      <c r="AB126" s="241">
        <v>0.06</v>
      </c>
      <c r="AC126" s="241">
        <v>7.0000000000000007E-2</v>
      </c>
      <c r="AD126" s="242"/>
      <c r="AE126" s="242"/>
      <c r="AF126" s="242"/>
      <c r="AG126" s="242"/>
      <c r="AH126" s="242"/>
      <c r="AI126" s="242"/>
      <c r="AJ126" s="242"/>
      <c r="AK126" s="242"/>
      <c r="AL126" s="242"/>
      <c r="AM126" s="242"/>
      <c r="AN126" s="242"/>
    </row>
    <row r="127" spans="1:40" outlineLevel="1">
      <c r="A127" s="43" t="s">
        <v>252</v>
      </c>
      <c r="W127" s="182"/>
      <c r="X127" s="243"/>
      <c r="Y127" s="244"/>
      <c r="Z127" s="244"/>
      <c r="AA127" s="182"/>
      <c r="AB127" s="182"/>
      <c r="AC127" s="182"/>
      <c r="AD127" s="182"/>
      <c r="AE127" s="182"/>
      <c r="AF127" s="182"/>
      <c r="AG127" s="182"/>
      <c r="AH127" s="182"/>
      <c r="AI127" s="182"/>
      <c r="AJ127" s="182"/>
      <c r="AK127" s="182"/>
      <c r="AL127" s="182"/>
      <c r="AM127" s="182"/>
      <c r="AN127" s="182"/>
    </row>
    <row r="128" spans="1:40" outlineLevel="1">
      <c r="A128" s="43" t="s">
        <v>255</v>
      </c>
      <c r="S128" s="43">
        <v>29.2</v>
      </c>
      <c r="T128" s="43">
        <v>12.1</v>
      </c>
      <c r="U128" s="43">
        <v>9.6999999999999993</v>
      </c>
      <c r="V128" s="29">
        <v>11.3</v>
      </c>
      <c r="W128" s="29">
        <v>11.8</v>
      </c>
      <c r="X128" s="127">
        <v>13.9</v>
      </c>
      <c r="Y128" s="241">
        <v>4.3</v>
      </c>
      <c r="Z128" s="241">
        <v>5.2</v>
      </c>
      <c r="AA128" s="241">
        <v>4.7</v>
      </c>
      <c r="AB128" s="241">
        <v>4.7</v>
      </c>
      <c r="AC128" s="241">
        <v>3.33</v>
      </c>
      <c r="AD128" s="242"/>
      <c r="AE128" s="242"/>
      <c r="AF128" s="242"/>
      <c r="AG128" s="242"/>
      <c r="AH128" s="242"/>
      <c r="AI128" s="242"/>
      <c r="AJ128" s="242"/>
      <c r="AK128" s="242"/>
      <c r="AL128" s="242"/>
      <c r="AM128" s="242"/>
      <c r="AN128" s="242"/>
    </row>
    <row r="129" spans="1:43" outlineLevel="1">
      <c r="A129" s="43" t="s">
        <v>256</v>
      </c>
      <c r="S129" s="43">
        <v>23.9</v>
      </c>
      <c r="T129" s="43">
        <v>15.4</v>
      </c>
      <c r="U129" s="43">
        <v>19.600000000000001</v>
      </c>
      <c r="V129" s="29">
        <v>20.8</v>
      </c>
      <c r="W129" s="29">
        <v>24.8</v>
      </c>
      <c r="X129" s="127">
        <v>26</v>
      </c>
      <c r="Y129" s="241">
        <f>2.5+4.4+4.7+4.3</f>
        <v>15.900000000000002</v>
      </c>
      <c r="Z129" s="241">
        <v>15.4</v>
      </c>
      <c r="AA129" s="241">
        <v>13.1</v>
      </c>
      <c r="AB129" s="241">
        <v>14.4</v>
      </c>
      <c r="AC129" s="241">
        <v>14.06</v>
      </c>
      <c r="AD129" s="242"/>
      <c r="AE129" s="242"/>
      <c r="AF129" s="242"/>
      <c r="AG129" s="242"/>
      <c r="AH129" s="242"/>
      <c r="AI129" s="242"/>
      <c r="AJ129" s="242"/>
      <c r="AK129" s="242"/>
      <c r="AL129" s="242"/>
      <c r="AM129" s="242"/>
      <c r="AN129" s="242"/>
    </row>
    <row r="130" spans="1:43" outlineLevel="1">
      <c r="A130" s="29" t="s">
        <v>257</v>
      </c>
      <c r="S130" s="43">
        <v>1.1000000000000001</v>
      </c>
      <c r="T130" s="43">
        <v>0.7</v>
      </c>
      <c r="U130" s="43">
        <v>0.7</v>
      </c>
      <c r="V130" s="29">
        <v>0.7</v>
      </c>
      <c r="W130" s="29">
        <v>0.7</v>
      </c>
      <c r="X130" s="127">
        <v>0.8</v>
      </c>
      <c r="Y130" s="241">
        <v>0.3</v>
      </c>
      <c r="Z130" s="241">
        <v>0.3</v>
      </c>
      <c r="AA130" s="241">
        <v>0.4</v>
      </c>
      <c r="AB130" s="241">
        <v>0.4</v>
      </c>
      <c r="AC130" s="241">
        <v>0.32</v>
      </c>
      <c r="AD130" s="242"/>
      <c r="AE130" s="242"/>
      <c r="AF130" s="242"/>
      <c r="AG130" s="242"/>
      <c r="AH130" s="242"/>
      <c r="AI130" s="242"/>
      <c r="AJ130" s="242"/>
      <c r="AK130" s="242"/>
      <c r="AL130" s="242"/>
      <c r="AM130" s="242"/>
      <c r="AN130" s="242"/>
    </row>
    <row r="131" spans="1:43" outlineLevel="1">
      <c r="A131" s="62"/>
      <c r="X131" s="29"/>
      <c r="Y131" s="245"/>
      <c r="Z131" s="245"/>
    </row>
    <row r="132" spans="1:43" outlineLevel="1">
      <c r="A132" s="62" t="s">
        <v>69</v>
      </c>
      <c r="X132" s="29"/>
    </row>
    <row r="133" spans="1:43" outlineLevel="1">
      <c r="A133" s="29" t="s">
        <v>30</v>
      </c>
      <c r="X133" s="29"/>
    </row>
    <row r="134" spans="1:43" outlineLevel="1">
      <c r="A134" s="43" t="s">
        <v>255</v>
      </c>
      <c r="T134" s="234">
        <f>+Y134/(36%)</f>
        <v>15.833333333333332</v>
      </c>
      <c r="X134" s="29"/>
      <c r="Y134" s="246">
        <f>+Y138+Y142</f>
        <v>5.6999999999999993</v>
      </c>
      <c r="Z134" s="247"/>
      <c r="AA134" s="246">
        <f>+AA138+AA142</f>
        <v>5.1970000000000001</v>
      </c>
      <c r="AB134" s="226"/>
      <c r="AC134" s="246">
        <v>4.25</v>
      </c>
      <c r="AD134" s="226"/>
      <c r="AE134" s="226"/>
      <c r="AF134" s="226"/>
      <c r="AG134" s="226"/>
      <c r="AH134" s="226"/>
      <c r="AI134" s="226"/>
      <c r="AJ134" s="226"/>
      <c r="AK134" s="226"/>
      <c r="AL134" s="226"/>
      <c r="AM134" s="226"/>
      <c r="AN134" s="226"/>
      <c r="AO134" s="226">
        <f>+Y134/T134-1</f>
        <v>-0.64</v>
      </c>
      <c r="AQ134" s="226">
        <f>+AA134/Y134-1</f>
        <v>-8.8245614035087572E-2</v>
      </c>
    </row>
    <row r="135" spans="1:43" outlineLevel="1">
      <c r="A135" s="43" t="s">
        <v>256</v>
      </c>
      <c r="T135" s="234">
        <f>+Y135/(66%)</f>
        <v>26.560606060606062</v>
      </c>
      <c r="X135" s="29"/>
      <c r="Y135" s="246">
        <f>+Y139+Y143</f>
        <v>17.53</v>
      </c>
      <c r="Z135" s="248"/>
      <c r="AA135" s="246">
        <f>+AA139+AA143</f>
        <v>16.498000000000001</v>
      </c>
      <c r="AB135" s="226"/>
      <c r="AC135" s="246">
        <v>8.98</v>
      </c>
      <c r="AD135" s="226"/>
      <c r="AE135" s="226"/>
      <c r="AF135" s="226"/>
      <c r="AG135" s="226"/>
      <c r="AH135" s="226"/>
      <c r="AI135" s="226"/>
      <c r="AJ135" s="226"/>
      <c r="AK135" s="226"/>
      <c r="AL135" s="226"/>
      <c r="AM135" s="226"/>
      <c r="AN135" s="226"/>
      <c r="AO135" s="226">
        <f>+Y135/T135-1</f>
        <v>-0.33999999999999997</v>
      </c>
      <c r="AQ135" s="226">
        <f>+AA135/Y135-1</f>
        <v>-5.8870507701083818E-2</v>
      </c>
    </row>
    <row r="136" spans="1:43" outlineLevel="1">
      <c r="A136" s="29" t="s">
        <v>257</v>
      </c>
      <c r="T136" s="234">
        <f>+Y136/(67%)</f>
        <v>0.79104477611940294</v>
      </c>
      <c r="X136" s="29"/>
      <c r="Y136" s="249">
        <f>+Y140+Y144</f>
        <v>0.53</v>
      </c>
      <c r="Z136" s="248"/>
      <c r="AA136" s="246">
        <f>+AA140+AA144</f>
        <v>0.499</v>
      </c>
      <c r="AB136" s="226"/>
      <c r="AC136" s="246">
        <v>0.2</v>
      </c>
      <c r="AD136" s="226"/>
      <c r="AE136" s="226"/>
      <c r="AF136" s="226"/>
      <c r="AG136" s="226"/>
      <c r="AH136" s="226"/>
      <c r="AI136" s="226"/>
      <c r="AJ136" s="226"/>
      <c r="AK136" s="226"/>
      <c r="AL136" s="226"/>
      <c r="AM136" s="226"/>
      <c r="AN136" s="226"/>
      <c r="AO136" s="226">
        <f>+Y136/T136-1</f>
        <v>-0.32999999999999996</v>
      </c>
      <c r="AQ136" s="226">
        <f>+AA136/Y136-1</f>
        <v>-5.8490566037735947E-2</v>
      </c>
    </row>
    <row r="137" spans="1:43" outlineLevel="1">
      <c r="A137" s="29" t="s">
        <v>251</v>
      </c>
      <c r="X137" s="29"/>
      <c r="Y137" s="246"/>
      <c r="Z137" s="246"/>
      <c r="AA137" s="246"/>
      <c r="AC137" s="246"/>
    </row>
    <row r="138" spans="1:43" outlineLevel="1">
      <c r="A138" s="43" t="s">
        <v>255</v>
      </c>
      <c r="X138" s="29"/>
      <c r="Y138" s="249">
        <v>1.44</v>
      </c>
      <c r="Z138" s="246"/>
      <c r="AA138" s="246">
        <v>1.44</v>
      </c>
      <c r="AC138" s="246">
        <v>0.28999999999999998</v>
      </c>
    </row>
    <row r="139" spans="1:43" outlineLevel="1">
      <c r="A139" s="43" t="s">
        <v>256</v>
      </c>
      <c r="X139" s="29"/>
      <c r="Y139" s="249">
        <v>4.1399999999999997</v>
      </c>
      <c r="Z139" s="246"/>
      <c r="AA139" s="246">
        <v>4.1399999999999997</v>
      </c>
      <c r="AC139" s="246">
        <v>4.1399999999999997</v>
      </c>
    </row>
    <row r="140" spans="1:43" outlineLevel="1">
      <c r="A140" s="29" t="s">
        <v>257</v>
      </c>
      <c r="X140" s="29"/>
      <c r="Y140" s="249">
        <v>0.11</v>
      </c>
      <c r="Z140" s="246"/>
      <c r="AA140" s="246">
        <v>0.11</v>
      </c>
      <c r="AC140" s="246">
        <v>0.11</v>
      </c>
    </row>
    <row r="141" spans="1:43" outlineLevel="1">
      <c r="A141" s="43" t="s">
        <v>252</v>
      </c>
      <c r="X141" s="29"/>
      <c r="Y141" s="246"/>
      <c r="Z141" s="246"/>
      <c r="AA141" s="246"/>
      <c r="AC141" s="246"/>
    </row>
    <row r="142" spans="1:43" outlineLevel="1">
      <c r="A142" s="43" t="s">
        <v>255</v>
      </c>
      <c r="X142" s="29"/>
      <c r="Y142" s="246">
        <v>4.26</v>
      </c>
      <c r="Z142" s="246"/>
      <c r="AA142" s="246">
        <v>3.7570000000000001</v>
      </c>
      <c r="AB142" s="226"/>
      <c r="AC142" s="246">
        <v>4.6779999999999999</v>
      </c>
      <c r="AD142" s="226"/>
      <c r="AE142" s="226"/>
      <c r="AF142" s="226"/>
      <c r="AG142" s="226"/>
      <c r="AH142" s="226"/>
      <c r="AI142" s="226"/>
      <c r="AJ142" s="226"/>
      <c r="AK142" s="226"/>
      <c r="AL142" s="226"/>
      <c r="AM142" s="226"/>
      <c r="AN142" s="226"/>
    </row>
    <row r="143" spans="1:43" outlineLevel="1">
      <c r="A143" s="43" t="s">
        <v>256</v>
      </c>
      <c r="X143" s="29"/>
      <c r="Y143" s="250">
        <v>13.39</v>
      </c>
      <c r="Z143" s="246"/>
      <c r="AA143" s="250">
        <v>12.358000000000001</v>
      </c>
      <c r="AC143" s="250">
        <v>12.358000000000001</v>
      </c>
    </row>
    <row r="144" spans="1:43" outlineLevel="1">
      <c r="A144" s="29" t="s">
        <v>257</v>
      </c>
      <c r="X144" s="29"/>
      <c r="Y144" s="246">
        <v>0.42</v>
      </c>
      <c r="Z144" s="246"/>
      <c r="AA144" s="246">
        <v>0.38900000000000001</v>
      </c>
      <c r="AC144" s="246">
        <v>0.38900000000000001</v>
      </c>
    </row>
    <row r="145" spans="1:25">
      <c r="W145" s="105"/>
      <c r="X145" s="29"/>
    </row>
    <row r="146" spans="1:25" ht="13.5" customHeight="1">
      <c r="A146" s="62"/>
      <c r="X146" s="29"/>
    </row>
    <row r="147" spans="1:25">
      <c r="A147" s="29"/>
      <c r="Y147" s="220"/>
    </row>
    <row r="148" spans="1:25">
      <c r="A148" s="29"/>
      <c r="Y148" s="220"/>
    </row>
    <row r="149" spans="1:25">
      <c r="A149" s="29"/>
      <c r="Y149" s="220"/>
    </row>
    <row r="151" spans="1:25">
      <c r="A151" s="29"/>
    </row>
    <row r="152" spans="1:25">
      <c r="A152" s="29"/>
      <c r="Y152" s="226"/>
    </row>
    <row r="153" spans="1:25">
      <c r="A153" s="29"/>
      <c r="Y153" s="226"/>
    </row>
    <row r="154" spans="1:25">
      <c r="A154" s="29"/>
      <c r="Y154" s="226"/>
    </row>
  </sheetData>
  <phoneticPr fontId="17" type="noConversion"/>
  <printOptions headings="1" gridLines="1"/>
  <pageMargins left="0.74803149606299213" right="0.74803149606299213" top="0.51181102362204722" bottom="0.70866141732283472" header="0.51181102362204722" footer="0.51181102362204722"/>
  <pageSetup paperSize="9" scale="38" orientation="landscape" r:id="rId1"/>
  <headerFooter alignWithMargins="0"/>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5">
    <tabColor rgb="FFFFFF00"/>
    <pageSetUpPr fitToPage="1"/>
  </sheetPr>
  <dimension ref="A1:AW120"/>
  <sheetViews>
    <sheetView showOutlineSymbols="0" zoomScale="130" zoomScaleNormal="130" workbookViewId="0">
      <pane xSplit="19" ySplit="2" topLeftCell="T21" activePane="bottomRight" state="frozen"/>
      <selection pane="topRight" activeCell="T1" sqref="T1"/>
      <selection pane="bottomLeft" activeCell="A3" sqref="A3"/>
      <selection pane="bottomRight" activeCell="Y1" sqref="T1:Y1048576"/>
    </sheetView>
  </sheetViews>
  <sheetFormatPr defaultColWidth="9.140625" defaultRowHeight="12.75" outlineLevelRow="1" outlineLevelCol="1"/>
  <cols>
    <col min="1" max="1" width="18.42578125" style="49" customWidth="1"/>
    <col min="2" max="8" width="9.140625" style="49" hidden="1" customWidth="1" outlineLevel="1"/>
    <col min="9" max="9" width="7.85546875" style="49" hidden="1" customWidth="1" outlineLevel="1"/>
    <col min="10" max="10" width="8.42578125" style="49" hidden="1" customWidth="1" outlineLevel="1"/>
    <col min="11" max="17" width="9.140625" style="49" hidden="1" customWidth="1" outlineLevel="1"/>
    <col min="18" max="18" width="9.85546875" style="49" hidden="1" customWidth="1" outlineLevel="1"/>
    <col min="19" max="19" width="9.140625" style="49" hidden="1" customWidth="1" outlineLevel="1"/>
    <col min="20" max="20" width="0" style="49" hidden="1" customWidth="1" collapsed="1"/>
    <col min="21" max="26" width="0" style="49" hidden="1" customWidth="1"/>
    <col min="27" max="27" width="10.28515625" style="49" hidden="1" customWidth="1"/>
    <col min="28" max="28" width="0" style="49" hidden="1" customWidth="1"/>
    <col min="29" max="31" width="9.140625" style="49"/>
    <col min="32" max="34" width="9" style="49" customWidth="1"/>
    <col min="35" max="35" width="11.5703125" style="49" bestFit="1" customWidth="1"/>
    <col min="36" max="36" width="11.28515625" style="49" bestFit="1" customWidth="1"/>
    <col min="37" max="37" width="11.7109375" style="49" bestFit="1" customWidth="1"/>
    <col min="38" max="38" width="11.5703125" style="49" bestFit="1" customWidth="1"/>
    <col min="39" max="40" width="12.28515625" style="49" bestFit="1" customWidth="1"/>
    <col min="41" max="41" width="4.140625" style="49" customWidth="1"/>
    <col min="42" max="16384" width="9.140625" style="49"/>
  </cols>
  <sheetData>
    <row r="1" spans="1:49" s="7" customFormat="1">
      <c r="A1" s="157" t="s">
        <v>614</v>
      </c>
      <c r="B1" s="156"/>
      <c r="C1" s="156"/>
      <c r="D1" s="156"/>
      <c r="E1" s="156"/>
      <c r="F1" s="156"/>
      <c r="G1" s="156"/>
      <c r="H1" s="156"/>
      <c r="I1" s="156"/>
      <c r="J1" s="156"/>
      <c r="K1" s="156"/>
      <c r="L1" s="156"/>
      <c r="M1" s="156"/>
      <c r="N1" s="156"/>
      <c r="O1" s="156"/>
      <c r="P1" s="156"/>
      <c r="Q1" s="156"/>
      <c r="R1" s="156"/>
      <c r="S1" s="156"/>
      <c r="T1" s="156"/>
      <c r="U1" s="156"/>
      <c r="V1" s="156"/>
      <c r="W1" s="156"/>
      <c r="X1" s="156"/>
      <c r="Y1" s="156"/>
      <c r="Z1" s="156"/>
      <c r="AA1" s="156"/>
      <c r="AB1" s="156"/>
      <c r="AC1" s="156"/>
      <c r="AD1" s="156"/>
      <c r="AE1" s="156"/>
      <c r="AF1" s="156"/>
      <c r="AG1" s="156"/>
      <c r="AH1" s="156"/>
      <c r="AI1" s="156"/>
      <c r="AJ1" s="156"/>
      <c r="AK1" s="156"/>
      <c r="AL1" s="156"/>
      <c r="AM1" s="156"/>
      <c r="AN1" s="156"/>
    </row>
    <row r="2" spans="1:49">
      <c r="A2" s="159"/>
      <c r="B2" s="160">
        <v>1992</v>
      </c>
      <c r="C2" s="160">
        <v>1993</v>
      </c>
      <c r="D2" s="161">
        <v>1994</v>
      </c>
      <c r="E2" s="161">
        <v>1995</v>
      </c>
      <c r="F2" s="162" t="s">
        <v>229</v>
      </c>
      <c r="G2" s="163">
        <f>Final!G2</f>
        <v>1997</v>
      </c>
      <c r="H2" s="163">
        <f>Final!H2</f>
        <v>1998</v>
      </c>
      <c r="I2" s="163" t="str">
        <f>Final!I2</f>
        <v>1999*</v>
      </c>
      <c r="J2" s="163">
        <f>Final!J2</f>
        <v>2000</v>
      </c>
      <c r="K2" s="163">
        <f>Final!K2</f>
        <v>2001</v>
      </c>
      <c r="L2" s="163">
        <f>Final!L2</f>
        <v>2002</v>
      </c>
      <c r="M2" s="163">
        <f>Final!M2</f>
        <v>2003</v>
      </c>
      <c r="N2" s="163">
        <f>Final!N2</f>
        <v>2004</v>
      </c>
      <c r="O2" s="163">
        <f>Final!O2</f>
        <v>2005</v>
      </c>
      <c r="P2" s="163">
        <f>Final!P2</f>
        <v>2006</v>
      </c>
      <c r="Q2" s="163">
        <f>Final!Q2</f>
        <v>2007</v>
      </c>
      <c r="R2" s="163">
        <f>Final!R2</f>
        <v>2008</v>
      </c>
      <c r="S2" s="163">
        <f>Final!S2</f>
        <v>2009</v>
      </c>
      <c r="T2" s="163">
        <f>Final!T2</f>
        <v>2010</v>
      </c>
      <c r="U2" s="163">
        <f>Final!U2</f>
        <v>2011</v>
      </c>
      <c r="V2" s="163">
        <f>Final!V2</f>
        <v>2012</v>
      </c>
      <c r="W2" s="163">
        <f>Final!W2</f>
        <v>2013</v>
      </c>
      <c r="X2" s="163">
        <f>Final!X2</f>
        <v>2014</v>
      </c>
      <c r="Y2" s="163">
        <f>Final!Y2</f>
        <v>2015</v>
      </c>
      <c r="Z2" s="163">
        <f>Final!Z2</f>
        <v>2016</v>
      </c>
      <c r="AA2" s="163">
        <f>Final!AA2</f>
        <v>2017</v>
      </c>
      <c r="AB2" s="163">
        <f>Final!AB2</f>
        <v>2018</v>
      </c>
      <c r="AC2" s="163">
        <f>Final!AC2</f>
        <v>2019</v>
      </c>
      <c r="AD2" s="163">
        <f>Final!AD2</f>
        <v>2020</v>
      </c>
      <c r="AE2" s="163">
        <f>Final!AE2</f>
        <v>2021</v>
      </c>
      <c r="AF2" s="163">
        <f>Final!AF2</f>
        <v>2022</v>
      </c>
      <c r="AG2" s="163">
        <f>Final!AG2</f>
        <v>2023</v>
      </c>
      <c r="AH2" s="163">
        <f>Final!AH2</f>
        <v>2024</v>
      </c>
      <c r="AI2" s="163" t="str">
        <f>Final!AI2</f>
        <v>2025E</v>
      </c>
      <c r="AJ2" s="163" t="str">
        <f>Final!AJ2</f>
        <v>2026E</v>
      </c>
      <c r="AK2" s="163" t="str">
        <f>Final!AK2</f>
        <v>2027E</v>
      </c>
      <c r="AL2" s="163" t="str">
        <f>Final!AL2</f>
        <v>2028E</v>
      </c>
      <c r="AM2" s="163" t="str">
        <f>Final!AM2</f>
        <v>2029E</v>
      </c>
      <c r="AN2" s="163" t="str">
        <f>Final!AN2</f>
        <v>2030E</v>
      </c>
    </row>
    <row r="3" spans="1:49">
      <c r="A3" s="49" t="s">
        <v>299</v>
      </c>
      <c r="B3" s="17">
        <f>B18</f>
        <v>33622</v>
      </c>
      <c r="C3" s="17">
        <f t="shared" ref="C3:AF3" si="0">C18</f>
        <v>37916</v>
      </c>
      <c r="D3" s="17">
        <f t="shared" si="0"/>
        <v>43131</v>
      </c>
      <c r="E3" s="17">
        <f t="shared" si="0"/>
        <v>49875</v>
      </c>
      <c r="F3" s="17">
        <f t="shared" si="0"/>
        <v>54945</v>
      </c>
      <c r="G3" s="17">
        <f t="shared" si="0"/>
        <v>57221</v>
      </c>
      <c r="H3" s="17">
        <f t="shared" si="0"/>
        <v>57721</v>
      </c>
      <c r="I3" s="17">
        <f t="shared" si="0"/>
        <v>57976</v>
      </c>
      <c r="J3" s="17">
        <f t="shared" si="0"/>
        <v>58709</v>
      </c>
      <c r="K3" s="17">
        <f t="shared" si="0"/>
        <v>60636</v>
      </c>
      <c r="L3" s="17">
        <f t="shared" si="0"/>
        <v>63115</v>
      </c>
      <c r="M3" s="17">
        <f t="shared" si="0"/>
        <v>66711</v>
      </c>
      <c r="N3" s="17">
        <f t="shared" si="0"/>
        <v>69882</v>
      </c>
      <c r="O3" s="17">
        <f t="shared" si="0"/>
        <v>71890</v>
      </c>
      <c r="P3" s="17">
        <f t="shared" si="0"/>
        <v>73156</v>
      </c>
      <c r="Q3" s="17">
        <f t="shared" si="0"/>
        <v>75239</v>
      </c>
      <c r="R3" s="17">
        <f t="shared" si="0"/>
        <v>79445</v>
      </c>
      <c r="S3" s="17">
        <f t="shared" si="0"/>
        <v>83811</v>
      </c>
      <c r="T3" s="17">
        <f t="shared" si="0"/>
        <v>87713</v>
      </c>
      <c r="U3" s="17">
        <f t="shared" si="0"/>
        <v>91187</v>
      </c>
      <c r="V3" s="17">
        <f t="shared" si="0"/>
        <v>95243</v>
      </c>
      <c r="W3" s="17">
        <f t="shared" si="0"/>
        <v>97918</v>
      </c>
      <c r="X3" s="17">
        <f t="shared" si="0"/>
        <v>101420</v>
      </c>
      <c r="Y3" s="17">
        <f t="shared" si="0"/>
        <v>104479</v>
      </c>
      <c r="Z3" s="17">
        <f t="shared" si="0"/>
        <v>106886</v>
      </c>
      <c r="AA3" s="17">
        <f t="shared" si="0"/>
        <v>109824</v>
      </c>
      <c r="AB3" s="17">
        <f t="shared" si="0"/>
        <v>113295</v>
      </c>
      <c r="AC3" s="17">
        <f t="shared" si="0"/>
        <v>117157</v>
      </c>
      <c r="AD3" s="17">
        <f t="shared" si="0"/>
        <v>120523</v>
      </c>
      <c r="AE3" s="17">
        <f>AE18</f>
        <v>125827</v>
      </c>
      <c r="AF3" s="17">
        <f t="shared" si="0"/>
        <v>132792</v>
      </c>
      <c r="AG3" s="17">
        <f t="shared" ref="AG3" si="1">AG18</f>
        <v>138657</v>
      </c>
      <c r="AH3" s="17">
        <f t="shared" ref="AH3" si="2">AH18</f>
        <v>143124</v>
      </c>
      <c r="AI3" s="17">
        <f t="shared" ref="AI3:AN3" si="3">AI18</f>
        <v>147930.90889733518</v>
      </c>
      <c r="AJ3" s="17">
        <f t="shared" si="3"/>
        <v>152543.92492564401</v>
      </c>
      <c r="AK3" s="17">
        <f t="shared" si="3"/>
        <v>156970.86900382931</v>
      </c>
      <c r="AL3" s="17">
        <f t="shared" si="3"/>
        <v>160981.24658394465</v>
      </c>
      <c r="AM3" s="17">
        <f t="shared" si="3"/>
        <v>165067.86041286457</v>
      </c>
      <c r="AN3" s="17">
        <f t="shared" si="3"/>
        <v>168989.63540318466</v>
      </c>
    </row>
    <row r="4" spans="1:49">
      <c r="A4" s="49" t="s">
        <v>300</v>
      </c>
      <c r="B4" s="17">
        <f>(B3+31829)/2</f>
        <v>32725.5</v>
      </c>
      <c r="C4" s="17">
        <f t="shared" ref="C4:J4" si="4">(C3+B3)/2</f>
        <v>35769</v>
      </c>
      <c r="D4" s="17">
        <f t="shared" si="4"/>
        <v>40523.5</v>
      </c>
      <c r="E4" s="17">
        <f t="shared" si="4"/>
        <v>46503</v>
      </c>
      <c r="F4" s="17">
        <f t="shared" si="4"/>
        <v>52410</v>
      </c>
      <c r="G4" s="17">
        <f t="shared" si="4"/>
        <v>56083</v>
      </c>
      <c r="H4" s="17">
        <f t="shared" si="4"/>
        <v>57471</v>
      </c>
      <c r="I4" s="17">
        <f t="shared" si="4"/>
        <v>57848.5</v>
      </c>
      <c r="J4" s="17">
        <f t="shared" si="4"/>
        <v>58342.5</v>
      </c>
      <c r="K4" s="17">
        <f t="shared" ref="K4:S4" si="5">(K3+J3)/2</f>
        <v>59672.5</v>
      </c>
      <c r="L4" s="17">
        <f t="shared" si="5"/>
        <v>61875.5</v>
      </c>
      <c r="M4" s="17">
        <f t="shared" si="5"/>
        <v>64913</v>
      </c>
      <c r="N4" s="17">
        <f t="shared" si="5"/>
        <v>68296.5</v>
      </c>
      <c r="O4" s="17">
        <f t="shared" si="5"/>
        <v>70886</v>
      </c>
      <c r="P4" s="17">
        <f t="shared" si="5"/>
        <v>72523</v>
      </c>
      <c r="Q4" s="17">
        <f t="shared" si="5"/>
        <v>74197.5</v>
      </c>
      <c r="R4" s="17">
        <f t="shared" si="5"/>
        <v>77342</v>
      </c>
      <c r="S4" s="17">
        <f t="shared" si="5"/>
        <v>81628</v>
      </c>
      <c r="T4" s="17">
        <f t="shared" ref="T4:AG4" si="6">(T3+S3)/2</f>
        <v>85762</v>
      </c>
      <c r="U4" s="17">
        <f t="shared" si="6"/>
        <v>89450</v>
      </c>
      <c r="V4" s="17">
        <f t="shared" si="6"/>
        <v>93215</v>
      </c>
      <c r="W4" s="17">
        <f t="shared" si="6"/>
        <v>96580.5</v>
      </c>
      <c r="X4" s="17">
        <f t="shared" si="6"/>
        <v>99669</v>
      </c>
      <c r="Y4" s="17">
        <f>(Y3+X3)/2</f>
        <v>102949.5</v>
      </c>
      <c r="Z4" s="17">
        <f t="shared" si="6"/>
        <v>105682.5</v>
      </c>
      <c r="AA4" s="17">
        <f t="shared" si="6"/>
        <v>108355</v>
      </c>
      <c r="AB4" s="17">
        <f t="shared" si="6"/>
        <v>111559.5</v>
      </c>
      <c r="AC4" s="17">
        <f t="shared" si="6"/>
        <v>115226</v>
      </c>
      <c r="AD4" s="17">
        <f t="shared" si="6"/>
        <v>118840</v>
      </c>
      <c r="AE4" s="17">
        <f>(AE3+AD3)/2</f>
        <v>123175</v>
      </c>
      <c r="AF4" s="17">
        <f t="shared" si="6"/>
        <v>129309.5</v>
      </c>
      <c r="AG4" s="17">
        <f t="shared" si="6"/>
        <v>135724.5</v>
      </c>
      <c r="AH4" s="17">
        <f t="shared" ref="AH4:AN4" si="7">(AH3+AG3)/2</f>
        <v>140890.5</v>
      </c>
      <c r="AI4" s="17">
        <f t="shared" si="7"/>
        <v>145527.45444866759</v>
      </c>
      <c r="AJ4" s="17">
        <f>(AJ3+AI3)/2</f>
        <v>150237.41691148959</v>
      </c>
      <c r="AK4" s="17">
        <f>(AK3+AJ3)/2</f>
        <v>154757.39696473666</v>
      </c>
      <c r="AL4" s="17">
        <f>(AL3+AK3)/2</f>
        <v>158976.05779388698</v>
      </c>
      <c r="AM4" s="17">
        <f t="shared" si="7"/>
        <v>163024.55349840462</v>
      </c>
      <c r="AN4" s="17">
        <f t="shared" si="7"/>
        <v>167028.74790802461</v>
      </c>
    </row>
    <row r="5" spans="1:49">
      <c r="A5" s="49" t="s">
        <v>76</v>
      </c>
      <c r="D5" s="34">
        <f t="shared" ref="D5:J5" si="8">D4/C4-1</f>
        <v>0.13292236293997606</v>
      </c>
      <c r="E5" s="34">
        <f t="shared" si="8"/>
        <v>0.14755635618838459</v>
      </c>
      <c r="F5" s="34">
        <f t="shared" si="8"/>
        <v>0.12702406296367985</v>
      </c>
      <c r="G5" s="34">
        <f t="shared" si="8"/>
        <v>7.0082045411181015E-2</v>
      </c>
      <c r="H5" s="34">
        <f t="shared" si="8"/>
        <v>2.4749032683700989E-2</v>
      </c>
      <c r="I5" s="34">
        <f t="shared" si="8"/>
        <v>6.5685302152389546E-3</v>
      </c>
      <c r="J5" s="34">
        <f t="shared" si="8"/>
        <v>8.5395472657026072E-3</v>
      </c>
      <c r="K5" s="34">
        <f t="shared" ref="K5:S5" si="9">K4/J4-1</f>
        <v>2.2796417705789107E-2</v>
      </c>
      <c r="L5" s="34">
        <f t="shared" si="9"/>
        <v>3.6918178390380918E-2</v>
      </c>
      <c r="M5" s="34">
        <f t="shared" si="9"/>
        <v>4.90905123998997E-2</v>
      </c>
      <c r="N5" s="34">
        <f t="shared" si="9"/>
        <v>5.2123611603222875E-2</v>
      </c>
      <c r="O5" s="34">
        <f t="shared" si="9"/>
        <v>3.7915559362485585E-2</v>
      </c>
      <c r="P5" s="34">
        <f t="shared" si="9"/>
        <v>2.3093417600090316E-2</v>
      </c>
      <c r="Q5" s="34">
        <f t="shared" si="9"/>
        <v>2.3089226865959711E-2</v>
      </c>
      <c r="R5" s="34">
        <f t="shared" si="9"/>
        <v>4.238013410155328E-2</v>
      </c>
      <c r="S5" s="34">
        <f t="shared" si="9"/>
        <v>5.5416203356520422E-2</v>
      </c>
      <c r="T5" s="34">
        <f t="shared" ref="T5:AG5" si="10">T4/S4-1</f>
        <v>5.0644386730043678E-2</v>
      </c>
      <c r="U5" s="34">
        <f t="shared" si="10"/>
        <v>4.3002728481145391E-2</v>
      </c>
      <c r="V5" s="34">
        <f t="shared" si="10"/>
        <v>4.2090553381777474E-2</v>
      </c>
      <c r="W5" s="34">
        <f t="shared" si="10"/>
        <v>3.6104704178512081E-2</v>
      </c>
      <c r="X5" s="34">
        <f t="shared" si="10"/>
        <v>3.1978504977712818E-2</v>
      </c>
      <c r="Y5" s="34">
        <f t="shared" si="10"/>
        <v>3.2913945158474567E-2</v>
      </c>
      <c r="Z5" s="34">
        <f t="shared" si="10"/>
        <v>2.6546996342867057E-2</v>
      </c>
      <c r="AA5" s="34">
        <f t="shared" si="10"/>
        <v>2.5288008894566172E-2</v>
      </c>
      <c r="AB5" s="34">
        <f t="shared" si="10"/>
        <v>2.9574085182963339E-2</v>
      </c>
      <c r="AC5" s="34">
        <f t="shared" si="10"/>
        <v>3.286586978249284E-2</v>
      </c>
      <c r="AD5" s="34">
        <f t="shared" si="10"/>
        <v>3.1364448995886418E-2</v>
      </c>
      <c r="AE5" s="34">
        <f>AE4/AD4-1</f>
        <v>3.6477616963985104E-2</v>
      </c>
      <c r="AF5" s="34">
        <f t="shared" si="10"/>
        <v>4.9803125634260148E-2</v>
      </c>
      <c r="AG5" s="34">
        <f t="shared" si="10"/>
        <v>4.9609657449761979E-2</v>
      </c>
      <c r="AH5" s="34">
        <f t="shared" ref="AH5:AN5" si="11">AH4/AG4-1</f>
        <v>3.8062398461589542E-2</v>
      </c>
      <c r="AI5" s="34">
        <f t="shared" si="11"/>
        <v>3.2911760897062603E-2</v>
      </c>
      <c r="AJ5" s="34">
        <f>AJ4/AI4-1</f>
        <v>3.2364769112919189E-2</v>
      </c>
      <c r="AK5" s="34">
        <f>AK4/AJ4-1</f>
        <v>3.0085581516021032E-2</v>
      </c>
      <c r="AL5" s="34">
        <f>AL4/AK4-1</f>
        <v>2.725983320921066E-2</v>
      </c>
      <c r="AM5" s="34">
        <f t="shared" si="11"/>
        <v>2.5466071814200575E-2</v>
      </c>
      <c r="AN5" s="34">
        <f t="shared" si="11"/>
        <v>2.4561909992651287E-2</v>
      </c>
    </row>
    <row r="6" spans="1:49">
      <c r="A6" s="49" t="s">
        <v>230</v>
      </c>
      <c r="C6" s="34">
        <v>0.13500000000000001</v>
      </c>
      <c r="D6" s="34">
        <f t="shared" ref="D6:J6" si="12">C6</f>
        <v>0.13500000000000001</v>
      </c>
      <c r="E6" s="34">
        <f t="shared" si="12"/>
        <v>0.13500000000000001</v>
      </c>
      <c r="F6" s="34">
        <f t="shared" si="12"/>
        <v>0.13500000000000001</v>
      </c>
      <c r="G6" s="34">
        <f t="shared" si="12"/>
        <v>0.13500000000000001</v>
      </c>
      <c r="H6" s="34">
        <f t="shared" si="12"/>
        <v>0.13500000000000001</v>
      </c>
      <c r="I6" s="34">
        <f t="shared" si="12"/>
        <v>0.13500000000000001</v>
      </c>
      <c r="J6" s="34">
        <f t="shared" si="12"/>
        <v>0.13500000000000001</v>
      </c>
      <c r="K6" s="34">
        <f t="shared" ref="K6:Q6" si="13">J6</f>
        <v>0.13500000000000001</v>
      </c>
      <c r="L6" s="34">
        <f t="shared" si="13"/>
        <v>0.13500000000000001</v>
      </c>
      <c r="M6" s="34">
        <f t="shared" si="13"/>
        <v>0.13500000000000001</v>
      </c>
      <c r="N6" s="34">
        <f t="shared" si="13"/>
        <v>0.13500000000000001</v>
      </c>
      <c r="O6" s="34">
        <f t="shared" si="13"/>
        <v>0.13500000000000001</v>
      </c>
      <c r="P6" s="34">
        <f t="shared" si="13"/>
        <v>0.13500000000000001</v>
      </c>
      <c r="Q6" s="34">
        <f t="shared" si="13"/>
        <v>0.13500000000000001</v>
      </c>
      <c r="R6" s="34">
        <f>Q6*0.75+9.99%*0.25</f>
        <v>0.126225</v>
      </c>
      <c r="S6" s="34">
        <v>9.9900000000000003E-2</v>
      </c>
      <c r="T6" s="34">
        <f t="shared" ref="T6:Y6" si="14">S6</f>
        <v>9.9900000000000003E-2</v>
      </c>
      <c r="U6" s="34">
        <f t="shared" si="14"/>
        <v>9.9900000000000003E-2</v>
      </c>
      <c r="V6" s="34">
        <f>+V7/AVERAGE(U3,V3)</f>
        <v>9.9908812959287663E-2</v>
      </c>
      <c r="W6" s="34">
        <f t="shared" si="14"/>
        <v>9.9908812959287663E-2</v>
      </c>
      <c r="X6" s="34">
        <f t="shared" si="14"/>
        <v>9.9908812959287663E-2</v>
      </c>
      <c r="Y6" s="34">
        <f t="shared" si="14"/>
        <v>9.9908812959287663E-2</v>
      </c>
      <c r="Z6" s="34">
        <f>Y6</f>
        <v>9.9908812959287663E-2</v>
      </c>
      <c r="AA6" s="34">
        <f>Z6</f>
        <v>9.9908812959287663E-2</v>
      </c>
      <c r="AB6" s="34">
        <f>10565/AB4</f>
        <v>9.4702826742679921E-2</v>
      </c>
      <c r="AC6" s="34">
        <v>0.08</v>
      </c>
      <c r="AD6" s="34">
        <f t="shared" ref="AD6:AI6" si="15">AC6</f>
        <v>0.08</v>
      </c>
      <c r="AE6" s="34">
        <f>AD6</f>
        <v>0.08</v>
      </c>
      <c r="AF6" s="34">
        <f>AE6</f>
        <v>0.08</v>
      </c>
      <c r="AG6" s="34">
        <f>AF6</f>
        <v>0.08</v>
      </c>
      <c r="AH6" s="34">
        <f t="shared" si="15"/>
        <v>0.08</v>
      </c>
      <c r="AI6" s="164">
        <f t="shared" si="15"/>
        <v>0.08</v>
      </c>
      <c r="AJ6" s="164">
        <f>AI6</f>
        <v>0.08</v>
      </c>
      <c r="AK6" s="164">
        <f>AJ6</f>
        <v>0.08</v>
      </c>
      <c r="AL6" s="164">
        <f>AK6</f>
        <v>0.08</v>
      </c>
      <c r="AM6" s="164">
        <f>AL6</f>
        <v>0.08</v>
      </c>
      <c r="AN6" s="164">
        <f>AM6</f>
        <v>0.08</v>
      </c>
      <c r="AR6" s="49">
        <v>2025</v>
      </c>
      <c r="AS6" s="49">
        <v>2026</v>
      </c>
      <c r="AT6" s="49">
        <v>2027</v>
      </c>
      <c r="AU6" s="49">
        <v>2028</v>
      </c>
      <c r="AV6" s="49">
        <v>2029</v>
      </c>
      <c r="AW6" s="49">
        <v>2030</v>
      </c>
    </row>
    <row r="7" spans="1:49">
      <c r="A7" s="49" t="s">
        <v>231</v>
      </c>
      <c r="C7" s="17">
        <f t="shared" ref="C7:J7" si="16">C6*C4</f>
        <v>4828.8150000000005</v>
      </c>
      <c r="D7" s="17">
        <f t="shared" si="16"/>
        <v>5470.6725000000006</v>
      </c>
      <c r="E7" s="17">
        <f t="shared" si="16"/>
        <v>6277.9050000000007</v>
      </c>
      <c r="F7" s="17">
        <f t="shared" si="16"/>
        <v>7075.35</v>
      </c>
      <c r="G7" s="17">
        <f t="shared" si="16"/>
        <v>7571.2050000000008</v>
      </c>
      <c r="H7" s="17">
        <f t="shared" si="16"/>
        <v>7758.5850000000009</v>
      </c>
      <c r="I7" s="17">
        <f>I6*I4*5/4</f>
        <v>9761.9343750000007</v>
      </c>
      <c r="J7" s="17">
        <f t="shared" si="16"/>
        <v>7876.2375000000002</v>
      </c>
      <c r="K7" s="17">
        <f t="shared" ref="K7:S7" si="17">K6*K4</f>
        <v>8055.7875000000004</v>
      </c>
      <c r="L7" s="17">
        <f t="shared" si="17"/>
        <v>8353.192500000001</v>
      </c>
      <c r="M7" s="17">
        <f t="shared" si="17"/>
        <v>8763.255000000001</v>
      </c>
      <c r="N7" s="17">
        <f t="shared" si="17"/>
        <v>9220.0275000000001</v>
      </c>
      <c r="O7" s="17">
        <f t="shared" si="17"/>
        <v>9569.61</v>
      </c>
      <c r="P7" s="17">
        <f t="shared" si="17"/>
        <v>9790.6050000000014</v>
      </c>
      <c r="Q7" s="17">
        <f t="shared" si="17"/>
        <v>10016.6625</v>
      </c>
      <c r="R7" s="17">
        <f t="shared" si="17"/>
        <v>9762.49395</v>
      </c>
      <c r="S7" s="17">
        <f t="shared" si="17"/>
        <v>8154.6372000000001</v>
      </c>
      <c r="T7" s="17">
        <f t="shared" ref="T7:AB7" si="18">T6*T4</f>
        <v>8567.6237999999994</v>
      </c>
      <c r="U7" s="17">
        <f t="shared" si="18"/>
        <v>8936.0550000000003</v>
      </c>
      <c r="V7" s="17">
        <v>9313</v>
      </c>
      <c r="W7" s="17">
        <f t="shared" si="18"/>
        <v>9649.2431100144822</v>
      </c>
      <c r="X7" s="17">
        <f t="shared" si="18"/>
        <v>9957.8114788392413</v>
      </c>
      <c r="Y7" s="17">
        <f>Y6*Y4</f>
        <v>10285.562339752185</v>
      </c>
      <c r="Z7" s="17">
        <f t="shared" si="18"/>
        <v>10558.613125569918</v>
      </c>
      <c r="AA7" s="17">
        <f>AA6*AA4</f>
        <v>10825.619428203614</v>
      </c>
      <c r="AB7" s="17">
        <f t="shared" si="18"/>
        <v>10565</v>
      </c>
      <c r="AC7" s="17">
        <f t="shared" ref="AC7:AI7" si="19">AC6*AC4</f>
        <v>9218.08</v>
      </c>
      <c r="AD7" s="17">
        <f t="shared" si="19"/>
        <v>9507.2000000000007</v>
      </c>
      <c r="AE7" s="17">
        <f>AE6*AE4</f>
        <v>9854</v>
      </c>
      <c r="AF7" s="17">
        <f>AF6*AF4</f>
        <v>10344.76</v>
      </c>
      <c r="AG7" s="17">
        <f>AG6*AG4</f>
        <v>10857.960000000001</v>
      </c>
      <c r="AH7" s="17">
        <f t="shared" ref="AH7" si="20">AH6*AH4</f>
        <v>11271.24</v>
      </c>
      <c r="AI7" s="17">
        <f t="shared" si="19"/>
        <v>11642.196355893408</v>
      </c>
      <c r="AJ7" s="17">
        <f>AJ6*AJ4</f>
        <v>12018.993352919168</v>
      </c>
      <c r="AK7" s="17">
        <f>AK6*AK4</f>
        <v>12380.591757178932</v>
      </c>
      <c r="AL7" s="17">
        <f>AL6*AL4</f>
        <v>12718.084623510958</v>
      </c>
      <c r="AM7" s="17">
        <f>AM6*AM4</f>
        <v>13041.964279872371</v>
      </c>
      <c r="AN7" s="17">
        <f>AN6*AN4</f>
        <v>13362.299832641969</v>
      </c>
      <c r="AR7" s="26">
        <f>Final!AI31</f>
        <v>11114.686183856746</v>
      </c>
      <c r="AS7" s="26">
        <f>Final!AJ31</f>
        <v>11818.644709229118</v>
      </c>
      <c r="AT7" s="26">
        <f>Final!AK31</f>
        <v>12236.810551204415</v>
      </c>
      <c r="AU7" s="26">
        <f>Final!AL31</f>
        <v>12560.109785661627</v>
      </c>
      <c r="AV7" s="26">
        <f>Final!AM31</f>
        <v>12879.003794880382</v>
      </c>
      <c r="AW7" s="26">
        <f>Final!AN31</f>
        <v>13190.79726223374</v>
      </c>
    </row>
    <row r="8" spans="1:49">
      <c r="D8" s="13"/>
      <c r="E8" s="13"/>
      <c r="F8" s="13"/>
      <c r="G8" s="13"/>
      <c r="H8" s="13"/>
      <c r="AR8" s="49">
        <v>14491.092510051329</v>
      </c>
      <c r="AS8" s="49">
        <v>14684.329759663176</v>
      </c>
      <c r="AT8" s="49">
        <v>14871.342386546428</v>
      </c>
      <c r="AU8" s="49">
        <v>15052.590222856197</v>
      </c>
      <c r="AV8" s="49">
        <v>15228.537798187641</v>
      </c>
      <c r="AW8" s="49">
        <v>15399.6566528859</v>
      </c>
    </row>
    <row r="9" spans="1:49" hidden="1" outlineLevel="1">
      <c r="A9" s="62" t="s">
        <v>232</v>
      </c>
      <c r="C9" s="49">
        <f t="shared" ref="C9:J9" si="21">C12/C11</f>
        <v>24945.666666666635</v>
      </c>
      <c r="D9" s="49">
        <f t="shared" si="21"/>
        <v>27155.166666666628</v>
      </c>
      <c r="E9" s="49">
        <f t="shared" si="21"/>
        <v>29939.666666666624</v>
      </c>
      <c r="F9" s="49">
        <f t="shared" si="21"/>
        <v>31109.999999999978</v>
      </c>
      <c r="G9" s="49">
        <f t="shared" si="21"/>
        <v>30886.40000000002</v>
      </c>
      <c r="H9" s="49">
        <f t="shared" si="21"/>
        <v>32942.190909090765</v>
      </c>
      <c r="I9" s="49">
        <f>(I12*4/5)/I11</f>
        <v>34456.833333333292</v>
      </c>
      <c r="J9" s="49">
        <f t="shared" si="21"/>
        <v>33850.833333333321</v>
      </c>
      <c r="K9" s="49">
        <f t="shared" ref="K9:R9" si="22">K12/K11</f>
        <v>34947.499999999978</v>
      </c>
      <c r="L9" s="49">
        <f t="shared" si="22"/>
        <v>35587.166666666599</v>
      </c>
      <c r="M9" s="49">
        <f t="shared" si="22"/>
        <v>36916.33333333327</v>
      </c>
      <c r="N9" s="49">
        <f t="shared" si="22"/>
        <v>41798.166666666657</v>
      </c>
      <c r="O9" s="49">
        <f t="shared" si="22"/>
        <v>43559.333333333299</v>
      </c>
      <c r="P9" s="49">
        <f t="shared" si="22"/>
        <v>44092.999999999913</v>
      </c>
      <c r="Q9" s="49">
        <f t="shared" si="22"/>
        <v>46889.166666666642</v>
      </c>
      <c r="R9" s="49">
        <f t="shared" si="22"/>
        <v>46444.982222222214</v>
      </c>
    </row>
    <row r="10" spans="1:49" hidden="1" outlineLevel="1">
      <c r="A10" s="62" t="s">
        <v>301</v>
      </c>
      <c r="C10" s="13"/>
      <c r="D10" s="13">
        <f t="shared" ref="D10:J10" si="23">D9/C9-1</f>
        <v>8.8572497561366426E-2</v>
      </c>
      <c r="E10" s="13">
        <f t="shared" si="23"/>
        <v>0.10254033916197658</v>
      </c>
      <c r="F10" s="13">
        <f t="shared" si="23"/>
        <v>3.9089724891170796E-2</v>
      </c>
      <c r="G10" s="13">
        <f t="shared" si="23"/>
        <v>-7.1873995499825982E-3</v>
      </c>
      <c r="H10" s="13">
        <f t="shared" si="23"/>
        <v>6.6559745036350648E-2</v>
      </c>
      <c r="I10" s="13">
        <f t="shared" si="23"/>
        <v>4.5978800512158635E-2</v>
      </c>
      <c r="J10" s="13">
        <f t="shared" si="23"/>
        <v>-1.7587222660235935E-2</v>
      </c>
      <c r="K10" s="13">
        <f t="shared" ref="K10:Q10" si="24">K9/J9-1</f>
        <v>3.2397036015853642E-2</v>
      </c>
      <c r="L10" s="13">
        <f t="shared" si="24"/>
        <v>1.8303645945106917E-2</v>
      </c>
      <c r="M10" s="13">
        <f t="shared" si="24"/>
        <v>3.7349606365590704E-2</v>
      </c>
      <c r="N10" s="13">
        <f t="shared" si="24"/>
        <v>0.13224047169726294</v>
      </c>
      <c r="O10" s="13">
        <f t="shared" si="24"/>
        <v>4.213502187097462E-2</v>
      </c>
      <c r="P10" s="13">
        <f t="shared" si="24"/>
        <v>1.2251488391311849E-2</v>
      </c>
      <c r="Q10" s="13">
        <f t="shared" si="24"/>
        <v>6.3415205739385749E-2</v>
      </c>
      <c r="R10" s="13">
        <f>R9/Q9-1</f>
        <v>-9.4730718419910875E-3</v>
      </c>
      <c r="S10" s="13"/>
      <c r="T10" s="13"/>
      <c r="U10" s="13"/>
      <c r="V10" s="13"/>
      <c r="W10" s="13"/>
      <c r="X10" s="13"/>
      <c r="Y10" s="13"/>
      <c r="Z10" s="13"/>
      <c r="AA10" s="13"/>
      <c r="AB10" s="13"/>
      <c r="AC10" s="13"/>
      <c r="AD10" s="13"/>
      <c r="AE10" s="13"/>
      <c r="AF10" s="13"/>
      <c r="AG10" s="13"/>
      <c r="AH10" s="13"/>
      <c r="AI10" s="13"/>
      <c r="AJ10" s="13"/>
      <c r="AK10" s="13"/>
      <c r="AL10" s="13"/>
      <c r="AM10" s="13"/>
      <c r="AN10" s="13"/>
    </row>
    <row r="11" spans="1:49" hidden="1" outlineLevel="1">
      <c r="A11" s="49" t="s">
        <v>230</v>
      </c>
      <c r="C11" s="34">
        <v>1.4999999999999999E-2</v>
      </c>
      <c r="D11" s="34">
        <f t="shared" ref="D11:J11" si="25">C11</f>
        <v>1.4999999999999999E-2</v>
      </c>
      <c r="E11" s="34">
        <f t="shared" si="25"/>
        <v>1.4999999999999999E-2</v>
      </c>
      <c r="F11" s="34">
        <f t="shared" si="25"/>
        <v>1.4999999999999999E-2</v>
      </c>
      <c r="G11" s="34">
        <f t="shared" si="25"/>
        <v>1.4999999999999999E-2</v>
      </c>
      <c r="H11" s="34">
        <f t="shared" si="25"/>
        <v>1.4999999999999999E-2</v>
      </c>
      <c r="I11" s="34">
        <f t="shared" si="25"/>
        <v>1.4999999999999999E-2</v>
      </c>
      <c r="J11" s="34">
        <f t="shared" si="25"/>
        <v>1.4999999999999999E-2</v>
      </c>
      <c r="K11" s="34">
        <f t="shared" ref="K11:Q11" si="26">J11</f>
        <v>1.4999999999999999E-2</v>
      </c>
      <c r="L11" s="34">
        <f t="shared" si="26"/>
        <v>1.4999999999999999E-2</v>
      </c>
      <c r="M11" s="34">
        <f t="shared" si="26"/>
        <v>1.4999999999999999E-2</v>
      </c>
      <c r="N11" s="34">
        <f t="shared" si="26"/>
        <v>1.4999999999999999E-2</v>
      </c>
      <c r="O11" s="34">
        <f t="shared" si="26"/>
        <v>1.4999999999999999E-2</v>
      </c>
      <c r="P11" s="34">
        <f t="shared" si="26"/>
        <v>1.4999999999999999E-2</v>
      </c>
      <c r="Q11" s="34">
        <f t="shared" si="26"/>
        <v>1.4999999999999999E-2</v>
      </c>
      <c r="R11" s="34">
        <f>Q11*9/12</f>
        <v>1.1250000000000001E-2</v>
      </c>
      <c r="S11" s="34"/>
      <c r="T11" s="34"/>
      <c r="U11" s="34"/>
      <c r="V11" s="34"/>
      <c r="W11" s="34"/>
      <c r="X11" s="34"/>
      <c r="Y11" s="34"/>
      <c r="Z11" s="34"/>
      <c r="AA11" s="34"/>
      <c r="AB11" s="34"/>
      <c r="AC11" s="34"/>
      <c r="AD11" s="34"/>
      <c r="AE11" s="34"/>
      <c r="AF11" s="34"/>
      <c r="AG11" s="34"/>
      <c r="AH11" s="34"/>
      <c r="AI11" s="34"/>
      <c r="AJ11" s="34"/>
      <c r="AK11" s="34"/>
      <c r="AL11" s="34"/>
      <c r="AM11" s="34"/>
      <c r="AN11" s="34"/>
    </row>
    <row r="12" spans="1:49" hidden="1" outlineLevel="1">
      <c r="C12" s="49">
        <f t="shared" ref="C12:J12" si="27">C14-C7</f>
        <v>374.18499999999949</v>
      </c>
      <c r="D12" s="49">
        <f t="shared" si="27"/>
        <v>407.32749999999942</v>
      </c>
      <c r="E12" s="49">
        <f t="shared" si="27"/>
        <v>449.09499999999935</v>
      </c>
      <c r="F12" s="49">
        <f t="shared" si="27"/>
        <v>466.64999999999964</v>
      </c>
      <c r="G12" s="49">
        <f t="shared" si="27"/>
        <v>463.29600000000028</v>
      </c>
      <c r="H12" s="49">
        <f t="shared" si="27"/>
        <v>494.13286363636144</v>
      </c>
      <c r="I12" s="49">
        <f t="shared" si="27"/>
        <v>646.06562499999927</v>
      </c>
      <c r="J12" s="49">
        <f t="shared" si="27"/>
        <v>507.76249999999982</v>
      </c>
      <c r="K12" s="49">
        <f t="shared" ref="K12:R12" si="28">K14-K7</f>
        <v>524.21249999999964</v>
      </c>
      <c r="L12" s="49">
        <f t="shared" si="28"/>
        <v>533.80749999999898</v>
      </c>
      <c r="M12" s="49">
        <f t="shared" si="28"/>
        <v>553.74499999999898</v>
      </c>
      <c r="N12" s="49">
        <f t="shared" si="28"/>
        <v>626.97249999999985</v>
      </c>
      <c r="O12" s="49">
        <f t="shared" si="28"/>
        <v>653.38999999999942</v>
      </c>
      <c r="P12" s="49">
        <f t="shared" si="28"/>
        <v>661.39499999999862</v>
      </c>
      <c r="Q12" s="49">
        <f t="shared" si="28"/>
        <v>703.33749999999964</v>
      </c>
      <c r="R12" s="49">
        <f t="shared" si="28"/>
        <v>522.50604999999996</v>
      </c>
    </row>
    <row r="13" spans="1:49" hidden="1" outlineLevel="1">
      <c r="F13" s="13"/>
    </row>
    <row r="14" spans="1:49" collapsed="1">
      <c r="A14" s="159" t="s">
        <v>233</v>
      </c>
      <c r="B14" s="159">
        <v>4745</v>
      </c>
      <c r="C14" s="20">
        <v>5203</v>
      </c>
      <c r="D14" s="20">
        <v>5878</v>
      </c>
      <c r="E14" s="20">
        <v>6727</v>
      </c>
      <c r="F14" s="20">
        <v>7542</v>
      </c>
      <c r="G14" s="20">
        <v>8034.5010000000011</v>
      </c>
      <c r="H14" s="20">
        <v>8252.7178636363624</v>
      </c>
      <c r="I14" s="20">
        <f>8323+2085</f>
        <v>10408</v>
      </c>
      <c r="J14" s="20">
        <v>8384</v>
      </c>
      <c r="K14" s="20">
        <v>8580</v>
      </c>
      <c r="L14" s="20">
        <v>8887</v>
      </c>
      <c r="M14" s="20">
        <v>9317</v>
      </c>
      <c r="N14" s="20">
        <v>9847</v>
      </c>
      <c r="O14" s="20">
        <v>10223</v>
      </c>
      <c r="P14" s="20">
        <v>10452</v>
      </c>
      <c r="Q14" s="20">
        <v>10720</v>
      </c>
      <c r="R14" s="20">
        <f>8317+1968</f>
        <v>10285</v>
      </c>
      <c r="S14" s="20">
        <v>8155</v>
      </c>
      <c r="T14" s="20">
        <v>8568</v>
      </c>
      <c r="U14" s="20">
        <v>8936</v>
      </c>
      <c r="V14" s="20">
        <v>9313</v>
      </c>
      <c r="W14" s="20">
        <v>9638</v>
      </c>
      <c r="X14" s="20">
        <v>9958</v>
      </c>
      <c r="Y14" s="20">
        <v>10286</v>
      </c>
      <c r="Z14" s="20">
        <v>10558</v>
      </c>
      <c r="AA14" s="20">
        <v>10825</v>
      </c>
      <c r="AB14" s="20">
        <f>2253+8312</f>
        <v>10565</v>
      </c>
      <c r="AC14" s="20">
        <v>9218</v>
      </c>
      <c r="AD14" s="20">
        <v>9507</v>
      </c>
      <c r="AE14" s="20">
        <v>9854</v>
      </c>
      <c r="AF14" s="20">
        <v>10345</v>
      </c>
      <c r="AG14" s="20">
        <v>10858</v>
      </c>
      <c r="AH14" s="20">
        <v>11271</v>
      </c>
      <c r="AI14" s="428">
        <f t="shared" ref="AI14:AN14" si="29">AI7</f>
        <v>11642.196355893408</v>
      </c>
      <c r="AJ14" s="428">
        <f t="shared" si="29"/>
        <v>12018.993352919168</v>
      </c>
      <c r="AK14" s="428">
        <f t="shared" si="29"/>
        <v>12380.591757178932</v>
      </c>
      <c r="AL14" s="428">
        <f t="shared" si="29"/>
        <v>12718.084623510958</v>
      </c>
      <c r="AM14" s="428">
        <f t="shared" si="29"/>
        <v>13041.964279872371</v>
      </c>
      <c r="AN14" s="428">
        <f t="shared" si="29"/>
        <v>13362.299832641969</v>
      </c>
      <c r="AR14" s="274">
        <f t="shared" ref="AR14:AW14" si="30">AR7/AR8-1</f>
        <v>-0.23299874207915217</v>
      </c>
      <c r="AS14" s="274">
        <f t="shared" si="30"/>
        <v>-0.19515259445520583</v>
      </c>
      <c r="AT14" s="274">
        <f t="shared" si="30"/>
        <v>-0.17715494451431502</v>
      </c>
      <c r="AU14" s="274">
        <f t="shared" si="30"/>
        <v>-0.16558481964186678</v>
      </c>
      <c r="AV14" s="274">
        <f t="shared" si="30"/>
        <v>-0.1542849375589348</v>
      </c>
      <c r="AW14" s="274">
        <f t="shared" si="30"/>
        <v>-0.14343562590002412</v>
      </c>
    </row>
    <row r="15" spans="1:49">
      <c r="A15" s="49" t="s">
        <v>302</v>
      </c>
      <c r="C15" s="34">
        <f t="shared" ref="C15:H15" si="31">C14/B14-1</f>
        <v>9.652265542676508E-2</v>
      </c>
      <c r="D15" s="34">
        <f t="shared" si="31"/>
        <v>0.12973284643474914</v>
      </c>
      <c r="E15" s="34">
        <f t="shared" si="31"/>
        <v>0.14443688329363735</v>
      </c>
      <c r="F15" s="34">
        <f t="shared" si="31"/>
        <v>0.12115356027947088</v>
      </c>
      <c r="G15" s="34">
        <f t="shared" si="31"/>
        <v>6.5301113762927798E-2</v>
      </c>
      <c r="H15" s="34">
        <f t="shared" si="31"/>
        <v>2.7159977158053961E-2</v>
      </c>
      <c r="I15" s="34">
        <f>I14*4/5/H14-1</f>
        <v>8.9282267467667431E-3</v>
      </c>
      <c r="J15" s="34">
        <f>J14/(I14*4/5)-1</f>
        <v>6.9177555726365192E-3</v>
      </c>
      <c r="K15" s="34">
        <f t="shared" ref="K15:S15" si="32">K14/J14-1</f>
        <v>2.3377862595419741E-2</v>
      </c>
      <c r="L15" s="34">
        <f>L14/K14-1</f>
        <v>3.5780885780885674E-2</v>
      </c>
      <c r="M15" s="34">
        <f>M14/L14-1</f>
        <v>4.8385281872397989E-2</v>
      </c>
      <c r="N15" s="34">
        <f>N14/M14-1</f>
        <v>5.688526349683376E-2</v>
      </c>
      <c r="O15" s="34">
        <f>O14/N14-1</f>
        <v>3.8184218543718895E-2</v>
      </c>
      <c r="P15" s="34">
        <f t="shared" si="32"/>
        <v>2.2400469529492373E-2</v>
      </c>
      <c r="Q15" s="34">
        <f t="shared" si="32"/>
        <v>2.564102564102555E-2</v>
      </c>
      <c r="R15" s="34">
        <f t="shared" si="32"/>
        <v>-4.0578358208955279E-2</v>
      </c>
      <c r="S15" s="34">
        <f t="shared" si="32"/>
        <v>-0.20709771511910546</v>
      </c>
      <c r="T15" s="34">
        <f t="shared" ref="T15:AG15" si="33">T14/S14-1</f>
        <v>5.0643776824034425E-2</v>
      </c>
      <c r="U15" s="34">
        <f t="shared" si="33"/>
        <v>4.2950513538748902E-2</v>
      </c>
      <c r="V15" s="34">
        <f t="shared" si="33"/>
        <v>4.2188898836168276E-2</v>
      </c>
      <c r="W15" s="34">
        <f>W14/V14-1</f>
        <v>3.489745517019216E-2</v>
      </c>
      <c r="X15" s="34">
        <f t="shared" si="33"/>
        <v>3.320190910977372E-2</v>
      </c>
      <c r="Y15" s="34">
        <f t="shared" si="33"/>
        <v>3.2938341032335838E-2</v>
      </c>
      <c r="Z15" s="34">
        <f t="shared" si="33"/>
        <v>2.6443709896947221E-2</v>
      </c>
      <c r="AA15" s="34">
        <f t="shared" si="33"/>
        <v>2.5288880469785946E-2</v>
      </c>
      <c r="AB15" s="34">
        <f t="shared" si="33"/>
        <v>-2.4018475750577362E-2</v>
      </c>
      <c r="AC15" s="34">
        <f t="shared" si="33"/>
        <v>-0.12749645054424985</v>
      </c>
      <c r="AD15" s="34">
        <f t="shared" si="33"/>
        <v>3.1351703189411939E-2</v>
      </c>
      <c r="AE15" s="34">
        <f t="shared" si="33"/>
        <v>3.6499421478910277E-2</v>
      </c>
      <c r="AF15" s="34">
        <f t="shared" si="33"/>
        <v>4.9827481225898085E-2</v>
      </c>
      <c r="AG15" s="34">
        <f t="shared" si="33"/>
        <v>4.9589173513774787E-2</v>
      </c>
      <c r="AH15" s="34">
        <f t="shared" ref="AH15:AN15" si="34">AH14/AG14-1</f>
        <v>3.8036470804936551E-2</v>
      </c>
      <c r="AI15" s="34">
        <f t="shared" si="34"/>
        <v>3.2933755291758349E-2</v>
      </c>
      <c r="AJ15" s="34">
        <f>AJ14/AI14-1</f>
        <v>3.2364769112919189E-2</v>
      </c>
      <c r="AK15" s="34">
        <f>AK14/AJ14-1</f>
        <v>3.0085581516021032E-2</v>
      </c>
      <c r="AL15" s="34">
        <f>AL14/AK14-1</f>
        <v>2.725983320921066E-2</v>
      </c>
      <c r="AM15" s="34">
        <f t="shared" si="34"/>
        <v>2.5466071814200797E-2</v>
      </c>
      <c r="AN15" s="34">
        <f t="shared" si="34"/>
        <v>2.4561909992651287E-2</v>
      </c>
    </row>
    <row r="16" spans="1:49">
      <c r="B16" s="165"/>
      <c r="C16" s="165"/>
      <c r="D16" s="165"/>
      <c r="E16" s="165"/>
      <c r="F16" s="165"/>
      <c r="G16" s="165"/>
      <c r="H16" s="165"/>
      <c r="I16" s="165"/>
      <c r="J16" s="165"/>
      <c r="K16" s="165"/>
      <c r="L16" s="165"/>
      <c r="M16" s="165"/>
      <c r="N16" s="165"/>
      <c r="O16" s="165"/>
      <c r="P16" s="165"/>
      <c r="Q16" s="165"/>
      <c r="R16" s="14"/>
      <c r="S16" s="165"/>
      <c r="AF16" s="13"/>
      <c r="AG16" s="13"/>
      <c r="AH16" s="13"/>
    </row>
    <row r="17" spans="1:44" s="43" customFormat="1">
      <c r="A17" s="6" t="s">
        <v>605</v>
      </c>
      <c r="B17" s="85"/>
      <c r="C17" s="85"/>
      <c r="D17" s="85"/>
      <c r="E17" s="85"/>
      <c r="F17" s="85"/>
      <c r="G17" s="85"/>
      <c r="H17" s="85"/>
      <c r="I17" s="85"/>
      <c r="J17" s="85"/>
      <c r="K17" s="85"/>
      <c r="L17" s="85"/>
      <c r="M17" s="85"/>
      <c r="N17" s="85"/>
      <c r="O17" s="85"/>
      <c r="P17" s="85"/>
      <c r="Q17" s="85"/>
      <c r="R17" s="85"/>
      <c r="S17" s="85"/>
      <c r="T17" s="85"/>
      <c r="U17" s="85"/>
      <c r="V17" s="85"/>
      <c r="W17" s="85"/>
      <c r="X17" s="85"/>
      <c r="Y17" s="85"/>
      <c r="Z17" s="85"/>
      <c r="AA17" s="85"/>
      <c r="AB17" s="85"/>
      <c r="AC17" s="85"/>
      <c r="AD17" s="85"/>
      <c r="AE17" s="85"/>
      <c r="AF17" s="85"/>
      <c r="AG17" s="85"/>
      <c r="AH17" s="85"/>
      <c r="AI17" s="85"/>
      <c r="AJ17" s="85"/>
      <c r="AK17" s="85"/>
      <c r="AL17" s="85"/>
      <c r="AM17" s="85"/>
      <c r="AN17" s="85"/>
    </row>
    <row r="18" spans="1:44">
      <c r="A18" s="166" t="s">
        <v>128</v>
      </c>
      <c r="B18" s="49">
        <v>33622</v>
      </c>
      <c r="C18" s="17">
        <v>37916</v>
      </c>
      <c r="D18" s="17">
        <v>43131</v>
      </c>
      <c r="E18" s="17">
        <v>49875</v>
      </c>
      <c r="F18" s="17">
        <v>54945</v>
      </c>
      <c r="G18" s="17">
        <v>57221</v>
      </c>
      <c r="H18" s="17">
        <v>57721</v>
      </c>
      <c r="I18" s="17">
        <v>57976</v>
      </c>
      <c r="J18" s="17">
        <v>58709</v>
      </c>
      <c r="K18" s="17">
        <v>60636</v>
      </c>
      <c r="L18" s="17">
        <v>63115</v>
      </c>
      <c r="M18" s="17">
        <v>66711</v>
      </c>
      <c r="N18" s="17">
        <v>69882</v>
      </c>
      <c r="O18" s="17">
        <v>71890</v>
      </c>
      <c r="P18" s="17">
        <v>73156</v>
      </c>
      <c r="Q18" s="17">
        <v>75239</v>
      </c>
      <c r="R18" s="17">
        <v>79445</v>
      </c>
      <c r="S18" s="17">
        <v>83811</v>
      </c>
      <c r="T18" s="17">
        <v>87713</v>
      </c>
      <c r="U18" s="17">
        <v>91187</v>
      </c>
      <c r="V18" s="17">
        <v>95243</v>
      </c>
      <c r="W18" s="17">
        <v>97918</v>
      </c>
      <c r="X18" s="17">
        <v>101420</v>
      </c>
      <c r="Y18" s="17">
        <v>104479</v>
      </c>
      <c r="Z18" s="17">
        <v>106886</v>
      </c>
      <c r="AA18" s="17">
        <v>109824</v>
      </c>
      <c r="AB18" s="17">
        <v>113295</v>
      </c>
      <c r="AC18" s="17">
        <v>117157</v>
      </c>
      <c r="AD18" s="17">
        <v>120523</v>
      </c>
      <c r="AE18" s="17">
        <v>125827</v>
      </c>
      <c r="AF18" s="17">
        <v>132792</v>
      </c>
      <c r="AG18" s="17">
        <v>138657</v>
      </c>
      <c r="AH18" s="17">
        <v>143124</v>
      </c>
      <c r="AI18" s="17">
        <f t="shared" ref="AI18:AN18" si="35">AH18+AI53+AI49</f>
        <v>147930.90889733518</v>
      </c>
      <c r="AJ18" s="17">
        <f>AI18+AJ53+AJ49</f>
        <v>152543.92492564401</v>
      </c>
      <c r="AK18" s="17">
        <f>AJ18+AK53+AK49</f>
        <v>156970.86900382931</v>
      </c>
      <c r="AL18" s="17">
        <f>AK18+AL53+AL49</f>
        <v>160981.24658394465</v>
      </c>
      <c r="AM18" s="17">
        <f t="shared" si="35"/>
        <v>165067.86041286457</v>
      </c>
      <c r="AN18" s="17">
        <f t="shared" si="35"/>
        <v>168989.63540318466</v>
      </c>
      <c r="AR18" s="75">
        <f>DCF!$S$37</f>
        <v>70</v>
      </c>
    </row>
    <row r="19" spans="1:44" s="43" customFormat="1">
      <c r="A19" s="166" t="s">
        <v>654</v>
      </c>
      <c r="B19" s="49">
        <v>1801</v>
      </c>
      <c r="C19" s="17">
        <v>1840</v>
      </c>
      <c r="D19" s="17">
        <v>1417</v>
      </c>
      <c r="E19" s="17">
        <v>1610</v>
      </c>
      <c r="F19" s="17">
        <v>2095</v>
      </c>
      <c r="G19" s="17">
        <v>3131</v>
      </c>
      <c r="H19" s="17">
        <v>3822</v>
      </c>
      <c r="I19" s="17">
        <v>2441</v>
      </c>
      <c r="J19" s="17">
        <v>1705</v>
      </c>
      <c r="K19" s="17">
        <v>1636</v>
      </c>
      <c r="L19" s="17">
        <v>1650</v>
      </c>
      <c r="M19" s="17">
        <f>1650+298</f>
        <v>1948</v>
      </c>
      <c r="N19" s="17">
        <f>2382+298</f>
        <v>2680</v>
      </c>
      <c r="O19" s="17">
        <f>3040+808</f>
        <v>3848</v>
      </c>
      <c r="P19" s="17">
        <f>3402+934</f>
        <v>4336</v>
      </c>
      <c r="Q19" s="17">
        <f>3504+533</f>
        <v>4037</v>
      </c>
      <c r="R19" s="17">
        <f>3612+1552</f>
        <v>5164</v>
      </c>
      <c r="S19" s="17">
        <f>3929+774</f>
        <v>4703</v>
      </c>
      <c r="T19" s="17">
        <f>4367+1698</f>
        <v>6065</v>
      </c>
      <c r="U19" s="17">
        <f>4913+2310</f>
        <v>7223</v>
      </c>
      <c r="V19" s="17">
        <f>1904+11530</f>
        <v>13434</v>
      </c>
      <c r="W19" s="17">
        <f>1091+6778</f>
        <v>7869</v>
      </c>
      <c r="X19" s="17">
        <f>6770+684</f>
        <v>7454</v>
      </c>
      <c r="Y19" s="17">
        <f>382+5327</f>
        <v>5709</v>
      </c>
      <c r="Z19" s="17">
        <f>440+4061</f>
        <v>4501</v>
      </c>
      <c r="AA19" s="17">
        <f>268+7606</f>
        <v>7874</v>
      </c>
      <c r="AB19" s="17">
        <f>198+6559</f>
        <v>6757</v>
      </c>
      <c r="AC19" s="17">
        <f>213+4231</f>
        <v>4444</v>
      </c>
      <c r="AD19" s="17">
        <f>351+6350</f>
        <v>6701</v>
      </c>
      <c r="AE19" s="17">
        <f>134+8359</f>
        <v>8493</v>
      </c>
      <c r="AF19" s="17">
        <f>74+9681</f>
        <v>9755</v>
      </c>
      <c r="AG19" s="17">
        <f>16+5706</f>
        <v>5722</v>
      </c>
      <c r="AH19" s="17">
        <f>4223+36</f>
        <v>4259</v>
      </c>
      <c r="AI19" s="167">
        <f t="shared" ref="AI19:AN19" si="36">AH19</f>
        <v>4259</v>
      </c>
      <c r="AJ19" s="167">
        <f>AI19</f>
        <v>4259</v>
      </c>
      <c r="AK19" s="167">
        <f>AJ19</f>
        <v>4259</v>
      </c>
      <c r="AL19" s="167">
        <f>AK19</f>
        <v>4259</v>
      </c>
      <c r="AM19" s="167">
        <f t="shared" si="36"/>
        <v>4259</v>
      </c>
      <c r="AN19" s="167">
        <f t="shared" si="36"/>
        <v>4259</v>
      </c>
    </row>
    <row r="20" spans="1:44" s="43" customFormat="1">
      <c r="A20" s="275" t="s">
        <v>130</v>
      </c>
      <c r="B20" s="174">
        <f t="shared" ref="B20:AB20" si="37">SUM(B18:B19)</f>
        <v>35423</v>
      </c>
      <c r="C20" s="26">
        <f t="shared" si="37"/>
        <v>39756</v>
      </c>
      <c r="D20" s="26">
        <f t="shared" si="37"/>
        <v>44548</v>
      </c>
      <c r="E20" s="26">
        <f t="shared" si="37"/>
        <v>51485</v>
      </c>
      <c r="F20" s="26">
        <f t="shared" si="37"/>
        <v>57040</v>
      </c>
      <c r="G20" s="26">
        <f t="shared" si="37"/>
        <v>60352</v>
      </c>
      <c r="H20" s="26">
        <f t="shared" si="37"/>
        <v>61543</v>
      </c>
      <c r="I20" s="26">
        <f t="shared" si="37"/>
        <v>60417</v>
      </c>
      <c r="J20" s="26">
        <f t="shared" si="37"/>
        <v>60414</v>
      </c>
      <c r="K20" s="26">
        <f t="shared" si="37"/>
        <v>62272</v>
      </c>
      <c r="L20" s="26">
        <f t="shared" si="37"/>
        <v>64765</v>
      </c>
      <c r="M20" s="26">
        <f t="shared" si="37"/>
        <v>68659</v>
      </c>
      <c r="N20" s="26">
        <f t="shared" si="37"/>
        <v>72562</v>
      </c>
      <c r="O20" s="26">
        <f t="shared" si="37"/>
        <v>75738</v>
      </c>
      <c r="P20" s="26">
        <f t="shared" si="37"/>
        <v>77492</v>
      </c>
      <c r="Q20" s="26">
        <f t="shared" si="37"/>
        <v>79276</v>
      </c>
      <c r="R20" s="26">
        <f t="shared" si="37"/>
        <v>84609</v>
      </c>
      <c r="S20" s="26">
        <f t="shared" si="37"/>
        <v>88514</v>
      </c>
      <c r="T20" s="26">
        <f t="shared" si="37"/>
        <v>93778</v>
      </c>
      <c r="U20" s="26">
        <f t="shared" si="37"/>
        <v>98410</v>
      </c>
      <c r="V20" s="26">
        <f t="shared" si="37"/>
        <v>108677</v>
      </c>
      <c r="W20" s="26">
        <f t="shared" si="37"/>
        <v>105787</v>
      </c>
      <c r="X20" s="26">
        <f t="shared" si="37"/>
        <v>108874</v>
      </c>
      <c r="Y20" s="26">
        <f t="shared" si="37"/>
        <v>110188</v>
      </c>
      <c r="Z20" s="26">
        <f>SUM(Z18:Z19)</f>
        <v>111387</v>
      </c>
      <c r="AA20" s="26">
        <f>SUM(AA18:AA19)</f>
        <v>117698</v>
      </c>
      <c r="AB20" s="26">
        <f t="shared" si="37"/>
        <v>120052</v>
      </c>
      <c r="AC20" s="26">
        <f t="shared" ref="AC20:AI20" si="38">SUM(AC18:AC19)</f>
        <v>121601</v>
      </c>
      <c r="AD20" s="26">
        <f t="shared" si="38"/>
        <v>127224</v>
      </c>
      <c r="AE20" s="26">
        <f t="shared" si="38"/>
        <v>134320</v>
      </c>
      <c r="AF20" s="26">
        <f t="shared" si="38"/>
        <v>142547</v>
      </c>
      <c r="AG20" s="26">
        <f t="shared" ref="AG20" si="39">SUM(AG18:AG19)</f>
        <v>144379</v>
      </c>
      <c r="AH20" s="26">
        <f t="shared" ref="AH20" si="40">SUM(AH18:AH19)</f>
        <v>147383</v>
      </c>
      <c r="AI20" s="26">
        <f t="shared" si="38"/>
        <v>152189.90889733518</v>
      </c>
      <c r="AJ20" s="26">
        <f>SUM(AJ18:AJ19)</f>
        <v>156802.92492564401</v>
      </c>
      <c r="AK20" s="26">
        <f>SUM(AK18:AK19)</f>
        <v>161229.86900382931</v>
      </c>
      <c r="AL20" s="26">
        <f>SUM(AL18:AL19)</f>
        <v>165240.24658394465</v>
      </c>
      <c r="AM20" s="26">
        <f>SUM(AM18:AM19)</f>
        <v>169326.86041286457</v>
      </c>
      <c r="AN20" s="26">
        <f>SUM(AN18:AN19)</f>
        <v>173248.63540318466</v>
      </c>
    </row>
    <row r="21" spans="1:44">
      <c r="A21" s="166"/>
      <c r="B21" s="13"/>
      <c r="C21" s="14"/>
      <c r="D21" s="14"/>
      <c r="E21" s="14"/>
      <c r="F21" s="14"/>
      <c r="G21" s="14"/>
      <c r="H21" s="14"/>
      <c r="O21" s="17"/>
      <c r="P21" s="17"/>
      <c r="Q21" s="17"/>
      <c r="R21" s="17"/>
      <c r="S21" s="17"/>
      <c r="T21" s="17"/>
      <c r="U21" s="17"/>
      <c r="V21" s="17"/>
      <c r="W21" s="17"/>
      <c r="X21" s="17"/>
      <c r="Y21" s="17"/>
      <c r="Z21" s="17"/>
      <c r="AA21" s="17"/>
      <c r="AB21" s="17"/>
      <c r="AC21" s="17"/>
      <c r="AD21" s="17"/>
      <c r="AE21" s="17"/>
      <c r="AF21" s="17"/>
      <c r="AG21" s="17"/>
      <c r="AH21" s="17"/>
      <c r="AI21" s="17"/>
      <c r="AJ21" s="17"/>
      <c r="AK21" s="17"/>
      <c r="AL21" s="17"/>
      <c r="AM21" s="17"/>
      <c r="AN21" s="17"/>
    </row>
    <row r="22" spans="1:44">
      <c r="A22" s="166" t="s">
        <v>224</v>
      </c>
      <c r="B22" s="49">
        <v>6567</v>
      </c>
      <c r="C22" s="17">
        <v>7153</v>
      </c>
      <c r="D22" s="17">
        <v>8991</v>
      </c>
      <c r="E22" s="17">
        <v>8558</v>
      </c>
      <c r="F22" s="17">
        <v>9022</v>
      </c>
      <c r="G22" s="17">
        <v>10415</v>
      </c>
      <c r="H22" s="17">
        <v>9304</v>
      </c>
      <c r="I22" s="17">
        <v>7017</v>
      </c>
      <c r="J22" s="17">
        <v>7978</v>
      </c>
      <c r="K22" s="17">
        <v>9306</v>
      </c>
      <c r="L22" s="17">
        <v>10992</v>
      </c>
      <c r="M22" s="17">
        <v>9557</v>
      </c>
      <c r="N22" s="17">
        <v>9740</v>
      </c>
      <c r="O22" s="17">
        <v>12723</v>
      </c>
      <c r="P22" s="17">
        <v>10257</v>
      </c>
      <c r="Q22" s="17">
        <v>14429</v>
      </c>
      <c r="R22" s="17">
        <v>14394</v>
      </c>
      <c r="S22" s="17">
        <v>17658</v>
      </c>
      <c r="T22" s="17">
        <v>15194</v>
      </c>
      <c r="U22" s="17">
        <v>17439</v>
      </c>
      <c r="V22" s="17">
        <v>22248</v>
      </c>
      <c r="W22" s="17">
        <v>17142</v>
      </c>
      <c r="X22" s="17">
        <v>18518</v>
      </c>
      <c r="Y22" s="17">
        <v>18565</v>
      </c>
      <c r="Z22" s="17">
        <v>21474</v>
      </c>
      <c r="AA22" s="17">
        <v>22565</v>
      </c>
      <c r="AB22" s="17">
        <v>24699</v>
      </c>
      <c r="AC22" s="17">
        <v>28115</v>
      </c>
      <c r="AD22" s="17">
        <v>23046</v>
      </c>
      <c r="AE22" s="17">
        <v>25311</v>
      </c>
      <c r="AF22" s="17">
        <v>27881</v>
      </c>
      <c r="AG22" s="17">
        <v>32472</v>
      </c>
      <c r="AH22" s="17">
        <v>28641</v>
      </c>
      <c r="AI22" s="167">
        <f t="shared" ref="AI22:AI23" si="41">AH22</f>
        <v>28641</v>
      </c>
      <c r="AJ22" s="167">
        <f t="shared" ref="AJ22:AK23" si="42">AI22</f>
        <v>28641</v>
      </c>
      <c r="AK22" s="167">
        <f t="shared" si="42"/>
        <v>28641</v>
      </c>
      <c r="AL22" s="167">
        <f>AK22</f>
        <v>28641</v>
      </c>
      <c r="AM22" s="167">
        <f t="shared" ref="AM22:AN24" si="43">AL22</f>
        <v>28641</v>
      </c>
      <c r="AN22" s="167">
        <f t="shared" si="43"/>
        <v>28641</v>
      </c>
    </row>
    <row r="23" spans="1:44">
      <c r="A23" s="166" t="s">
        <v>449</v>
      </c>
      <c r="B23" s="17">
        <v>-445</v>
      </c>
      <c r="C23" s="17">
        <v>15</v>
      </c>
      <c r="D23" s="17">
        <v>12</v>
      </c>
      <c r="E23" s="17">
        <v>6</v>
      </c>
      <c r="F23" s="17">
        <v>6</v>
      </c>
      <c r="G23" s="17">
        <v>-6</v>
      </c>
      <c r="H23" s="17">
        <v>-31</v>
      </c>
      <c r="I23" s="17">
        <v>-88</v>
      </c>
      <c r="J23" s="17">
        <v>-128</v>
      </c>
      <c r="K23" s="17">
        <v>-49</v>
      </c>
      <c r="L23" s="17">
        <v>-38</v>
      </c>
      <c r="M23" s="17">
        <v>46</v>
      </c>
      <c r="N23" s="17">
        <v>34</v>
      </c>
      <c r="O23" s="17">
        <v>63</v>
      </c>
      <c r="P23" s="17">
        <v>-5</v>
      </c>
      <c r="Q23" s="17">
        <v>-51</v>
      </c>
      <c r="R23" s="17">
        <v>165</v>
      </c>
      <c r="S23" s="17">
        <v>346</v>
      </c>
      <c r="T23" s="17">
        <v>962</v>
      </c>
      <c r="U23" s="17">
        <v>1428</v>
      </c>
      <c r="V23" s="17">
        <v>907</v>
      </c>
      <c r="W23" s="17">
        <v>939</v>
      </c>
      <c r="X23" s="17">
        <v>565</v>
      </c>
      <c r="Y23" s="17">
        <v>-113</v>
      </c>
      <c r="Z23" s="17">
        <v>279</v>
      </c>
      <c r="AA23" s="17">
        <v>21</v>
      </c>
      <c r="AB23" s="17">
        <v>-81</v>
      </c>
      <c r="AC23" s="17">
        <v>-9</v>
      </c>
      <c r="AD23" s="17">
        <v>-555</v>
      </c>
      <c r="AE23" s="17">
        <v>-606</v>
      </c>
      <c r="AF23" s="17">
        <v>-465</v>
      </c>
      <c r="AG23" s="17">
        <v>-1183</v>
      </c>
      <c r="AH23" s="17">
        <v>-647</v>
      </c>
      <c r="AI23" s="54">
        <f t="shared" si="41"/>
        <v>-647</v>
      </c>
      <c r="AJ23" s="54">
        <f t="shared" si="42"/>
        <v>-647</v>
      </c>
      <c r="AK23" s="54">
        <f t="shared" si="42"/>
        <v>-647</v>
      </c>
      <c r="AL23" s="54">
        <f>AK23</f>
        <v>-647</v>
      </c>
      <c r="AM23" s="54">
        <f t="shared" si="43"/>
        <v>-647</v>
      </c>
      <c r="AN23" s="54">
        <f t="shared" si="43"/>
        <v>-647</v>
      </c>
    </row>
    <row r="24" spans="1:44">
      <c r="A24" s="166" t="s">
        <v>619</v>
      </c>
      <c r="B24" s="49">
        <v>5845</v>
      </c>
      <c r="C24" s="17">
        <v>6925</v>
      </c>
      <c r="D24" s="17">
        <v>7877</v>
      </c>
      <c r="E24" s="17">
        <v>13113</v>
      </c>
      <c r="F24" s="17">
        <v>17797</v>
      </c>
      <c r="G24" s="17">
        <v>17825</v>
      </c>
      <c r="H24" s="17">
        <v>17871</v>
      </c>
      <c r="I24" s="17">
        <v>16654</v>
      </c>
      <c r="J24" s="17">
        <v>15092</v>
      </c>
      <c r="K24" s="17">
        <v>14437</v>
      </c>
      <c r="L24" s="17">
        <v>13916</v>
      </c>
      <c r="M24" s="17">
        <v>13893</v>
      </c>
      <c r="N24" s="17">
        <v>15084</v>
      </c>
      <c r="O24" s="17">
        <v>13720</v>
      </c>
      <c r="P24" s="17">
        <v>16161</v>
      </c>
      <c r="Q24" s="17">
        <v>13828</v>
      </c>
      <c r="R24" s="17">
        <v>16616</v>
      </c>
      <c r="S24" s="17">
        <v>21598</v>
      </c>
      <c r="T24" s="17">
        <v>25248</v>
      </c>
      <c r="U24" s="17">
        <v>25283</v>
      </c>
      <c r="V24" s="17">
        <v>28254</v>
      </c>
      <c r="W24" s="17">
        <v>26873</v>
      </c>
      <c r="X24" s="17">
        <v>28340</v>
      </c>
      <c r="Y24" s="17">
        <v>30730</v>
      </c>
      <c r="Z24" s="17">
        <v>28885</v>
      </c>
      <c r="AA24" s="17">
        <v>34251</v>
      </c>
      <c r="AB24" s="17">
        <v>32274</v>
      </c>
      <c r="AC24" s="17">
        <v>29792</v>
      </c>
      <c r="AD24" s="17">
        <v>37146</v>
      </c>
      <c r="AE24" s="17">
        <v>38328</v>
      </c>
      <c r="AF24" s="17">
        <v>40680</v>
      </c>
      <c r="AG24" s="17">
        <v>35967</v>
      </c>
      <c r="AH24" s="17">
        <v>40860</v>
      </c>
      <c r="AI24" s="402">
        <f>AH24+1000</f>
        <v>41860</v>
      </c>
      <c r="AJ24" s="402">
        <f t="shared" ref="AJ24:AK24" si="44">AI24+1000</f>
        <v>42860</v>
      </c>
      <c r="AK24" s="402">
        <f t="shared" si="44"/>
        <v>43860</v>
      </c>
      <c r="AL24" s="402">
        <f t="shared" ref="AL24" si="45">AK24</f>
        <v>43860</v>
      </c>
      <c r="AM24" s="402">
        <f t="shared" si="43"/>
        <v>43860</v>
      </c>
      <c r="AN24" s="402">
        <f t="shared" si="43"/>
        <v>43860</v>
      </c>
      <c r="AP24" s="273"/>
    </row>
    <row r="25" spans="1:44">
      <c r="A25" s="166" t="s">
        <v>225</v>
      </c>
      <c r="B25" s="49">
        <v>3328</v>
      </c>
      <c r="C25" s="17">
        <v>3598</v>
      </c>
      <c r="D25" s="17">
        <v>4929</v>
      </c>
      <c r="E25" s="17">
        <v>5868</v>
      </c>
      <c r="F25" s="17">
        <v>5945</v>
      </c>
      <c r="G25" s="17">
        <v>6360</v>
      </c>
      <c r="H25" s="17">
        <v>6424</v>
      </c>
      <c r="I25" s="17">
        <v>6222</v>
      </c>
      <c r="J25" s="17">
        <v>6268</v>
      </c>
      <c r="K25" s="17">
        <v>6561</v>
      </c>
      <c r="L25" s="17">
        <v>6947</v>
      </c>
      <c r="M25" s="17">
        <v>8459</v>
      </c>
      <c r="N25" s="17">
        <v>8844</v>
      </c>
      <c r="O25" s="17">
        <v>8978</v>
      </c>
      <c r="P25" s="17">
        <v>9305</v>
      </c>
      <c r="Q25" s="17">
        <v>8549</v>
      </c>
      <c r="R25" s="17">
        <v>9312</v>
      </c>
      <c r="S25" s="17">
        <v>10062</v>
      </c>
      <c r="T25" s="17">
        <v>10909</v>
      </c>
      <c r="U25" s="17">
        <v>11778</v>
      </c>
      <c r="V25" s="17">
        <v>13486</v>
      </c>
      <c r="W25" s="17">
        <v>15747</v>
      </c>
      <c r="X25" s="17">
        <v>17937</v>
      </c>
      <c r="Y25" s="17">
        <v>17764</v>
      </c>
      <c r="Z25" s="17">
        <v>17816</v>
      </c>
      <c r="AA25" s="17">
        <v>15379</v>
      </c>
      <c r="AB25" s="17">
        <v>15650</v>
      </c>
      <c r="AC25" s="17">
        <v>16020</v>
      </c>
      <c r="AD25" s="17">
        <v>17761</v>
      </c>
      <c r="AE25" s="17">
        <v>18244</v>
      </c>
      <c r="AF25" s="17">
        <v>18995</v>
      </c>
      <c r="AG25" s="17">
        <v>20230</v>
      </c>
      <c r="AH25" s="17">
        <v>20709</v>
      </c>
      <c r="AI25" s="55">
        <f t="shared" ref="AI25:AN25" si="46">AH25/AH22*AI22</f>
        <v>20709</v>
      </c>
      <c r="AJ25" s="55">
        <f>AI25/AI22*AJ22</f>
        <v>20709</v>
      </c>
      <c r="AK25" s="55">
        <f>AJ25/AJ22*AK22</f>
        <v>20709</v>
      </c>
      <c r="AL25" s="55">
        <f>AK25/AK22*AL22</f>
        <v>20709</v>
      </c>
      <c r="AM25" s="55">
        <f t="shared" si="46"/>
        <v>20709</v>
      </c>
      <c r="AN25" s="55">
        <f t="shared" si="46"/>
        <v>20709</v>
      </c>
    </row>
    <row r="26" spans="1:44">
      <c r="A26" s="166" t="s">
        <v>329</v>
      </c>
      <c r="B26" s="18">
        <f>'SOC Accounts'!B27</f>
        <v>0</v>
      </c>
      <c r="C26" s="17">
        <f>'SOC Accounts'!C27</f>
        <v>0</v>
      </c>
      <c r="D26" s="17">
        <f>'SOC Accounts'!D27</f>
        <v>0</v>
      </c>
      <c r="E26" s="17">
        <f>'SOC Accounts'!E27</f>
        <v>0</v>
      </c>
      <c r="F26" s="17">
        <f>'SOC Accounts'!F27</f>
        <v>0</v>
      </c>
      <c r="G26" s="17">
        <f>'SOC Accounts'!G27</f>
        <v>0</v>
      </c>
      <c r="H26" s="17">
        <f>'SOC Accounts'!H27</f>
        <v>0</v>
      </c>
      <c r="I26" s="17">
        <f>'SOC Accounts'!I27</f>
        <v>0</v>
      </c>
      <c r="J26" s="17">
        <f>'SOC Accounts'!J27</f>
        <v>766</v>
      </c>
      <c r="K26" s="17">
        <f>'SOC Accounts'!K27</f>
        <v>766</v>
      </c>
      <c r="L26" s="17">
        <f>'SOC Accounts'!L27</f>
        <v>670</v>
      </c>
      <c r="M26" s="17">
        <f>'SOC Accounts'!M27</f>
        <v>176</v>
      </c>
      <c r="N26" s="17">
        <f>'SOC Accounts'!N27</f>
        <v>0</v>
      </c>
      <c r="O26" s="17">
        <f>'SOC Accounts'!O27</f>
        <v>0</v>
      </c>
      <c r="P26" s="17">
        <f>'SOC Accounts'!P27</f>
        <v>0</v>
      </c>
      <c r="Q26" s="17">
        <f>'SOC Accounts'!Q27</f>
        <v>0</v>
      </c>
      <c r="R26" s="17">
        <f>'SOC Accounts'!R27</f>
        <v>0</v>
      </c>
      <c r="S26" s="17">
        <f>'SOC Accounts'!S27</f>
        <v>0</v>
      </c>
      <c r="T26" s="17">
        <f>'SOC Accounts'!T27</f>
        <v>0</v>
      </c>
      <c r="U26" s="17">
        <f>'SOC Accounts'!U27</f>
        <v>0</v>
      </c>
      <c r="V26" s="17">
        <f>'SOC Accounts'!V27</f>
        <v>0</v>
      </c>
      <c r="W26" s="17">
        <f>'SOC Accounts'!W27</f>
        <v>0</v>
      </c>
      <c r="X26" s="17">
        <f>'SOC Accounts'!X27</f>
        <v>0</v>
      </c>
      <c r="Y26" s="17">
        <f>'SOC Accounts'!Y27</f>
        <v>0</v>
      </c>
      <c r="Z26" s="17">
        <f>'SOC Accounts'!Z27</f>
        <v>0</v>
      </c>
      <c r="AA26" s="17">
        <f>'SOC Accounts'!AA27</f>
        <v>0</v>
      </c>
      <c r="AB26" s="17">
        <f>'SOC Accounts'!AB27</f>
        <v>0</v>
      </c>
      <c r="AC26" s="17">
        <f>'SOC Accounts'!AC27</f>
        <v>0</v>
      </c>
      <c r="AD26" s="17">
        <f>'SOC Accounts'!AD27</f>
        <v>0</v>
      </c>
      <c r="AE26" s="17">
        <f>'SOC Accounts'!AE27</f>
        <v>0</v>
      </c>
      <c r="AF26" s="17">
        <f>'SOC Accounts'!AF27</f>
        <v>0</v>
      </c>
      <c r="AG26" s="17">
        <f>'SOC Accounts'!AG27</f>
        <v>0</v>
      </c>
      <c r="AH26" s="17">
        <f>'SOC Accounts'!AH27</f>
        <v>0</v>
      </c>
      <c r="AI26" s="17">
        <f>'SOC Accounts'!AI27</f>
        <v>0</v>
      </c>
      <c r="AJ26" s="17">
        <f>'SOC Accounts'!AJ27</f>
        <v>0</v>
      </c>
      <c r="AK26" s="17">
        <f>'SOC Accounts'!AK27</f>
        <v>0</v>
      </c>
      <c r="AL26" s="17">
        <f>'SOC Accounts'!AL27</f>
        <v>0</v>
      </c>
      <c r="AM26" s="17">
        <f>'SOC Accounts'!AM27</f>
        <v>0</v>
      </c>
      <c r="AN26" s="17">
        <f>'SOC Accounts'!AN27</f>
        <v>0</v>
      </c>
    </row>
    <row r="27" spans="1:44">
      <c r="A27" s="166" t="s">
        <v>226</v>
      </c>
      <c r="B27" s="49">
        <v>3222</v>
      </c>
      <c r="C27" s="17">
        <v>3847</v>
      </c>
      <c r="D27" s="17">
        <v>2944</v>
      </c>
      <c r="E27" s="17">
        <v>2419</v>
      </c>
      <c r="F27" s="17">
        <f>'SOC Accounts'!F21</f>
        <v>1926</v>
      </c>
      <c r="G27" s="17">
        <f>'SOC Accounts'!G21</f>
        <v>1432</v>
      </c>
      <c r="H27" s="17">
        <f>'SOC Accounts'!H21</f>
        <v>2528</v>
      </c>
      <c r="I27" s="17">
        <f>'SOC Accounts'!I21</f>
        <v>3320</v>
      </c>
      <c r="J27" s="17">
        <f>'SOC Accounts'!J21</f>
        <v>2923</v>
      </c>
      <c r="K27" s="17">
        <f>'SOC Accounts'!K21</f>
        <v>3177</v>
      </c>
      <c r="L27" s="17">
        <f>'SOC Accounts'!L21</f>
        <v>3372</v>
      </c>
      <c r="M27" s="17">
        <f>'SOC Accounts'!M21</f>
        <v>2960</v>
      </c>
      <c r="N27" s="17">
        <f>'SOC Accounts'!N21</f>
        <v>3171</v>
      </c>
      <c r="O27" s="17">
        <f>'SOC Accounts'!O21</f>
        <v>3685</v>
      </c>
      <c r="P27" s="17">
        <f>'SOC Accounts'!P21</f>
        <v>2932</v>
      </c>
      <c r="Q27" s="17">
        <f>'SOC Accounts'!Q21</f>
        <v>2117</v>
      </c>
      <c r="R27" s="17">
        <f>'SOC Accounts'!R21</f>
        <v>1756</v>
      </c>
      <c r="S27" s="17">
        <f>'SOC Accounts'!S21</f>
        <v>1653</v>
      </c>
      <c r="T27" s="17">
        <f>'SOC Accounts'!T21</f>
        <v>1505</v>
      </c>
      <c r="U27" s="17">
        <f>'SOC Accounts'!U21</f>
        <v>637</v>
      </c>
      <c r="V27" s="17">
        <f>'SOC Accounts'!V21</f>
        <v>712</v>
      </c>
      <c r="W27" s="17">
        <f>'SOC Accounts'!W21</f>
        <v>19</v>
      </c>
      <c r="X27" s="17">
        <f>'SOC Accounts'!X21</f>
        <v>1058</v>
      </c>
      <c r="Y27" s="17">
        <f>'SOC Accounts'!Y21</f>
        <v>935</v>
      </c>
      <c r="Z27" s="17">
        <f>'SOC Accounts'!Z21</f>
        <v>786</v>
      </c>
      <c r="AA27" s="17">
        <f>'SOC Accounts'!AA21</f>
        <v>746</v>
      </c>
      <c r="AB27" s="17">
        <f>'SOC Accounts'!AB21</f>
        <v>941</v>
      </c>
      <c r="AC27" s="17">
        <f>'SOC Accounts'!AC21</f>
        <v>1478</v>
      </c>
      <c r="AD27" s="17">
        <f>'SOC Accounts'!AD21</f>
        <v>2019</v>
      </c>
      <c r="AE27" s="17">
        <f>'SOC Accounts'!AE21</f>
        <v>3109</v>
      </c>
      <c r="AF27" s="17">
        <f>'SOC Accounts'!AF21</f>
        <v>2928</v>
      </c>
      <c r="AG27" s="17">
        <f>'SOC Accounts'!AG21</f>
        <v>2529</v>
      </c>
      <c r="AH27" s="17">
        <f>'SOC Accounts'!AH21</f>
        <v>3048</v>
      </c>
      <c r="AI27" s="17">
        <f>'SOC Accounts'!AI21</f>
        <v>3733.7394219959033</v>
      </c>
      <c r="AJ27" s="17">
        <f>'SOC Accounts'!AJ21</f>
        <v>4690.963489752673</v>
      </c>
      <c r="AK27" s="17">
        <f>'SOC Accounts'!AK21</f>
        <v>6028.1287856226018</v>
      </c>
      <c r="AL27" s="17">
        <f>'SOC Accounts'!AL21</f>
        <v>7820.8516694859309</v>
      </c>
      <c r="AM27" s="17">
        <f>'SOC Accounts'!AM21</f>
        <v>10144.63167960578</v>
      </c>
      <c r="AN27" s="17">
        <f>'SOC Accounts'!AN21</f>
        <v>13053.382300288025</v>
      </c>
    </row>
    <row r="28" spans="1:44">
      <c r="A28" s="166"/>
      <c r="O28" s="17"/>
      <c r="P28" s="17"/>
      <c r="Q28" s="17"/>
      <c r="R28" s="17"/>
      <c r="S28" s="17"/>
      <c r="T28" s="17"/>
      <c r="U28" s="17"/>
      <c r="V28" s="17"/>
      <c r="W28" s="17"/>
      <c r="X28" s="17"/>
      <c r="Y28" s="17"/>
      <c r="Z28" s="17"/>
      <c r="AA28" s="17"/>
      <c r="AB28" s="17"/>
      <c r="AC28" s="17"/>
      <c r="AD28" s="17"/>
      <c r="AE28" s="17"/>
      <c r="AF28" s="17"/>
      <c r="AG28" s="17"/>
      <c r="AH28" s="17"/>
      <c r="AI28" s="17"/>
      <c r="AJ28" s="17"/>
      <c r="AK28" s="17"/>
      <c r="AL28" s="17"/>
      <c r="AM28" s="17"/>
      <c r="AN28" s="17"/>
    </row>
    <row r="29" spans="1:44">
      <c r="A29" s="166" t="s">
        <v>227</v>
      </c>
      <c r="B29" s="49">
        <v>16906</v>
      </c>
      <c r="C29" s="17">
        <v>18218</v>
      </c>
      <c r="D29" s="17">
        <v>19795</v>
      </c>
      <c r="E29" s="17">
        <v>21521</v>
      </c>
      <c r="F29" s="17">
        <v>22344</v>
      </c>
      <c r="G29" s="17">
        <v>24326</v>
      </c>
      <c r="H29" s="17">
        <v>25447</v>
      </c>
      <c r="I29" s="17">
        <v>27292</v>
      </c>
      <c r="J29" s="17">
        <v>27515</v>
      </c>
      <c r="K29" s="17">
        <v>28074</v>
      </c>
      <c r="L29" s="17">
        <v>28906</v>
      </c>
      <c r="M29" s="17">
        <v>33568</v>
      </c>
      <c r="N29" s="17">
        <v>35689</v>
      </c>
      <c r="O29" s="17">
        <v>36569</v>
      </c>
      <c r="P29" s="17">
        <v>38842</v>
      </c>
      <c r="Q29" s="17">
        <v>40404</v>
      </c>
      <c r="R29" s="17">
        <v>42366</v>
      </c>
      <c r="S29" s="17">
        <v>37197</v>
      </c>
      <c r="T29" s="17">
        <v>39960</v>
      </c>
      <c r="U29" s="17">
        <v>41845</v>
      </c>
      <c r="V29" s="17">
        <v>43070</v>
      </c>
      <c r="W29" s="17">
        <v>45067</v>
      </c>
      <c r="X29" s="17">
        <v>42456</v>
      </c>
      <c r="Y29" s="17">
        <v>42307</v>
      </c>
      <c r="Z29" s="17">
        <v>42147</v>
      </c>
      <c r="AA29" s="17">
        <v>44736</v>
      </c>
      <c r="AB29" s="17">
        <v>46569</v>
      </c>
      <c r="AC29" s="17">
        <v>46205</v>
      </c>
      <c r="AD29" s="17">
        <v>47807</v>
      </c>
      <c r="AE29" s="17">
        <v>49934</v>
      </c>
      <c r="AF29" s="17">
        <v>52528</v>
      </c>
      <c r="AG29" s="17">
        <v>54364</v>
      </c>
      <c r="AH29" s="17">
        <v>56036</v>
      </c>
      <c r="AI29" s="55">
        <f t="shared" ref="AI29:AN29" si="47">AI20-SUM(AI22:AI27)</f>
        <v>57893.169475339266</v>
      </c>
      <c r="AJ29" s="55">
        <f t="shared" si="47"/>
        <v>60548.961435891339</v>
      </c>
      <c r="AK29" s="55">
        <f t="shared" si="47"/>
        <v>62638.740218206716</v>
      </c>
      <c r="AL29" s="55">
        <f t="shared" si="47"/>
        <v>64856.394914458724</v>
      </c>
      <c r="AM29" s="55">
        <f t="shared" si="47"/>
        <v>66619.228733258788</v>
      </c>
      <c r="AN29" s="55">
        <f t="shared" si="47"/>
        <v>67632.253102896633</v>
      </c>
    </row>
    <row r="30" spans="1:44">
      <c r="A30" s="275" t="s">
        <v>615</v>
      </c>
      <c r="B30" s="174">
        <f t="shared" ref="B30:AB30" si="48">SUM(B22:B29)</f>
        <v>35423</v>
      </c>
      <c r="C30" s="26">
        <f t="shared" si="48"/>
        <v>39756</v>
      </c>
      <c r="D30" s="26">
        <f t="shared" si="48"/>
        <v>44548</v>
      </c>
      <c r="E30" s="26">
        <f t="shared" si="48"/>
        <v>51485</v>
      </c>
      <c r="F30" s="26">
        <f t="shared" si="48"/>
        <v>57040</v>
      </c>
      <c r="G30" s="26">
        <f t="shared" si="48"/>
        <v>60352</v>
      </c>
      <c r="H30" s="26">
        <f t="shared" si="48"/>
        <v>61543</v>
      </c>
      <c r="I30" s="26">
        <f t="shared" si="48"/>
        <v>60417</v>
      </c>
      <c r="J30" s="26">
        <f t="shared" si="48"/>
        <v>60414</v>
      </c>
      <c r="K30" s="26">
        <f t="shared" si="48"/>
        <v>62272</v>
      </c>
      <c r="L30" s="26">
        <f t="shared" si="48"/>
        <v>64765</v>
      </c>
      <c r="M30" s="26">
        <f t="shared" si="48"/>
        <v>68659</v>
      </c>
      <c r="N30" s="26">
        <f t="shared" si="48"/>
        <v>72562</v>
      </c>
      <c r="O30" s="26">
        <f t="shared" si="48"/>
        <v>75738</v>
      </c>
      <c r="P30" s="26">
        <f t="shared" si="48"/>
        <v>77492</v>
      </c>
      <c r="Q30" s="26">
        <f t="shared" si="48"/>
        <v>79276</v>
      </c>
      <c r="R30" s="26">
        <f t="shared" si="48"/>
        <v>84609</v>
      </c>
      <c r="S30" s="26">
        <f t="shared" si="48"/>
        <v>88514</v>
      </c>
      <c r="T30" s="26">
        <f t="shared" si="48"/>
        <v>93778</v>
      </c>
      <c r="U30" s="26">
        <f t="shared" si="48"/>
        <v>98410</v>
      </c>
      <c r="V30" s="26">
        <f t="shared" si="48"/>
        <v>108677</v>
      </c>
      <c r="W30" s="26">
        <f t="shared" si="48"/>
        <v>105787</v>
      </c>
      <c r="X30" s="26">
        <f t="shared" si="48"/>
        <v>108874</v>
      </c>
      <c r="Y30" s="26">
        <f t="shared" si="48"/>
        <v>110188</v>
      </c>
      <c r="Z30" s="26">
        <f t="shared" si="48"/>
        <v>111387</v>
      </c>
      <c r="AA30" s="26">
        <f t="shared" si="48"/>
        <v>117698</v>
      </c>
      <c r="AB30" s="26">
        <f t="shared" si="48"/>
        <v>120052</v>
      </c>
      <c r="AC30" s="26">
        <f t="shared" ref="AC30:AI30" si="49">SUM(AC22:AC29)</f>
        <v>121601</v>
      </c>
      <c r="AD30" s="26">
        <f t="shared" si="49"/>
        <v>127224</v>
      </c>
      <c r="AE30" s="26">
        <f t="shared" si="49"/>
        <v>134320</v>
      </c>
      <c r="AF30" s="26">
        <f t="shared" si="49"/>
        <v>142547</v>
      </c>
      <c r="AG30" s="26">
        <f t="shared" ref="AG30" si="50">SUM(AG22:AG29)</f>
        <v>144379</v>
      </c>
      <c r="AH30" s="26">
        <f t="shared" ref="AH30" si="51">SUM(AH22:AH29)</f>
        <v>148647</v>
      </c>
      <c r="AI30" s="26">
        <f t="shared" si="49"/>
        <v>152189.90889733518</v>
      </c>
      <c r="AJ30" s="26">
        <f>SUM(AJ22:AJ29)</f>
        <v>156802.92492564401</v>
      </c>
      <c r="AK30" s="26">
        <f>SUM(AK22:AK29)</f>
        <v>161229.86900382931</v>
      </c>
      <c r="AL30" s="26">
        <f>SUM(AL22:AL29)</f>
        <v>165240.24658394465</v>
      </c>
      <c r="AM30" s="26">
        <f>SUM(AM22:AM29)</f>
        <v>169326.86041286457</v>
      </c>
      <c r="AN30" s="26">
        <f>SUM(AN22:AN29)</f>
        <v>173248.63540318466</v>
      </c>
    </row>
    <row r="31" spans="1:44">
      <c r="A31" s="166"/>
      <c r="B31" s="17">
        <f t="shared" ref="B31:AB31" si="52">B20-B30</f>
        <v>0</v>
      </c>
      <c r="C31" s="17">
        <f t="shared" si="52"/>
        <v>0</v>
      </c>
      <c r="D31" s="17">
        <f t="shared" si="52"/>
        <v>0</v>
      </c>
      <c r="E31" s="17">
        <f t="shared" si="52"/>
        <v>0</v>
      </c>
      <c r="F31" s="17">
        <f t="shared" si="52"/>
        <v>0</v>
      </c>
      <c r="G31" s="17">
        <f t="shared" si="52"/>
        <v>0</v>
      </c>
      <c r="H31" s="17">
        <f t="shared" si="52"/>
        <v>0</v>
      </c>
      <c r="I31" s="17">
        <f t="shared" si="52"/>
        <v>0</v>
      </c>
      <c r="J31" s="17">
        <f t="shared" si="52"/>
        <v>0</v>
      </c>
      <c r="K31" s="17">
        <f t="shared" si="52"/>
        <v>0</v>
      </c>
      <c r="L31" s="17">
        <f t="shared" si="52"/>
        <v>0</v>
      </c>
      <c r="M31" s="17">
        <f t="shared" si="52"/>
        <v>0</v>
      </c>
      <c r="N31" s="17">
        <f t="shared" si="52"/>
        <v>0</v>
      </c>
      <c r="O31" s="17">
        <f t="shared" si="52"/>
        <v>0</v>
      </c>
      <c r="P31" s="17">
        <f t="shared" si="52"/>
        <v>0</v>
      </c>
      <c r="Q31" s="17">
        <f>Q20-Q30</f>
        <v>0</v>
      </c>
      <c r="R31" s="17">
        <f t="shared" si="52"/>
        <v>0</v>
      </c>
      <c r="S31" s="17">
        <f t="shared" si="52"/>
        <v>0</v>
      </c>
      <c r="T31" s="17">
        <f t="shared" si="52"/>
        <v>0</v>
      </c>
      <c r="U31" s="17">
        <f t="shared" si="52"/>
        <v>0</v>
      </c>
      <c r="V31" s="17">
        <f>V20-V30</f>
        <v>0</v>
      </c>
      <c r="W31" s="17">
        <f t="shared" si="52"/>
        <v>0</v>
      </c>
      <c r="X31" s="17">
        <f t="shared" si="52"/>
        <v>0</v>
      </c>
      <c r="Y31" s="17">
        <f>Y20-Y30</f>
        <v>0</v>
      </c>
      <c r="Z31" s="17">
        <f>Z20-Z30</f>
        <v>0</v>
      </c>
      <c r="AA31" s="17">
        <f t="shared" si="52"/>
        <v>0</v>
      </c>
      <c r="AB31" s="17">
        <f t="shared" si="52"/>
        <v>0</v>
      </c>
      <c r="AC31" s="17">
        <f t="shared" ref="AC31:AI31" si="53">AC20-AC30</f>
        <v>0</v>
      </c>
      <c r="AD31" s="17">
        <f t="shared" si="53"/>
        <v>0</v>
      </c>
      <c r="AE31" s="17">
        <f t="shared" si="53"/>
        <v>0</v>
      </c>
      <c r="AF31" s="17">
        <f t="shared" si="53"/>
        <v>0</v>
      </c>
      <c r="AG31" s="17">
        <f t="shared" ref="AG31" si="54">AG20-AG30</f>
        <v>0</v>
      </c>
      <c r="AH31" s="17">
        <f t="shared" ref="AH31" si="55">AH20-AH30</f>
        <v>-1264</v>
      </c>
      <c r="AI31" s="17">
        <f t="shared" si="53"/>
        <v>0</v>
      </c>
      <c r="AJ31" s="17">
        <f>AJ20-AJ30</f>
        <v>0</v>
      </c>
      <c r="AK31" s="17">
        <f>AK20-AK30</f>
        <v>0</v>
      </c>
      <c r="AL31" s="17">
        <f>AL20-AL30</f>
        <v>0</v>
      </c>
      <c r="AM31" s="17">
        <f>AM20-AM30</f>
        <v>0</v>
      </c>
      <c r="AN31" s="17">
        <f>AN20-AN30</f>
        <v>0</v>
      </c>
    </row>
    <row r="32" spans="1:44" s="7" customFormat="1">
      <c r="A32" s="88" t="s">
        <v>656</v>
      </c>
      <c r="B32" s="89"/>
      <c r="C32" s="89"/>
      <c r="D32" s="89"/>
      <c r="E32" s="89"/>
      <c r="F32" s="89"/>
      <c r="G32" s="89"/>
      <c r="H32" s="89"/>
      <c r="I32" s="89"/>
      <c r="J32" s="89"/>
      <c r="K32" s="89"/>
      <c r="L32" s="89"/>
      <c r="M32" s="89"/>
      <c r="N32" s="89"/>
      <c r="O32" s="89"/>
      <c r="P32" s="89"/>
      <c r="Q32" s="89"/>
      <c r="R32" s="89"/>
      <c r="S32" s="89"/>
      <c r="T32" s="89"/>
      <c r="U32" s="89"/>
      <c r="V32" s="89"/>
      <c r="W32" s="89"/>
      <c r="X32" s="89"/>
      <c r="Y32" s="89"/>
      <c r="Z32" s="89"/>
      <c r="AA32" s="89"/>
      <c r="AB32" s="89"/>
      <c r="AC32" s="89"/>
      <c r="AD32" s="89"/>
      <c r="AE32" s="89"/>
      <c r="AF32" s="89"/>
      <c r="AG32" s="89"/>
      <c r="AH32" s="89"/>
      <c r="AI32" s="89"/>
      <c r="AJ32" s="89"/>
      <c r="AK32" s="89"/>
      <c r="AL32" s="89"/>
      <c r="AM32" s="89"/>
      <c r="AN32" s="89"/>
    </row>
    <row r="33" spans="1:44">
      <c r="A33" s="49" t="s">
        <v>641</v>
      </c>
      <c r="B33" s="17">
        <v>1255</v>
      </c>
      <c r="C33" s="17">
        <v>1057</v>
      </c>
      <c r="D33" s="17">
        <v>1497</v>
      </c>
      <c r="E33" s="17">
        <v>1670</v>
      </c>
      <c r="F33" s="17">
        <v>3319</v>
      </c>
      <c r="G33" s="17">
        <v>3903</v>
      </c>
      <c r="H33" s="17">
        <v>2744</v>
      </c>
      <c r="I33" s="17">
        <v>2778</v>
      </c>
      <c r="J33" s="17">
        <v>2433</v>
      </c>
      <c r="K33" s="17">
        <v>4240</v>
      </c>
      <c r="L33" s="17">
        <v>6742</v>
      </c>
      <c r="M33" s="17">
        <v>7451</v>
      </c>
      <c r="N33" s="17">
        <v>8642</v>
      </c>
      <c r="O33" s="17">
        <v>11475</v>
      </c>
      <c r="P33" s="17">
        <v>13053</v>
      </c>
      <c r="Q33" s="17">
        <v>13613</v>
      </c>
      <c r="R33" s="17">
        <v>14848</v>
      </c>
      <c r="S33" s="17">
        <v>22429</v>
      </c>
      <c r="T33" s="17">
        <v>25603</v>
      </c>
      <c r="U33" s="17">
        <v>27391</v>
      </c>
      <c r="V33" s="17">
        <v>33435</v>
      </c>
      <c r="W33" s="17">
        <v>28283</v>
      </c>
      <c r="X33" s="17">
        <v>34780</v>
      </c>
      <c r="Y33" s="17">
        <v>35002</v>
      </c>
      <c r="Z33" s="17">
        <f t="shared" ref="Z33:AF33" si="56">Z35-Z34</f>
        <v>31840</v>
      </c>
      <c r="AA33" s="17">
        <f t="shared" si="56"/>
        <v>30487</v>
      </c>
      <c r="AB33" s="17">
        <f t="shared" si="56"/>
        <v>28762</v>
      </c>
      <c r="AC33" s="17">
        <f t="shared" si="56"/>
        <v>31297</v>
      </c>
      <c r="AD33" s="17">
        <f t="shared" si="56"/>
        <v>33383</v>
      </c>
      <c r="AE33" s="17">
        <f t="shared" si="56"/>
        <v>36477</v>
      </c>
      <c r="AF33" s="17">
        <f t="shared" si="56"/>
        <v>38685</v>
      </c>
      <c r="AG33" s="17">
        <f t="shared" ref="AG33" si="57">AG35-AG34</f>
        <v>37961</v>
      </c>
      <c r="AH33" s="17">
        <f t="shared" ref="AH33" si="58">AH35-AH34</f>
        <v>46150</v>
      </c>
      <c r="AI33" s="17">
        <f t="shared" ref="AI33:AN33" si="59">AI35-AI34</f>
        <v>47150</v>
      </c>
      <c r="AJ33" s="17">
        <f t="shared" si="59"/>
        <v>48150</v>
      </c>
      <c r="AK33" s="17">
        <f t="shared" si="59"/>
        <v>49150</v>
      </c>
      <c r="AL33" s="17">
        <f t="shared" si="59"/>
        <v>49150</v>
      </c>
      <c r="AM33" s="17">
        <f t="shared" si="59"/>
        <v>49150</v>
      </c>
      <c r="AN33" s="17">
        <f t="shared" si="59"/>
        <v>49150</v>
      </c>
    </row>
    <row r="34" spans="1:44">
      <c r="A34" s="49" t="s">
        <v>620</v>
      </c>
      <c r="K34" s="49">
        <v>13864</v>
      </c>
      <c r="L34" s="49">
        <v>11832</v>
      </c>
      <c r="M34" s="49">
        <v>9770</v>
      </c>
      <c r="N34" s="49">
        <v>9585</v>
      </c>
      <c r="O34" s="49">
        <v>8072</v>
      </c>
      <c r="P34" s="49">
        <v>6343</v>
      </c>
      <c r="Q34" s="49">
        <v>7035</v>
      </c>
      <c r="R34" s="49">
        <v>7767</v>
      </c>
      <c r="S34" s="272">
        <f>8329-200</f>
        <v>8129</v>
      </c>
      <c r="T34" s="272">
        <f>5947-200</f>
        <v>5747</v>
      </c>
      <c r="U34" s="272">
        <f>5622-200</f>
        <v>5422</v>
      </c>
      <c r="V34" s="272">
        <f>6486-200</f>
        <v>6286</v>
      </c>
      <c r="W34" s="272">
        <f>6119-200</f>
        <v>5919</v>
      </c>
      <c r="X34" s="49">
        <v>5855</v>
      </c>
      <c r="Y34" s="49">
        <v>5974</v>
      </c>
      <c r="Z34" s="173">
        <f>Y34</f>
        <v>5974</v>
      </c>
      <c r="AA34" s="173">
        <f>Z34+500*7.8</f>
        <v>9874</v>
      </c>
      <c r="AB34" s="173">
        <f t="shared" ref="AB34:AI34" si="60">AA34</f>
        <v>9874</v>
      </c>
      <c r="AC34" s="173">
        <f t="shared" si="60"/>
        <v>9874</v>
      </c>
      <c r="AD34" s="173">
        <f t="shared" si="60"/>
        <v>9874</v>
      </c>
      <c r="AE34" s="173">
        <f t="shared" si="60"/>
        <v>9874</v>
      </c>
      <c r="AF34" s="173">
        <f t="shared" si="60"/>
        <v>9874</v>
      </c>
      <c r="AG34" s="173">
        <f t="shared" si="60"/>
        <v>9874</v>
      </c>
      <c r="AH34" s="173">
        <f t="shared" si="60"/>
        <v>9874</v>
      </c>
      <c r="AI34" s="173">
        <f t="shared" si="60"/>
        <v>9874</v>
      </c>
      <c r="AJ34" s="173">
        <f>AI34</f>
        <v>9874</v>
      </c>
      <c r="AK34" s="173">
        <f>AJ34</f>
        <v>9874</v>
      </c>
      <c r="AL34" s="173">
        <f>AK34</f>
        <v>9874</v>
      </c>
      <c r="AM34" s="173">
        <f>AL34</f>
        <v>9874</v>
      </c>
      <c r="AN34" s="173">
        <f>AM34</f>
        <v>9874</v>
      </c>
    </row>
    <row r="35" spans="1:44">
      <c r="A35" s="174" t="s">
        <v>639</v>
      </c>
      <c r="B35" s="174">
        <f t="shared" ref="B35:W35" si="61">B33</f>
        <v>1255</v>
      </c>
      <c r="C35" s="174">
        <f t="shared" si="61"/>
        <v>1057</v>
      </c>
      <c r="D35" s="174">
        <f t="shared" si="61"/>
        <v>1497</v>
      </c>
      <c r="E35" s="174">
        <f t="shared" si="61"/>
        <v>1670</v>
      </c>
      <c r="F35" s="174">
        <f t="shared" si="61"/>
        <v>3319</v>
      </c>
      <c r="G35" s="174">
        <f t="shared" si="61"/>
        <v>3903</v>
      </c>
      <c r="H35" s="174">
        <f t="shared" si="61"/>
        <v>2744</v>
      </c>
      <c r="I35" s="174">
        <f t="shared" si="61"/>
        <v>2778</v>
      </c>
      <c r="J35" s="174">
        <f t="shared" si="61"/>
        <v>2433</v>
      </c>
      <c r="K35" s="174">
        <f t="shared" si="61"/>
        <v>4240</v>
      </c>
      <c r="L35" s="174">
        <f t="shared" si="61"/>
        <v>6742</v>
      </c>
      <c r="M35" s="174">
        <f t="shared" si="61"/>
        <v>7451</v>
      </c>
      <c r="N35" s="174">
        <f t="shared" si="61"/>
        <v>8642</v>
      </c>
      <c r="O35" s="174">
        <f t="shared" si="61"/>
        <v>11475</v>
      </c>
      <c r="P35" s="174">
        <f t="shared" si="61"/>
        <v>13053</v>
      </c>
      <c r="Q35" s="174">
        <f t="shared" si="61"/>
        <v>13613</v>
      </c>
      <c r="R35" s="174">
        <f t="shared" si="61"/>
        <v>14848</v>
      </c>
      <c r="S35" s="174">
        <f t="shared" si="61"/>
        <v>22429</v>
      </c>
      <c r="T35" s="174">
        <f t="shared" si="61"/>
        <v>25603</v>
      </c>
      <c r="U35" s="174">
        <f t="shared" si="61"/>
        <v>27391</v>
      </c>
      <c r="V35" s="174">
        <f t="shared" si="61"/>
        <v>33435</v>
      </c>
      <c r="W35" s="174">
        <f t="shared" si="61"/>
        <v>28283</v>
      </c>
      <c r="X35" s="174">
        <f>+X33+X34</f>
        <v>40635</v>
      </c>
      <c r="Y35" s="174">
        <f>+Y33+Y34</f>
        <v>40976</v>
      </c>
      <c r="Z35" s="174">
        <v>37814</v>
      </c>
      <c r="AA35" s="174">
        <v>40361</v>
      </c>
      <c r="AB35" s="174">
        <v>38636</v>
      </c>
      <c r="AC35" s="174">
        <v>41171</v>
      </c>
      <c r="AD35" s="174">
        <v>43257</v>
      </c>
      <c r="AE35" s="174">
        <v>46351</v>
      </c>
      <c r="AF35" s="174">
        <v>48559</v>
      </c>
      <c r="AG35" s="174">
        <v>47835</v>
      </c>
      <c r="AH35" s="174">
        <v>56024</v>
      </c>
      <c r="AI35" s="276">
        <f t="shared" ref="AI35:AN35" si="62">AI24-AH24+AH35</f>
        <v>57024</v>
      </c>
      <c r="AJ35" s="276">
        <f>AJ24-AI24+AI35</f>
        <v>58024</v>
      </c>
      <c r="AK35" s="276">
        <f>AK24-AJ24+AJ35</f>
        <v>59024</v>
      </c>
      <c r="AL35" s="276">
        <f>AL24-AK24+AK35</f>
        <v>59024</v>
      </c>
      <c r="AM35" s="276">
        <f t="shared" si="62"/>
        <v>59024</v>
      </c>
      <c r="AN35" s="276">
        <f t="shared" si="62"/>
        <v>59024</v>
      </c>
    </row>
    <row r="36" spans="1:44">
      <c r="A36" s="49" t="s">
        <v>631</v>
      </c>
      <c r="B36" s="17">
        <v>-67</v>
      </c>
      <c r="C36" s="17">
        <v>-48</v>
      </c>
      <c r="D36" s="17">
        <v>-16</v>
      </c>
      <c r="E36" s="17">
        <v>-48</v>
      </c>
      <c r="F36" s="17">
        <v>-50</v>
      </c>
      <c r="G36" s="17">
        <v>565</v>
      </c>
      <c r="H36" s="17">
        <v>973</v>
      </c>
      <c r="I36" s="17">
        <v>612</v>
      </c>
      <c r="J36" s="17">
        <v>-94</v>
      </c>
      <c r="K36" s="17">
        <v>-158</v>
      </c>
      <c r="L36" s="17">
        <v>-156</v>
      </c>
      <c r="M36" s="17">
        <v>-640.22069271758437</v>
      </c>
      <c r="N36" s="17">
        <v>-983</v>
      </c>
      <c r="O36" s="17">
        <v>-1489</v>
      </c>
      <c r="P36" s="17">
        <f>-4624-P37</f>
        <v>-1604</v>
      </c>
      <c r="Q36" s="17">
        <f>-4881-Q37-Driver!Q110-Driver!Q111</f>
        <v>-1587</v>
      </c>
      <c r="R36" s="17">
        <f>-3409+15-R37</f>
        <v>-464</v>
      </c>
      <c r="S36" s="17">
        <f>-2673+11-S37</f>
        <v>-472</v>
      </c>
      <c r="T36" s="17">
        <f>-3115+1-T37</f>
        <v>-643</v>
      </c>
      <c r="U36" s="17">
        <f>-3508+2-U37</f>
        <v>-771</v>
      </c>
      <c r="V36" s="17">
        <f>-3565+8-V37</f>
        <v>-822</v>
      </c>
      <c r="W36" s="17">
        <f>-3685+11-W37</f>
        <v>-921</v>
      </c>
      <c r="X36" s="17">
        <f>-1954+9-X37</f>
        <v>-1023</v>
      </c>
      <c r="Y36" s="17">
        <f>-1110+2</f>
        <v>-1108</v>
      </c>
      <c r="Z36" s="17">
        <v>-1020</v>
      </c>
      <c r="AA36" s="17">
        <v>-1049</v>
      </c>
      <c r="AB36" s="17">
        <v>-1011</v>
      </c>
      <c r="AC36" s="17">
        <f>-1014+1</f>
        <v>-1013</v>
      </c>
      <c r="AD36" s="17">
        <f>-1012+16</f>
        <v>-996</v>
      </c>
      <c r="AE36" s="17">
        <f>-907+39</f>
        <v>-868</v>
      </c>
      <c r="AF36" s="17">
        <f>-973+136</f>
        <v>-837</v>
      </c>
      <c r="AG36" s="17">
        <f>-1428+159</f>
        <v>-1269</v>
      </c>
      <c r="AH36" s="17">
        <f>-1579+119</f>
        <v>-1460</v>
      </c>
      <c r="AI36" s="55">
        <f t="shared" ref="AI36:AN36" si="63">-AI38*AH35</f>
        <v>-1463.0690336706498</v>
      </c>
      <c r="AJ36" s="55">
        <f>-AJ38*AI35</f>
        <v>-1375.136074254518</v>
      </c>
      <c r="AK36" s="55">
        <f>-AK38*AJ35</f>
        <v>-1399.2511148383867</v>
      </c>
      <c r="AL36" s="55">
        <f>-AL38*AK35</f>
        <v>-1423.3661554222551</v>
      </c>
      <c r="AM36" s="55">
        <f t="shared" si="63"/>
        <v>-1423.3661554222551</v>
      </c>
      <c r="AN36" s="55">
        <f t="shared" si="63"/>
        <v>-1423.3661554222551</v>
      </c>
      <c r="AO36" s="17"/>
    </row>
    <row r="37" spans="1:44">
      <c r="A37" s="49" t="s">
        <v>383</v>
      </c>
      <c r="B37" s="17"/>
      <c r="C37" s="17">
        <v>0</v>
      </c>
      <c r="D37" s="17">
        <v>0</v>
      </c>
      <c r="E37" s="17">
        <v>0</v>
      </c>
      <c r="F37" s="17">
        <v>0</v>
      </c>
      <c r="G37" s="17">
        <v>0</v>
      </c>
      <c r="H37" s="17">
        <v>0</v>
      </c>
      <c r="I37" s="17">
        <v>0</v>
      </c>
      <c r="J37" s="17">
        <v>0</v>
      </c>
      <c r="K37" s="17">
        <v>0</v>
      </c>
      <c r="L37" s="17">
        <v>0</v>
      </c>
      <c r="M37" s="17">
        <v>0</v>
      </c>
      <c r="N37" s="17">
        <v>0</v>
      </c>
      <c r="O37" s="17">
        <v>0</v>
      </c>
      <c r="P37" s="17">
        <v>-3020</v>
      </c>
      <c r="Q37" s="17">
        <v>-3422</v>
      </c>
      <c r="R37" s="17">
        <v>-2930</v>
      </c>
      <c r="S37" s="17">
        <v>-2190</v>
      </c>
      <c r="T37" s="17">
        <v>-2471</v>
      </c>
      <c r="U37" s="17">
        <v>-2735</v>
      </c>
      <c r="V37" s="17">
        <v>-2735</v>
      </c>
      <c r="W37" s="17">
        <v>-2753</v>
      </c>
      <c r="X37" s="17">
        <v>-922</v>
      </c>
      <c r="Y37" s="17">
        <v>0</v>
      </c>
      <c r="Z37" s="17">
        <v>0</v>
      </c>
      <c r="AA37" s="17">
        <v>0</v>
      </c>
      <c r="AB37" s="17">
        <v>0</v>
      </c>
      <c r="AC37" s="17">
        <v>0</v>
      </c>
      <c r="AD37" s="17">
        <v>0</v>
      </c>
      <c r="AE37" s="17">
        <v>0</v>
      </c>
      <c r="AF37" s="17">
        <v>0</v>
      </c>
      <c r="AG37" s="17">
        <v>0</v>
      </c>
      <c r="AH37" s="17">
        <v>0</v>
      </c>
      <c r="AI37" s="17">
        <v>0</v>
      </c>
      <c r="AJ37" s="17">
        <v>0</v>
      </c>
      <c r="AK37" s="17">
        <v>0</v>
      </c>
      <c r="AL37" s="17">
        <v>0</v>
      </c>
      <c r="AM37" s="17">
        <v>0</v>
      </c>
      <c r="AN37" s="17">
        <v>0</v>
      </c>
      <c r="AO37" s="17"/>
    </row>
    <row r="38" spans="1:44">
      <c r="A38" s="170" t="s">
        <v>542</v>
      </c>
      <c r="C38" s="169"/>
      <c r="D38" s="169"/>
      <c r="E38" s="169"/>
      <c r="F38" s="169"/>
      <c r="G38" s="169"/>
      <c r="H38" s="169"/>
      <c r="I38" s="169"/>
      <c r="J38" s="169"/>
      <c r="K38" s="169"/>
      <c r="L38" s="169"/>
      <c r="M38" s="169"/>
      <c r="N38" s="169"/>
      <c r="O38" s="169"/>
      <c r="P38" s="169"/>
      <c r="Q38" s="169"/>
      <c r="R38" s="274">
        <f t="shared" ref="R38:AE38" si="64">-R36/AVERAGE(Q35:R35)</f>
        <v>3.2606022276097116E-2</v>
      </c>
      <c r="S38" s="274">
        <f t="shared" si="64"/>
        <v>2.5323926281621376E-2</v>
      </c>
      <c r="T38" s="274">
        <f t="shared" si="64"/>
        <v>2.6773817455029981E-2</v>
      </c>
      <c r="U38" s="274">
        <f t="shared" si="64"/>
        <v>2.9097633694380495E-2</v>
      </c>
      <c r="V38" s="274">
        <f t="shared" si="64"/>
        <v>2.7027915693946667E-2</v>
      </c>
      <c r="W38" s="274">
        <f t="shared" si="64"/>
        <v>2.9845425969733302E-2</v>
      </c>
      <c r="X38" s="274">
        <f t="shared" si="64"/>
        <v>2.9687454656258161E-2</v>
      </c>
      <c r="Y38" s="274">
        <f t="shared" si="64"/>
        <v>2.7153202386933133E-2</v>
      </c>
      <c r="Z38" s="274">
        <f t="shared" si="64"/>
        <v>2.5891610610483565E-2</v>
      </c>
      <c r="AA38" s="274">
        <f t="shared" si="64"/>
        <v>2.6837224176527022E-2</v>
      </c>
      <c r="AB38" s="274">
        <f t="shared" si="64"/>
        <v>2.5595908705393876E-2</v>
      </c>
      <c r="AC38" s="274">
        <f t="shared" si="64"/>
        <v>2.5386244314408512E-2</v>
      </c>
      <c r="AD38" s="274">
        <f t="shared" si="64"/>
        <v>2.35940683185673E-2</v>
      </c>
      <c r="AE38" s="274">
        <f t="shared" si="64"/>
        <v>1.9373270243728237E-2</v>
      </c>
      <c r="AF38" s="274">
        <f>-AF36/AVERAGE(AE35:AF35)</f>
        <v>1.7637762090401434E-2</v>
      </c>
      <c r="AG38" s="274">
        <f>-AG36/AVERAGE(AF35:AG35)</f>
        <v>2.6329439591675829E-2</v>
      </c>
      <c r="AH38" s="274">
        <f>-AH36/AVERAGE(AG35:AH35)</f>
        <v>2.8115040583868513E-2</v>
      </c>
      <c r="AI38" s="277">
        <f>AH38-0.2%</f>
        <v>2.6115040583868515E-2</v>
      </c>
      <c r="AJ38" s="277">
        <f>AI38-0.2%</f>
        <v>2.4115040583868513E-2</v>
      </c>
      <c r="AK38" s="277">
        <f>AJ38</f>
        <v>2.4115040583868513E-2</v>
      </c>
      <c r="AL38" s="277">
        <f>AK38</f>
        <v>2.4115040583868513E-2</v>
      </c>
      <c r="AM38" s="277">
        <f t="shared" ref="AM38:AN38" si="65">AL38</f>
        <v>2.4115040583868513E-2</v>
      </c>
      <c r="AN38" s="277">
        <f t="shared" si="65"/>
        <v>2.4115040583868513E-2</v>
      </c>
    </row>
    <row r="39" spans="1:44">
      <c r="A39" s="278" t="s">
        <v>635</v>
      </c>
      <c r="B39" s="279"/>
      <c r="C39" s="279"/>
      <c r="D39" s="279"/>
      <c r="E39" s="279"/>
      <c r="F39" s="279"/>
      <c r="G39" s="279"/>
      <c r="H39" s="279"/>
      <c r="I39" s="279"/>
      <c r="J39" s="279"/>
      <c r="K39" s="279"/>
      <c r="L39" s="279"/>
      <c r="M39" s="279"/>
      <c r="N39" s="279"/>
      <c r="O39" s="279"/>
      <c r="P39" s="280"/>
      <c r="Q39" s="280"/>
      <c r="R39" s="280">
        <f t="shared" ref="R39:AF39" si="66">R36-R41</f>
        <v>144</v>
      </c>
      <c r="S39" s="280">
        <f t="shared" si="66"/>
        <v>153</v>
      </c>
      <c r="T39" s="280">
        <f t="shared" si="66"/>
        <v>120</v>
      </c>
      <c r="U39" s="280">
        <f t="shared" si="66"/>
        <v>70</v>
      </c>
      <c r="V39" s="280">
        <f t="shared" si="66"/>
        <v>37</v>
      </c>
      <c r="W39" s="280">
        <f t="shared" si="66"/>
        <v>-34</v>
      </c>
      <c r="X39" s="280">
        <f t="shared" si="66"/>
        <v>-167</v>
      </c>
      <c r="Y39" s="280">
        <f t="shared" si="66"/>
        <v>-188</v>
      </c>
      <c r="Z39" s="280">
        <f t="shared" si="66"/>
        <v>-68</v>
      </c>
      <c r="AA39" s="280">
        <f t="shared" si="66"/>
        <v>-73</v>
      </c>
      <c r="AB39" s="280">
        <f t="shared" si="66"/>
        <v>44</v>
      </c>
      <c r="AC39" s="280">
        <f t="shared" si="66"/>
        <v>87</v>
      </c>
      <c r="AD39" s="280">
        <f t="shared" si="66"/>
        <v>115</v>
      </c>
      <c r="AE39" s="280">
        <f t="shared" si="66"/>
        <v>150</v>
      </c>
      <c r="AF39" s="280">
        <f t="shared" si="66"/>
        <v>278</v>
      </c>
      <c r="AG39" s="280">
        <f t="shared" ref="AG39" si="67">AG36-AG41</f>
        <v>270</v>
      </c>
      <c r="AH39" s="280">
        <f t="shared" ref="AH39" si="68">AH36-AH41</f>
        <v>240</v>
      </c>
      <c r="AI39" s="280">
        <f t="shared" ref="AI39:AN39" si="69">AI36-AI41</f>
        <v>-118.86903367064974</v>
      </c>
      <c r="AJ39" s="280">
        <f t="shared" si="69"/>
        <v>-252.59607425451804</v>
      </c>
      <c r="AK39" s="280">
        <f t="shared" si="69"/>
        <v>-250.21111483838672</v>
      </c>
      <c r="AL39" s="280">
        <f t="shared" si="69"/>
        <v>-261.07615542225517</v>
      </c>
      <c r="AM39" s="280">
        <f t="shared" si="69"/>
        <v>-261.07615542225517</v>
      </c>
      <c r="AN39" s="280">
        <f t="shared" si="69"/>
        <v>-261.07615542225517</v>
      </c>
    </row>
    <row r="40" spans="1:44">
      <c r="A40" s="168"/>
      <c r="B40" s="166"/>
      <c r="C40" s="17"/>
      <c r="D40" s="17"/>
      <c r="E40" s="17"/>
      <c r="F40" s="17"/>
      <c r="G40" s="17"/>
      <c r="H40" s="17"/>
      <c r="I40" s="17"/>
      <c r="J40" s="17"/>
      <c r="K40" s="17"/>
      <c r="L40" s="17"/>
      <c r="M40" s="17"/>
      <c r="N40" s="17"/>
      <c r="O40" s="17"/>
      <c r="P40" s="17"/>
      <c r="Q40" s="17"/>
      <c r="R40" s="17"/>
      <c r="S40" s="17"/>
      <c r="T40" s="17"/>
      <c r="U40" s="17"/>
      <c r="V40" s="17"/>
      <c r="W40" s="17"/>
      <c r="X40" s="17"/>
      <c r="Y40" s="17"/>
      <c r="Z40" s="17"/>
      <c r="AA40" s="17"/>
      <c r="AB40" s="17"/>
      <c r="AC40" s="17"/>
      <c r="AD40" s="17"/>
      <c r="AE40" s="17"/>
      <c r="AF40" s="17"/>
      <c r="AG40" s="17"/>
      <c r="AH40" s="17"/>
      <c r="AI40" s="17"/>
      <c r="AJ40" s="17"/>
      <c r="AK40" s="17"/>
      <c r="AL40" s="17"/>
      <c r="AM40" s="17"/>
      <c r="AN40" s="17"/>
      <c r="AR40" s="273"/>
    </row>
    <row r="41" spans="1:44">
      <c r="A41" s="49" t="s">
        <v>660</v>
      </c>
      <c r="B41" s="17">
        <f>-SOC!B17</f>
        <v>-455</v>
      </c>
      <c r="C41" s="17">
        <f>-SOC!C17</f>
        <v>-463</v>
      </c>
      <c r="D41" s="17">
        <f>-SOC!D17</f>
        <v>-511</v>
      </c>
      <c r="E41" s="17">
        <f>-SOC!E17</f>
        <v>-813</v>
      </c>
      <c r="F41" s="17">
        <f>-SOC!F17</f>
        <v>-1138</v>
      </c>
      <c r="G41" s="17">
        <f>-SOC!G17</f>
        <v>-1283</v>
      </c>
      <c r="H41" s="17">
        <f>-SOC!H17</f>
        <v>-1246</v>
      </c>
      <c r="I41" s="17">
        <f>-SOC!I17</f>
        <v>-1479</v>
      </c>
      <c r="J41" s="17">
        <f>-SOC!J17</f>
        <v>-1170</v>
      </c>
      <c r="K41" s="17">
        <f>-SOC!K17</f>
        <v>-1005</v>
      </c>
      <c r="L41" s="17">
        <f>-SOC!L17</f>
        <v>-818</v>
      </c>
      <c r="M41" s="17">
        <f>-SOC!M17</f>
        <v>-679</v>
      </c>
      <c r="N41" s="17">
        <f>-SOC!N17</f>
        <v>-679</v>
      </c>
      <c r="O41" s="17">
        <f>-SOC!O17</f>
        <v>-769</v>
      </c>
      <c r="P41" s="17">
        <f>-SOC!P17</f>
        <v>-754</v>
      </c>
      <c r="Q41" s="17">
        <f>-SOC!Q17</f>
        <v>-728</v>
      </c>
      <c r="R41" s="17">
        <f>-SOC!R17</f>
        <v>-608</v>
      </c>
      <c r="S41" s="17">
        <f>-SOC!S17</f>
        <v>-625</v>
      </c>
      <c r="T41" s="17">
        <f>-SOC!T17</f>
        <v>-763</v>
      </c>
      <c r="U41" s="17">
        <f>-SOC!U17</f>
        <v>-841</v>
      </c>
      <c r="V41" s="17">
        <f>-SOC!V17</f>
        <v>-859</v>
      </c>
      <c r="W41" s="17">
        <f>-SOC!W17</f>
        <v>-887</v>
      </c>
      <c r="X41" s="17">
        <f>-SOC!X17</f>
        <v>-856</v>
      </c>
      <c r="Y41" s="17">
        <f>-SOC!Y17</f>
        <v>-920</v>
      </c>
      <c r="Z41" s="17">
        <f>-SOC!Z17</f>
        <v>-952</v>
      </c>
      <c r="AA41" s="17">
        <f>-SOC!AA17</f>
        <v>-976</v>
      </c>
      <c r="AB41" s="17">
        <f>-SOC!AB17</f>
        <v>-1055</v>
      </c>
      <c r="AC41" s="17">
        <f>-SOC!AC17</f>
        <v>-1100</v>
      </c>
      <c r="AD41" s="17">
        <f>-SOC!AD17</f>
        <v>-1111</v>
      </c>
      <c r="AE41" s="17">
        <f>-SOC!AE17</f>
        <v>-1018</v>
      </c>
      <c r="AF41" s="17">
        <f>-SOC!AF17</f>
        <v>-1115</v>
      </c>
      <c r="AG41" s="17">
        <f>-SOC!AG17</f>
        <v>-1539</v>
      </c>
      <c r="AH41" s="17">
        <f>-SOC!AH17</f>
        <v>-1700</v>
      </c>
      <c r="AI41" s="55">
        <f t="shared" ref="AI41:AN41" si="70">AVERAGE(AH24:AI24)*AI42</f>
        <v>-1344.2</v>
      </c>
      <c r="AJ41" s="55">
        <f>AVERAGE(AI24:AJ24)*AJ42</f>
        <v>-1122.54</v>
      </c>
      <c r="AK41" s="55">
        <f>AVERAGE(AJ24:AK24)*AK42</f>
        <v>-1149.04</v>
      </c>
      <c r="AL41" s="55">
        <f>AVERAGE(AK24:AL24)*AL42</f>
        <v>-1162.29</v>
      </c>
      <c r="AM41" s="55">
        <f t="shared" si="70"/>
        <v>-1162.29</v>
      </c>
      <c r="AN41" s="55">
        <f t="shared" si="70"/>
        <v>-1162.29</v>
      </c>
      <c r="AO41" s="17"/>
    </row>
    <row r="42" spans="1:44">
      <c r="A42" s="407" t="s">
        <v>634</v>
      </c>
      <c r="B42" s="166"/>
      <c r="C42" s="169">
        <f t="shared" ref="C42:AH42" si="71">C41/AVERAGE(B24:C24)</f>
        <v>-7.2513703993735315E-2</v>
      </c>
      <c r="D42" s="169">
        <f t="shared" si="71"/>
        <v>-6.904472368598838E-2</v>
      </c>
      <c r="E42" s="169">
        <f t="shared" si="71"/>
        <v>-7.7465459742734638E-2</v>
      </c>
      <c r="F42" s="169">
        <f t="shared" si="71"/>
        <v>-7.3633128437398901E-2</v>
      </c>
      <c r="G42" s="169">
        <f t="shared" si="71"/>
        <v>-7.2034136207961369E-2</v>
      </c>
      <c r="H42" s="169">
        <f t="shared" si="71"/>
        <v>-6.9811743612729724E-2</v>
      </c>
      <c r="I42" s="169">
        <f t="shared" si="71"/>
        <v>-8.5677045619116585E-2</v>
      </c>
      <c r="J42" s="169">
        <f t="shared" si="71"/>
        <v>-7.3710073710073709E-2</v>
      </c>
      <c r="K42" s="169">
        <f t="shared" si="71"/>
        <v>-6.8068678248501477E-2</v>
      </c>
      <c r="L42" s="169">
        <f t="shared" si="71"/>
        <v>-5.7701125101400207E-2</v>
      </c>
      <c r="M42" s="169">
        <f t="shared" si="71"/>
        <v>-4.8833111582581176E-2</v>
      </c>
      <c r="N42" s="169">
        <f t="shared" si="71"/>
        <v>-4.6864754805535425E-2</v>
      </c>
      <c r="O42" s="169">
        <f t="shared" si="71"/>
        <v>-5.339536175531176E-2</v>
      </c>
      <c r="P42" s="169">
        <f t="shared" si="71"/>
        <v>-5.0466851845654428E-2</v>
      </c>
      <c r="Q42" s="169">
        <f t="shared" si="71"/>
        <v>-4.8551135416319315E-2</v>
      </c>
      <c r="R42" s="274">
        <f t="shared" si="71"/>
        <v>-3.9942188937064776E-2</v>
      </c>
      <c r="S42" s="274">
        <f t="shared" si="71"/>
        <v>-3.2710524938504217E-2</v>
      </c>
      <c r="T42" s="274">
        <f t="shared" si="71"/>
        <v>-3.2574819621739318E-2</v>
      </c>
      <c r="U42" s="274">
        <f t="shared" si="71"/>
        <v>-3.3286497397637095E-2</v>
      </c>
      <c r="V42" s="274">
        <f t="shared" si="71"/>
        <v>-3.2089956478696974E-2</v>
      </c>
      <c r="W42" s="274">
        <f t="shared" si="71"/>
        <v>-3.2180238358699001E-2</v>
      </c>
      <c r="X42" s="274">
        <f t="shared" si="71"/>
        <v>-3.1007190335609367E-2</v>
      </c>
      <c r="Y42" s="274">
        <f t="shared" si="71"/>
        <v>-3.1149483663450144E-2</v>
      </c>
      <c r="Z42" s="274">
        <f t="shared" si="71"/>
        <v>-3.1938270569487545E-2</v>
      </c>
      <c r="AA42" s="274">
        <f t="shared" si="71"/>
        <v>-3.0917384693360365E-2</v>
      </c>
      <c r="AB42" s="274">
        <f t="shared" si="71"/>
        <v>-3.1717399473881996E-2</v>
      </c>
      <c r="AC42" s="274">
        <f t="shared" si="71"/>
        <v>-3.5446137982148039E-2</v>
      </c>
      <c r="AD42" s="274">
        <f t="shared" si="71"/>
        <v>-3.3194896770145504E-2</v>
      </c>
      <c r="AE42" s="274">
        <f t="shared" si="71"/>
        <v>-2.6976177226594587E-2</v>
      </c>
      <c r="AF42" s="274">
        <f t="shared" si="71"/>
        <v>-2.8224989874443093E-2</v>
      </c>
      <c r="AG42" s="274">
        <f t="shared" si="71"/>
        <v>-4.0158127519668088E-2</v>
      </c>
      <c r="AH42" s="274">
        <f t="shared" si="71"/>
        <v>-4.4255274838273004E-2</v>
      </c>
      <c r="AI42" s="277">
        <f>(2.5%+0.75%)*-1</f>
        <v>-3.2500000000000001E-2</v>
      </c>
      <c r="AJ42" s="277">
        <f>-(1.9%+0.75%)</f>
        <v>-2.6499999999999999E-2</v>
      </c>
      <c r="AK42" s="277">
        <f>AJ42</f>
        <v>-2.6499999999999999E-2</v>
      </c>
      <c r="AL42" s="277">
        <f>AK42</f>
        <v>-2.6499999999999999E-2</v>
      </c>
      <c r="AM42" s="277">
        <f t="shared" ref="AM42:AN42" si="72">AL42</f>
        <v>-2.6499999999999999E-2</v>
      </c>
      <c r="AN42" s="277">
        <f t="shared" si="72"/>
        <v>-2.6499999999999999E-2</v>
      </c>
      <c r="AO42" s="274"/>
    </row>
    <row r="43" spans="1:44">
      <c r="A43" s="166"/>
      <c r="B43" s="166"/>
      <c r="C43" s="17"/>
      <c r="D43" s="17"/>
      <c r="E43" s="17"/>
      <c r="F43" s="17"/>
      <c r="G43" s="17"/>
      <c r="H43" s="17"/>
      <c r="I43" s="17"/>
      <c r="J43" s="17"/>
      <c r="K43" s="17"/>
      <c r="L43" s="17"/>
      <c r="M43" s="17"/>
      <c r="N43" s="17"/>
      <c r="O43" s="17"/>
      <c r="P43" s="17"/>
      <c r="Q43" s="17"/>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row>
    <row r="44" spans="1:44" s="7" customFormat="1">
      <c r="A44" s="157" t="s">
        <v>661</v>
      </c>
      <c r="B44" s="156"/>
      <c r="C44" s="156"/>
      <c r="D44" s="156"/>
      <c r="E44" s="156"/>
      <c r="F44" s="156"/>
      <c r="G44" s="156"/>
      <c r="H44" s="156"/>
      <c r="I44" s="156"/>
      <c r="J44" s="156"/>
      <c r="K44" s="156"/>
      <c r="L44" s="156"/>
      <c r="M44" s="156"/>
      <c r="N44" s="156"/>
      <c r="O44" s="156"/>
      <c r="P44" s="156"/>
      <c r="Q44" s="156"/>
      <c r="R44" s="156"/>
      <c r="S44" s="156"/>
      <c r="T44" s="156"/>
      <c r="U44" s="156"/>
      <c r="V44" s="156"/>
      <c r="W44" s="156"/>
      <c r="X44" s="156"/>
      <c r="Y44" s="156"/>
      <c r="Z44" s="156"/>
      <c r="AA44" s="156"/>
      <c r="AB44" s="156"/>
      <c r="AC44" s="156"/>
      <c r="AD44" s="156"/>
      <c r="AE44" s="156"/>
      <c r="AF44" s="156"/>
      <c r="AG44" s="156"/>
      <c r="AH44" s="156"/>
      <c r="AI44" s="156"/>
      <c r="AJ44" s="156"/>
      <c r="AK44" s="156"/>
      <c r="AL44" s="156"/>
      <c r="AM44" s="156"/>
      <c r="AN44" s="156"/>
    </row>
    <row r="45" spans="1:44" s="7" customFormat="1">
      <c r="A45" s="88" t="s">
        <v>662</v>
      </c>
      <c r="B45" s="89"/>
      <c r="C45" s="89"/>
      <c r="D45" s="89"/>
      <c r="E45" s="89"/>
      <c r="F45" s="89"/>
      <c r="G45" s="89"/>
      <c r="H45" s="89"/>
      <c r="I45" s="89"/>
      <c r="J45" s="89"/>
      <c r="K45" s="89"/>
      <c r="L45" s="89"/>
      <c r="M45" s="89"/>
      <c r="N45" s="89"/>
      <c r="O45" s="89"/>
      <c r="P45" s="89"/>
      <c r="Q45" s="89"/>
      <c r="R45" s="89"/>
      <c r="S45" s="89"/>
      <c r="T45" s="89"/>
      <c r="U45" s="89"/>
      <c r="V45" s="89"/>
      <c r="W45" s="89"/>
      <c r="X45" s="89"/>
      <c r="Y45" s="89"/>
      <c r="Z45" s="89"/>
      <c r="AA45" s="89"/>
      <c r="AB45" s="89"/>
      <c r="AC45" s="89"/>
      <c r="AD45" s="89"/>
      <c r="AE45" s="89"/>
      <c r="AF45" s="89"/>
      <c r="AG45" s="89"/>
      <c r="AH45" s="89"/>
      <c r="AI45" s="89"/>
      <c r="AJ45" s="89"/>
      <c r="AK45" s="89"/>
      <c r="AL45" s="89"/>
      <c r="AM45" s="89"/>
      <c r="AN45" s="89"/>
    </row>
    <row r="46" spans="1:44" ht="11.25" customHeight="1">
      <c r="A46" s="159" t="s">
        <v>616</v>
      </c>
      <c r="B46" s="20">
        <v>17184</v>
      </c>
      <c r="C46" s="20">
        <v>18960</v>
      </c>
      <c r="D46" s="20">
        <v>21028</v>
      </c>
      <c r="E46" s="20">
        <v>23407</v>
      </c>
      <c r="F46" s="20">
        <v>25375</v>
      </c>
      <c r="G46" s="20">
        <v>26720</v>
      </c>
      <c r="H46" s="20">
        <v>27268</v>
      </c>
      <c r="I46" s="20">
        <v>28624</v>
      </c>
      <c r="J46" s="20">
        <v>30347</v>
      </c>
      <c r="K46" s="20">
        <v>33197</v>
      </c>
      <c r="L46" s="20">
        <v>36273</v>
      </c>
      <c r="M46" s="20">
        <v>39258</v>
      </c>
      <c r="N46" s="20">
        <v>42415</v>
      </c>
      <c r="O46" s="20">
        <v>45099</v>
      </c>
      <c r="P46" s="20">
        <v>47516</v>
      </c>
      <c r="Q46" s="20">
        <v>49684</v>
      </c>
      <c r="R46" s="20">
        <v>52132</v>
      </c>
      <c r="S46" s="20">
        <v>54712</v>
      </c>
      <c r="T46" s="20">
        <v>57247</v>
      </c>
      <c r="U46" s="20">
        <v>60142</v>
      </c>
      <c r="V46" s="20">
        <v>63599</v>
      </c>
      <c r="W46" s="20">
        <v>67057</v>
      </c>
      <c r="X46" s="20">
        <v>101420</v>
      </c>
      <c r="Y46" s="20">
        <v>104479</v>
      </c>
      <c r="Z46" s="20">
        <v>106886</v>
      </c>
      <c r="AA46" s="20">
        <f t="shared" ref="AA46:AF46" si="73">AA18</f>
        <v>109824</v>
      </c>
      <c r="AB46" s="20">
        <f t="shared" si="73"/>
        <v>113295</v>
      </c>
      <c r="AC46" s="20">
        <f t="shared" si="73"/>
        <v>117157</v>
      </c>
      <c r="AD46" s="20">
        <f t="shared" si="73"/>
        <v>120523</v>
      </c>
      <c r="AE46" s="20">
        <f t="shared" si="73"/>
        <v>125827</v>
      </c>
      <c r="AF46" s="20">
        <f t="shared" si="73"/>
        <v>132792</v>
      </c>
      <c r="AG46" s="20">
        <f t="shared" ref="AG46" si="74">AG18</f>
        <v>138657</v>
      </c>
      <c r="AH46" s="20">
        <f t="shared" ref="AH46" si="75">AH18</f>
        <v>143124</v>
      </c>
      <c r="AI46" s="20">
        <f t="shared" ref="AI46:AN46" si="76">AI18</f>
        <v>147930.90889733518</v>
      </c>
      <c r="AJ46" s="20">
        <f t="shared" si="76"/>
        <v>152543.92492564401</v>
      </c>
      <c r="AK46" s="20">
        <f t="shared" si="76"/>
        <v>156970.86900382931</v>
      </c>
      <c r="AL46" s="20">
        <f t="shared" si="76"/>
        <v>160981.24658394465</v>
      </c>
      <c r="AM46" s="20">
        <f t="shared" si="76"/>
        <v>165067.86041286457</v>
      </c>
      <c r="AN46" s="20">
        <f t="shared" si="76"/>
        <v>168989.63540318466</v>
      </c>
    </row>
    <row r="47" spans="1:44">
      <c r="A47" s="49" t="s">
        <v>617</v>
      </c>
      <c r="B47" s="17">
        <f t="shared" ref="B47:W47" si="77">B18-B46</f>
        <v>16438</v>
      </c>
      <c r="C47" s="17">
        <f t="shared" si="77"/>
        <v>18956</v>
      </c>
      <c r="D47" s="17">
        <f t="shared" si="77"/>
        <v>22103</v>
      </c>
      <c r="E47" s="17">
        <f t="shared" si="77"/>
        <v>26468</v>
      </c>
      <c r="F47" s="17">
        <f t="shared" si="77"/>
        <v>29570</v>
      </c>
      <c r="G47" s="17">
        <f t="shared" si="77"/>
        <v>30501</v>
      </c>
      <c r="H47" s="17">
        <f t="shared" si="77"/>
        <v>30453</v>
      </c>
      <c r="I47" s="17">
        <f t="shared" si="77"/>
        <v>29352</v>
      </c>
      <c r="J47" s="17">
        <f t="shared" si="77"/>
        <v>28362</v>
      </c>
      <c r="K47" s="17">
        <f t="shared" si="77"/>
        <v>27439</v>
      </c>
      <c r="L47" s="17">
        <f t="shared" si="77"/>
        <v>26842</v>
      </c>
      <c r="M47" s="17">
        <f t="shared" si="77"/>
        <v>27453</v>
      </c>
      <c r="N47" s="17">
        <f t="shared" si="77"/>
        <v>27467</v>
      </c>
      <c r="O47" s="17">
        <f t="shared" si="77"/>
        <v>26791</v>
      </c>
      <c r="P47" s="17">
        <f t="shared" si="77"/>
        <v>25640</v>
      </c>
      <c r="Q47" s="17">
        <f t="shared" si="77"/>
        <v>25555</v>
      </c>
      <c r="R47" s="17">
        <f t="shared" si="77"/>
        <v>27313</v>
      </c>
      <c r="S47" s="17">
        <f t="shared" si="77"/>
        <v>29099</v>
      </c>
      <c r="T47" s="17">
        <f t="shared" si="77"/>
        <v>30466</v>
      </c>
      <c r="U47" s="17">
        <f t="shared" si="77"/>
        <v>31045</v>
      </c>
      <c r="V47" s="17">
        <f t="shared" si="77"/>
        <v>31644</v>
      </c>
      <c r="W47" s="17">
        <f t="shared" si="77"/>
        <v>30861</v>
      </c>
      <c r="X47" s="55">
        <f t="shared" ref="X47:AG47" si="78">W47/W18*X18</f>
        <v>31964.731918544087</v>
      </c>
      <c r="Y47" s="55">
        <f t="shared" si="78"/>
        <v>32928.84269490798</v>
      </c>
      <c r="Z47" s="55">
        <f t="shared" si="78"/>
        <v>33687.461406482973</v>
      </c>
      <c r="AA47" s="55">
        <f t="shared" si="78"/>
        <v>34613.436385547087</v>
      </c>
      <c r="AB47" s="55">
        <f t="shared" si="78"/>
        <v>35707.397975857348</v>
      </c>
      <c r="AC47" s="55">
        <f t="shared" si="78"/>
        <v>36924.591770665247</v>
      </c>
      <c r="AD47" s="55">
        <f t="shared" si="78"/>
        <v>37985.460313731899</v>
      </c>
      <c r="AE47" s="55">
        <f t="shared" si="78"/>
        <v>39657.131957352067</v>
      </c>
      <c r="AF47" s="55">
        <f t="shared" si="78"/>
        <v>41852.304091178332</v>
      </c>
      <c r="AG47" s="55">
        <f t="shared" si="78"/>
        <v>43700.787158642946</v>
      </c>
      <c r="AH47" s="55">
        <f t="shared" ref="AH47:AN47" si="79">AG47/AG18*AH18</f>
        <v>45108.65993994975</v>
      </c>
      <c r="AI47" s="55">
        <f t="shared" si="79"/>
        <v>46623.662446952148</v>
      </c>
      <c r="AJ47" s="55">
        <f>AI47/AI18*AJ18</f>
        <v>48077.555374193711</v>
      </c>
      <c r="AK47" s="55">
        <f>AJ47/AJ18*AK18</f>
        <v>49472.803655376701</v>
      </c>
      <c r="AL47" s="55">
        <f>AK47/AK18*AL18</f>
        <v>50736.76189083841</v>
      </c>
      <c r="AM47" s="55">
        <f t="shared" si="79"/>
        <v>52024.747648046461</v>
      </c>
      <c r="AN47" s="55">
        <f t="shared" si="79"/>
        <v>53260.780838841492</v>
      </c>
    </row>
    <row r="48" spans="1:44">
      <c r="A48" s="170" t="s">
        <v>618</v>
      </c>
      <c r="B48" s="169">
        <f t="shared" ref="B48:AF48" si="80">B46/B18</f>
        <v>0.51109392659568142</v>
      </c>
      <c r="C48" s="169">
        <f t="shared" si="80"/>
        <v>0.50005274818018774</v>
      </c>
      <c r="D48" s="169">
        <f t="shared" si="80"/>
        <v>0.4875379657323039</v>
      </c>
      <c r="E48" s="169">
        <f t="shared" si="80"/>
        <v>0.46931328320802007</v>
      </c>
      <c r="F48" s="169">
        <f t="shared" si="80"/>
        <v>0.4618254618254618</v>
      </c>
      <c r="G48" s="169">
        <f t="shared" si="80"/>
        <v>0.46696143024414116</v>
      </c>
      <c r="H48" s="169">
        <f t="shared" si="80"/>
        <v>0.47241038790041751</v>
      </c>
      <c r="I48" s="169">
        <f t="shared" si="80"/>
        <v>0.49372153994756451</v>
      </c>
      <c r="J48" s="169">
        <f t="shared" si="80"/>
        <v>0.5169054148426987</v>
      </c>
      <c r="K48" s="169">
        <f t="shared" si="80"/>
        <v>0.54748004485784019</v>
      </c>
      <c r="L48" s="169">
        <f t="shared" si="80"/>
        <v>0.57471282579418526</v>
      </c>
      <c r="M48" s="169">
        <f t="shared" si="80"/>
        <v>0.5884786616899762</v>
      </c>
      <c r="N48" s="169">
        <f t="shared" si="80"/>
        <v>0.60695171861137343</v>
      </c>
      <c r="O48" s="169">
        <f t="shared" si="80"/>
        <v>0.62733342606760323</v>
      </c>
      <c r="P48" s="169">
        <f t="shared" si="80"/>
        <v>0.64951610257531844</v>
      </c>
      <c r="Q48" s="169">
        <f t="shared" si="80"/>
        <v>0.66034902111936633</v>
      </c>
      <c r="R48" s="169">
        <f t="shared" si="80"/>
        <v>0.65620240417899178</v>
      </c>
      <c r="S48" s="169">
        <f t="shared" si="80"/>
        <v>0.65280213814415766</v>
      </c>
      <c r="T48" s="169">
        <f t="shared" si="80"/>
        <v>0.65266266117907268</v>
      </c>
      <c r="U48" s="169">
        <f t="shared" si="80"/>
        <v>0.65954576858543434</v>
      </c>
      <c r="V48" s="169">
        <f t="shared" si="80"/>
        <v>0.66775511061180348</v>
      </c>
      <c r="W48" s="169">
        <f t="shared" si="80"/>
        <v>0.68482812148940952</v>
      </c>
      <c r="X48" s="169">
        <f t="shared" si="80"/>
        <v>1</v>
      </c>
      <c r="Y48" s="169">
        <f t="shared" si="80"/>
        <v>1</v>
      </c>
      <c r="Z48" s="169">
        <f t="shared" si="80"/>
        <v>1</v>
      </c>
      <c r="AA48" s="169">
        <f t="shared" si="80"/>
        <v>1</v>
      </c>
      <c r="AB48" s="169">
        <f t="shared" si="80"/>
        <v>1</v>
      </c>
      <c r="AC48" s="169">
        <f t="shared" si="80"/>
        <v>1</v>
      </c>
      <c r="AD48" s="169">
        <f t="shared" si="80"/>
        <v>1</v>
      </c>
      <c r="AE48" s="169">
        <f t="shared" si="80"/>
        <v>1</v>
      </c>
      <c r="AF48" s="169">
        <f t="shared" si="80"/>
        <v>1</v>
      </c>
      <c r="AG48" s="169">
        <f t="shared" ref="AG48" si="81">AG46/AG18</f>
        <v>1</v>
      </c>
      <c r="AH48" s="169">
        <f t="shared" ref="AH48" si="82">AH46/AH18</f>
        <v>1</v>
      </c>
      <c r="AI48" s="169">
        <f t="shared" ref="AI48:AN48" si="83">AI46/AI18</f>
        <v>1</v>
      </c>
      <c r="AJ48" s="169">
        <f t="shared" si="83"/>
        <v>1</v>
      </c>
      <c r="AK48" s="169">
        <f t="shared" si="83"/>
        <v>1</v>
      </c>
      <c r="AL48" s="169">
        <f t="shared" si="83"/>
        <v>1</v>
      </c>
      <c r="AM48" s="169">
        <f t="shared" si="83"/>
        <v>1</v>
      </c>
      <c r="AN48" s="169">
        <f t="shared" si="83"/>
        <v>1</v>
      </c>
    </row>
    <row r="49" spans="1:44" s="159" customFormat="1">
      <c r="A49" s="404" t="s">
        <v>658</v>
      </c>
      <c r="B49" s="108">
        <f>SOC!B10</f>
        <v>-1777</v>
      </c>
      <c r="C49" s="108">
        <f>SOC!C10</f>
        <v>-1893</v>
      </c>
      <c r="D49" s="108">
        <f>SOC!D10</f>
        <v>-1489</v>
      </c>
      <c r="E49" s="108">
        <f>SOC!E10</f>
        <v>-1624</v>
      </c>
      <c r="F49" s="108">
        <f>SOC!F10</f>
        <v>-1797</v>
      </c>
      <c r="G49" s="108">
        <f>SOC!G10</f>
        <v>-2277</v>
      </c>
      <c r="H49" s="108">
        <f>SOC!H10</f>
        <v>-2522</v>
      </c>
      <c r="I49" s="108">
        <f>SOC!I10</f>
        <v>-3360</v>
      </c>
      <c r="J49" s="108">
        <f>SOC!J10</f>
        <v>-3025</v>
      </c>
      <c r="K49" s="108">
        <f>SOC!K10</f>
        <v>-3026</v>
      </c>
      <c r="L49" s="108">
        <f>SOC!L10</f>
        <v>-3164</v>
      </c>
      <c r="M49" s="108">
        <f>SOC!M10</f>
        <v>-3439</v>
      </c>
      <c r="N49" s="108">
        <f>SOC!N10</f>
        <v>-3452</v>
      </c>
      <c r="O49" s="108">
        <f>SOC!O10</f>
        <v>-3746</v>
      </c>
      <c r="P49" s="108">
        <f>SOC!P10</f>
        <v>-4117</v>
      </c>
      <c r="Q49" s="108">
        <f>SOC!Q10</f>
        <v>-3699</v>
      </c>
      <c r="R49" s="108">
        <f>SOC!R10</f>
        <v>-3005</v>
      </c>
      <c r="S49" s="108">
        <f>SOC!S10</f>
        <v>-3149</v>
      </c>
      <c r="T49" s="108">
        <f>SOC!T10</f>
        <v>-3427</v>
      </c>
      <c r="U49" s="108">
        <f>SOC!U10</f>
        <v>-3863</v>
      </c>
      <c r="V49" s="108">
        <f>SOC!V10</f>
        <v>-4146</v>
      </c>
      <c r="W49" s="108">
        <f>SOC!W10</f>
        <v>-4475</v>
      </c>
      <c r="X49" s="108">
        <f>SOC!X10</f>
        <v>-3901</v>
      </c>
      <c r="Y49" s="108">
        <f>SOC!Y10</f>
        <v>-4143</v>
      </c>
      <c r="Z49" s="108">
        <f>SOC!Z10</f>
        <v>-4375</v>
      </c>
      <c r="AA49" s="108">
        <f>SOC!AA10</f>
        <v>-4706</v>
      </c>
      <c r="AB49" s="108">
        <f>SOC!AB10</f>
        <v>-4931</v>
      </c>
      <c r="AC49" s="108">
        <f>SOC!AC10</f>
        <v>-4753</v>
      </c>
      <c r="AD49" s="108">
        <f>SOC!AD10</f>
        <v>-5011</v>
      </c>
      <c r="AE49" s="108">
        <f>SOC!AE10</f>
        <v>-5434</v>
      </c>
      <c r="AF49" s="108">
        <f>SOC!AF10</f>
        <v>-5313</v>
      </c>
      <c r="AG49" s="108">
        <f>SOC!AG10</f>
        <v>-5380</v>
      </c>
      <c r="AH49" s="108">
        <f>SOC!AH10</f>
        <v>-5683</v>
      </c>
      <c r="AI49" s="477">
        <f t="shared" ref="AI49:AN49" si="84">-AH18*AI50</f>
        <v>-5773.0911026648355</v>
      </c>
      <c r="AJ49" s="477">
        <f>-AI18*AJ50</f>
        <v>-5966.9839716911765</v>
      </c>
      <c r="AK49" s="477">
        <f>-AJ18*AK50</f>
        <v>-6153.0559218147064</v>
      </c>
      <c r="AL49" s="477">
        <f>-AK18*AL50</f>
        <v>-6331.6224198846758</v>
      </c>
      <c r="AM49" s="477">
        <f t="shared" si="84"/>
        <v>-6493.3861710800757</v>
      </c>
      <c r="AN49" s="477">
        <f t="shared" si="84"/>
        <v>-6658.2250096799235</v>
      </c>
    </row>
    <row r="50" spans="1:44">
      <c r="A50" s="170" t="s">
        <v>657</v>
      </c>
      <c r="B50" s="169"/>
      <c r="C50" s="274">
        <f t="shared" ref="C50:AH50" si="85">-C49/AVERAGE(B18:C18)</f>
        <v>5.2922922083368282E-2</v>
      </c>
      <c r="D50" s="274">
        <f t="shared" si="85"/>
        <v>3.6744111441509249E-2</v>
      </c>
      <c r="E50" s="274">
        <f t="shared" si="85"/>
        <v>3.4922478119691201E-2</v>
      </c>
      <c r="F50" s="274">
        <f t="shared" si="85"/>
        <v>3.4287349742415568E-2</v>
      </c>
      <c r="G50" s="274">
        <f t="shared" si="85"/>
        <v>4.0600538487598738E-2</v>
      </c>
      <c r="H50" s="274">
        <f t="shared" si="85"/>
        <v>4.3883001861808567E-2</v>
      </c>
      <c r="I50" s="274">
        <f t="shared" si="85"/>
        <v>5.8082750633119268E-2</v>
      </c>
      <c r="J50" s="274">
        <f t="shared" si="85"/>
        <v>5.1848995157903761E-2</v>
      </c>
      <c r="K50" s="274">
        <f t="shared" si="85"/>
        <v>5.0710126104989733E-2</v>
      </c>
      <c r="L50" s="274">
        <f t="shared" si="85"/>
        <v>5.1134940323714559E-2</v>
      </c>
      <c r="M50" s="274">
        <f t="shared" si="85"/>
        <v>5.2978602129003433E-2</v>
      </c>
      <c r="N50" s="274">
        <f t="shared" si="85"/>
        <v>5.0544317790809194E-2</v>
      </c>
      <c r="O50" s="274">
        <f t="shared" si="85"/>
        <v>5.284541376294332E-2</v>
      </c>
      <c r="P50" s="274">
        <f t="shared" si="85"/>
        <v>5.6768197675220275E-2</v>
      </c>
      <c r="Q50" s="274">
        <f t="shared" si="85"/>
        <v>4.9853431719397552E-2</v>
      </c>
      <c r="R50" s="274">
        <f t="shared" si="85"/>
        <v>3.8853404359856222E-2</v>
      </c>
      <c r="S50" s="274">
        <f t="shared" si="85"/>
        <v>3.8577448914588135E-2</v>
      </c>
      <c r="T50" s="274">
        <f t="shared" si="85"/>
        <v>3.9959422588092632E-2</v>
      </c>
      <c r="U50" s="274">
        <f t="shared" si="85"/>
        <v>4.3186137506987146E-2</v>
      </c>
      <c r="V50" s="274">
        <f t="shared" si="85"/>
        <v>4.4477820093332621E-2</v>
      </c>
      <c r="W50" s="274">
        <f t="shared" si="85"/>
        <v>4.6334404978230596E-2</v>
      </c>
      <c r="X50" s="274">
        <f t="shared" si="85"/>
        <v>3.9139551916844754E-2</v>
      </c>
      <c r="Y50" s="274">
        <f t="shared" si="85"/>
        <v>4.0243031777716258E-2</v>
      </c>
      <c r="Z50" s="274">
        <f t="shared" si="85"/>
        <v>4.1397582381188937E-2</v>
      </c>
      <c r="AA50" s="274">
        <f t="shared" si="85"/>
        <v>4.343131373725255E-2</v>
      </c>
      <c r="AB50" s="274">
        <f t="shared" si="85"/>
        <v>4.4200628364236126E-2</v>
      </c>
      <c r="AC50" s="274">
        <f t="shared" si="85"/>
        <v>4.1249370801728774E-2</v>
      </c>
      <c r="AD50" s="274">
        <f t="shared" si="85"/>
        <v>4.2165937394816562E-2</v>
      </c>
      <c r="AE50" s="274">
        <f t="shared" si="85"/>
        <v>4.4116094986807387E-2</v>
      </c>
      <c r="AF50" s="274">
        <f t="shared" si="85"/>
        <v>4.1087468438127127E-2</v>
      </c>
      <c r="AG50" s="274">
        <f t="shared" si="85"/>
        <v>3.9639121897667703E-2</v>
      </c>
      <c r="AH50" s="274">
        <f t="shared" si="85"/>
        <v>4.0336289529812157E-2</v>
      </c>
      <c r="AI50" s="403">
        <f t="shared" ref="AI50:AN50" si="86">AH50</f>
        <v>4.0336289529812157E-2</v>
      </c>
      <c r="AJ50" s="403">
        <f>AI50</f>
        <v>4.0336289529812157E-2</v>
      </c>
      <c r="AK50" s="403">
        <f>AJ50</f>
        <v>4.0336289529812157E-2</v>
      </c>
      <c r="AL50" s="403">
        <f>AK50</f>
        <v>4.0336289529812157E-2</v>
      </c>
      <c r="AM50" s="403">
        <f t="shared" si="86"/>
        <v>4.0336289529812157E-2</v>
      </c>
      <c r="AN50" s="403">
        <f t="shared" si="86"/>
        <v>4.0336289529812157E-2</v>
      </c>
    </row>
    <row r="51" spans="1:44">
      <c r="A51" s="170"/>
      <c r="B51" s="169"/>
      <c r="C51" s="274"/>
      <c r="D51" s="274"/>
      <c r="E51" s="274"/>
      <c r="F51" s="274"/>
      <c r="G51" s="274"/>
      <c r="H51" s="274"/>
      <c r="I51" s="274"/>
      <c r="J51" s="274"/>
      <c r="K51" s="274"/>
      <c r="L51" s="274"/>
      <c r="M51" s="274"/>
      <c r="N51" s="274"/>
      <c r="O51" s="274"/>
      <c r="P51" s="274"/>
      <c r="Q51" s="274"/>
      <c r="R51" s="274"/>
      <c r="S51" s="274"/>
      <c r="T51" s="274"/>
      <c r="U51" s="274"/>
      <c r="V51" s="274"/>
      <c r="W51" s="274"/>
      <c r="X51" s="274"/>
      <c r="Y51" s="274"/>
      <c r="Z51" s="274"/>
      <c r="AA51" s="403"/>
      <c r="AB51" s="403"/>
      <c r="AC51" s="403"/>
      <c r="AD51" s="403"/>
      <c r="AE51" s="403"/>
      <c r="AF51" s="403"/>
      <c r="AG51" s="403"/>
      <c r="AH51" s="403"/>
      <c r="AI51" s="403"/>
      <c r="AJ51" s="403"/>
      <c r="AK51" s="403"/>
      <c r="AL51" s="403"/>
      <c r="AM51" s="403"/>
      <c r="AN51" s="403"/>
      <c r="AR51" s="273"/>
    </row>
    <row r="52" spans="1:44" s="7" customFormat="1">
      <c r="A52" s="88" t="s">
        <v>538</v>
      </c>
      <c r="B52" s="89"/>
      <c r="C52" s="89"/>
      <c r="D52" s="89"/>
      <c r="E52" s="89"/>
      <c r="F52" s="89"/>
      <c r="G52" s="89"/>
      <c r="H52" s="89"/>
      <c r="I52" s="89"/>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89"/>
      <c r="AL52" s="89"/>
      <c r="AM52" s="89"/>
      <c r="AN52" s="89"/>
    </row>
    <row r="53" spans="1:44" s="159" customFormat="1">
      <c r="A53" s="168" t="s">
        <v>655</v>
      </c>
      <c r="B53" s="20">
        <v>3833</v>
      </c>
      <c r="C53" s="20">
        <v>6346</v>
      </c>
      <c r="D53" s="20">
        <v>6831</v>
      </c>
      <c r="E53" s="20">
        <v>8664</v>
      </c>
      <c r="F53" s="20">
        <v>7129</v>
      </c>
      <c r="G53" s="20">
        <v>4857</v>
      </c>
      <c r="H53" s="20">
        <v>3090</v>
      </c>
      <c r="I53" s="20">
        <v>3720</v>
      </c>
      <c r="J53" s="20">
        <v>3671</v>
      </c>
      <c r="K53" s="20">
        <v>5172</v>
      </c>
      <c r="L53" s="20">
        <v>5861</v>
      </c>
      <c r="M53" s="20">
        <v>7273</v>
      </c>
      <c r="N53" s="20">
        <v>6961</v>
      </c>
      <c r="O53" s="20">
        <v>6005</v>
      </c>
      <c r="P53" s="20">
        <v>5673</v>
      </c>
      <c r="Q53" s="20">
        <v>6123</v>
      </c>
      <c r="R53" s="20">
        <v>7665</v>
      </c>
      <c r="S53" s="20">
        <v>7798</v>
      </c>
      <c r="T53" s="20">
        <v>7748</v>
      </c>
      <c r="U53" s="20">
        <v>7774</v>
      </c>
      <c r="V53" s="20">
        <v>8621</v>
      </c>
      <c r="W53" s="20">
        <v>7479</v>
      </c>
      <c r="X53" s="20">
        <v>7800</v>
      </c>
      <c r="Y53" s="20">
        <v>7630</v>
      </c>
      <c r="Z53" s="20">
        <v>7292</v>
      </c>
      <c r="AA53" s="20">
        <v>8068</v>
      </c>
      <c r="AB53" s="20">
        <v>8922</v>
      </c>
      <c r="AC53" s="20">
        <v>9097</v>
      </c>
      <c r="AD53" s="20">
        <v>8882</v>
      </c>
      <c r="AE53" s="20">
        <v>11222</v>
      </c>
      <c r="AF53" s="20">
        <v>12573</v>
      </c>
      <c r="AG53" s="20">
        <v>11670</v>
      </c>
      <c r="AH53" s="20">
        <v>10818</v>
      </c>
      <c r="AI53" s="428">
        <f t="shared" ref="AI53:AN53" si="87">AI57</f>
        <v>10580</v>
      </c>
      <c r="AJ53" s="428">
        <f t="shared" si="87"/>
        <v>10580</v>
      </c>
      <c r="AK53" s="428">
        <f>AK57</f>
        <v>10580</v>
      </c>
      <c r="AL53" s="428">
        <f t="shared" si="87"/>
        <v>10342</v>
      </c>
      <c r="AM53" s="428">
        <f t="shared" si="87"/>
        <v>10580</v>
      </c>
      <c r="AN53" s="428">
        <f t="shared" si="87"/>
        <v>10580</v>
      </c>
    </row>
    <row r="54" spans="1:44">
      <c r="A54" s="49" t="s">
        <v>642</v>
      </c>
      <c r="B54" s="17">
        <v>2982</v>
      </c>
      <c r="C54" s="17">
        <v>2785</v>
      </c>
      <c r="D54" s="17">
        <v>2943</v>
      </c>
      <c r="E54" s="17">
        <v>3396</v>
      </c>
      <c r="F54" s="17">
        <v>3037</v>
      </c>
      <c r="G54" s="17">
        <v>2618</v>
      </c>
      <c r="H54" s="17">
        <v>1921</v>
      </c>
      <c r="I54" s="17">
        <v>3148</v>
      </c>
      <c r="J54" s="17">
        <v>3402</v>
      </c>
      <c r="K54" s="17">
        <v>4653</v>
      </c>
      <c r="L54" s="17">
        <v>4923</v>
      </c>
      <c r="M54" s="17">
        <v>5125</v>
      </c>
      <c r="N54" s="17">
        <v>5278</v>
      </c>
      <c r="O54" s="17">
        <v>4849</v>
      </c>
      <c r="P54" s="17">
        <v>4788</v>
      </c>
      <c r="Q54" s="17">
        <v>4745</v>
      </c>
      <c r="R54" s="17">
        <v>4379</v>
      </c>
      <c r="S54" s="17">
        <v>4447</v>
      </c>
      <c r="T54" s="17">
        <v>4552</v>
      </c>
      <c r="U54" s="17">
        <v>4903</v>
      </c>
      <c r="V54" s="17">
        <v>5650</v>
      </c>
      <c r="W54" s="17">
        <v>5680</v>
      </c>
      <c r="X54" s="17">
        <v>5615</v>
      </c>
      <c r="Y54" s="17">
        <v>5152</v>
      </c>
      <c r="Z54" s="17">
        <v>4996</v>
      </c>
      <c r="AA54" s="17">
        <v>4523</v>
      </c>
      <c r="AB54" s="17">
        <v>4411</v>
      </c>
      <c r="AC54" s="17">
        <v>4584</v>
      </c>
      <c r="AD54" s="17">
        <v>4528</v>
      </c>
      <c r="AE54" s="17">
        <v>4869</v>
      </c>
      <c r="AF54" s="17">
        <v>6007</v>
      </c>
      <c r="AG54" s="17">
        <v>6759</v>
      </c>
      <c r="AH54" s="17">
        <v>8010</v>
      </c>
      <c r="AI54" s="55">
        <f t="shared" ref="AI54:AL54" si="88">+AI57/$U$94*$U$91</f>
        <v>4796.1283536857118</v>
      </c>
      <c r="AJ54" s="55">
        <f t="shared" si="88"/>
        <v>4796.1283536857118</v>
      </c>
      <c r="AK54" s="55">
        <f t="shared" si="88"/>
        <v>4796.1283536857118</v>
      </c>
      <c r="AL54" s="55">
        <f t="shared" si="88"/>
        <v>4688.2381317407971</v>
      </c>
      <c r="AM54" s="55">
        <f>AL54-AL55+AM55</f>
        <v>4688.2381317407971</v>
      </c>
      <c r="AN54" s="55">
        <f>AM54-AM55+AN55</f>
        <v>4688.2381317407971</v>
      </c>
      <c r="AP54" s="159"/>
    </row>
    <row r="55" spans="1:44">
      <c r="A55" s="170" t="s">
        <v>457</v>
      </c>
      <c r="B55" s="17"/>
      <c r="C55" s="17"/>
      <c r="D55" s="17"/>
      <c r="E55" s="17"/>
      <c r="F55" s="17"/>
      <c r="G55" s="17"/>
      <c r="H55" s="17"/>
      <c r="I55" s="17"/>
      <c r="J55" s="17"/>
      <c r="K55" s="17"/>
      <c r="L55" s="17"/>
      <c r="M55" s="17"/>
      <c r="N55" s="17"/>
      <c r="O55" s="17"/>
      <c r="P55" s="17"/>
      <c r="Q55" s="17"/>
      <c r="R55" s="17"/>
      <c r="S55" s="17"/>
      <c r="T55" s="17"/>
      <c r="U55" s="17"/>
      <c r="V55" s="17"/>
      <c r="W55" s="17"/>
      <c r="X55" s="17"/>
      <c r="Y55" s="17"/>
      <c r="Z55" s="17"/>
      <c r="AA55" s="55">
        <f>3575/21*12</f>
        <v>2042.8571428571429</v>
      </c>
      <c r="AB55" s="55">
        <f>3575/21*9+(5547-3575)/15*3</f>
        <v>1926.542857142857</v>
      </c>
      <c r="AC55" s="402">
        <f>5547-AA55-AB55+800</f>
        <v>2377.6</v>
      </c>
      <c r="AD55" s="402">
        <v>1000</v>
      </c>
      <c r="AE55" s="402">
        <v>1000</v>
      </c>
      <c r="AF55" s="55">
        <f>AE55</f>
        <v>1000</v>
      </c>
      <c r="AG55" s="55">
        <f>AF55</f>
        <v>1000</v>
      </c>
      <c r="AH55" s="55">
        <f>AG55</f>
        <v>1000</v>
      </c>
      <c r="AI55" s="402"/>
      <c r="AJ55" s="402"/>
      <c r="AK55" s="402"/>
      <c r="AL55" s="55"/>
      <c r="AM55" s="55"/>
      <c r="AN55" s="55"/>
    </row>
    <row r="56" spans="1:44">
      <c r="A56" s="49" t="s">
        <v>640</v>
      </c>
      <c r="B56" s="17">
        <f t="shared" ref="B56:Z56" si="89">B53-B54</f>
        <v>851</v>
      </c>
      <c r="C56" s="17">
        <f t="shared" si="89"/>
        <v>3561</v>
      </c>
      <c r="D56" s="17">
        <f t="shared" si="89"/>
        <v>3888</v>
      </c>
      <c r="E56" s="17">
        <f t="shared" si="89"/>
        <v>5268</v>
      </c>
      <c r="F56" s="17">
        <f t="shared" si="89"/>
        <v>4092</v>
      </c>
      <c r="G56" s="17">
        <f t="shared" si="89"/>
        <v>2239</v>
      </c>
      <c r="H56" s="17">
        <f t="shared" si="89"/>
        <v>1169</v>
      </c>
      <c r="I56" s="17">
        <f t="shared" si="89"/>
        <v>572</v>
      </c>
      <c r="J56" s="17">
        <f t="shared" si="89"/>
        <v>269</v>
      </c>
      <c r="K56" s="17">
        <f t="shared" si="89"/>
        <v>519</v>
      </c>
      <c r="L56" s="17">
        <f t="shared" si="89"/>
        <v>938</v>
      </c>
      <c r="M56" s="17">
        <f t="shared" si="89"/>
        <v>2148</v>
      </c>
      <c r="N56" s="17">
        <f t="shared" si="89"/>
        <v>1683</v>
      </c>
      <c r="O56" s="17">
        <f t="shared" si="89"/>
        <v>1156</v>
      </c>
      <c r="P56" s="17">
        <f t="shared" si="89"/>
        <v>885</v>
      </c>
      <c r="Q56" s="17">
        <f t="shared" si="89"/>
        <v>1378</v>
      </c>
      <c r="R56" s="17">
        <f t="shared" si="89"/>
        <v>3286</v>
      </c>
      <c r="S56" s="17">
        <f t="shared" si="89"/>
        <v>3351</v>
      </c>
      <c r="T56" s="17">
        <f t="shared" si="89"/>
        <v>3196</v>
      </c>
      <c r="U56" s="17">
        <f t="shared" si="89"/>
        <v>2871</v>
      </c>
      <c r="V56" s="17">
        <f t="shared" si="89"/>
        <v>2971</v>
      </c>
      <c r="W56" s="17">
        <f t="shared" si="89"/>
        <v>1799</v>
      </c>
      <c r="X56" s="17">
        <f t="shared" si="89"/>
        <v>2185</v>
      </c>
      <c r="Y56" s="17">
        <f t="shared" si="89"/>
        <v>2478</v>
      </c>
      <c r="Z56" s="17">
        <f t="shared" si="89"/>
        <v>2296</v>
      </c>
      <c r="AA56" s="17">
        <v>3545</v>
      </c>
      <c r="AB56" s="17">
        <v>4511</v>
      </c>
      <c r="AC56" s="17">
        <v>4513</v>
      </c>
      <c r="AD56" s="17">
        <v>4354</v>
      </c>
      <c r="AE56" s="17">
        <v>6353</v>
      </c>
      <c r="AF56" s="17">
        <v>6566</v>
      </c>
      <c r="AG56" s="17">
        <v>4911</v>
      </c>
      <c r="AH56" s="17">
        <v>2808</v>
      </c>
      <c r="AI56" s="55">
        <f t="shared" ref="AI56:AL56" si="90">+AI57-AI54</f>
        <v>5783.8716463142882</v>
      </c>
      <c r="AJ56" s="55">
        <f t="shared" si="90"/>
        <v>5783.8716463142882</v>
      </c>
      <c r="AK56" s="55">
        <f t="shared" si="90"/>
        <v>5783.8716463142882</v>
      </c>
      <c r="AL56" s="55">
        <f t="shared" si="90"/>
        <v>5653.7618682592029</v>
      </c>
      <c r="AM56" s="55">
        <f t="shared" ref="AM56:AN56" si="91">AL56</f>
        <v>5653.7618682592029</v>
      </c>
      <c r="AN56" s="55">
        <f t="shared" si="91"/>
        <v>5653.7618682592029</v>
      </c>
    </row>
    <row r="57" spans="1:44">
      <c r="A57" s="174" t="s">
        <v>643</v>
      </c>
      <c r="B57" s="26">
        <f t="shared" ref="B57:W57" si="92">B54</f>
        <v>2982</v>
      </c>
      <c r="C57" s="26">
        <f t="shared" si="92"/>
        <v>2785</v>
      </c>
      <c r="D57" s="26">
        <f t="shared" si="92"/>
        <v>2943</v>
      </c>
      <c r="E57" s="26">
        <f t="shared" si="92"/>
        <v>3396</v>
      </c>
      <c r="F57" s="26">
        <f t="shared" si="92"/>
        <v>3037</v>
      </c>
      <c r="G57" s="26">
        <f t="shared" si="92"/>
        <v>2618</v>
      </c>
      <c r="H57" s="26">
        <f t="shared" si="92"/>
        <v>1921</v>
      </c>
      <c r="I57" s="26">
        <f t="shared" si="92"/>
        <v>3148</v>
      </c>
      <c r="J57" s="26">
        <f t="shared" si="92"/>
        <v>3402</v>
      </c>
      <c r="K57" s="26">
        <f t="shared" si="92"/>
        <v>4653</v>
      </c>
      <c r="L57" s="26">
        <f t="shared" si="92"/>
        <v>4923</v>
      </c>
      <c r="M57" s="26">
        <f t="shared" si="92"/>
        <v>5125</v>
      </c>
      <c r="N57" s="26">
        <f t="shared" si="92"/>
        <v>5278</v>
      </c>
      <c r="O57" s="26">
        <f t="shared" si="92"/>
        <v>4849</v>
      </c>
      <c r="P57" s="26">
        <f t="shared" si="92"/>
        <v>4788</v>
      </c>
      <c r="Q57" s="26">
        <f t="shared" si="92"/>
        <v>4745</v>
      </c>
      <c r="R57" s="26">
        <f t="shared" si="92"/>
        <v>4379</v>
      </c>
      <c r="S57" s="26">
        <f t="shared" si="92"/>
        <v>4447</v>
      </c>
      <c r="T57" s="26">
        <f t="shared" si="92"/>
        <v>4552</v>
      </c>
      <c r="U57" s="26">
        <f t="shared" si="92"/>
        <v>4903</v>
      </c>
      <c r="V57" s="26">
        <f t="shared" si="92"/>
        <v>5650</v>
      </c>
      <c r="W57" s="26">
        <f t="shared" si="92"/>
        <v>5680</v>
      </c>
      <c r="X57" s="26">
        <f>X54+X56</f>
        <v>7800</v>
      </c>
      <c r="Y57" s="26">
        <f>Y54+Y56</f>
        <v>7630</v>
      </c>
      <c r="Z57" s="26">
        <f>Z54+Z56</f>
        <v>7292</v>
      </c>
      <c r="AA57" s="26">
        <f t="shared" ref="AA57:AF57" si="93">AA54+AA56</f>
        <v>8068</v>
      </c>
      <c r="AB57" s="26">
        <f t="shared" si="93"/>
        <v>8922</v>
      </c>
      <c r="AC57" s="26">
        <f t="shared" si="93"/>
        <v>9097</v>
      </c>
      <c r="AD57" s="26">
        <f t="shared" si="93"/>
        <v>8882</v>
      </c>
      <c r="AE57" s="26">
        <f t="shared" si="93"/>
        <v>11222</v>
      </c>
      <c r="AF57" s="26">
        <f t="shared" si="93"/>
        <v>12573</v>
      </c>
      <c r="AG57" s="26">
        <f t="shared" ref="AG57:AH57" si="94">AG54+AG56</f>
        <v>11670</v>
      </c>
      <c r="AH57" s="26">
        <f t="shared" si="94"/>
        <v>10818</v>
      </c>
      <c r="AI57" s="474">
        <f t="shared" ref="AI57:AK57" si="95">+AI59-AI58</f>
        <v>10580</v>
      </c>
      <c r="AJ57" s="474">
        <f t="shared" si="95"/>
        <v>10580</v>
      </c>
      <c r="AK57" s="474">
        <f t="shared" si="95"/>
        <v>10580</v>
      </c>
      <c r="AL57" s="474">
        <f>+AL59-AL58</f>
        <v>10342</v>
      </c>
      <c r="AM57" s="474">
        <f t="shared" ref="AM57:AN57" si="96">+AM59-AM58</f>
        <v>10580</v>
      </c>
      <c r="AN57" s="474">
        <f t="shared" si="96"/>
        <v>10580</v>
      </c>
    </row>
    <row r="58" spans="1:44">
      <c r="A58" s="49" t="s">
        <v>644</v>
      </c>
      <c r="B58" s="17"/>
      <c r="C58" s="17"/>
      <c r="D58" s="17"/>
      <c r="E58" s="17"/>
      <c r="F58" s="17"/>
      <c r="G58" s="17"/>
      <c r="H58" s="17"/>
      <c r="I58" s="17"/>
      <c r="J58" s="17"/>
      <c r="K58" s="17"/>
      <c r="L58" s="17"/>
      <c r="M58" s="17"/>
      <c r="N58" s="17"/>
      <c r="O58" s="17"/>
      <c r="P58" s="17">
        <f>277+3029</f>
        <v>3306</v>
      </c>
      <c r="Q58" s="17">
        <f>70+535</f>
        <v>605</v>
      </c>
      <c r="R58" s="17">
        <f>73+1045</f>
        <v>1118</v>
      </c>
      <c r="S58" s="17">
        <f>110+1494</f>
        <v>1604</v>
      </c>
      <c r="T58" s="17">
        <f>1774+5259</f>
        <v>7033</v>
      </c>
      <c r="U58" s="17">
        <f>176+153+2364</f>
        <v>2693</v>
      </c>
      <c r="V58" s="17">
        <f>246+1748</f>
        <v>1994</v>
      </c>
      <c r="W58" s="17">
        <f>363+3139</f>
        <v>3502</v>
      </c>
      <c r="X58" s="17">
        <v>0</v>
      </c>
      <c r="Y58" s="17">
        <v>0</v>
      </c>
      <c r="Z58" s="17">
        <v>0</v>
      </c>
      <c r="AA58" s="17">
        <v>0</v>
      </c>
      <c r="AB58" s="17">
        <v>0</v>
      </c>
      <c r="AC58" s="17">
        <v>0</v>
      </c>
      <c r="AD58" s="17">
        <v>0</v>
      </c>
      <c r="AE58" s="17">
        <v>0</v>
      </c>
      <c r="AF58" s="17">
        <v>0</v>
      </c>
      <c r="AG58" s="17">
        <v>0</v>
      </c>
      <c r="AH58" s="17">
        <v>0</v>
      </c>
      <c r="AI58" s="55">
        <v>0</v>
      </c>
      <c r="AJ58" s="55">
        <v>0</v>
      </c>
      <c r="AK58" s="55">
        <v>0</v>
      </c>
      <c r="AL58" s="55">
        <v>0</v>
      </c>
      <c r="AM58" s="55">
        <v>0</v>
      </c>
      <c r="AN58" s="55">
        <v>0</v>
      </c>
    </row>
    <row r="59" spans="1:44">
      <c r="A59" s="174" t="s">
        <v>645</v>
      </c>
      <c r="B59" s="26">
        <f t="shared" ref="B59:V59" si="97">B57+B58</f>
        <v>2982</v>
      </c>
      <c r="C59" s="26">
        <f t="shared" si="97"/>
        <v>2785</v>
      </c>
      <c r="D59" s="26">
        <f t="shared" si="97"/>
        <v>2943</v>
      </c>
      <c r="E59" s="26">
        <f t="shared" si="97"/>
        <v>3396</v>
      </c>
      <c r="F59" s="26">
        <f t="shared" si="97"/>
        <v>3037</v>
      </c>
      <c r="G59" s="26">
        <f t="shared" si="97"/>
        <v>2618</v>
      </c>
      <c r="H59" s="26">
        <f t="shared" si="97"/>
        <v>1921</v>
      </c>
      <c r="I59" s="26">
        <f t="shared" si="97"/>
        <v>3148</v>
      </c>
      <c r="J59" s="26">
        <f t="shared" si="97"/>
        <v>3402</v>
      </c>
      <c r="K59" s="26">
        <f t="shared" si="97"/>
        <v>4653</v>
      </c>
      <c r="L59" s="26">
        <f t="shared" si="97"/>
        <v>4923</v>
      </c>
      <c r="M59" s="26">
        <f t="shared" si="97"/>
        <v>5125</v>
      </c>
      <c r="N59" s="26">
        <f t="shared" si="97"/>
        <v>5278</v>
      </c>
      <c r="O59" s="26">
        <f t="shared" si="97"/>
        <v>4849</v>
      </c>
      <c r="P59" s="26">
        <f t="shared" si="97"/>
        <v>8094</v>
      </c>
      <c r="Q59" s="26">
        <f t="shared" si="97"/>
        <v>5350</v>
      </c>
      <c r="R59" s="26">
        <f t="shared" si="97"/>
        <v>5497</v>
      </c>
      <c r="S59" s="26">
        <f t="shared" si="97"/>
        <v>6051</v>
      </c>
      <c r="T59" s="26">
        <f t="shared" si="97"/>
        <v>11585</v>
      </c>
      <c r="U59" s="26">
        <f t="shared" si="97"/>
        <v>7596</v>
      </c>
      <c r="V59" s="26">
        <f t="shared" si="97"/>
        <v>7644</v>
      </c>
      <c r="W59" s="26">
        <f t="shared" ref="W59:AF59" si="98">W57+W58</f>
        <v>9182</v>
      </c>
      <c r="X59" s="26">
        <f t="shared" si="98"/>
        <v>7800</v>
      </c>
      <c r="Y59" s="26">
        <f t="shared" si="98"/>
        <v>7630</v>
      </c>
      <c r="Z59" s="26">
        <f t="shared" si="98"/>
        <v>7292</v>
      </c>
      <c r="AA59" s="26">
        <f t="shared" si="98"/>
        <v>8068</v>
      </c>
      <c r="AB59" s="26">
        <f t="shared" si="98"/>
        <v>8922</v>
      </c>
      <c r="AC59" s="26">
        <f t="shared" si="98"/>
        <v>9097</v>
      </c>
      <c r="AD59" s="26">
        <f t="shared" si="98"/>
        <v>8882</v>
      </c>
      <c r="AE59" s="26">
        <f t="shared" si="98"/>
        <v>11222</v>
      </c>
      <c r="AF59" s="26">
        <f t="shared" si="98"/>
        <v>12573</v>
      </c>
      <c r="AG59" s="26">
        <f t="shared" ref="AG59:AH59" si="99">AG57+AG58</f>
        <v>11670</v>
      </c>
      <c r="AH59" s="26">
        <f t="shared" si="99"/>
        <v>10818</v>
      </c>
      <c r="AI59" s="474">
        <f t="shared" ref="AI59:AK59" si="100">+$V$94/5</f>
        <v>10580</v>
      </c>
      <c r="AJ59" s="474">
        <f t="shared" si="100"/>
        <v>10580</v>
      </c>
      <c r="AK59" s="474">
        <f t="shared" si="100"/>
        <v>10580</v>
      </c>
      <c r="AL59" s="474">
        <f>+V94-SUM(AH59:AK59)</f>
        <v>10342</v>
      </c>
      <c r="AM59" s="474">
        <f>+$V$94/5</f>
        <v>10580</v>
      </c>
      <c r="AN59" s="474">
        <f>+$V$94/5</f>
        <v>10580</v>
      </c>
    </row>
    <row r="61" spans="1:44" s="7" customFormat="1">
      <c r="A61" s="88" t="s">
        <v>73</v>
      </c>
      <c r="B61" s="89"/>
      <c r="C61" s="89"/>
      <c r="D61" s="89"/>
      <c r="E61" s="89"/>
      <c r="F61" s="89"/>
      <c r="G61" s="89"/>
      <c r="H61" s="89"/>
      <c r="I61" s="89"/>
      <c r="J61" s="89"/>
      <c r="K61" s="89"/>
      <c r="L61" s="89"/>
      <c r="M61" s="89"/>
      <c r="N61" s="89"/>
      <c r="O61" s="89"/>
      <c r="P61" s="89"/>
      <c r="Q61" s="89"/>
      <c r="R61" s="89"/>
      <c r="S61" s="89"/>
      <c r="T61" s="89"/>
      <c r="U61" s="89"/>
      <c r="V61" s="89"/>
      <c r="W61" s="89"/>
      <c r="X61" s="89"/>
      <c r="Y61" s="89"/>
      <c r="Z61" s="89"/>
      <c r="AA61" s="89"/>
      <c r="AB61" s="89"/>
      <c r="AC61" s="89"/>
      <c r="AD61" s="89"/>
      <c r="AE61" s="89"/>
      <c r="AF61" s="89"/>
      <c r="AG61" s="89"/>
      <c r="AH61" s="89"/>
      <c r="AI61" s="89"/>
      <c r="AJ61" s="89"/>
      <c r="AK61" s="89"/>
      <c r="AL61" s="89"/>
      <c r="AM61" s="89"/>
      <c r="AN61" s="89"/>
    </row>
    <row r="62" spans="1:44" s="29" customFormat="1">
      <c r="A62" s="224"/>
      <c r="B62" s="224"/>
      <c r="C62" s="224"/>
      <c r="D62" s="224"/>
      <c r="E62" s="224"/>
      <c r="F62" s="224"/>
      <c r="G62" s="224"/>
      <c r="H62" s="224"/>
      <c r="I62" s="224"/>
      <c r="J62" s="224"/>
      <c r="K62" s="224"/>
      <c r="L62" s="224"/>
      <c r="M62" s="224"/>
      <c r="N62" s="224"/>
      <c r="O62" s="224"/>
      <c r="P62" s="224"/>
      <c r="Q62" s="224"/>
      <c r="R62" s="224"/>
      <c r="AD62" s="30"/>
    </row>
    <row r="63" spans="1:44" s="29" customFormat="1">
      <c r="A63" s="62" t="s">
        <v>665</v>
      </c>
      <c r="B63" s="36">
        <v>6432</v>
      </c>
      <c r="C63" s="36">
        <v>6430</v>
      </c>
      <c r="D63" s="36">
        <v>7540</v>
      </c>
      <c r="E63" s="36">
        <v>6890</v>
      </c>
      <c r="F63" s="36">
        <v>7515</v>
      </c>
      <c r="G63" s="36">
        <v>7638</v>
      </c>
      <c r="H63" s="36">
        <v>7950.5</v>
      </c>
      <c r="I63" s="36">
        <v>8263</v>
      </c>
      <c r="J63" s="36">
        <v>8263</v>
      </c>
      <c r="K63" s="36">
        <v>8263</v>
      </c>
      <c r="L63" s="36">
        <v>8263</v>
      </c>
      <c r="M63" s="36">
        <v>8263</v>
      </c>
      <c r="N63" s="36">
        <v>8263</v>
      </c>
      <c r="O63" s="36">
        <v>8575.5</v>
      </c>
      <c r="P63" s="36">
        <v>8888</v>
      </c>
      <c r="Q63" s="36">
        <v>8888</v>
      </c>
      <c r="R63" s="36">
        <v>8888</v>
      </c>
      <c r="S63" s="36">
        <v>8888</v>
      </c>
      <c r="T63" s="36">
        <v>8888</v>
      </c>
      <c r="U63" s="36">
        <v>8888</v>
      </c>
      <c r="V63" s="20">
        <v>8888</v>
      </c>
      <c r="W63" s="20">
        <v>8888</v>
      </c>
      <c r="X63" s="20">
        <v>8888</v>
      </c>
      <c r="Y63" s="20">
        <v>8888</v>
      </c>
      <c r="Z63" s="20">
        <v>8913</v>
      </c>
      <c r="AA63" s="20">
        <v>8913</v>
      </c>
      <c r="AB63" s="20">
        <f t="shared" ref="AB63:AG63" si="101">SUM(AB64:AB68)</f>
        <v>9160</v>
      </c>
      <c r="AC63" s="20">
        <f t="shared" si="101"/>
        <v>9185</v>
      </c>
      <c r="AD63" s="20">
        <f t="shared" si="101"/>
        <v>9760</v>
      </c>
      <c r="AE63" s="20">
        <f t="shared" si="101"/>
        <v>9810</v>
      </c>
      <c r="AF63" s="20">
        <f t="shared" si="101"/>
        <v>9835</v>
      </c>
      <c r="AG63" s="20">
        <f t="shared" si="101"/>
        <v>9835</v>
      </c>
      <c r="AH63" s="20">
        <f t="shared" ref="AH63:AN63" si="102">AG63+AH70</f>
        <v>8785</v>
      </c>
      <c r="AI63" s="428">
        <f t="shared" si="102"/>
        <v>8785</v>
      </c>
      <c r="AJ63" s="428">
        <f>AI63+AJ70</f>
        <v>8785</v>
      </c>
      <c r="AK63" s="428">
        <f>AJ63+AK70</f>
        <v>8785</v>
      </c>
      <c r="AL63" s="428">
        <f>AK63+AL70</f>
        <v>9335</v>
      </c>
      <c r="AM63" s="428">
        <f t="shared" si="102"/>
        <v>9335</v>
      </c>
      <c r="AN63" s="428">
        <f t="shared" si="102"/>
        <v>9335</v>
      </c>
    </row>
    <row r="64" spans="1:44" s="29" customFormat="1">
      <c r="A64" s="111" t="s">
        <v>64</v>
      </c>
      <c r="B64" s="14"/>
      <c r="C64" s="14"/>
      <c r="D64" s="14"/>
      <c r="E64" s="14"/>
      <c r="F64" s="14"/>
      <c r="G64" s="14"/>
      <c r="H64" s="14"/>
      <c r="I64" s="14"/>
      <c r="J64" s="14"/>
      <c r="K64" s="14"/>
      <c r="L64" s="14"/>
      <c r="M64" s="14"/>
      <c r="N64" s="14"/>
      <c r="O64" s="14"/>
      <c r="P64" s="14">
        <f t="shared" ref="P64:S66" si="103">+Q64</f>
        <v>4108</v>
      </c>
      <c r="Q64" s="17">
        <f t="shared" si="103"/>
        <v>4108</v>
      </c>
      <c r="R64" s="17">
        <f t="shared" si="103"/>
        <v>4108</v>
      </c>
      <c r="S64" s="17">
        <f t="shared" si="103"/>
        <v>4108</v>
      </c>
      <c r="T64" s="17">
        <v>4108</v>
      </c>
      <c r="U64" s="17">
        <v>4108</v>
      </c>
      <c r="V64" s="17">
        <v>4108</v>
      </c>
      <c r="W64" s="17">
        <v>4108</v>
      </c>
      <c r="X64" s="17">
        <v>4108</v>
      </c>
      <c r="Y64" s="17">
        <v>4108</v>
      </c>
      <c r="Z64" s="17">
        <v>4108</v>
      </c>
      <c r="AA64" s="17">
        <v>4108</v>
      </c>
      <c r="AB64" s="17">
        <v>4108</v>
      </c>
      <c r="AC64" s="17">
        <f t="shared" ref="AC64:AI66" si="104">+AB64+AC71</f>
        <v>4108</v>
      </c>
      <c r="AD64" s="17">
        <f t="shared" si="104"/>
        <v>4108</v>
      </c>
      <c r="AE64" s="17">
        <f t="shared" si="104"/>
        <v>4108</v>
      </c>
      <c r="AF64" s="17">
        <f t="shared" si="104"/>
        <v>4108</v>
      </c>
      <c r="AG64" s="17">
        <f t="shared" si="104"/>
        <v>4108</v>
      </c>
      <c r="AH64" s="17">
        <f>+AG64+AH71</f>
        <v>3058</v>
      </c>
      <c r="AI64" s="17">
        <f t="shared" si="104"/>
        <v>3058</v>
      </c>
      <c r="AJ64" s="17">
        <f t="shared" ref="AJ64:AK66" si="105">+AI64+AJ71</f>
        <v>3058</v>
      </c>
      <c r="AK64" s="17">
        <f t="shared" si="105"/>
        <v>3058</v>
      </c>
      <c r="AL64" s="17">
        <f>+AK64+AL71</f>
        <v>3058</v>
      </c>
      <c r="AM64" s="17">
        <f t="shared" ref="AM64:AN66" si="106">+AL64+AM71</f>
        <v>3058</v>
      </c>
      <c r="AN64" s="17">
        <f t="shared" si="106"/>
        <v>3058</v>
      </c>
    </row>
    <row r="65" spans="1:40" s="29" customFormat="1">
      <c r="A65" s="111" t="s">
        <v>65</v>
      </c>
      <c r="B65" s="14"/>
      <c r="C65" s="14"/>
      <c r="D65" s="14"/>
      <c r="E65" s="14"/>
      <c r="F65" s="14"/>
      <c r="G65" s="14"/>
      <c r="H65" s="14"/>
      <c r="I65" s="14"/>
      <c r="J65" s="14"/>
      <c r="K65" s="14"/>
      <c r="L65" s="14"/>
      <c r="M65" s="14"/>
      <c r="N65" s="14"/>
      <c r="O65" s="14"/>
      <c r="P65" s="14">
        <f t="shared" si="103"/>
        <v>2500</v>
      </c>
      <c r="Q65" s="17">
        <f t="shared" si="103"/>
        <v>2500</v>
      </c>
      <c r="R65" s="17">
        <f t="shared" si="103"/>
        <v>2500</v>
      </c>
      <c r="S65" s="17">
        <f t="shared" si="103"/>
        <v>2500</v>
      </c>
      <c r="T65" s="17">
        <v>2500</v>
      </c>
      <c r="U65" s="17">
        <v>2500</v>
      </c>
      <c r="V65" s="17">
        <v>2500</v>
      </c>
      <c r="W65" s="17">
        <v>2500</v>
      </c>
      <c r="X65" s="17">
        <v>2500</v>
      </c>
      <c r="Y65" s="17">
        <v>2500</v>
      </c>
      <c r="Z65" s="17">
        <v>2525</v>
      </c>
      <c r="AA65" s="17">
        <v>2525</v>
      </c>
      <c r="AB65" s="17">
        <v>2575</v>
      </c>
      <c r="AC65" s="17">
        <v>2600</v>
      </c>
      <c r="AD65" s="17">
        <v>3175</v>
      </c>
      <c r="AE65" s="17">
        <v>3225</v>
      </c>
      <c r="AF65" s="17">
        <v>3250</v>
      </c>
      <c r="AG65" s="17">
        <v>3250</v>
      </c>
      <c r="AH65" s="17">
        <f t="shared" si="104"/>
        <v>3250</v>
      </c>
      <c r="AI65" s="55">
        <f t="shared" si="104"/>
        <v>3250</v>
      </c>
      <c r="AJ65" s="55">
        <f t="shared" si="105"/>
        <v>3250</v>
      </c>
      <c r="AK65" s="55">
        <f t="shared" si="105"/>
        <v>3250</v>
      </c>
      <c r="AL65" s="55">
        <f>+AK65+AL72</f>
        <v>3800</v>
      </c>
      <c r="AM65" s="55">
        <f t="shared" si="106"/>
        <v>3800</v>
      </c>
      <c r="AN65" s="55">
        <f t="shared" si="106"/>
        <v>3800</v>
      </c>
    </row>
    <row r="66" spans="1:40" s="29" customFormat="1">
      <c r="A66" s="111" t="s">
        <v>66</v>
      </c>
      <c r="B66" s="14"/>
      <c r="C66" s="14"/>
      <c r="D66" s="14"/>
      <c r="E66" s="14"/>
      <c r="F66" s="14"/>
      <c r="G66" s="14"/>
      <c r="H66" s="14"/>
      <c r="I66" s="14"/>
      <c r="J66" s="14"/>
      <c r="K66" s="14"/>
      <c r="L66" s="14"/>
      <c r="M66" s="14"/>
      <c r="N66" s="14"/>
      <c r="O66" s="14"/>
      <c r="P66" s="14">
        <f t="shared" si="103"/>
        <v>300</v>
      </c>
      <c r="Q66" s="17">
        <f t="shared" si="103"/>
        <v>300</v>
      </c>
      <c r="R66" s="17">
        <f t="shared" si="103"/>
        <v>300</v>
      </c>
      <c r="S66" s="17">
        <f t="shared" si="103"/>
        <v>300</v>
      </c>
      <c r="T66" s="17">
        <v>300</v>
      </c>
      <c r="U66" s="17">
        <v>300</v>
      </c>
      <c r="V66" s="17">
        <v>300</v>
      </c>
      <c r="W66" s="17">
        <v>300</v>
      </c>
      <c r="X66" s="17">
        <v>300</v>
      </c>
      <c r="Y66" s="17">
        <v>300</v>
      </c>
      <c r="Z66" s="17">
        <v>300</v>
      </c>
      <c r="AA66" s="17">
        <v>300</v>
      </c>
      <c r="AB66" s="17">
        <v>300</v>
      </c>
      <c r="AC66" s="17">
        <v>300</v>
      </c>
      <c r="AD66" s="17">
        <v>300</v>
      </c>
      <c r="AE66" s="17">
        <v>300</v>
      </c>
      <c r="AF66" s="17">
        <f t="shared" si="104"/>
        <v>300</v>
      </c>
      <c r="AG66" s="17">
        <f t="shared" si="104"/>
        <v>300</v>
      </c>
      <c r="AH66" s="17">
        <f t="shared" si="104"/>
        <v>300</v>
      </c>
      <c r="AI66" s="17">
        <f t="shared" si="104"/>
        <v>300</v>
      </c>
      <c r="AJ66" s="17">
        <f t="shared" si="105"/>
        <v>300</v>
      </c>
      <c r="AK66" s="17">
        <f t="shared" si="105"/>
        <v>300</v>
      </c>
      <c r="AL66" s="17">
        <f>+AK66+AL73</f>
        <v>300</v>
      </c>
      <c r="AM66" s="17">
        <f t="shared" si="106"/>
        <v>300</v>
      </c>
      <c r="AN66" s="17">
        <f t="shared" si="106"/>
        <v>300</v>
      </c>
    </row>
    <row r="67" spans="1:40" s="29" customFormat="1">
      <c r="A67" s="111" t="s">
        <v>67</v>
      </c>
      <c r="B67" s="14"/>
      <c r="C67" s="14"/>
      <c r="D67" s="14"/>
      <c r="E67" s="14"/>
      <c r="F67" s="14"/>
      <c r="G67" s="14"/>
      <c r="H67" s="14"/>
      <c r="I67" s="14"/>
      <c r="J67" s="14"/>
      <c r="K67" s="14"/>
      <c r="L67" s="14"/>
      <c r="M67" s="14"/>
      <c r="N67" s="14"/>
      <c r="O67" s="14"/>
      <c r="P67" s="17">
        <f>CN!P70</f>
        <v>1380</v>
      </c>
      <c r="Q67" s="17">
        <f>CN!Q70</f>
        <v>1380</v>
      </c>
      <c r="R67" s="17">
        <f>CN!R70</f>
        <v>1380</v>
      </c>
      <c r="S67" s="17">
        <f>CN!S70</f>
        <v>1380</v>
      </c>
      <c r="T67" s="17">
        <f>CN!T70</f>
        <v>1380</v>
      </c>
      <c r="U67" s="17">
        <f>CN!U70</f>
        <v>1380</v>
      </c>
      <c r="V67" s="17">
        <f>CN!V70</f>
        <v>1380</v>
      </c>
      <c r="W67" s="17">
        <f>CN!W70</f>
        <v>1380</v>
      </c>
      <c r="X67" s="17">
        <f>CN!X70</f>
        <v>1380</v>
      </c>
      <c r="Y67" s="17">
        <f>CN!Y70</f>
        <v>1380</v>
      </c>
      <c r="Z67" s="17">
        <f>CN!Z70</f>
        <v>1380</v>
      </c>
      <c r="AA67" s="17">
        <v>1380</v>
      </c>
      <c r="AB67" s="17">
        <v>1577</v>
      </c>
      <c r="AC67" s="17">
        <f>CN!AC70</f>
        <v>1577</v>
      </c>
      <c r="AD67" s="17">
        <f>CN!AD70</f>
        <v>1577</v>
      </c>
      <c r="AE67" s="17">
        <f>CN!AE70</f>
        <v>1577</v>
      </c>
      <c r="AF67" s="17">
        <f>CN!AF70</f>
        <v>1577</v>
      </c>
      <c r="AG67" s="17">
        <f>CN!AG70</f>
        <v>1577</v>
      </c>
      <c r="AH67" s="17">
        <f>CN!AH70</f>
        <v>1577</v>
      </c>
      <c r="AI67" s="17">
        <f>CN!AI70</f>
        <v>1577</v>
      </c>
      <c r="AJ67" s="17">
        <f>CN!AJ70</f>
        <v>1577</v>
      </c>
      <c r="AK67" s="17">
        <f>CN!AK70</f>
        <v>1577</v>
      </c>
      <c r="AL67" s="17">
        <f>CN!AL70</f>
        <v>1577</v>
      </c>
      <c r="AM67" s="17">
        <f>CN!AM70</f>
        <v>1577</v>
      </c>
      <c r="AN67" s="17">
        <f>CN!AN70</f>
        <v>1577</v>
      </c>
    </row>
    <row r="68" spans="1:40" s="29" customFormat="1">
      <c r="A68" s="111" t="s">
        <v>184</v>
      </c>
      <c r="B68" s="14"/>
      <c r="C68" s="14"/>
      <c r="D68" s="14"/>
      <c r="E68" s="14"/>
      <c r="F68" s="14"/>
      <c r="G68" s="14"/>
      <c r="H68" s="14"/>
      <c r="I68" s="14"/>
      <c r="J68" s="14"/>
      <c r="K68" s="14"/>
      <c r="L68" s="14"/>
      <c r="M68" s="14"/>
      <c r="N68" s="14"/>
      <c r="O68" s="14"/>
      <c r="P68" s="14">
        <f>+Q68</f>
        <v>600</v>
      </c>
      <c r="Q68" s="17">
        <f>+R68</f>
        <v>600</v>
      </c>
      <c r="R68" s="17">
        <f>+S68</f>
        <v>600</v>
      </c>
      <c r="S68" s="17">
        <f>+T68</f>
        <v>600</v>
      </c>
      <c r="T68" s="17">
        <v>600</v>
      </c>
      <c r="U68" s="17">
        <v>600</v>
      </c>
      <c r="V68" s="17">
        <v>600</v>
      </c>
      <c r="W68" s="17">
        <v>600</v>
      </c>
      <c r="X68" s="17">
        <v>600</v>
      </c>
      <c r="Y68" s="17">
        <v>600</v>
      </c>
      <c r="Z68" s="17">
        <v>600</v>
      </c>
      <c r="AA68" s="17">
        <v>600</v>
      </c>
      <c r="AB68" s="17">
        <v>600</v>
      </c>
      <c r="AC68" s="17">
        <f t="shared" ref="AC68:AI68" si="107">+AB68+AC75</f>
        <v>600</v>
      </c>
      <c r="AD68" s="17">
        <f t="shared" si="107"/>
        <v>600</v>
      </c>
      <c r="AE68" s="17">
        <f t="shared" si="107"/>
        <v>600</v>
      </c>
      <c r="AF68" s="17">
        <f t="shared" si="107"/>
        <v>600</v>
      </c>
      <c r="AG68" s="17">
        <f t="shared" si="107"/>
        <v>600</v>
      </c>
      <c r="AH68" s="17">
        <f t="shared" si="107"/>
        <v>600</v>
      </c>
      <c r="AI68" s="17">
        <f t="shared" si="107"/>
        <v>600</v>
      </c>
      <c r="AJ68" s="17">
        <f>+AI68+AJ75</f>
        <v>600</v>
      </c>
      <c r="AK68" s="17">
        <f>+AJ68+AK75</f>
        <v>600</v>
      </c>
      <c r="AL68" s="17">
        <f>+AK68+AL75</f>
        <v>600</v>
      </c>
      <c r="AM68" s="17">
        <f>+AL68+AM75</f>
        <v>600</v>
      </c>
      <c r="AN68" s="17">
        <f>+AM68+AN75</f>
        <v>600</v>
      </c>
    </row>
    <row r="69" spans="1:40" s="29" customFormat="1">
      <c r="B69" s="14"/>
      <c r="C69" s="14"/>
      <c r="D69" s="14"/>
      <c r="E69" s="14"/>
      <c r="F69" s="14"/>
      <c r="G69" s="14"/>
      <c r="H69" s="14"/>
      <c r="I69" s="14"/>
      <c r="J69" s="14"/>
      <c r="K69" s="14"/>
      <c r="L69" s="14"/>
      <c r="M69" s="14"/>
      <c r="N69" s="14"/>
      <c r="O69" s="14"/>
      <c r="P69" s="14"/>
      <c r="Q69" s="17"/>
      <c r="R69" s="17"/>
      <c r="S69" s="17"/>
      <c r="T69" s="17"/>
      <c r="U69" s="17"/>
      <c r="V69" s="17"/>
      <c r="W69" s="17"/>
      <c r="X69" s="17"/>
      <c r="Y69" s="17"/>
      <c r="Z69" s="17"/>
      <c r="AA69" s="17"/>
      <c r="AB69" s="17"/>
      <c r="AC69" s="17"/>
      <c r="AD69" s="17"/>
      <c r="AE69" s="17"/>
      <c r="AF69" s="17"/>
      <c r="AG69" s="17"/>
      <c r="AH69" s="17"/>
      <c r="AI69" s="17"/>
      <c r="AJ69" s="17"/>
      <c r="AK69" s="17"/>
      <c r="AL69" s="17"/>
      <c r="AM69" s="17"/>
      <c r="AN69" s="17"/>
    </row>
    <row r="70" spans="1:40" s="29" customFormat="1">
      <c r="A70" s="62" t="s">
        <v>316</v>
      </c>
      <c r="B70" s="14"/>
      <c r="C70" s="17">
        <f t="shared" ref="C70:AG70" si="108">C63-B63</f>
        <v>-2</v>
      </c>
      <c r="D70" s="17">
        <f t="shared" si="108"/>
        <v>1110</v>
      </c>
      <c r="E70" s="17">
        <f t="shared" si="108"/>
        <v>-650</v>
      </c>
      <c r="F70" s="17">
        <f t="shared" si="108"/>
        <v>625</v>
      </c>
      <c r="G70" s="17">
        <f t="shared" si="108"/>
        <v>123</v>
      </c>
      <c r="H70" s="17">
        <f t="shared" si="108"/>
        <v>312.5</v>
      </c>
      <c r="I70" s="17">
        <f t="shared" si="108"/>
        <v>312.5</v>
      </c>
      <c r="J70" s="17">
        <f t="shared" si="108"/>
        <v>0</v>
      </c>
      <c r="K70" s="17">
        <f t="shared" si="108"/>
        <v>0</v>
      </c>
      <c r="L70" s="17">
        <f t="shared" si="108"/>
        <v>0</v>
      </c>
      <c r="M70" s="17">
        <f t="shared" si="108"/>
        <v>0</v>
      </c>
      <c r="N70" s="17">
        <f t="shared" si="108"/>
        <v>0</v>
      </c>
      <c r="O70" s="17">
        <f t="shared" si="108"/>
        <v>312.5</v>
      </c>
      <c r="P70" s="17">
        <f t="shared" si="108"/>
        <v>312.5</v>
      </c>
      <c r="Q70" s="17">
        <f t="shared" si="108"/>
        <v>0</v>
      </c>
      <c r="R70" s="17">
        <f t="shared" si="108"/>
        <v>0</v>
      </c>
      <c r="S70" s="17">
        <f t="shared" si="108"/>
        <v>0</v>
      </c>
      <c r="T70" s="17">
        <f t="shared" si="108"/>
        <v>0</v>
      </c>
      <c r="U70" s="17">
        <f t="shared" si="108"/>
        <v>0</v>
      </c>
      <c r="V70" s="17">
        <f t="shared" si="108"/>
        <v>0</v>
      </c>
      <c r="W70" s="17">
        <f t="shared" si="108"/>
        <v>0</v>
      </c>
      <c r="X70" s="17">
        <f t="shared" si="108"/>
        <v>0</v>
      </c>
      <c r="Y70" s="17">
        <f t="shared" si="108"/>
        <v>0</v>
      </c>
      <c r="Z70" s="17">
        <f t="shared" si="108"/>
        <v>25</v>
      </c>
      <c r="AA70" s="17">
        <f t="shared" si="108"/>
        <v>0</v>
      </c>
      <c r="AB70" s="17">
        <f t="shared" si="108"/>
        <v>247</v>
      </c>
      <c r="AC70" s="17">
        <f t="shared" si="108"/>
        <v>25</v>
      </c>
      <c r="AD70" s="17">
        <f t="shared" si="108"/>
        <v>575</v>
      </c>
      <c r="AE70" s="17">
        <f t="shared" si="108"/>
        <v>50</v>
      </c>
      <c r="AF70" s="17">
        <f t="shared" si="108"/>
        <v>25</v>
      </c>
      <c r="AG70" s="17">
        <f t="shared" si="108"/>
        <v>0</v>
      </c>
      <c r="AH70" s="17">
        <f t="shared" ref="AH70:AN70" si="109">+SUM(AH71:AH75)</f>
        <v>-1050</v>
      </c>
      <c r="AI70" s="54">
        <f t="shared" si="109"/>
        <v>0</v>
      </c>
      <c r="AJ70" s="54">
        <f t="shared" si="109"/>
        <v>0</v>
      </c>
      <c r="AK70" s="54">
        <f t="shared" si="109"/>
        <v>0</v>
      </c>
      <c r="AL70" s="54">
        <f t="shared" si="109"/>
        <v>550</v>
      </c>
      <c r="AM70" s="54">
        <f t="shared" si="109"/>
        <v>0</v>
      </c>
      <c r="AN70" s="54">
        <f t="shared" si="109"/>
        <v>0</v>
      </c>
    </row>
    <row r="71" spans="1:40" s="29" customFormat="1">
      <c r="A71" s="111" t="s">
        <v>64</v>
      </c>
      <c r="B71" s="14"/>
      <c r="C71" s="14"/>
      <c r="D71" s="14"/>
      <c r="E71" s="14"/>
      <c r="F71" s="14"/>
      <c r="G71" s="14"/>
      <c r="H71" s="14"/>
      <c r="I71" s="14"/>
      <c r="J71" s="14"/>
      <c r="K71" s="14"/>
      <c r="L71" s="14"/>
      <c r="M71" s="14"/>
      <c r="N71" s="14"/>
      <c r="O71" s="14"/>
      <c r="P71" s="14"/>
      <c r="Q71" s="17">
        <f t="shared" ref="Q71:S75" si="110">+Q64-P64</f>
        <v>0</v>
      </c>
      <c r="R71" s="17">
        <f t="shared" si="110"/>
        <v>0</v>
      </c>
      <c r="S71" s="17">
        <f t="shared" si="110"/>
        <v>0</v>
      </c>
      <c r="T71" s="17">
        <f t="shared" ref="T71:AG74" si="111">T64-S64</f>
        <v>0</v>
      </c>
      <c r="U71" s="17">
        <f t="shared" si="111"/>
        <v>0</v>
      </c>
      <c r="V71" s="17">
        <f t="shared" si="111"/>
        <v>0</v>
      </c>
      <c r="W71" s="17">
        <f t="shared" si="111"/>
        <v>0</v>
      </c>
      <c r="X71" s="17">
        <f t="shared" si="111"/>
        <v>0</v>
      </c>
      <c r="Y71" s="17">
        <f t="shared" si="111"/>
        <v>0</v>
      </c>
      <c r="Z71" s="17">
        <f t="shared" si="111"/>
        <v>0</v>
      </c>
      <c r="AA71" s="17">
        <f t="shared" si="111"/>
        <v>0</v>
      </c>
      <c r="AB71" s="17">
        <f t="shared" si="111"/>
        <v>0</v>
      </c>
      <c r="AC71" s="54">
        <f t="shared" ref="AC71:AG71" si="112">+AB71</f>
        <v>0</v>
      </c>
      <c r="AD71" s="54">
        <f t="shared" si="112"/>
        <v>0</v>
      </c>
      <c r="AE71" s="54">
        <f t="shared" si="112"/>
        <v>0</v>
      </c>
      <c r="AF71" s="54">
        <f t="shared" si="112"/>
        <v>0</v>
      </c>
      <c r="AG71" s="54">
        <f t="shared" si="112"/>
        <v>0</v>
      </c>
      <c r="AH71" s="54">
        <v>-1050</v>
      </c>
      <c r="AI71" s="54">
        <v>0</v>
      </c>
      <c r="AJ71" s="54">
        <f>+AI71</f>
        <v>0</v>
      </c>
      <c r="AK71" s="54">
        <f>+AJ71</f>
        <v>0</v>
      </c>
      <c r="AL71" s="54">
        <f>+AK71</f>
        <v>0</v>
      </c>
      <c r="AM71" s="54">
        <f>+AL71</f>
        <v>0</v>
      </c>
      <c r="AN71" s="54">
        <f>+AM71</f>
        <v>0</v>
      </c>
    </row>
    <row r="72" spans="1:40" s="29" customFormat="1">
      <c r="A72" s="111" t="s">
        <v>65</v>
      </c>
      <c r="B72" s="14"/>
      <c r="C72" s="14"/>
      <c r="D72" s="14"/>
      <c r="E72" s="14"/>
      <c r="F72" s="14"/>
      <c r="G72" s="14"/>
      <c r="H72" s="14"/>
      <c r="I72" s="14"/>
      <c r="J72" s="14"/>
      <c r="K72" s="14"/>
      <c r="L72" s="14"/>
      <c r="M72" s="14"/>
      <c r="N72" s="14"/>
      <c r="O72" s="14"/>
      <c r="P72" s="14"/>
      <c r="Q72" s="17">
        <f t="shared" si="110"/>
        <v>0</v>
      </c>
      <c r="R72" s="17">
        <f t="shared" si="110"/>
        <v>0</v>
      </c>
      <c r="S72" s="17">
        <f t="shared" si="110"/>
        <v>0</v>
      </c>
      <c r="T72" s="17">
        <f t="shared" si="111"/>
        <v>0</v>
      </c>
      <c r="U72" s="17">
        <f t="shared" si="111"/>
        <v>0</v>
      </c>
      <c r="V72" s="17">
        <f t="shared" si="111"/>
        <v>0</v>
      </c>
      <c r="W72" s="17">
        <f t="shared" si="111"/>
        <v>0</v>
      </c>
      <c r="X72" s="17">
        <f t="shared" si="111"/>
        <v>0</v>
      </c>
      <c r="Y72" s="17">
        <f t="shared" si="111"/>
        <v>0</v>
      </c>
      <c r="Z72" s="17">
        <f t="shared" si="111"/>
        <v>25</v>
      </c>
      <c r="AA72" s="17">
        <f t="shared" si="111"/>
        <v>0</v>
      </c>
      <c r="AB72" s="17">
        <f t="shared" si="111"/>
        <v>50</v>
      </c>
      <c r="AC72" s="17">
        <f t="shared" si="111"/>
        <v>25</v>
      </c>
      <c r="AD72" s="17">
        <f t="shared" si="111"/>
        <v>575</v>
      </c>
      <c r="AE72" s="17">
        <f t="shared" si="111"/>
        <v>50</v>
      </c>
      <c r="AF72" s="17">
        <f t="shared" si="111"/>
        <v>25</v>
      </c>
      <c r="AG72" s="17">
        <f t="shared" si="111"/>
        <v>0</v>
      </c>
      <c r="AH72" s="17">
        <v>0</v>
      </c>
      <c r="AI72" s="17">
        <v>0</v>
      </c>
      <c r="AJ72" s="17">
        <v>0</v>
      </c>
      <c r="AK72" s="17">
        <v>0</v>
      </c>
      <c r="AL72" s="402">
        <v>550</v>
      </c>
      <c r="AM72" s="54">
        <v>0</v>
      </c>
      <c r="AN72" s="54">
        <v>0</v>
      </c>
    </row>
    <row r="73" spans="1:40" s="29" customFormat="1">
      <c r="A73" s="111" t="s">
        <v>66</v>
      </c>
      <c r="B73" s="14"/>
      <c r="C73" s="14"/>
      <c r="D73" s="14"/>
      <c r="E73" s="14"/>
      <c r="F73" s="14"/>
      <c r="G73" s="14"/>
      <c r="H73" s="14"/>
      <c r="I73" s="14"/>
      <c r="J73" s="14"/>
      <c r="K73" s="14"/>
      <c r="L73" s="14"/>
      <c r="M73" s="14"/>
      <c r="N73" s="14"/>
      <c r="O73" s="14"/>
      <c r="P73" s="14"/>
      <c r="Q73" s="17">
        <f t="shared" si="110"/>
        <v>0</v>
      </c>
      <c r="R73" s="17">
        <f t="shared" si="110"/>
        <v>0</v>
      </c>
      <c r="S73" s="17">
        <f t="shared" si="110"/>
        <v>0</v>
      </c>
      <c r="T73" s="17">
        <f t="shared" si="111"/>
        <v>0</v>
      </c>
      <c r="U73" s="17">
        <f t="shared" si="111"/>
        <v>0</v>
      </c>
      <c r="V73" s="17">
        <f t="shared" si="111"/>
        <v>0</v>
      </c>
      <c r="W73" s="17">
        <f t="shared" si="111"/>
        <v>0</v>
      </c>
      <c r="X73" s="17">
        <f t="shared" si="111"/>
        <v>0</v>
      </c>
      <c r="Y73" s="17">
        <f t="shared" si="111"/>
        <v>0</v>
      </c>
      <c r="Z73" s="17">
        <f t="shared" si="111"/>
        <v>0</v>
      </c>
      <c r="AA73" s="17">
        <f t="shared" si="111"/>
        <v>0</v>
      </c>
      <c r="AB73" s="17">
        <f t="shared" si="111"/>
        <v>0</v>
      </c>
      <c r="AC73" s="54">
        <f t="shared" ref="AC73:AG75" si="113">+AB73</f>
        <v>0</v>
      </c>
      <c r="AD73" s="54">
        <f t="shared" si="113"/>
        <v>0</v>
      </c>
      <c r="AE73" s="54">
        <f t="shared" si="113"/>
        <v>0</v>
      </c>
      <c r="AF73" s="54">
        <f t="shared" si="113"/>
        <v>0</v>
      </c>
      <c r="AG73" s="54">
        <f t="shared" si="113"/>
        <v>0</v>
      </c>
      <c r="AH73" s="54">
        <f t="shared" ref="AH73:AI75" si="114">+AG73</f>
        <v>0</v>
      </c>
      <c r="AI73" s="54">
        <f t="shared" si="114"/>
        <v>0</v>
      </c>
      <c r="AJ73" s="54">
        <f t="shared" ref="AJ73:AK75" si="115">+AI73</f>
        <v>0</v>
      </c>
      <c r="AK73" s="54">
        <f t="shared" si="115"/>
        <v>0</v>
      </c>
      <c r="AL73" s="54">
        <f>+AK73</f>
        <v>0</v>
      </c>
      <c r="AM73" s="54">
        <f t="shared" ref="AM73:AN75" si="116">+AL73</f>
        <v>0</v>
      </c>
      <c r="AN73" s="54">
        <f t="shared" si="116"/>
        <v>0</v>
      </c>
    </row>
    <row r="74" spans="1:40" s="29" customFormat="1">
      <c r="A74" s="111" t="s">
        <v>67</v>
      </c>
      <c r="B74" s="14"/>
      <c r="C74" s="14"/>
      <c r="D74" s="14"/>
      <c r="E74" s="14"/>
      <c r="F74" s="14"/>
      <c r="G74" s="14"/>
      <c r="H74" s="14"/>
      <c r="I74" s="14"/>
      <c r="J74" s="14"/>
      <c r="K74" s="14"/>
      <c r="L74" s="14"/>
      <c r="M74" s="14"/>
      <c r="N74" s="14"/>
      <c r="O74" s="14"/>
      <c r="P74" s="14"/>
      <c r="Q74" s="17">
        <f t="shared" si="110"/>
        <v>0</v>
      </c>
      <c r="R74" s="17">
        <f t="shared" si="110"/>
        <v>0</v>
      </c>
      <c r="S74" s="17">
        <f t="shared" si="110"/>
        <v>0</v>
      </c>
      <c r="T74" s="17">
        <f t="shared" si="111"/>
        <v>0</v>
      </c>
      <c r="U74" s="17">
        <f t="shared" si="111"/>
        <v>0</v>
      </c>
      <c r="V74" s="17">
        <f t="shared" si="111"/>
        <v>0</v>
      </c>
      <c r="W74" s="17">
        <f t="shared" si="111"/>
        <v>0</v>
      </c>
      <c r="X74" s="17">
        <f t="shared" si="111"/>
        <v>0</v>
      </c>
      <c r="Y74" s="17">
        <f t="shared" si="111"/>
        <v>0</v>
      </c>
      <c r="Z74" s="17">
        <f t="shared" si="111"/>
        <v>0</v>
      </c>
      <c r="AA74" s="17">
        <f t="shared" si="111"/>
        <v>0</v>
      </c>
      <c r="AB74" s="17">
        <f t="shared" si="111"/>
        <v>197</v>
      </c>
      <c r="AC74" s="17">
        <f t="shared" si="111"/>
        <v>0</v>
      </c>
      <c r="AD74" s="17">
        <f t="shared" si="111"/>
        <v>0</v>
      </c>
      <c r="AE74" s="17">
        <f t="shared" si="113"/>
        <v>0</v>
      </c>
      <c r="AF74" s="17">
        <f t="shared" si="113"/>
        <v>0</v>
      </c>
      <c r="AG74" s="17">
        <f t="shared" si="113"/>
        <v>0</v>
      </c>
      <c r="AH74" s="17">
        <f t="shared" si="114"/>
        <v>0</v>
      </c>
      <c r="AI74" s="17">
        <f t="shared" si="114"/>
        <v>0</v>
      </c>
      <c r="AJ74" s="17">
        <f t="shared" si="115"/>
        <v>0</v>
      </c>
      <c r="AK74" s="17">
        <f t="shared" si="115"/>
        <v>0</v>
      </c>
      <c r="AL74" s="54">
        <f>+AK74</f>
        <v>0</v>
      </c>
      <c r="AM74" s="54">
        <f t="shared" si="116"/>
        <v>0</v>
      </c>
      <c r="AN74" s="54">
        <f t="shared" si="116"/>
        <v>0</v>
      </c>
    </row>
    <row r="75" spans="1:40" s="29" customFormat="1">
      <c r="A75" s="111" t="s">
        <v>184</v>
      </c>
      <c r="B75" s="14"/>
      <c r="C75" s="14"/>
      <c r="D75" s="14"/>
      <c r="E75" s="14"/>
      <c r="F75" s="14"/>
      <c r="G75" s="14"/>
      <c r="H75" s="14"/>
      <c r="I75" s="14"/>
      <c r="J75" s="14"/>
      <c r="K75" s="14"/>
      <c r="L75" s="14"/>
      <c r="M75" s="14"/>
      <c r="N75" s="14"/>
      <c r="O75" s="14"/>
      <c r="P75" s="14"/>
      <c r="Q75" s="17">
        <f t="shared" si="110"/>
        <v>0</v>
      </c>
      <c r="R75" s="17">
        <f t="shared" si="110"/>
        <v>0</v>
      </c>
      <c r="S75" s="17">
        <f t="shared" si="110"/>
        <v>0</v>
      </c>
      <c r="T75" s="17">
        <f>T68-S68</f>
        <v>0</v>
      </c>
      <c r="U75" s="17">
        <f t="shared" ref="U75:AB75" si="117">U68-T68</f>
        <v>0</v>
      </c>
      <c r="V75" s="17">
        <f t="shared" si="117"/>
        <v>0</v>
      </c>
      <c r="W75" s="17">
        <f t="shared" si="117"/>
        <v>0</v>
      </c>
      <c r="X75" s="17">
        <f t="shared" si="117"/>
        <v>0</v>
      </c>
      <c r="Y75" s="17">
        <f t="shared" si="117"/>
        <v>0</v>
      </c>
      <c r="Z75" s="17">
        <f t="shared" si="117"/>
        <v>0</v>
      </c>
      <c r="AA75" s="17">
        <f t="shared" si="117"/>
        <v>0</v>
      </c>
      <c r="AB75" s="17">
        <f t="shared" si="117"/>
        <v>0</v>
      </c>
      <c r="AC75" s="54">
        <f t="shared" si="113"/>
        <v>0</v>
      </c>
      <c r="AD75" s="54">
        <f t="shared" si="113"/>
        <v>0</v>
      </c>
      <c r="AE75" s="54">
        <f t="shared" si="113"/>
        <v>0</v>
      </c>
      <c r="AF75" s="54">
        <f t="shared" si="113"/>
        <v>0</v>
      </c>
      <c r="AG75" s="54">
        <f t="shared" si="113"/>
        <v>0</v>
      </c>
      <c r="AH75" s="54">
        <f t="shared" si="114"/>
        <v>0</v>
      </c>
      <c r="AI75" s="54">
        <f t="shared" si="114"/>
        <v>0</v>
      </c>
      <c r="AJ75" s="54">
        <f t="shared" si="115"/>
        <v>0</v>
      </c>
      <c r="AK75" s="54">
        <f t="shared" si="115"/>
        <v>0</v>
      </c>
      <c r="AL75" s="54">
        <f>+AK75</f>
        <v>0</v>
      </c>
      <c r="AM75" s="54">
        <f t="shared" si="116"/>
        <v>0</v>
      </c>
      <c r="AN75" s="54">
        <f t="shared" si="116"/>
        <v>0</v>
      </c>
    </row>
    <row r="76" spans="1:40" s="29" customFormat="1">
      <c r="A76" s="62"/>
      <c r="B76" s="14"/>
      <c r="C76" s="14"/>
      <c r="D76" s="14"/>
      <c r="E76" s="14"/>
      <c r="F76" s="14"/>
      <c r="G76" s="14"/>
      <c r="H76" s="14"/>
      <c r="I76" s="14"/>
      <c r="J76" s="14"/>
      <c r="K76" s="14"/>
      <c r="L76" s="14"/>
      <c r="M76" s="14"/>
      <c r="N76" s="14"/>
      <c r="O76" s="14"/>
      <c r="P76" s="14"/>
      <c r="Q76" s="17"/>
      <c r="R76" s="17"/>
      <c r="S76" s="17"/>
      <c r="T76" s="17"/>
      <c r="U76" s="17"/>
      <c r="V76" s="17"/>
      <c r="W76" s="17"/>
      <c r="X76" s="17"/>
      <c r="Y76" s="17"/>
      <c r="Z76" s="17"/>
      <c r="AA76" s="17"/>
      <c r="AB76" s="17"/>
      <c r="AC76" s="17"/>
      <c r="AD76" s="54"/>
      <c r="AE76" s="54"/>
      <c r="AF76" s="54"/>
      <c r="AG76" s="54"/>
      <c r="AH76" s="54"/>
      <c r="AI76" s="54"/>
      <c r="AJ76" s="54"/>
      <c r="AK76" s="54"/>
      <c r="AL76" s="17"/>
      <c r="AM76" s="17"/>
      <c r="AN76" s="17"/>
    </row>
    <row r="77" spans="1:40" s="29" customFormat="1">
      <c r="A77" s="29" t="s">
        <v>310</v>
      </c>
      <c r="B77" s="14">
        <v>4365</v>
      </c>
      <c r="C77" s="14">
        <v>4432</v>
      </c>
      <c r="D77" s="14">
        <v>4730</v>
      </c>
      <c r="E77" s="14">
        <v>4720</v>
      </c>
      <c r="F77" s="14">
        <v>4998</v>
      </c>
      <c r="G77" s="14">
        <v>5066</v>
      </c>
      <c r="H77" s="14">
        <v>5304</v>
      </c>
      <c r="I77" s="14">
        <v>5354</v>
      </c>
      <c r="J77" s="14">
        <v>5598</v>
      </c>
      <c r="K77" s="14">
        <v>5844</v>
      </c>
      <c r="L77" s="14">
        <v>5829</v>
      </c>
      <c r="M77" s="14">
        <v>5874</v>
      </c>
      <c r="N77" s="14">
        <v>6329</v>
      </c>
      <c r="O77" s="14">
        <v>6475</v>
      </c>
      <c r="P77" s="14">
        <v>6435</v>
      </c>
      <c r="Q77" s="17">
        <v>6284</v>
      </c>
      <c r="R77" s="17">
        <v>6749</v>
      </c>
      <c r="S77" s="17">
        <v>6389</v>
      </c>
      <c r="T77" s="17">
        <v>6766</v>
      </c>
      <c r="U77" s="17">
        <v>6702</v>
      </c>
      <c r="V77" s="17">
        <v>6769</v>
      </c>
      <c r="W77" s="17">
        <v>6699</v>
      </c>
      <c r="X77" s="17">
        <v>7030</v>
      </c>
      <c r="Y77" s="17">
        <v>6878</v>
      </c>
      <c r="Z77" s="17">
        <v>6841</v>
      </c>
      <c r="AA77" s="17">
        <v>7155</v>
      </c>
      <c r="AB77" s="17">
        <v>7036</v>
      </c>
      <c r="AC77" s="17">
        <v>7206</v>
      </c>
      <c r="AD77" s="17">
        <v>7264</v>
      </c>
      <c r="AE77" s="17">
        <v>7477</v>
      </c>
      <c r="AF77" s="17">
        <v>7720</v>
      </c>
      <c r="AG77" s="17">
        <v>7452</v>
      </c>
      <c r="AH77" s="17">
        <v>7336</v>
      </c>
      <c r="AI77" s="55">
        <f t="shared" ref="AI77:AN77" si="118">AH77*(1+AI81)</f>
        <v>7221.805689747719</v>
      </c>
      <c r="AJ77" s="55">
        <f>AI77*(1+AJ81)</f>
        <v>7109.3889613512174</v>
      </c>
      <c r="AK77" s="55">
        <f>AJ77*(1+AK81)</f>
        <v>6998.7221444541774</v>
      </c>
      <c r="AL77" s="55">
        <f>AK77*(1+AL81)</f>
        <v>6889.7779994251005</v>
      </c>
      <c r="AM77" s="55">
        <f t="shared" si="118"/>
        <v>6782.529710652515</v>
      </c>
      <c r="AN77" s="55">
        <f t="shared" si="118"/>
        <v>6676.9508799445584</v>
      </c>
    </row>
    <row r="78" spans="1:40" s="29" customFormat="1">
      <c r="A78" s="29" t="s">
        <v>312</v>
      </c>
      <c r="B78" s="14">
        <v>5289</v>
      </c>
      <c r="C78" s="14">
        <v>5244</v>
      </c>
      <c r="D78" s="14">
        <v>5948</v>
      </c>
      <c r="E78" s="14">
        <v>6083</v>
      </c>
      <c r="F78" s="14">
        <v>5088</v>
      </c>
      <c r="G78" s="14">
        <v>5184</v>
      </c>
      <c r="H78" s="14">
        <v>5422</v>
      </c>
      <c r="I78" s="14">
        <v>5455</v>
      </c>
      <c r="J78" s="14">
        <v>6828</v>
      </c>
      <c r="K78" s="14">
        <v>7062</v>
      </c>
      <c r="L78" s="14">
        <v>6897</v>
      </c>
      <c r="M78" s="14">
        <v>7646</v>
      </c>
      <c r="N78" s="14">
        <v>7862</v>
      </c>
      <c r="O78" s="14">
        <v>7817</v>
      </c>
      <c r="P78" s="14">
        <v>8318</v>
      </c>
      <c r="Q78" s="17">
        <v>7730</v>
      </c>
      <c r="R78" s="17">
        <v>8199</v>
      </c>
      <c r="S78" s="17">
        <v>7616</v>
      </c>
      <c r="T78" s="17">
        <v>7349</v>
      </c>
      <c r="U78" s="17">
        <v>7798</v>
      </c>
      <c r="V78" s="17">
        <v>7431</v>
      </c>
      <c r="W78" s="17">
        <v>7615</v>
      </c>
      <c r="X78" s="17">
        <v>7502</v>
      </c>
      <c r="Y78" s="17">
        <v>7582</v>
      </c>
      <c r="Z78" s="17">
        <v>7509</v>
      </c>
      <c r="AA78" s="17">
        <v>8183</v>
      </c>
      <c r="AB78" s="17">
        <v>7316</v>
      </c>
      <c r="AC78" s="17">
        <v>7206</v>
      </c>
      <c r="AD78" s="17">
        <v>7264</v>
      </c>
      <c r="AE78" s="17">
        <v>7477</v>
      </c>
      <c r="AF78" s="17">
        <v>7720</v>
      </c>
      <c r="AG78" s="17">
        <v>7452</v>
      </c>
      <c r="AH78" s="17">
        <v>7336</v>
      </c>
      <c r="AI78" s="55">
        <f t="shared" ref="AI78:AN78" si="119">AI77+AI79</f>
        <v>7221.805689747719</v>
      </c>
      <c r="AJ78" s="55">
        <f t="shared" si="119"/>
        <v>7109.3889613512174</v>
      </c>
      <c r="AK78" s="55">
        <f t="shared" si="119"/>
        <v>6998.7221444541774</v>
      </c>
      <c r="AL78" s="55">
        <f t="shared" si="119"/>
        <v>6889.7779994251005</v>
      </c>
      <c r="AM78" s="55">
        <f t="shared" si="119"/>
        <v>6782.529710652515</v>
      </c>
      <c r="AN78" s="55">
        <f t="shared" si="119"/>
        <v>6676.9508799445584</v>
      </c>
    </row>
    <row r="79" spans="1:40" s="29" customFormat="1">
      <c r="A79" s="29" t="s">
        <v>311</v>
      </c>
      <c r="B79" s="14">
        <f t="shared" ref="B79:AE79" si="120">B78-B77</f>
        <v>924</v>
      </c>
      <c r="C79" s="14">
        <f t="shared" si="120"/>
        <v>812</v>
      </c>
      <c r="D79" s="14">
        <f t="shared" si="120"/>
        <v>1218</v>
      </c>
      <c r="E79" s="14">
        <f t="shared" si="120"/>
        <v>1363</v>
      </c>
      <c r="F79" s="14">
        <f t="shared" si="120"/>
        <v>90</v>
      </c>
      <c r="G79" s="14">
        <f t="shared" si="120"/>
        <v>118</v>
      </c>
      <c r="H79" s="14">
        <f t="shared" si="120"/>
        <v>118</v>
      </c>
      <c r="I79" s="14">
        <f t="shared" si="120"/>
        <v>101</v>
      </c>
      <c r="J79" s="14">
        <f t="shared" si="120"/>
        <v>1230</v>
      </c>
      <c r="K79" s="14">
        <f t="shared" si="120"/>
        <v>1218</v>
      </c>
      <c r="L79" s="14">
        <f t="shared" si="120"/>
        <v>1068</v>
      </c>
      <c r="M79" s="14">
        <f t="shared" si="120"/>
        <v>1772</v>
      </c>
      <c r="N79" s="14">
        <f t="shared" si="120"/>
        <v>1533</v>
      </c>
      <c r="O79" s="14">
        <f t="shared" si="120"/>
        <v>1342</v>
      </c>
      <c r="P79" s="14">
        <f t="shared" si="120"/>
        <v>1883</v>
      </c>
      <c r="Q79" s="17">
        <f t="shared" si="120"/>
        <v>1446</v>
      </c>
      <c r="R79" s="17">
        <f t="shared" si="120"/>
        <v>1450</v>
      </c>
      <c r="S79" s="17">
        <f t="shared" si="120"/>
        <v>1227</v>
      </c>
      <c r="T79" s="17">
        <f t="shared" si="120"/>
        <v>583</v>
      </c>
      <c r="U79" s="17">
        <f t="shared" si="120"/>
        <v>1096</v>
      </c>
      <c r="V79" s="17">
        <f t="shared" si="120"/>
        <v>662</v>
      </c>
      <c r="W79" s="17">
        <f t="shared" si="120"/>
        <v>916</v>
      </c>
      <c r="X79" s="17">
        <f t="shared" si="120"/>
        <v>472</v>
      </c>
      <c r="Y79" s="17">
        <f t="shared" si="120"/>
        <v>704</v>
      </c>
      <c r="Z79" s="17">
        <f t="shared" si="120"/>
        <v>668</v>
      </c>
      <c r="AA79" s="17">
        <f t="shared" si="120"/>
        <v>1028</v>
      </c>
      <c r="AB79" s="17">
        <f t="shared" si="120"/>
        <v>280</v>
      </c>
      <c r="AC79" s="17">
        <f t="shared" si="120"/>
        <v>0</v>
      </c>
      <c r="AD79" s="17">
        <f t="shared" si="120"/>
        <v>0</v>
      </c>
      <c r="AE79" s="17">
        <f t="shared" si="120"/>
        <v>0</v>
      </c>
      <c r="AF79" s="17">
        <f t="shared" ref="AF79:AN79" si="121">AE79*(1+AF83)</f>
        <v>0</v>
      </c>
      <c r="AG79" s="17">
        <f t="shared" si="121"/>
        <v>0</v>
      </c>
      <c r="AH79" s="17">
        <f t="shared" si="121"/>
        <v>0</v>
      </c>
      <c r="AI79" s="17">
        <f t="shared" si="121"/>
        <v>0</v>
      </c>
      <c r="AJ79" s="17">
        <f>AI79*(1+AJ83)</f>
        <v>0</v>
      </c>
      <c r="AK79" s="17">
        <f>AJ79*(1+AK83)</f>
        <v>0</v>
      </c>
      <c r="AL79" s="17">
        <f>AK79*(1+AL83)</f>
        <v>0</v>
      </c>
      <c r="AM79" s="17">
        <f t="shared" si="121"/>
        <v>0</v>
      </c>
      <c r="AN79" s="17">
        <f t="shared" si="121"/>
        <v>0</v>
      </c>
    </row>
    <row r="80" spans="1:40" s="29" customFormat="1">
      <c r="B80" s="14"/>
      <c r="C80" s="14"/>
      <c r="D80" s="14"/>
      <c r="E80" s="14"/>
      <c r="F80" s="14"/>
      <c r="G80" s="14"/>
      <c r="H80" s="14"/>
      <c r="I80" s="14"/>
      <c r="J80" s="14"/>
      <c r="K80" s="14"/>
      <c r="L80" s="14"/>
      <c r="M80" s="14"/>
      <c r="N80" s="32"/>
      <c r="O80" s="32"/>
      <c r="P80" s="32"/>
      <c r="Q80" s="32"/>
      <c r="R80" s="32"/>
      <c r="S80" s="32"/>
      <c r="T80" s="32"/>
      <c r="U80" s="32"/>
      <c r="V80" s="32"/>
      <c r="W80" s="32"/>
      <c r="X80" s="32"/>
      <c r="Y80" s="32"/>
      <c r="Z80" s="32"/>
      <c r="AA80" s="32"/>
      <c r="AB80" s="32"/>
      <c r="AC80" s="32"/>
      <c r="AD80" s="32"/>
      <c r="AE80" s="32"/>
      <c r="AF80" s="32"/>
      <c r="AG80" s="32"/>
      <c r="AH80" s="32"/>
      <c r="AI80" s="32"/>
      <c r="AJ80" s="32"/>
      <c r="AK80" s="32"/>
      <c r="AL80" s="32"/>
      <c r="AM80" s="32"/>
      <c r="AN80" s="32"/>
    </row>
    <row r="81" spans="1:40" s="29" customFormat="1">
      <c r="A81" s="29" t="s">
        <v>313</v>
      </c>
      <c r="B81" s="34">
        <f>B77/4180-1</f>
        <v>4.4258373205741552E-2</v>
      </c>
      <c r="C81" s="34">
        <f t="shared" ref="C81:AH81" si="122">C77/B77-1</f>
        <v>1.5349369988545192E-2</v>
      </c>
      <c r="D81" s="34">
        <f t="shared" si="122"/>
        <v>6.7238267148014508E-2</v>
      </c>
      <c r="E81" s="34">
        <f t="shared" si="122"/>
        <v>-2.1141649048626032E-3</v>
      </c>
      <c r="F81" s="34">
        <f t="shared" si="122"/>
        <v>5.8898305084745806E-2</v>
      </c>
      <c r="G81" s="34">
        <f t="shared" si="122"/>
        <v>1.3605442176870763E-2</v>
      </c>
      <c r="H81" s="34">
        <f t="shared" si="122"/>
        <v>4.6979865771812124E-2</v>
      </c>
      <c r="I81" s="34">
        <f t="shared" si="122"/>
        <v>9.4268476621417463E-3</v>
      </c>
      <c r="J81" s="34">
        <f t="shared" si="122"/>
        <v>4.5573403063130291E-2</v>
      </c>
      <c r="K81" s="34">
        <f t="shared" si="122"/>
        <v>4.3944265809217509E-2</v>
      </c>
      <c r="L81" s="34">
        <f t="shared" si="122"/>
        <v>-2.5667351129363691E-3</v>
      </c>
      <c r="M81" s="34">
        <f t="shared" si="122"/>
        <v>7.7200205867216098E-3</v>
      </c>
      <c r="N81" s="34">
        <f t="shared" si="122"/>
        <v>7.7459993190330367E-2</v>
      </c>
      <c r="O81" s="34">
        <f t="shared" si="122"/>
        <v>2.3068415231474182E-2</v>
      </c>
      <c r="P81" s="34">
        <f t="shared" si="122"/>
        <v>-6.1776061776062097E-3</v>
      </c>
      <c r="Q81" s="34">
        <f t="shared" si="122"/>
        <v>-2.3465423465423463E-2</v>
      </c>
      <c r="R81" s="34">
        <f t="shared" si="122"/>
        <v>7.3997453851050388E-2</v>
      </c>
      <c r="S81" s="34">
        <f t="shared" si="122"/>
        <v>-5.3341235738627923E-2</v>
      </c>
      <c r="T81" s="34">
        <f t="shared" si="122"/>
        <v>5.9007669431835996E-2</v>
      </c>
      <c r="U81" s="34">
        <f t="shared" si="122"/>
        <v>-9.4590600059119012E-3</v>
      </c>
      <c r="V81" s="34">
        <f t="shared" si="122"/>
        <v>9.9970158161741818E-3</v>
      </c>
      <c r="W81" s="34">
        <f t="shared" si="122"/>
        <v>-1.0341261633919352E-2</v>
      </c>
      <c r="X81" s="34">
        <f t="shared" si="122"/>
        <v>4.9410359755187372E-2</v>
      </c>
      <c r="Y81" s="34">
        <f t="shared" si="122"/>
        <v>-2.1621621621621623E-2</v>
      </c>
      <c r="Z81" s="34">
        <f t="shared" si="122"/>
        <v>-5.3794707763884508E-3</v>
      </c>
      <c r="AA81" s="34">
        <f t="shared" si="122"/>
        <v>4.5899722262827014E-2</v>
      </c>
      <c r="AB81" s="34">
        <f t="shared" si="122"/>
        <v>-1.6631726065688301E-2</v>
      </c>
      <c r="AC81" s="34">
        <f t="shared" si="122"/>
        <v>2.4161455372370577E-2</v>
      </c>
      <c r="AD81" s="34">
        <f t="shared" si="122"/>
        <v>8.0488481820704116E-3</v>
      </c>
      <c r="AE81" s="34">
        <f t="shared" si="122"/>
        <v>2.9322687224669686E-2</v>
      </c>
      <c r="AF81" s="34">
        <f t="shared" si="122"/>
        <v>3.2499665641299913E-2</v>
      </c>
      <c r="AG81" s="34">
        <f t="shared" si="122"/>
        <v>-3.4715025906735697E-2</v>
      </c>
      <c r="AH81" s="34">
        <f t="shared" si="122"/>
        <v>-1.5566290928609727E-2</v>
      </c>
      <c r="AI81" s="210">
        <f t="shared" ref="AI81:AN81" si="123">AH81</f>
        <v>-1.5566290928609727E-2</v>
      </c>
      <c r="AJ81" s="210">
        <f>AI81</f>
        <v>-1.5566290928609727E-2</v>
      </c>
      <c r="AK81" s="210">
        <f>AJ81</f>
        <v>-1.5566290928609727E-2</v>
      </c>
      <c r="AL81" s="210">
        <f>AK81</f>
        <v>-1.5566290928609727E-2</v>
      </c>
      <c r="AM81" s="210">
        <f t="shared" si="123"/>
        <v>-1.5566290928609727E-2</v>
      </c>
      <c r="AN81" s="210">
        <f t="shared" si="123"/>
        <v>-1.5566290928609727E-2</v>
      </c>
    </row>
    <row r="82" spans="1:40" s="29" customFormat="1">
      <c r="A82" s="29" t="s">
        <v>315</v>
      </c>
      <c r="B82" s="34">
        <f>B78/4828-1</f>
        <v>9.5484672742336407E-2</v>
      </c>
      <c r="C82" s="34">
        <f t="shared" ref="C82:Z82" si="124">C78/B78-1</f>
        <v>-8.5082246171298559E-3</v>
      </c>
      <c r="D82" s="34">
        <f t="shared" si="124"/>
        <v>0.13424866514111367</v>
      </c>
      <c r="E82" s="34">
        <f t="shared" si="124"/>
        <v>2.2696704774714194E-2</v>
      </c>
      <c r="F82" s="34">
        <f t="shared" si="124"/>
        <v>-0.16357060660858125</v>
      </c>
      <c r="G82" s="34">
        <f t="shared" si="124"/>
        <v>1.8867924528301883E-2</v>
      </c>
      <c r="H82" s="34">
        <f t="shared" si="124"/>
        <v>4.5910493827160392E-2</v>
      </c>
      <c r="I82" s="34">
        <f t="shared" si="124"/>
        <v>6.0863150129104593E-3</v>
      </c>
      <c r="J82" s="34">
        <f t="shared" si="124"/>
        <v>0.25169569202566455</v>
      </c>
      <c r="K82" s="34">
        <f t="shared" si="124"/>
        <v>3.4270650263620306E-2</v>
      </c>
      <c r="L82" s="34">
        <f t="shared" si="124"/>
        <v>-2.3364485981308358E-2</v>
      </c>
      <c r="M82" s="34">
        <f t="shared" si="124"/>
        <v>0.10859794113382626</v>
      </c>
      <c r="N82" s="34">
        <f t="shared" si="124"/>
        <v>2.8250065393669921E-2</v>
      </c>
      <c r="O82" s="34">
        <f t="shared" si="124"/>
        <v>-5.7237344187229811E-3</v>
      </c>
      <c r="P82" s="34">
        <f t="shared" si="124"/>
        <v>6.4091083535883442E-2</v>
      </c>
      <c r="Q82" s="34">
        <f t="shared" si="124"/>
        <v>-7.0690069728300053E-2</v>
      </c>
      <c r="R82" s="34">
        <f t="shared" si="124"/>
        <v>6.0672703751617041E-2</v>
      </c>
      <c r="S82" s="34">
        <f t="shared" si="124"/>
        <v>-7.110623246737402E-2</v>
      </c>
      <c r="T82" s="34">
        <f t="shared" si="124"/>
        <v>-3.5057773109243739E-2</v>
      </c>
      <c r="U82" s="34">
        <f t="shared" si="124"/>
        <v>6.1096747856851374E-2</v>
      </c>
      <c r="V82" s="34">
        <f t="shared" si="124"/>
        <v>-4.7063349576814573E-2</v>
      </c>
      <c r="W82" s="34">
        <f t="shared" si="124"/>
        <v>2.4761135782532584E-2</v>
      </c>
      <c r="X82" s="34">
        <f t="shared" si="124"/>
        <v>-1.4839133289560102E-2</v>
      </c>
      <c r="Y82" s="34">
        <f t="shared" si="124"/>
        <v>1.0663822980538473E-2</v>
      </c>
      <c r="Z82" s="34">
        <f t="shared" si="124"/>
        <v>-9.6280664732261156E-3</v>
      </c>
      <c r="AA82" s="34">
        <f t="shared" ref="AA82:AH82" si="125">AA78/Z78-1</f>
        <v>8.9758955919563288E-2</v>
      </c>
      <c r="AB82" s="34">
        <f t="shared" si="125"/>
        <v>-0.1059513625809605</v>
      </c>
      <c r="AC82" s="34">
        <f t="shared" si="125"/>
        <v>-1.5035538545653315E-2</v>
      </c>
      <c r="AD82" s="34">
        <f t="shared" si="125"/>
        <v>8.0488481820704116E-3</v>
      </c>
      <c r="AE82" s="34">
        <f t="shared" si="125"/>
        <v>2.9322687224669686E-2</v>
      </c>
      <c r="AF82" s="34">
        <f t="shared" si="125"/>
        <v>3.2499665641299913E-2</v>
      </c>
      <c r="AG82" s="34">
        <f t="shared" si="125"/>
        <v>-3.4715025906735697E-2</v>
      </c>
      <c r="AH82" s="34">
        <f t="shared" si="125"/>
        <v>-1.5566290928609727E-2</v>
      </c>
      <c r="AI82" s="34">
        <f t="shared" ref="AI82:AN82" si="126">AI78/AH78-1</f>
        <v>-1.5566290928609727E-2</v>
      </c>
      <c r="AJ82" s="34">
        <f>AJ78/AI78-1</f>
        <v>-1.5566290928609727E-2</v>
      </c>
      <c r="AK82" s="34">
        <f>AK78/AJ78-1</f>
        <v>-1.5566290928609838E-2</v>
      </c>
      <c r="AL82" s="34">
        <f>AL78/AK78-1</f>
        <v>-1.5566290928609727E-2</v>
      </c>
      <c r="AM82" s="34">
        <f t="shared" si="126"/>
        <v>-1.5566290928609727E-2</v>
      </c>
      <c r="AN82" s="34">
        <f t="shared" si="126"/>
        <v>-1.5566290928609727E-2</v>
      </c>
    </row>
    <row r="83" spans="1:40" s="29" customFormat="1">
      <c r="A83" s="29" t="s">
        <v>314</v>
      </c>
      <c r="B83" s="34">
        <f>B79/(4828-4180)-1</f>
        <v>0.42592592592592582</v>
      </c>
      <c r="C83" s="34">
        <f t="shared" ref="C83:AC83" si="127">C79/B79-1</f>
        <v>-0.12121212121212122</v>
      </c>
      <c r="D83" s="34">
        <f t="shared" si="127"/>
        <v>0.5</v>
      </c>
      <c r="E83" s="34">
        <f t="shared" si="127"/>
        <v>0.11904761904761907</v>
      </c>
      <c r="F83" s="34">
        <f t="shared" si="127"/>
        <v>-0.93396918561995601</v>
      </c>
      <c r="G83" s="34">
        <f t="shared" si="127"/>
        <v>0.31111111111111112</v>
      </c>
      <c r="H83" s="34">
        <f t="shared" si="127"/>
        <v>0</v>
      </c>
      <c r="I83" s="34">
        <f t="shared" si="127"/>
        <v>-0.14406779661016944</v>
      </c>
      <c r="J83" s="34">
        <f t="shared" si="127"/>
        <v>11.178217821782178</v>
      </c>
      <c r="K83" s="34">
        <f t="shared" si="127"/>
        <v>-9.7560975609756184E-3</v>
      </c>
      <c r="L83" s="34">
        <f t="shared" si="127"/>
        <v>-0.12315270935960587</v>
      </c>
      <c r="M83" s="34">
        <f t="shared" si="127"/>
        <v>0.65917602996254687</v>
      </c>
      <c r="N83" s="34">
        <f t="shared" si="127"/>
        <v>-0.13487584650112872</v>
      </c>
      <c r="O83" s="34">
        <f t="shared" si="127"/>
        <v>-0.1245923026744945</v>
      </c>
      <c r="P83" s="34">
        <f t="shared" si="127"/>
        <v>0.40312965722801786</v>
      </c>
      <c r="Q83" s="34">
        <f t="shared" si="127"/>
        <v>-0.23207647371216145</v>
      </c>
      <c r="R83" s="34">
        <f t="shared" si="127"/>
        <v>2.7662517289073207E-3</v>
      </c>
      <c r="S83" s="34">
        <f t="shared" si="127"/>
        <v>-0.1537931034482759</v>
      </c>
      <c r="T83" s="34">
        <f t="shared" si="127"/>
        <v>-0.52485737571312141</v>
      </c>
      <c r="U83" s="34">
        <f t="shared" si="127"/>
        <v>0.87993138936535154</v>
      </c>
      <c r="V83" s="34">
        <f t="shared" si="127"/>
        <v>-0.39598540145985406</v>
      </c>
      <c r="W83" s="34">
        <f t="shared" si="127"/>
        <v>0.38368580060422963</v>
      </c>
      <c r="X83" s="34">
        <f t="shared" si="127"/>
        <v>-0.48471615720524019</v>
      </c>
      <c r="Y83" s="34">
        <f t="shared" si="127"/>
        <v>0.49152542372881358</v>
      </c>
      <c r="Z83" s="34">
        <f t="shared" si="127"/>
        <v>-5.1136363636363646E-2</v>
      </c>
      <c r="AA83" s="34">
        <f t="shared" si="127"/>
        <v>0.53892215568862278</v>
      </c>
      <c r="AB83" s="34">
        <f t="shared" si="127"/>
        <v>-0.72762645914396895</v>
      </c>
      <c r="AC83" s="34">
        <f t="shared" si="127"/>
        <v>-1</v>
      </c>
      <c r="AD83" s="34">
        <v>0</v>
      </c>
      <c r="AE83" s="34">
        <v>0</v>
      </c>
      <c r="AF83" s="34">
        <v>0</v>
      </c>
      <c r="AG83" s="34">
        <v>0</v>
      </c>
      <c r="AH83" s="34">
        <v>0</v>
      </c>
      <c r="AI83" s="210">
        <f t="shared" ref="AI83:AN83" si="128">AH83</f>
        <v>0</v>
      </c>
      <c r="AJ83" s="210">
        <f>AI83</f>
        <v>0</v>
      </c>
      <c r="AK83" s="210">
        <f>AJ83</f>
        <v>0</v>
      </c>
      <c r="AL83" s="210">
        <f>AK83</f>
        <v>0</v>
      </c>
      <c r="AM83" s="210">
        <f t="shared" si="128"/>
        <v>0</v>
      </c>
      <c r="AN83" s="210">
        <f t="shared" si="128"/>
        <v>0</v>
      </c>
    </row>
    <row r="84" spans="1:40" s="29" customFormat="1"/>
    <row r="85" spans="1:40" s="29" customFormat="1">
      <c r="A85" s="109" t="s">
        <v>308</v>
      </c>
      <c r="B85" s="408">
        <f t="shared" ref="B85:AI85" si="129">B63/B77-1</f>
        <v>0.47353951890034374</v>
      </c>
      <c r="C85" s="408">
        <f t="shared" si="129"/>
        <v>0.45081227436823101</v>
      </c>
      <c r="D85" s="408">
        <f t="shared" si="129"/>
        <v>0.59408033826638484</v>
      </c>
      <c r="E85" s="408">
        <f t="shared" si="129"/>
        <v>0.4597457627118644</v>
      </c>
      <c r="F85" s="408">
        <f t="shared" si="129"/>
        <v>0.50360144057623057</v>
      </c>
      <c r="G85" s="408">
        <f t="shared" si="129"/>
        <v>0.50769838136596923</v>
      </c>
      <c r="H85" s="408">
        <f t="shared" si="129"/>
        <v>0.49896304675716441</v>
      </c>
      <c r="I85" s="408">
        <f t="shared" si="129"/>
        <v>0.54333208815838629</v>
      </c>
      <c r="J85" s="408">
        <f t="shared" si="129"/>
        <v>0.47606287959985716</v>
      </c>
      <c r="K85" s="408">
        <f t="shared" si="129"/>
        <v>0.41392881587953467</v>
      </c>
      <c r="L85" s="408">
        <f t="shared" si="129"/>
        <v>0.41756733573511751</v>
      </c>
      <c r="M85" s="408">
        <f t="shared" si="129"/>
        <v>0.40670752468505267</v>
      </c>
      <c r="N85" s="408">
        <f t="shared" si="129"/>
        <v>0.3055775003950072</v>
      </c>
      <c r="O85" s="408">
        <f t="shared" si="129"/>
        <v>0.32440154440154445</v>
      </c>
      <c r="P85" s="408">
        <f t="shared" si="129"/>
        <v>0.38119658119658117</v>
      </c>
      <c r="Q85" s="408">
        <f t="shared" si="129"/>
        <v>0.41438574156588159</v>
      </c>
      <c r="R85" s="408">
        <f t="shared" si="129"/>
        <v>0.31693584234701433</v>
      </c>
      <c r="S85" s="408">
        <f t="shared" si="129"/>
        <v>0.39114102363437153</v>
      </c>
      <c r="T85" s="408">
        <f t="shared" si="129"/>
        <v>0.31362695832101695</v>
      </c>
      <c r="U85" s="408">
        <f t="shared" si="129"/>
        <v>0.32617129215159646</v>
      </c>
      <c r="V85" s="408">
        <f t="shared" si="129"/>
        <v>0.313044762889644</v>
      </c>
      <c r="W85" s="408">
        <f t="shared" si="129"/>
        <v>0.32676518883415429</v>
      </c>
      <c r="X85" s="408">
        <f t="shared" si="129"/>
        <v>0.26429587482219064</v>
      </c>
      <c r="Y85" s="408">
        <f t="shared" si="129"/>
        <v>0.29223611514975278</v>
      </c>
      <c r="Z85" s="408">
        <f t="shared" si="129"/>
        <v>0.30287969595088438</v>
      </c>
      <c r="AA85" s="408">
        <f t="shared" si="129"/>
        <v>0.24570230607966459</v>
      </c>
      <c r="AB85" s="408">
        <f t="shared" si="129"/>
        <v>0.30187606594656047</v>
      </c>
      <c r="AC85" s="408">
        <f t="shared" si="129"/>
        <v>0.27463225090202603</v>
      </c>
      <c r="AD85" s="408">
        <f t="shared" si="129"/>
        <v>0.34361233480176212</v>
      </c>
      <c r="AE85" s="408">
        <f t="shared" si="129"/>
        <v>0.31202353885248102</v>
      </c>
      <c r="AF85" s="408">
        <f t="shared" si="129"/>
        <v>0.27396373056994827</v>
      </c>
      <c r="AG85" s="408">
        <f t="shared" ref="AG85" si="130">AG63/AG77-1</f>
        <v>0.31977992485238871</v>
      </c>
      <c r="AH85" s="408">
        <f t="shared" si="129"/>
        <v>0.1975190839694656</v>
      </c>
      <c r="AI85" s="408">
        <f t="shared" si="129"/>
        <v>0.21645477286538406</v>
      </c>
      <c r="AJ85" s="408">
        <f>AJ63/AJ77-1</f>
        <v>0.23568988105136879</v>
      </c>
      <c r="AK85" s="408">
        <f>AK63/AK77-1</f>
        <v>0.25522914307453659</v>
      </c>
      <c r="AL85" s="408">
        <f>AL63/AL77-1</f>
        <v>0.35490577501610865</v>
      </c>
      <c r="AM85" s="408">
        <f>AM63/AM77-1</f>
        <v>0.37633013023719197</v>
      </c>
      <c r="AN85" s="408">
        <f>AN63/AN77-1</f>
        <v>0.3980932566149884</v>
      </c>
    </row>
    <row r="86" spans="1:40" s="29" customFormat="1">
      <c r="A86" s="62" t="s">
        <v>309</v>
      </c>
      <c r="B86" s="260">
        <f t="shared" ref="B86:AI86" si="131">B63/B78-1</f>
        <v>0.21610890527509929</v>
      </c>
      <c r="C86" s="260">
        <f t="shared" si="131"/>
        <v>0.22616323417238759</v>
      </c>
      <c r="D86" s="260">
        <f t="shared" si="131"/>
        <v>0.26765299260255548</v>
      </c>
      <c r="E86" s="260">
        <f t="shared" si="131"/>
        <v>0.13266480355087951</v>
      </c>
      <c r="F86" s="260">
        <f t="shared" si="131"/>
        <v>0.477004716981132</v>
      </c>
      <c r="G86" s="260">
        <f t="shared" si="131"/>
        <v>0.47337962962962954</v>
      </c>
      <c r="H86" s="260">
        <f t="shared" si="131"/>
        <v>0.46634083364072287</v>
      </c>
      <c r="I86" s="260">
        <f t="shared" si="131"/>
        <v>0.51475710357470206</v>
      </c>
      <c r="J86" s="260">
        <f t="shared" si="131"/>
        <v>0.2101640304628003</v>
      </c>
      <c r="K86" s="260">
        <f t="shared" si="131"/>
        <v>0.17006513735485695</v>
      </c>
      <c r="L86" s="260">
        <f t="shared" si="131"/>
        <v>0.1980571262867914</v>
      </c>
      <c r="M86" s="260">
        <f t="shared" si="131"/>
        <v>8.0695788647658917E-2</v>
      </c>
      <c r="N86" s="260">
        <f t="shared" si="131"/>
        <v>5.1004833375731362E-2</v>
      </c>
      <c r="O86" s="260">
        <f t="shared" si="131"/>
        <v>9.7032109504925135E-2</v>
      </c>
      <c r="P86" s="260">
        <f t="shared" si="131"/>
        <v>6.8526088001923613E-2</v>
      </c>
      <c r="Q86" s="260">
        <f t="shared" si="131"/>
        <v>0.14980595084087978</v>
      </c>
      <c r="R86" s="260">
        <f t="shared" si="131"/>
        <v>8.4034638370533044E-2</v>
      </c>
      <c r="S86" s="260">
        <f t="shared" si="131"/>
        <v>0.16701680672268915</v>
      </c>
      <c r="T86" s="260">
        <f t="shared" si="131"/>
        <v>0.20941624710845019</v>
      </c>
      <c r="U86" s="260">
        <f t="shared" si="131"/>
        <v>0.13977943062323672</v>
      </c>
      <c r="V86" s="260">
        <f t="shared" si="131"/>
        <v>0.19607051540842413</v>
      </c>
      <c r="W86" s="260">
        <f t="shared" si="131"/>
        <v>0.1671700590938936</v>
      </c>
      <c r="X86" s="260">
        <f t="shared" si="131"/>
        <v>0.18475073313782997</v>
      </c>
      <c r="Y86" s="260">
        <f t="shared" si="131"/>
        <v>0.17225006594566072</v>
      </c>
      <c r="Z86" s="260">
        <f t="shared" si="131"/>
        <v>0.18697562924490607</v>
      </c>
      <c r="AA86" s="260">
        <f t="shared" si="131"/>
        <v>8.9209336429182384E-2</v>
      </c>
      <c r="AB86" s="260">
        <f t="shared" si="131"/>
        <v>0.25205030071077084</v>
      </c>
      <c r="AC86" s="260">
        <f t="shared" si="131"/>
        <v>0.27463225090202603</v>
      </c>
      <c r="AD86" s="260">
        <f t="shared" si="131"/>
        <v>0.34361233480176212</v>
      </c>
      <c r="AE86" s="260">
        <f t="shared" si="131"/>
        <v>0.31202353885248102</v>
      </c>
      <c r="AF86" s="260">
        <f t="shared" si="131"/>
        <v>0.27396373056994827</v>
      </c>
      <c r="AG86" s="260">
        <f t="shared" ref="AG86" si="132">AG63/AG78-1</f>
        <v>0.31977992485238871</v>
      </c>
      <c r="AH86" s="260">
        <f t="shared" si="131"/>
        <v>0.1975190839694656</v>
      </c>
      <c r="AI86" s="260">
        <f t="shared" si="131"/>
        <v>0.21645477286538406</v>
      </c>
      <c r="AJ86" s="260">
        <f>AJ63/AJ78-1</f>
        <v>0.23568988105136879</v>
      </c>
      <c r="AK86" s="260">
        <f>AK63/AK78-1</f>
        <v>0.25522914307453659</v>
      </c>
      <c r="AL86" s="260">
        <f>AL63/AL78-1</f>
        <v>0.35490577501610865</v>
      </c>
      <c r="AM86" s="260">
        <f>AM63/AM78-1</f>
        <v>0.37633013023719197</v>
      </c>
      <c r="AN86" s="260">
        <f>AN63/AN78-1</f>
        <v>0.3980932566149884</v>
      </c>
    </row>
    <row r="87" spans="1:40" s="29" customFormat="1">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c r="AD87" s="32"/>
      <c r="AE87" s="32"/>
      <c r="AF87" s="32"/>
      <c r="AG87" s="32"/>
      <c r="AH87" s="32"/>
      <c r="AI87" s="32"/>
      <c r="AJ87" s="32"/>
      <c r="AK87" s="32"/>
      <c r="AL87" s="32"/>
      <c r="AM87" s="32"/>
      <c r="AN87" s="32"/>
    </row>
    <row r="88" spans="1:40">
      <c r="A88" s="433" t="s">
        <v>742</v>
      </c>
      <c r="B88" s="434"/>
      <c r="C88" s="434"/>
      <c r="D88" s="434"/>
      <c r="E88" s="434"/>
      <c r="F88" s="434"/>
      <c r="G88" s="434"/>
      <c r="H88" s="434"/>
      <c r="I88" s="434"/>
      <c r="J88" s="434"/>
      <c r="K88" s="434"/>
      <c r="L88" s="434"/>
      <c r="M88" s="434"/>
      <c r="N88" s="434"/>
      <c r="O88" s="434"/>
      <c r="P88" s="434"/>
      <c r="Q88" s="434"/>
      <c r="R88" s="434"/>
      <c r="S88" s="434"/>
      <c r="T88" s="434"/>
      <c r="U88" s="434"/>
      <c r="V88" s="434"/>
    </row>
    <row r="89" spans="1:40">
      <c r="A89" s="435" t="s">
        <v>741</v>
      </c>
      <c r="B89" s="434"/>
      <c r="C89" s="434"/>
      <c r="D89" s="434"/>
      <c r="E89" s="434"/>
      <c r="F89" s="434"/>
      <c r="G89" s="434"/>
      <c r="H89" s="434"/>
      <c r="I89" s="434"/>
      <c r="J89" s="434"/>
      <c r="K89" s="434"/>
      <c r="L89" s="434"/>
      <c r="M89" s="434"/>
      <c r="N89" s="434"/>
      <c r="O89" s="434"/>
      <c r="P89" s="434"/>
      <c r="Q89" s="434"/>
      <c r="R89" s="434"/>
      <c r="S89" s="434"/>
      <c r="T89" s="434"/>
      <c r="U89" s="434"/>
      <c r="V89" s="434"/>
    </row>
    <row r="90" spans="1:40">
      <c r="A90" s="435"/>
      <c r="B90" s="434"/>
      <c r="C90" s="434"/>
      <c r="D90" s="434"/>
      <c r="E90" s="434"/>
      <c r="F90" s="434"/>
      <c r="G90" s="434"/>
      <c r="H90" s="434"/>
      <c r="I90" s="434"/>
      <c r="J90" s="434"/>
      <c r="K90" s="434"/>
      <c r="L90" s="434"/>
      <c r="M90" s="434"/>
      <c r="N90" s="434"/>
      <c r="O90" s="434"/>
      <c r="P90" s="434"/>
      <c r="Q90" s="434"/>
      <c r="R90" s="434"/>
      <c r="S90" s="434"/>
      <c r="T90" s="439" t="s">
        <v>734</v>
      </c>
      <c r="U90" s="439" t="s">
        <v>735</v>
      </c>
      <c r="V90" s="434" t="s">
        <v>753</v>
      </c>
    </row>
    <row r="91" spans="1:40">
      <c r="A91" s="434" t="s">
        <v>689</v>
      </c>
      <c r="B91" s="434"/>
      <c r="C91" s="434"/>
      <c r="D91" s="434"/>
      <c r="E91" s="434"/>
      <c r="F91" s="434"/>
      <c r="G91" s="434"/>
      <c r="H91" s="434"/>
      <c r="I91" s="434"/>
      <c r="J91" s="434"/>
      <c r="K91" s="434"/>
      <c r="L91" s="434"/>
      <c r="M91" s="434"/>
      <c r="N91" s="434"/>
      <c r="O91" s="434"/>
      <c r="P91" s="434"/>
      <c r="Q91" s="434"/>
      <c r="R91" s="434"/>
      <c r="S91" s="434"/>
      <c r="T91" s="434">
        <v>22562</v>
      </c>
      <c r="U91" s="434">
        <v>25429</v>
      </c>
      <c r="V91" s="434"/>
    </row>
    <row r="92" spans="1:40">
      <c r="A92" s="434" t="s">
        <v>688</v>
      </c>
      <c r="B92" s="434"/>
      <c r="C92" s="434"/>
      <c r="D92" s="434"/>
      <c r="E92" s="434"/>
      <c r="F92" s="434"/>
      <c r="G92" s="434"/>
      <c r="H92" s="434"/>
      <c r="I92" s="434"/>
      <c r="J92" s="434"/>
      <c r="K92" s="434"/>
      <c r="L92" s="434"/>
      <c r="M92" s="434"/>
      <c r="N92" s="434"/>
      <c r="O92" s="434"/>
      <c r="P92" s="434"/>
      <c r="Q92" s="434"/>
      <c r="R92" s="434"/>
      <c r="S92" s="434"/>
      <c r="T92" s="434">
        <v>10703</v>
      </c>
      <c r="U92" s="434">
        <f>26496+3152</f>
        <v>29648</v>
      </c>
      <c r="V92" s="434"/>
    </row>
    <row r="93" spans="1:40">
      <c r="A93" s="434" t="s">
        <v>346</v>
      </c>
      <c r="B93" s="434"/>
      <c r="C93" s="434"/>
      <c r="D93" s="434"/>
      <c r="E93" s="434"/>
      <c r="F93" s="434"/>
      <c r="G93" s="434"/>
      <c r="H93" s="434"/>
      <c r="I93" s="434"/>
      <c r="J93" s="434"/>
      <c r="K93" s="434"/>
      <c r="L93" s="434"/>
      <c r="M93" s="434"/>
      <c r="N93" s="434"/>
      <c r="O93" s="434"/>
      <c r="P93" s="434"/>
      <c r="Q93" s="434"/>
      <c r="R93" s="434"/>
      <c r="S93" s="434"/>
      <c r="T93" s="434">
        <v>836</v>
      </c>
      <c r="U93" s="434">
        <f>1018</f>
        <v>1018</v>
      </c>
      <c r="V93" s="434"/>
    </row>
    <row r="94" spans="1:40">
      <c r="A94" s="433" t="s">
        <v>77</v>
      </c>
      <c r="B94" s="433"/>
      <c r="C94" s="433"/>
      <c r="D94" s="433"/>
      <c r="E94" s="433"/>
      <c r="F94" s="433"/>
      <c r="G94" s="433"/>
      <c r="H94" s="433"/>
      <c r="I94" s="433"/>
      <c r="J94" s="433"/>
      <c r="K94" s="433"/>
      <c r="L94" s="433"/>
      <c r="M94" s="433"/>
      <c r="N94" s="433"/>
      <c r="O94" s="433"/>
      <c r="P94" s="433"/>
      <c r="Q94" s="433"/>
      <c r="R94" s="433"/>
      <c r="S94" s="433"/>
      <c r="T94" s="433">
        <f>SUM(T91:T93)</f>
        <v>34101</v>
      </c>
      <c r="U94" s="433">
        <f>SUM(U91:U93)</f>
        <v>56095</v>
      </c>
      <c r="V94" s="468">
        <v>52900</v>
      </c>
    </row>
    <row r="95" spans="1:40">
      <c r="U95" s="13"/>
    </row>
    <row r="96" spans="1:40">
      <c r="U96" s="13"/>
    </row>
    <row r="97" spans="1:21">
      <c r="A97" s="159" t="s">
        <v>692</v>
      </c>
    </row>
    <row r="99" spans="1:21">
      <c r="A99" s="438" t="s">
        <v>693</v>
      </c>
      <c r="T99" s="49" t="s">
        <v>699</v>
      </c>
    </row>
    <row r="100" spans="1:21">
      <c r="A100" s="438" t="s">
        <v>694</v>
      </c>
      <c r="T100" s="49" t="s">
        <v>695</v>
      </c>
    </row>
    <row r="101" spans="1:21">
      <c r="A101" s="438" t="s">
        <v>706</v>
      </c>
      <c r="T101" s="49" t="s">
        <v>707</v>
      </c>
    </row>
    <row r="102" spans="1:21">
      <c r="A102" s="49" t="s">
        <v>696</v>
      </c>
      <c r="T102" s="49" t="s">
        <v>697</v>
      </c>
    </row>
    <row r="103" spans="1:21">
      <c r="A103" s="438" t="s">
        <v>703</v>
      </c>
      <c r="T103" s="49" t="s">
        <v>704</v>
      </c>
    </row>
    <row r="104" spans="1:21">
      <c r="T104" s="49" t="s">
        <v>705</v>
      </c>
    </row>
    <row r="105" spans="1:21">
      <c r="A105" s="438" t="s">
        <v>711</v>
      </c>
      <c r="T105" s="49" t="s">
        <v>712</v>
      </c>
    </row>
    <row r="106" spans="1:21">
      <c r="A106" s="438" t="s">
        <v>708</v>
      </c>
      <c r="T106" s="49" t="s">
        <v>714</v>
      </c>
    </row>
    <row r="107" spans="1:21">
      <c r="T107" s="49" t="s">
        <v>713</v>
      </c>
    </row>
    <row r="108" spans="1:21">
      <c r="T108" s="49" t="s">
        <v>709</v>
      </c>
      <c r="U108" s="49" t="s">
        <v>710</v>
      </c>
    </row>
    <row r="109" spans="1:21">
      <c r="A109" s="49" t="s">
        <v>698</v>
      </c>
    </row>
    <row r="110" spans="1:21">
      <c r="A110" s="49" t="s">
        <v>700</v>
      </c>
    </row>
    <row r="111" spans="1:21">
      <c r="A111" s="49" t="s">
        <v>701</v>
      </c>
    </row>
    <row r="112" spans="1:21">
      <c r="A112" s="49" t="s">
        <v>702</v>
      </c>
    </row>
    <row r="114" spans="1:21">
      <c r="A114" s="49" t="s">
        <v>715</v>
      </c>
      <c r="T114" s="49">
        <v>4000</v>
      </c>
    </row>
    <row r="115" spans="1:21">
      <c r="A115" s="49" t="s">
        <v>716</v>
      </c>
      <c r="T115" s="169">
        <v>0.7</v>
      </c>
    </row>
    <row r="116" spans="1:21">
      <c r="A116" s="49" t="s">
        <v>717</v>
      </c>
      <c r="T116" s="49">
        <f>T114*T115</f>
        <v>2800</v>
      </c>
      <c r="U116" s="49">
        <f>T116/5</f>
        <v>560</v>
      </c>
    </row>
    <row r="117" spans="1:21">
      <c r="A117" s="49" t="s">
        <v>721</v>
      </c>
      <c r="T117" s="274">
        <f>T116/AE4</f>
        <v>2.2731885528719301E-2</v>
      </c>
    </row>
    <row r="118" spans="1:21">
      <c r="A118" s="49" t="s">
        <v>718</v>
      </c>
      <c r="T118" s="49">
        <f>T116*0.08</f>
        <v>224</v>
      </c>
    </row>
    <row r="119" spans="1:21">
      <c r="A119" s="49" t="s">
        <v>720</v>
      </c>
      <c r="T119" s="274">
        <f>T118/SOC!AE46</f>
        <v>2.7427451940737112E-2</v>
      </c>
    </row>
    <row r="120" spans="1:21">
      <c r="A120" s="49" t="s">
        <v>719</v>
      </c>
      <c r="T120" s="274">
        <f>T118/Final!AE31</f>
        <v>2.353682883261532E-2</v>
      </c>
    </row>
  </sheetData>
  <phoneticPr fontId="0" type="noConversion"/>
  <hyperlinks>
    <hyperlink ref="A89" r:id="rId1" xr:uid="{00000000-0004-0000-0800-000000000000}"/>
  </hyperlinks>
  <printOptions headings="1" gridLines="1" gridLinesSet="0"/>
  <pageMargins left="0.74803149606299213" right="0.74803149606299213" top="0.51181102362204722" bottom="0.70866141732283472" header="0.51181102362204722" footer="0.51181102362204722"/>
  <pageSetup paperSize="9" orientation="landscape" horizontalDpi="4294967292" r:id="rId2"/>
  <headerFooter alignWithMargins="0"/>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Y165"/>
  <sheetViews>
    <sheetView showOutlineSymbols="0" zoomScale="145" zoomScaleNormal="145" workbookViewId="0">
      <pane xSplit="16" ySplit="1" topLeftCell="AC2" activePane="bottomRight" state="frozen"/>
      <selection pane="topRight" activeCell="Q1" sqref="Q1"/>
      <selection pane="bottomLeft" activeCell="A2" sqref="A2"/>
      <selection pane="bottomRight" activeCell="AI9" sqref="AI9"/>
    </sheetView>
  </sheetViews>
  <sheetFormatPr defaultColWidth="9.140625" defaultRowHeight="12.75" outlineLevelRow="1" outlineLevelCol="1"/>
  <cols>
    <col min="1" max="1" width="28.140625" style="7" bestFit="1" customWidth="1"/>
    <col min="2" max="16" width="9.140625" style="7" hidden="1" customWidth="1" outlineLevel="1"/>
    <col min="17" max="17" width="0" style="7" hidden="1" customWidth="1" collapsed="1"/>
    <col min="18" max="18" width="0" style="7" hidden="1" customWidth="1"/>
    <col min="19" max="28" width="8.42578125" style="7" hidden="1" customWidth="1"/>
    <col min="29" max="31" width="8.42578125" style="7" customWidth="1"/>
    <col min="32" max="40" width="8.85546875" style="7" customWidth="1"/>
    <col min="41" max="16384" width="9.140625" style="7"/>
  </cols>
  <sheetData>
    <row r="1" spans="1:43" s="43" customFormat="1">
      <c r="A1" s="42" t="s">
        <v>213</v>
      </c>
      <c r="B1" s="84">
        <f>Final!B2</f>
        <v>1992</v>
      </c>
      <c r="C1" s="84">
        <f>Final!C2</f>
        <v>1993</v>
      </c>
      <c r="D1" s="84">
        <f>Final!D2</f>
        <v>1994</v>
      </c>
      <c r="E1" s="84">
        <f>Final!E2</f>
        <v>1995</v>
      </c>
      <c r="F1" s="84">
        <f>Final!F2</f>
        <v>1996</v>
      </c>
      <c r="G1" s="84">
        <f>Final!G2</f>
        <v>1997</v>
      </c>
      <c r="H1" s="84">
        <f>Final!H2</f>
        <v>1998</v>
      </c>
      <c r="I1" s="84" t="str">
        <f>Final!I2</f>
        <v>1999*</v>
      </c>
      <c r="J1" s="84">
        <f>Final!J2</f>
        <v>2000</v>
      </c>
      <c r="K1" s="84">
        <f>Final!K2</f>
        <v>2001</v>
      </c>
      <c r="L1" s="84">
        <f>Final!L2</f>
        <v>2002</v>
      </c>
      <c r="M1" s="84">
        <f>Final!M2</f>
        <v>2003</v>
      </c>
      <c r="N1" s="84">
        <f>Final!N2</f>
        <v>2004</v>
      </c>
      <c r="O1" s="84">
        <f>Final!O2</f>
        <v>2005</v>
      </c>
      <c r="P1" s="84">
        <f>Final!P2</f>
        <v>2006</v>
      </c>
      <c r="Q1" s="84">
        <f>Final!Q2</f>
        <v>2007</v>
      </c>
      <c r="R1" s="84">
        <f>Final!R2</f>
        <v>2008</v>
      </c>
      <c r="S1" s="84">
        <f>Final!S2</f>
        <v>2009</v>
      </c>
      <c r="T1" s="84">
        <f>Final!T2</f>
        <v>2010</v>
      </c>
      <c r="U1" s="84">
        <f>Final!U2</f>
        <v>2011</v>
      </c>
      <c r="V1" s="84">
        <f>Final!V2</f>
        <v>2012</v>
      </c>
      <c r="W1" s="84">
        <f>Final!W2</f>
        <v>2013</v>
      </c>
      <c r="X1" s="84">
        <f>Final!X2</f>
        <v>2014</v>
      </c>
      <c r="Y1" s="84">
        <f>Final!Y2</f>
        <v>2015</v>
      </c>
      <c r="Z1" s="84">
        <f>Final!Z2</f>
        <v>2016</v>
      </c>
      <c r="AA1" s="84">
        <f>Final!AA2</f>
        <v>2017</v>
      </c>
      <c r="AB1" s="84">
        <f>Final!AB2</f>
        <v>2018</v>
      </c>
      <c r="AC1" s="84">
        <f>Final!AC2</f>
        <v>2019</v>
      </c>
      <c r="AD1" s="84">
        <f>Final!AD2</f>
        <v>2020</v>
      </c>
      <c r="AE1" s="84">
        <f>Final!AE2</f>
        <v>2021</v>
      </c>
      <c r="AF1" s="84">
        <f>Final!AF2</f>
        <v>2022</v>
      </c>
      <c r="AG1" s="84">
        <f>Final!AG2</f>
        <v>2023</v>
      </c>
      <c r="AH1" s="84">
        <f>Final!AH2</f>
        <v>2024</v>
      </c>
      <c r="AI1" s="84" t="str">
        <f>Final!AI2</f>
        <v>2025E</v>
      </c>
      <c r="AJ1" s="84" t="str">
        <f>Final!AJ2</f>
        <v>2026E</v>
      </c>
      <c r="AK1" s="84" t="str">
        <f>Final!AK2</f>
        <v>2027E</v>
      </c>
      <c r="AL1" s="84" t="str">
        <f>Final!AL2</f>
        <v>2028E</v>
      </c>
      <c r="AM1" s="84" t="str">
        <f>Final!AM2</f>
        <v>2029E</v>
      </c>
      <c r="AN1" s="84" t="str">
        <f>Final!AN2</f>
        <v>2030E</v>
      </c>
    </row>
    <row r="2" spans="1:43" s="43" customFormat="1">
      <c r="A2" s="43" t="s">
        <v>559</v>
      </c>
      <c r="B2" s="84"/>
      <c r="C2" s="84"/>
      <c r="D2" s="84"/>
      <c r="E2" s="84"/>
      <c r="F2" s="84"/>
      <c r="G2" s="84"/>
      <c r="H2" s="84"/>
      <c r="I2" s="84"/>
      <c r="J2" s="84"/>
      <c r="K2" s="84"/>
      <c r="L2" s="84"/>
      <c r="M2" s="84"/>
      <c r="N2" s="84"/>
      <c r="O2" s="87"/>
      <c r="P2" s="87"/>
      <c r="Q2" s="87"/>
      <c r="R2" s="87"/>
      <c r="S2" s="87"/>
      <c r="T2" s="87"/>
      <c r="U2" s="87"/>
      <c r="V2" s="87"/>
      <c r="W2" s="91">
        <v>1.2628999999999999</v>
      </c>
      <c r="X2" s="91">
        <v>1.2573000000000001</v>
      </c>
      <c r="Y2" s="91">
        <v>1.2320800000000001</v>
      </c>
      <c r="Z2" s="91">
        <v>1.1648700000000001</v>
      </c>
      <c r="AA2" s="91">
        <v>1.1571100000000001</v>
      </c>
      <c r="AB2" s="91">
        <v>1.18249</v>
      </c>
      <c r="AC2" s="91">
        <v>1.1345910634217033</v>
      </c>
      <c r="AD2" s="91">
        <v>1.1244980916030529</v>
      </c>
      <c r="AE2" s="91">
        <v>1.2045999999999999</v>
      </c>
      <c r="AF2" s="91">
        <v>1.1647000000000001</v>
      </c>
      <c r="AG2" s="92">
        <v>1.1073999999999999</v>
      </c>
      <c r="AH2" s="92">
        <v>1.0894700958030801</v>
      </c>
      <c r="AI2" s="92">
        <v>1.07711</v>
      </c>
      <c r="AJ2" s="92">
        <v>1.1071428571428572</v>
      </c>
      <c r="AK2" s="92">
        <f>AJ2</f>
        <v>1.1071428571428572</v>
      </c>
      <c r="AL2" s="92">
        <f t="shared" ref="AL2:AN2" si="0">AK2</f>
        <v>1.1071428571428572</v>
      </c>
      <c r="AM2" s="92">
        <f t="shared" si="0"/>
        <v>1.1071428571428572</v>
      </c>
      <c r="AN2" s="92">
        <f t="shared" si="0"/>
        <v>1.1071428571428572</v>
      </c>
    </row>
    <row r="3" spans="1:43" s="43" customFormat="1">
      <c r="A3" s="6" t="s">
        <v>523</v>
      </c>
      <c r="B3" s="85"/>
      <c r="C3" s="85"/>
      <c r="D3" s="85"/>
      <c r="E3" s="85"/>
      <c r="F3" s="85"/>
      <c r="G3" s="85"/>
      <c r="H3" s="85"/>
      <c r="I3" s="85"/>
      <c r="J3" s="85"/>
      <c r="K3" s="85"/>
      <c r="L3" s="85"/>
      <c r="M3" s="85"/>
      <c r="N3" s="85"/>
      <c r="O3" s="85"/>
      <c r="P3" s="85"/>
      <c r="Q3" s="85"/>
      <c r="R3" s="85"/>
      <c r="S3" s="85"/>
      <c r="T3" s="85"/>
      <c r="U3" s="85"/>
      <c r="V3" s="85"/>
      <c r="W3" s="85"/>
      <c r="X3" s="85"/>
      <c r="Y3" s="85"/>
      <c r="Z3" s="85"/>
      <c r="AA3" s="85"/>
      <c r="AB3" s="85"/>
      <c r="AC3" s="85"/>
      <c r="AD3" s="85"/>
      <c r="AE3" s="85"/>
      <c r="AF3" s="85"/>
      <c r="AG3" s="85"/>
      <c r="AH3" s="85"/>
      <c r="AI3" s="85"/>
      <c r="AJ3" s="85"/>
      <c r="AK3" s="85"/>
      <c r="AL3" s="85"/>
      <c r="AM3" s="85"/>
      <c r="AN3" s="85"/>
    </row>
    <row r="4" spans="1:43">
      <c r="A4" s="42" t="s">
        <v>114</v>
      </c>
      <c r="B4" s="79"/>
      <c r="C4" s="79"/>
      <c r="D4" s="79"/>
      <c r="E4" s="79"/>
      <c r="F4" s="79"/>
      <c r="G4" s="79"/>
      <c r="H4" s="79"/>
      <c r="I4" s="79">
        <v>357</v>
      </c>
      <c r="J4" s="79">
        <v>588</v>
      </c>
      <c r="K4" s="79">
        <v>706</v>
      </c>
      <c r="L4" s="79">
        <v>0</v>
      </c>
      <c r="M4" s="79">
        <v>0</v>
      </c>
      <c r="N4" s="79">
        <v>0</v>
      </c>
      <c r="O4" s="79">
        <v>17</v>
      </c>
      <c r="P4" s="79">
        <v>131</v>
      </c>
      <c r="Q4" s="79">
        <v>124</v>
      </c>
      <c r="R4" s="79">
        <v>169</v>
      </c>
      <c r="S4" s="79">
        <v>180</v>
      </c>
      <c r="T4" s="79">
        <v>305</v>
      </c>
      <c r="U4" s="79">
        <v>625</v>
      </c>
      <c r="V4" s="79">
        <v>943</v>
      </c>
      <c r="W4" s="79">
        <v>991</v>
      </c>
      <c r="X4" s="79">
        <v>909</v>
      </c>
      <c r="Y4" s="79">
        <v>937</v>
      </c>
      <c r="Z4" s="79">
        <v>1197</v>
      </c>
      <c r="AA4" s="79">
        <v>1305</v>
      </c>
      <c r="AB4" s="79">
        <v>1495</v>
      </c>
      <c r="AC4" s="108">
        <v>1674</v>
      </c>
      <c r="AD4" s="79">
        <v>1708</v>
      </c>
      <c r="AE4" s="79">
        <v>1800</v>
      </c>
      <c r="AF4" s="79">
        <v>1877</v>
      </c>
      <c r="AG4" s="79">
        <v>1846</v>
      </c>
      <c r="AH4" s="79">
        <v>1801</v>
      </c>
      <c r="AI4" s="100">
        <f t="shared" ref="AI4:AN4" si="1">AI8-AI5-AI6-AI7</f>
        <v>1887.0878829255873</v>
      </c>
      <c r="AJ4" s="100">
        <f t="shared" si="1"/>
        <v>1958.2371940112698</v>
      </c>
      <c r="AK4" s="100">
        <f t="shared" si="1"/>
        <v>1998.0137044012222</v>
      </c>
      <c r="AL4" s="100">
        <f t="shared" si="1"/>
        <v>2013.4269347446702</v>
      </c>
      <c r="AM4" s="100">
        <f t="shared" si="1"/>
        <v>2013.2121988794534</v>
      </c>
      <c r="AN4" s="100">
        <f t="shared" si="1"/>
        <v>2011.9182749049337</v>
      </c>
    </row>
    <row r="5" spans="1:43">
      <c r="A5" s="43" t="s">
        <v>520</v>
      </c>
      <c r="I5" s="7">
        <f>-72-I4-I9</f>
        <v>-399</v>
      </c>
      <c r="J5" s="7">
        <f>-48-J4-J9</f>
        <v>-600</v>
      </c>
      <c r="K5" s="7">
        <f>-69-K4-K9</f>
        <v>-724</v>
      </c>
      <c r="L5" s="7">
        <f>-118-L4-L9</f>
        <v>-67</v>
      </c>
      <c r="M5" s="7">
        <f>-145-M4-M9</f>
        <v>-143</v>
      </c>
      <c r="N5" s="7">
        <f>-181-N4-N9</f>
        <v>-179</v>
      </c>
      <c r="O5" s="7">
        <f>-132-O4-O9</f>
        <v>-142</v>
      </c>
      <c r="P5" s="7">
        <f>-70-P4-P9</f>
        <v>-165</v>
      </c>
      <c r="Q5" s="7">
        <f>-87-Q4-Q9</f>
        <v>-172</v>
      </c>
      <c r="R5" s="7">
        <f>282-R4-R9</f>
        <v>164</v>
      </c>
      <c r="S5" s="7">
        <f>-100-S4-S9</f>
        <v>-212</v>
      </c>
      <c r="T5" s="7">
        <f>412-T4-T9</f>
        <v>188</v>
      </c>
      <c r="U5" s="7">
        <f>147-U4-U9</f>
        <v>-330</v>
      </c>
      <c r="V5" s="7">
        <f>220-V4-V9</f>
        <v>-514</v>
      </c>
      <c r="W5" s="7">
        <f>620-W4</f>
        <v>-371</v>
      </c>
      <c r="X5" s="7">
        <f>501-X4</f>
        <v>-408</v>
      </c>
      <c r="Y5" s="7">
        <f>786-Y4</f>
        <v>-151</v>
      </c>
      <c r="Z5" s="7">
        <f>951-Z4</f>
        <v>-246</v>
      </c>
      <c r="AA5" s="7">
        <f>1212-AA4</f>
        <v>-93</v>
      </c>
      <c r="AB5" s="7">
        <f>1346-AB4</f>
        <v>-149</v>
      </c>
      <c r="AC5" s="30">
        <f>1405-AC4</f>
        <v>-269</v>
      </c>
      <c r="AD5" s="30">
        <f>1590-AD4</f>
        <v>-118</v>
      </c>
      <c r="AE5" s="30">
        <f>1539-AE4</f>
        <v>-261</v>
      </c>
      <c r="AF5" s="30">
        <f>1260-AF4</f>
        <v>-617</v>
      </c>
      <c r="AG5" s="30">
        <f>1369-AG4</f>
        <v>-477</v>
      </c>
      <c r="AH5" s="30">
        <f>1434-AH4</f>
        <v>-367</v>
      </c>
      <c r="AI5" s="81">
        <f t="shared" ref="AI5:AN5" si="2">AH5</f>
        <v>-367</v>
      </c>
      <c r="AJ5" s="81">
        <f>AI5</f>
        <v>-367</v>
      </c>
      <c r="AK5" s="81">
        <f>AJ5</f>
        <v>-367</v>
      </c>
      <c r="AL5" s="81">
        <f>AK5</f>
        <v>-367</v>
      </c>
      <c r="AM5" s="81">
        <f t="shared" si="2"/>
        <v>-367</v>
      </c>
      <c r="AN5" s="81">
        <f t="shared" si="2"/>
        <v>-367</v>
      </c>
    </row>
    <row r="6" spans="1:43">
      <c r="A6" s="43" t="s">
        <v>419</v>
      </c>
      <c r="I6" s="7">
        <v>780</v>
      </c>
      <c r="J6" s="7">
        <v>806</v>
      </c>
      <c r="K6" s="7">
        <v>1137</v>
      </c>
      <c r="L6" s="7">
        <v>1086</v>
      </c>
      <c r="M6" s="7">
        <v>1290</v>
      </c>
      <c r="N6" s="7">
        <v>1194</v>
      </c>
      <c r="O6" s="7">
        <v>1102</v>
      </c>
      <c r="P6" s="7">
        <v>1058</v>
      </c>
      <c r="Q6" s="7">
        <v>1112</v>
      </c>
      <c r="R6" s="7">
        <v>889</v>
      </c>
      <c r="S6" s="7">
        <v>1218</v>
      </c>
      <c r="T6" s="7">
        <v>816</v>
      </c>
      <c r="U6" s="7">
        <v>645</v>
      </c>
      <c r="V6" s="7">
        <v>898</v>
      </c>
      <c r="W6" s="7">
        <v>1188</v>
      </c>
      <c r="X6" s="7">
        <v>891</v>
      </c>
      <c r="Y6" s="7">
        <v>1031</v>
      </c>
      <c r="Z6" s="7">
        <v>461</v>
      </c>
      <c r="AA6" s="7">
        <v>339</v>
      </c>
      <c r="AB6" s="7">
        <v>354</v>
      </c>
      <c r="AC6" s="30">
        <v>558</v>
      </c>
      <c r="AD6" s="7">
        <v>493</v>
      </c>
      <c r="AE6" s="7">
        <v>-271</v>
      </c>
      <c r="AF6" s="7">
        <v>327</v>
      </c>
      <c r="AG6" s="7">
        <v>234</v>
      </c>
      <c r="AH6" s="7">
        <v>152</v>
      </c>
      <c r="AI6" s="81">
        <f t="shared" ref="AI6:AN6" si="3">AI32-AH32+AH6</f>
        <v>146.01134505283872</v>
      </c>
      <c r="AJ6" s="81">
        <f>AJ32-AI32+AI6</f>
        <v>145.98377857142859</v>
      </c>
      <c r="AK6" s="81">
        <f>AK32-AJ32+AJ6</f>
        <v>145.98377857142859</v>
      </c>
      <c r="AL6" s="81">
        <f>AL32-AK32+AK6</f>
        <v>145.98377857142859</v>
      </c>
      <c r="AM6" s="81">
        <f t="shared" si="3"/>
        <v>145.98377857142859</v>
      </c>
      <c r="AN6" s="81">
        <f t="shared" si="3"/>
        <v>145.98377857142859</v>
      </c>
      <c r="AP6" s="7" t="s">
        <v>588</v>
      </c>
    </row>
    <row r="7" spans="1:43">
      <c r="A7" s="43" t="s">
        <v>420</v>
      </c>
      <c r="J7" s="7">
        <v>0</v>
      </c>
      <c r="K7" s="7">
        <v>0</v>
      </c>
      <c r="L7" s="7">
        <v>0</v>
      </c>
      <c r="M7" s="7">
        <v>0</v>
      </c>
      <c r="N7" s="7">
        <v>0</v>
      </c>
      <c r="O7" s="7">
        <v>0</v>
      </c>
      <c r="P7" s="7">
        <v>0</v>
      </c>
      <c r="Q7" s="7">
        <v>0</v>
      </c>
      <c r="R7" s="7">
        <v>0</v>
      </c>
      <c r="S7" s="7">
        <v>94</v>
      </c>
      <c r="T7" s="7">
        <v>804</v>
      </c>
      <c r="U7" s="7">
        <v>639</v>
      </c>
      <c r="V7" s="7">
        <v>579</v>
      </c>
      <c r="W7" s="7">
        <v>612</v>
      </c>
      <c r="X7" s="7">
        <v>796</v>
      </c>
      <c r="Y7" s="7">
        <v>888</v>
      </c>
      <c r="Z7" s="7">
        <v>907</v>
      </c>
      <c r="AA7" s="7">
        <v>961</v>
      </c>
      <c r="AB7" s="7">
        <v>1863</v>
      </c>
      <c r="AC7" s="30">
        <v>1828</v>
      </c>
      <c r="AD7" s="7">
        <v>1725</v>
      </c>
      <c r="AE7" s="7">
        <v>2071</v>
      </c>
      <c r="AF7" s="7">
        <v>2135</v>
      </c>
      <c r="AG7" s="7">
        <v>2049</v>
      </c>
      <c r="AH7" s="7">
        <v>1810</v>
      </c>
      <c r="AI7" s="81">
        <f t="shared" ref="AI7:AN7" si="4">AI29</f>
        <v>1501.7668647379999</v>
      </c>
      <c r="AJ7" s="81">
        <f t="shared" si="4"/>
        <v>1543.6403499999997</v>
      </c>
      <c r="AK7" s="81">
        <f t="shared" si="4"/>
        <v>1543.6403499999997</v>
      </c>
      <c r="AL7" s="81">
        <f t="shared" si="4"/>
        <v>1543.6403499999997</v>
      </c>
      <c r="AM7" s="81">
        <f t="shared" si="4"/>
        <v>1543.6403499999997</v>
      </c>
      <c r="AN7" s="81">
        <f t="shared" si="4"/>
        <v>1543.6403499999997</v>
      </c>
      <c r="AP7" s="7" t="s">
        <v>589</v>
      </c>
    </row>
    <row r="8" spans="1:43">
      <c r="A8" s="80" t="s">
        <v>57</v>
      </c>
      <c r="B8" s="9">
        <f t="shared" ref="B8:U8" si="5">SUM(B4:B7)</f>
        <v>0</v>
      </c>
      <c r="C8" s="9">
        <f t="shared" si="5"/>
        <v>0</v>
      </c>
      <c r="D8" s="9">
        <f t="shared" si="5"/>
        <v>0</v>
      </c>
      <c r="E8" s="9">
        <f t="shared" si="5"/>
        <v>0</v>
      </c>
      <c r="F8" s="9">
        <f t="shared" si="5"/>
        <v>0</v>
      </c>
      <c r="G8" s="9">
        <f t="shared" si="5"/>
        <v>0</v>
      </c>
      <c r="H8" s="9">
        <f t="shared" si="5"/>
        <v>0</v>
      </c>
      <c r="I8" s="9">
        <f t="shared" si="5"/>
        <v>738</v>
      </c>
      <c r="J8" s="9">
        <f>SUM(J4:J7)</f>
        <v>794</v>
      </c>
      <c r="K8" s="9">
        <f t="shared" si="5"/>
        <v>1119</v>
      </c>
      <c r="L8" s="9">
        <f t="shared" si="5"/>
        <v>1019</v>
      </c>
      <c r="M8" s="9">
        <f t="shared" si="5"/>
        <v>1147</v>
      </c>
      <c r="N8" s="9">
        <f t="shared" si="5"/>
        <v>1015</v>
      </c>
      <c r="O8" s="9">
        <f t="shared" si="5"/>
        <v>977</v>
      </c>
      <c r="P8" s="9">
        <f t="shared" si="5"/>
        <v>1024</v>
      </c>
      <c r="Q8" s="9">
        <f t="shared" si="5"/>
        <v>1064</v>
      </c>
      <c r="R8" s="9">
        <f t="shared" si="5"/>
        <v>1222</v>
      </c>
      <c r="S8" s="9">
        <f t="shared" si="5"/>
        <v>1280</v>
      </c>
      <c r="T8" s="9">
        <f t="shared" si="5"/>
        <v>2113</v>
      </c>
      <c r="U8" s="9">
        <f t="shared" si="5"/>
        <v>1579</v>
      </c>
      <c r="V8" s="9">
        <f t="shared" ref="V8:AF8" si="6">SUM(V4:V7)</f>
        <v>1906</v>
      </c>
      <c r="W8" s="9">
        <f t="shared" si="6"/>
        <v>2420</v>
      </c>
      <c r="X8" s="9">
        <f t="shared" si="6"/>
        <v>2188</v>
      </c>
      <c r="Y8" s="9">
        <f t="shared" si="6"/>
        <v>2705</v>
      </c>
      <c r="Z8" s="9">
        <f t="shared" si="6"/>
        <v>2319</v>
      </c>
      <c r="AA8" s="9">
        <f t="shared" si="6"/>
        <v>2512</v>
      </c>
      <c r="AB8" s="9">
        <f t="shared" si="6"/>
        <v>3563</v>
      </c>
      <c r="AC8" s="112">
        <f t="shared" si="6"/>
        <v>3791</v>
      </c>
      <c r="AD8" s="112">
        <f t="shared" si="6"/>
        <v>3808</v>
      </c>
      <c r="AE8" s="112">
        <f t="shared" si="6"/>
        <v>3339</v>
      </c>
      <c r="AF8" s="112">
        <f t="shared" si="6"/>
        <v>3722</v>
      </c>
      <c r="AG8" s="112">
        <f t="shared" ref="AG8:AH8" si="7">SUM(AG4:AG7)</f>
        <v>3652</v>
      </c>
      <c r="AH8" s="112">
        <f t="shared" si="7"/>
        <v>3396</v>
      </c>
      <c r="AI8" s="476">
        <f t="shared" ref="AI8:AN8" si="8">AI12-AI9</f>
        <v>3167.866092716426</v>
      </c>
      <c r="AJ8" s="476">
        <f t="shared" si="8"/>
        <v>3280.861322582698</v>
      </c>
      <c r="AK8" s="476">
        <f t="shared" si="8"/>
        <v>3320.6378329726504</v>
      </c>
      <c r="AL8" s="476">
        <f t="shared" si="8"/>
        <v>3336.0510633160984</v>
      </c>
      <c r="AM8" s="476">
        <f t="shared" si="8"/>
        <v>3335.8363274508815</v>
      </c>
      <c r="AN8" s="476">
        <f t="shared" si="8"/>
        <v>3334.5424034763619</v>
      </c>
    </row>
    <row r="9" spans="1:43">
      <c r="A9" s="43" t="s">
        <v>349</v>
      </c>
      <c r="I9" s="7">
        <f>-26-4</f>
        <v>-30</v>
      </c>
      <c r="J9" s="7">
        <f>-4-32</f>
        <v>-36</v>
      </c>
      <c r="K9" s="7">
        <f>-5-46</f>
        <v>-51</v>
      </c>
      <c r="L9" s="7">
        <f>-49-2</f>
        <v>-51</v>
      </c>
      <c r="M9" s="7">
        <v>-2</v>
      </c>
      <c r="N9" s="7">
        <v>-2</v>
      </c>
      <c r="O9" s="7">
        <v>-7</v>
      </c>
      <c r="P9" s="7">
        <v>-36</v>
      </c>
      <c r="Q9" s="7">
        <v>-39</v>
      </c>
      <c r="R9" s="7">
        <v>-51</v>
      </c>
      <c r="S9" s="7">
        <v>-68</v>
      </c>
      <c r="T9" s="7">
        <v>-81</v>
      </c>
      <c r="U9" s="7">
        <v>-148</v>
      </c>
      <c r="V9" s="7">
        <v>-209</v>
      </c>
      <c r="W9" s="7">
        <v>-213</v>
      </c>
      <c r="X9" s="7">
        <v>-412</v>
      </c>
      <c r="Y9" s="7">
        <v>-517</v>
      </c>
      <c r="Z9" s="7">
        <v>-583</v>
      </c>
      <c r="AA9" s="7">
        <v>-638</v>
      </c>
      <c r="AB9" s="7">
        <v>-696</v>
      </c>
      <c r="AC9" s="30">
        <v>-735</v>
      </c>
      <c r="AD9" s="7">
        <v>-747</v>
      </c>
      <c r="AE9" s="7">
        <v>-807</v>
      </c>
      <c r="AF9" s="7">
        <v>-814</v>
      </c>
      <c r="AG9" s="30">
        <v>-825</v>
      </c>
      <c r="AH9" s="30">
        <v>-840</v>
      </c>
      <c r="AI9" s="81">
        <f t="shared" ref="AI9:AN9" si="9">AI10+AI11</f>
        <v>-880.88328075709785</v>
      </c>
      <c r="AJ9" s="81">
        <f t="shared" si="9"/>
        <v>-953.85520803272004</v>
      </c>
      <c r="AK9" s="81">
        <f t="shared" si="9"/>
        <v>-1001.2880353368557</v>
      </c>
      <c r="AL9" s="81">
        <f t="shared" si="9"/>
        <v>-1028.9110491032172</v>
      </c>
      <c r="AM9" s="81">
        <f t="shared" si="9"/>
        <v>-1041.2723901636023</v>
      </c>
      <c r="AN9" s="81">
        <f t="shared" si="9"/>
        <v>-1052.9318254224515</v>
      </c>
    </row>
    <row r="10" spans="1:43">
      <c r="A10" s="399" t="s">
        <v>647</v>
      </c>
      <c r="Q10" s="7">
        <v>0</v>
      </c>
      <c r="R10" s="7">
        <v>0</v>
      </c>
      <c r="S10" s="7">
        <v>0</v>
      </c>
      <c r="T10" s="7">
        <v>0</v>
      </c>
      <c r="U10" s="7">
        <v>0</v>
      </c>
      <c r="V10" s="7">
        <v>0</v>
      </c>
      <c r="W10" s="7">
        <v>0</v>
      </c>
      <c r="X10" s="7">
        <v>-181</v>
      </c>
      <c r="Y10" s="7">
        <v>-272</v>
      </c>
      <c r="Z10" s="7">
        <v>-273</v>
      </c>
      <c r="AA10" s="7">
        <v>-274</v>
      </c>
      <c r="AB10" s="7">
        <v>-274</v>
      </c>
      <c r="AC10" s="30">
        <v>-276</v>
      </c>
      <c r="AD10" s="7">
        <v>-255</v>
      </c>
      <c r="AE10" s="7">
        <v>-276</v>
      </c>
      <c r="AF10" s="7">
        <v>-279</v>
      </c>
      <c r="AG10" s="30">
        <v>-280</v>
      </c>
      <c r="AH10" s="30">
        <v>-282</v>
      </c>
      <c r="AI10" s="81">
        <f t="shared" ref="AI10:AN10" si="10">AH10</f>
        <v>-282</v>
      </c>
      <c r="AJ10" s="81">
        <f>AI10</f>
        <v>-282</v>
      </c>
      <c r="AK10" s="81">
        <f>AJ10</f>
        <v>-282</v>
      </c>
      <c r="AL10" s="81">
        <f>AK10</f>
        <v>-282</v>
      </c>
      <c r="AM10" s="81">
        <f t="shared" si="10"/>
        <v>-282</v>
      </c>
      <c r="AN10" s="81">
        <f t="shared" si="10"/>
        <v>-282</v>
      </c>
    </row>
    <row r="11" spans="1:43">
      <c r="A11" s="399" t="s">
        <v>646</v>
      </c>
      <c r="Q11" s="7">
        <f t="shared" ref="Q11:W11" si="11">Q9-Q10</f>
        <v>-39</v>
      </c>
      <c r="R11" s="7">
        <f t="shared" si="11"/>
        <v>-51</v>
      </c>
      <c r="S11" s="7">
        <f t="shared" si="11"/>
        <v>-68</v>
      </c>
      <c r="T11" s="7">
        <f t="shared" si="11"/>
        <v>-81</v>
      </c>
      <c r="U11" s="7">
        <f t="shared" si="11"/>
        <v>-148</v>
      </c>
      <c r="V11" s="7">
        <f t="shared" si="11"/>
        <v>-209</v>
      </c>
      <c r="W11" s="7">
        <f t="shared" si="11"/>
        <v>-213</v>
      </c>
      <c r="X11" s="7">
        <f t="shared" ref="X11:AE11" si="12">X9-X10</f>
        <v>-231</v>
      </c>
      <c r="Y11" s="7">
        <f t="shared" si="12"/>
        <v>-245</v>
      </c>
      <c r="Z11" s="7">
        <f t="shared" si="12"/>
        <v>-310</v>
      </c>
      <c r="AA11" s="7">
        <f t="shared" si="12"/>
        <v>-364</v>
      </c>
      <c r="AB11" s="7">
        <f t="shared" si="12"/>
        <v>-422</v>
      </c>
      <c r="AC11" s="30">
        <f t="shared" si="12"/>
        <v>-459</v>
      </c>
      <c r="AD11" s="30">
        <f t="shared" si="12"/>
        <v>-492</v>
      </c>
      <c r="AE11" s="30">
        <f t="shared" si="12"/>
        <v>-531</v>
      </c>
      <c r="AF11" s="7">
        <f>AF9-AF10</f>
        <v>-535</v>
      </c>
      <c r="AG11" s="30">
        <f>AG9-AG10</f>
        <v>-545</v>
      </c>
      <c r="AH11" s="30">
        <f>AH9-AH10</f>
        <v>-558</v>
      </c>
      <c r="AI11" s="81">
        <f t="shared" ref="AI11:AN11" si="13">AI158</f>
        <v>-598.88328075709785</v>
      </c>
      <c r="AJ11" s="81">
        <f t="shared" si="13"/>
        <v>-671.85520803272004</v>
      </c>
      <c r="AK11" s="81">
        <f t="shared" si="13"/>
        <v>-719.28803533685573</v>
      </c>
      <c r="AL11" s="81">
        <f t="shared" si="13"/>
        <v>-746.91104910321724</v>
      </c>
      <c r="AM11" s="81">
        <f t="shared" si="13"/>
        <v>-759.27239016360238</v>
      </c>
      <c r="AN11" s="81">
        <f t="shared" si="13"/>
        <v>-770.93182542245154</v>
      </c>
    </row>
    <row r="12" spans="1:43">
      <c r="A12" s="80" t="s">
        <v>521</v>
      </c>
      <c r="B12" s="9">
        <f t="shared" ref="B12:AF12" si="14">B8+B9</f>
        <v>0</v>
      </c>
      <c r="C12" s="9">
        <f t="shared" si="14"/>
        <v>0</v>
      </c>
      <c r="D12" s="9">
        <f t="shared" si="14"/>
        <v>0</v>
      </c>
      <c r="E12" s="9">
        <f t="shared" si="14"/>
        <v>0</v>
      </c>
      <c r="F12" s="9">
        <f t="shared" si="14"/>
        <v>0</v>
      </c>
      <c r="G12" s="9">
        <f t="shared" si="14"/>
        <v>0</v>
      </c>
      <c r="H12" s="9">
        <f t="shared" si="14"/>
        <v>0</v>
      </c>
      <c r="I12" s="9">
        <f t="shared" si="14"/>
        <v>708</v>
      </c>
      <c r="J12" s="9">
        <f t="shared" si="14"/>
        <v>758</v>
      </c>
      <c r="K12" s="9">
        <f t="shared" si="14"/>
        <v>1068</v>
      </c>
      <c r="L12" s="9">
        <f t="shared" si="14"/>
        <v>968</v>
      </c>
      <c r="M12" s="9">
        <f t="shared" si="14"/>
        <v>1145</v>
      </c>
      <c r="N12" s="9">
        <f t="shared" si="14"/>
        <v>1013</v>
      </c>
      <c r="O12" s="9">
        <f t="shared" si="14"/>
        <v>970</v>
      </c>
      <c r="P12" s="9">
        <f t="shared" si="14"/>
        <v>988</v>
      </c>
      <c r="Q12" s="9">
        <f t="shared" si="14"/>
        <v>1025</v>
      </c>
      <c r="R12" s="9">
        <f t="shared" si="14"/>
        <v>1171</v>
      </c>
      <c r="S12" s="9">
        <f t="shared" si="14"/>
        <v>1212</v>
      </c>
      <c r="T12" s="9">
        <f t="shared" si="14"/>
        <v>2032</v>
      </c>
      <c r="U12" s="9">
        <f t="shared" si="14"/>
        <v>1431</v>
      </c>
      <c r="V12" s="9">
        <f t="shared" si="14"/>
        <v>1697</v>
      </c>
      <c r="W12" s="9">
        <f t="shared" si="14"/>
        <v>2207</v>
      </c>
      <c r="X12" s="9">
        <f t="shared" si="14"/>
        <v>1776</v>
      </c>
      <c r="Y12" s="9">
        <f t="shared" si="14"/>
        <v>2188</v>
      </c>
      <c r="Z12" s="9">
        <f t="shared" si="14"/>
        <v>1736</v>
      </c>
      <c r="AA12" s="9">
        <f t="shared" si="14"/>
        <v>1874</v>
      </c>
      <c r="AB12" s="9">
        <f t="shared" si="14"/>
        <v>2867</v>
      </c>
      <c r="AC12" s="112">
        <f t="shared" si="14"/>
        <v>3056</v>
      </c>
      <c r="AD12" s="112">
        <f t="shared" si="14"/>
        <v>3061</v>
      </c>
      <c r="AE12" s="112">
        <f t="shared" si="14"/>
        <v>2532</v>
      </c>
      <c r="AF12" s="112">
        <f t="shared" si="14"/>
        <v>2908</v>
      </c>
      <c r="AG12" s="112">
        <f t="shared" ref="AG12" si="15">AG8+AG9</f>
        <v>2827</v>
      </c>
      <c r="AH12" s="112">
        <f t="shared" ref="AH12:AN12" si="16">AH15-AH13-AH14</f>
        <v>2556</v>
      </c>
      <c r="AI12" s="476">
        <f t="shared" si="16"/>
        <v>2286.982811959328</v>
      </c>
      <c r="AJ12" s="476">
        <f t="shared" si="16"/>
        <v>2327.0061145499781</v>
      </c>
      <c r="AK12" s="476">
        <f t="shared" si="16"/>
        <v>2319.3497976357949</v>
      </c>
      <c r="AL12" s="476">
        <f t="shared" si="16"/>
        <v>2307.1400142128809</v>
      </c>
      <c r="AM12" s="476">
        <f t="shared" si="16"/>
        <v>2294.5639372872793</v>
      </c>
      <c r="AN12" s="476">
        <f t="shared" si="16"/>
        <v>2281.6105780539101</v>
      </c>
    </row>
    <row r="13" spans="1:43">
      <c r="A13" s="43" t="s">
        <v>484</v>
      </c>
      <c r="R13" s="7">
        <v>0</v>
      </c>
      <c r="S13" s="7">
        <v>0</v>
      </c>
      <c r="T13" s="7">
        <v>0</v>
      </c>
      <c r="U13" s="7">
        <v>0</v>
      </c>
      <c r="V13" s="7">
        <v>0</v>
      </c>
      <c r="W13" s="7">
        <v>0</v>
      </c>
      <c r="X13" s="7">
        <v>0</v>
      </c>
      <c r="Y13" s="7">
        <v>0</v>
      </c>
      <c r="Z13" s="7">
        <v>0</v>
      </c>
      <c r="AA13" s="81">
        <v>0</v>
      </c>
      <c r="AB13" s="81">
        <v>0</v>
      </c>
      <c r="AC13" s="3">
        <v>0</v>
      </c>
      <c r="AD13" s="81">
        <v>0</v>
      </c>
      <c r="AE13" s="81">
        <v>0</v>
      </c>
      <c r="AF13" s="81">
        <v>0</v>
      </c>
      <c r="AG13" s="81">
        <v>0</v>
      </c>
      <c r="AH13" s="81">
        <v>0</v>
      </c>
      <c r="AI13" s="81">
        <v>0</v>
      </c>
      <c r="AJ13" s="81">
        <v>0</v>
      </c>
      <c r="AK13" s="81">
        <v>0</v>
      </c>
      <c r="AL13" s="81">
        <v>0</v>
      </c>
      <c r="AM13" s="81">
        <v>0</v>
      </c>
      <c r="AN13" s="81">
        <v>0</v>
      </c>
    </row>
    <row r="14" spans="1:43">
      <c r="A14" s="43" t="s">
        <v>485</v>
      </c>
      <c r="S14" s="7">
        <f>-35+5</f>
        <v>-30</v>
      </c>
      <c r="T14" s="7">
        <f>-49+1</f>
        <v>-48</v>
      </c>
      <c r="U14" s="7">
        <f>-135+4</f>
        <v>-131</v>
      </c>
      <c r="V14" s="7">
        <f>-213+5</f>
        <v>-208</v>
      </c>
      <c r="W14" s="7">
        <f>-205+4</f>
        <v>-201</v>
      </c>
      <c r="X14" s="7">
        <f>-211+9</f>
        <v>-202</v>
      </c>
      <c r="Y14" s="7">
        <f>-206+59</f>
        <v>-147</v>
      </c>
      <c r="Z14" s="7">
        <f>-200+44</f>
        <v>-156</v>
      </c>
      <c r="AA14" s="7">
        <f>-241+39</f>
        <v>-202</v>
      </c>
      <c r="AB14" s="7">
        <f>-269+34</f>
        <v>-235</v>
      </c>
      <c r="AC14" s="30">
        <f>-276+28</f>
        <v>-248</v>
      </c>
      <c r="AD14" s="7">
        <f>-255+18</f>
        <v>-237</v>
      </c>
      <c r="AE14" s="7">
        <f>-253+14</f>
        <v>-239</v>
      </c>
      <c r="AF14" s="7">
        <f>-245+9</f>
        <v>-236</v>
      </c>
      <c r="AG14" s="7">
        <f>-209+14</f>
        <v>-195</v>
      </c>
      <c r="AH14" s="7">
        <f>-180+14</f>
        <v>-166</v>
      </c>
      <c r="AI14" s="81">
        <f>-AI164*AH163</f>
        <v>-152.28065150514297</v>
      </c>
      <c r="AJ14" s="81">
        <f>-AJ164*AI163</f>
        <v>-150.55301946750399</v>
      </c>
      <c r="AK14" s="81">
        <f>-AK164*AJ163</f>
        <v>-154.75086121634428</v>
      </c>
      <c r="AL14" s="81">
        <f>-AL164*AK163</f>
        <v>-154.75086121634428</v>
      </c>
      <c r="AM14" s="81">
        <f t="shared" ref="AM14:AN14" si="17">-AM164*AL163</f>
        <v>-154.75086121634428</v>
      </c>
      <c r="AN14" s="81">
        <f t="shared" si="17"/>
        <v>-154.75086121634428</v>
      </c>
    </row>
    <row r="15" spans="1:43">
      <c r="A15" s="80" t="s">
        <v>524</v>
      </c>
      <c r="B15" s="9">
        <f t="shared" ref="B15:AF15" si="18">B12+B13+B14</f>
        <v>0</v>
      </c>
      <c r="C15" s="9">
        <f t="shared" si="18"/>
        <v>0</v>
      </c>
      <c r="D15" s="9">
        <f t="shared" si="18"/>
        <v>0</v>
      </c>
      <c r="E15" s="9">
        <f t="shared" si="18"/>
        <v>0</v>
      </c>
      <c r="F15" s="9">
        <f t="shared" si="18"/>
        <v>0</v>
      </c>
      <c r="G15" s="9">
        <f t="shared" si="18"/>
        <v>0</v>
      </c>
      <c r="H15" s="9">
        <f t="shared" si="18"/>
        <v>0</v>
      </c>
      <c r="I15" s="9">
        <f t="shared" si="18"/>
        <v>708</v>
      </c>
      <c r="J15" s="9">
        <f t="shared" si="18"/>
        <v>758</v>
      </c>
      <c r="K15" s="9">
        <f t="shared" si="18"/>
        <v>1068</v>
      </c>
      <c r="L15" s="9">
        <f t="shared" si="18"/>
        <v>968</v>
      </c>
      <c r="M15" s="9">
        <f t="shared" si="18"/>
        <v>1145</v>
      </c>
      <c r="N15" s="9">
        <f t="shared" si="18"/>
        <v>1013</v>
      </c>
      <c r="O15" s="9">
        <f t="shared" si="18"/>
        <v>970</v>
      </c>
      <c r="P15" s="9">
        <f t="shared" si="18"/>
        <v>988</v>
      </c>
      <c r="Q15" s="9">
        <f t="shared" si="18"/>
        <v>1025</v>
      </c>
      <c r="R15" s="9">
        <f t="shared" si="18"/>
        <v>1171</v>
      </c>
      <c r="S15" s="9">
        <f t="shared" si="18"/>
        <v>1182</v>
      </c>
      <c r="T15" s="9">
        <f t="shared" si="18"/>
        <v>1984</v>
      </c>
      <c r="U15" s="9">
        <f t="shared" si="18"/>
        <v>1300</v>
      </c>
      <c r="V15" s="9">
        <f t="shared" si="18"/>
        <v>1489</v>
      </c>
      <c r="W15" s="9">
        <f t="shared" si="18"/>
        <v>2006</v>
      </c>
      <c r="X15" s="9">
        <f t="shared" si="18"/>
        <v>1574</v>
      </c>
      <c r="Y15" s="9">
        <f t="shared" si="18"/>
        <v>2041</v>
      </c>
      <c r="Z15" s="9">
        <f t="shared" si="18"/>
        <v>1580</v>
      </c>
      <c r="AA15" s="9">
        <f t="shared" si="18"/>
        <v>1672</v>
      </c>
      <c r="AB15" s="9">
        <f t="shared" si="18"/>
        <v>2632</v>
      </c>
      <c r="AC15" s="112">
        <f t="shared" si="18"/>
        <v>2808</v>
      </c>
      <c r="AD15" s="112">
        <f t="shared" si="18"/>
        <v>2824</v>
      </c>
      <c r="AE15" s="112">
        <f t="shared" si="18"/>
        <v>2293</v>
      </c>
      <c r="AF15" s="112">
        <f t="shared" si="18"/>
        <v>2672</v>
      </c>
      <c r="AG15" s="112">
        <f t="shared" ref="AG15" si="19">AG12+AG13+AG14</f>
        <v>2632</v>
      </c>
      <c r="AH15" s="112">
        <f t="shared" ref="AH15:AN15" si="20">AH18-AH16-AH17</f>
        <v>2390</v>
      </c>
      <c r="AI15" s="476">
        <f t="shared" si="20"/>
        <v>2134.7021604541851</v>
      </c>
      <c r="AJ15" s="476">
        <f t="shared" si="20"/>
        <v>2176.4530950824742</v>
      </c>
      <c r="AK15" s="476">
        <f t="shared" si="20"/>
        <v>2164.5989364194506</v>
      </c>
      <c r="AL15" s="476">
        <f t="shared" si="20"/>
        <v>2152.3891529965367</v>
      </c>
      <c r="AM15" s="476">
        <f t="shared" si="20"/>
        <v>2139.813076070935</v>
      </c>
      <c r="AN15" s="476">
        <f t="shared" si="20"/>
        <v>2126.8597168375659</v>
      </c>
      <c r="AQ15" s="79"/>
    </row>
    <row r="16" spans="1:43">
      <c r="A16" s="43" t="s">
        <v>100</v>
      </c>
      <c r="S16" s="7">
        <v>-70</v>
      </c>
      <c r="T16" s="7">
        <v>-147</v>
      </c>
      <c r="U16" s="7">
        <v>-68</v>
      </c>
      <c r="V16" s="7">
        <v>-112</v>
      </c>
      <c r="W16" s="7">
        <v>-151</v>
      </c>
      <c r="X16" s="7">
        <v>-102</v>
      </c>
      <c r="Y16" s="7">
        <v>-147</v>
      </c>
      <c r="Z16" s="7">
        <v>-67</v>
      </c>
      <c r="AA16" s="7">
        <v>-151</v>
      </c>
      <c r="AB16" s="7">
        <v>-267</v>
      </c>
      <c r="AC16" s="30">
        <v>-305</v>
      </c>
      <c r="AD16" s="7">
        <v>-314</v>
      </c>
      <c r="AE16" s="7">
        <v>-329</v>
      </c>
      <c r="AF16" s="7">
        <v>-356</v>
      </c>
      <c r="AG16" s="7">
        <v>-379</v>
      </c>
      <c r="AH16" s="7">
        <v>-328</v>
      </c>
      <c r="AI16" s="81">
        <f t="shared" ref="AI16:AN16" si="21">AH16/AH18*AI18</f>
        <v>-292.81609606259354</v>
      </c>
      <c r="AJ16" s="81">
        <f>AI16/AI18*AJ18</f>
        <v>-298.57000638111407</v>
      </c>
      <c r="AK16" s="81">
        <f>AJ16/AJ18*AK18</f>
        <v>-296.9363240107478</v>
      </c>
      <c r="AL16" s="81">
        <f>AK16/AK18*AL18</f>
        <v>-295.25363116927059</v>
      </c>
      <c r="AM16" s="81">
        <f t="shared" si="21"/>
        <v>-293.52045754254902</v>
      </c>
      <c r="AN16" s="81">
        <f t="shared" si="21"/>
        <v>-291.73528870702586</v>
      </c>
    </row>
    <row r="17" spans="1:51">
      <c r="A17" s="43" t="s">
        <v>560</v>
      </c>
      <c r="S17" s="7">
        <v>7</v>
      </c>
      <c r="T17" s="7">
        <v>-3</v>
      </c>
      <c r="U17" s="7">
        <v>-1</v>
      </c>
      <c r="V17" s="7">
        <v>20</v>
      </c>
      <c r="W17" s="7">
        <v>-12</v>
      </c>
      <c r="X17" s="7">
        <v>-14</v>
      </c>
      <c r="Y17" s="7">
        <v>-9</v>
      </c>
      <c r="Z17" s="7">
        <v>-19</v>
      </c>
      <c r="AA17" s="7">
        <v>-13</v>
      </c>
      <c r="AB17" s="7">
        <v>-10</v>
      </c>
      <c r="AC17" s="30">
        <f>-15</f>
        <v>-15</v>
      </c>
      <c r="AD17" s="7">
        <v>-7</v>
      </c>
      <c r="AE17" s="7">
        <v>-3</v>
      </c>
      <c r="AF17" s="7">
        <v>-9</v>
      </c>
      <c r="AG17" s="7">
        <v>-8</v>
      </c>
      <c r="AH17" s="7">
        <v>-10</v>
      </c>
      <c r="AI17" s="81">
        <f t="shared" ref="AI17:AN17" si="22">AH17</f>
        <v>-10</v>
      </c>
      <c r="AJ17" s="81">
        <f>AI17</f>
        <v>-10</v>
      </c>
      <c r="AK17" s="81">
        <f>AJ17</f>
        <v>-10</v>
      </c>
      <c r="AL17" s="81">
        <f>AK17</f>
        <v>-10</v>
      </c>
      <c r="AM17" s="81">
        <f t="shared" si="22"/>
        <v>-10</v>
      </c>
      <c r="AN17" s="81">
        <f t="shared" si="22"/>
        <v>-10</v>
      </c>
    </row>
    <row r="18" spans="1:51">
      <c r="A18" s="80" t="s">
        <v>543</v>
      </c>
      <c r="B18" s="9">
        <f t="shared" ref="B18:AF18" si="23">B15+B16+B17</f>
        <v>0</v>
      </c>
      <c r="C18" s="9">
        <f t="shared" si="23"/>
        <v>0</v>
      </c>
      <c r="D18" s="9">
        <f t="shared" si="23"/>
        <v>0</v>
      </c>
      <c r="E18" s="9">
        <f t="shared" si="23"/>
        <v>0</v>
      </c>
      <c r="F18" s="9">
        <f t="shared" si="23"/>
        <v>0</v>
      </c>
      <c r="G18" s="9">
        <f t="shared" si="23"/>
        <v>0</v>
      </c>
      <c r="H18" s="9">
        <f t="shared" si="23"/>
        <v>0</v>
      </c>
      <c r="I18" s="9">
        <f t="shared" si="23"/>
        <v>708</v>
      </c>
      <c r="J18" s="9">
        <f t="shared" si="23"/>
        <v>758</v>
      </c>
      <c r="K18" s="9">
        <f t="shared" si="23"/>
        <v>1068</v>
      </c>
      <c r="L18" s="9">
        <f t="shared" si="23"/>
        <v>968</v>
      </c>
      <c r="M18" s="9">
        <f t="shared" si="23"/>
        <v>1145</v>
      </c>
      <c r="N18" s="9">
        <f t="shared" si="23"/>
        <v>1013</v>
      </c>
      <c r="O18" s="9">
        <f t="shared" si="23"/>
        <v>970</v>
      </c>
      <c r="P18" s="9">
        <f t="shared" si="23"/>
        <v>988</v>
      </c>
      <c r="Q18" s="9">
        <f t="shared" si="23"/>
        <v>1025</v>
      </c>
      <c r="R18" s="9">
        <f t="shared" si="23"/>
        <v>1171</v>
      </c>
      <c r="S18" s="9">
        <f t="shared" si="23"/>
        <v>1119</v>
      </c>
      <c r="T18" s="9">
        <f t="shared" si="23"/>
        <v>1834</v>
      </c>
      <c r="U18" s="9">
        <f t="shared" si="23"/>
        <v>1231</v>
      </c>
      <c r="V18" s="9">
        <f t="shared" si="23"/>
        <v>1397</v>
      </c>
      <c r="W18" s="9">
        <f t="shared" si="23"/>
        <v>1843</v>
      </c>
      <c r="X18" s="9">
        <f t="shared" si="23"/>
        <v>1458</v>
      </c>
      <c r="Y18" s="9">
        <f t="shared" si="23"/>
        <v>1885</v>
      </c>
      <c r="Z18" s="9">
        <f t="shared" si="23"/>
        <v>1494</v>
      </c>
      <c r="AA18" s="9">
        <f t="shared" si="23"/>
        <v>1508</v>
      </c>
      <c r="AB18" s="9">
        <f t="shared" si="23"/>
        <v>2355</v>
      </c>
      <c r="AC18" s="112">
        <f t="shared" si="23"/>
        <v>2488</v>
      </c>
      <c r="AD18" s="112">
        <f t="shared" si="23"/>
        <v>2503</v>
      </c>
      <c r="AE18" s="112">
        <f t="shared" si="23"/>
        <v>1961</v>
      </c>
      <c r="AF18" s="112">
        <f t="shared" si="23"/>
        <v>2307</v>
      </c>
      <c r="AG18" s="112">
        <f t="shared" ref="AG18" si="24">AG15+AG16+AG17</f>
        <v>2245</v>
      </c>
      <c r="AH18" s="112">
        <f t="shared" ref="AH18:AN18" si="25">AH20-AH19</f>
        <v>2052</v>
      </c>
      <c r="AI18" s="476">
        <f t="shared" si="25"/>
        <v>1831.8860643915914</v>
      </c>
      <c r="AJ18" s="476">
        <f t="shared" si="25"/>
        <v>1867.8830887013601</v>
      </c>
      <c r="AK18" s="476">
        <f t="shared" si="25"/>
        <v>1857.6626124087029</v>
      </c>
      <c r="AL18" s="476">
        <f t="shared" si="25"/>
        <v>1847.1355218272661</v>
      </c>
      <c r="AM18" s="476">
        <f t="shared" si="25"/>
        <v>1836.2926185283861</v>
      </c>
      <c r="AN18" s="476">
        <f t="shared" si="25"/>
        <v>1825.1244281305399</v>
      </c>
    </row>
    <row r="19" spans="1:51">
      <c r="A19" s="43" t="s">
        <v>525</v>
      </c>
      <c r="S19" s="7">
        <v>0</v>
      </c>
      <c r="T19" s="7">
        <v>0</v>
      </c>
      <c r="U19" s="7">
        <v>0</v>
      </c>
      <c r="V19" s="7">
        <v>0</v>
      </c>
      <c r="W19" s="7">
        <v>-372</v>
      </c>
      <c r="X19" s="7">
        <v>-158</v>
      </c>
      <c r="Y19" s="7">
        <v>-243</v>
      </c>
      <c r="Z19" s="7">
        <v>-174</v>
      </c>
      <c r="AA19" s="7">
        <v>0</v>
      </c>
      <c r="AB19" s="7">
        <v>0</v>
      </c>
      <c r="AC19" s="81">
        <v>0</v>
      </c>
      <c r="AD19" s="81">
        <v>0</v>
      </c>
      <c r="AE19" s="81">
        <v>0</v>
      </c>
      <c r="AF19" s="7">
        <v>-185</v>
      </c>
      <c r="AG19" s="7">
        <v>-115</v>
      </c>
      <c r="AH19" s="7">
        <v>0</v>
      </c>
      <c r="AI19" s="81">
        <v>0</v>
      </c>
      <c r="AJ19" s="81">
        <v>0</v>
      </c>
      <c r="AK19" s="81">
        <v>0</v>
      </c>
      <c r="AL19" s="81">
        <v>0</v>
      </c>
      <c r="AM19" s="81">
        <v>0</v>
      </c>
      <c r="AN19" s="81">
        <v>0</v>
      </c>
    </row>
    <row r="20" spans="1:51">
      <c r="A20" s="80" t="s">
        <v>487</v>
      </c>
      <c r="B20" s="9">
        <f>B42</f>
        <v>62</v>
      </c>
      <c r="C20" s="9">
        <f t="shared" ref="C20:H20" si="26">C42</f>
        <v>67</v>
      </c>
      <c r="D20" s="9">
        <f t="shared" si="26"/>
        <v>209</v>
      </c>
      <c r="E20" s="9">
        <f t="shared" si="26"/>
        <v>308</v>
      </c>
      <c r="F20" s="9">
        <f t="shared" si="26"/>
        <v>383</v>
      </c>
      <c r="G20" s="9">
        <f t="shared" si="26"/>
        <v>434</v>
      </c>
      <c r="H20" s="9">
        <f t="shared" si="26"/>
        <v>504</v>
      </c>
      <c r="I20" s="9">
        <f t="shared" ref="I20:V20" si="27">I18+I19</f>
        <v>708</v>
      </c>
      <c r="J20" s="9">
        <f t="shared" si="27"/>
        <v>758</v>
      </c>
      <c r="K20" s="9">
        <f t="shared" si="27"/>
        <v>1068</v>
      </c>
      <c r="L20" s="9">
        <f t="shared" si="27"/>
        <v>968</v>
      </c>
      <c r="M20" s="9">
        <f t="shared" si="27"/>
        <v>1145</v>
      </c>
      <c r="N20" s="9">
        <f t="shared" si="27"/>
        <v>1013</v>
      </c>
      <c r="O20" s="9">
        <f t="shared" si="27"/>
        <v>970</v>
      </c>
      <c r="P20" s="9">
        <f t="shared" si="27"/>
        <v>988</v>
      </c>
      <c r="Q20" s="9">
        <f t="shared" si="27"/>
        <v>1025</v>
      </c>
      <c r="R20" s="9">
        <f t="shared" si="27"/>
        <v>1171</v>
      </c>
      <c r="S20" s="9">
        <f t="shared" si="27"/>
        <v>1119</v>
      </c>
      <c r="T20" s="9">
        <f t="shared" si="27"/>
        <v>1834</v>
      </c>
      <c r="U20" s="9">
        <f t="shared" si="27"/>
        <v>1231</v>
      </c>
      <c r="V20" s="9">
        <f t="shared" si="27"/>
        <v>1397</v>
      </c>
      <c r="W20" s="9">
        <f t="shared" ref="W20:AF20" si="28">W18-W19</f>
        <v>2215</v>
      </c>
      <c r="X20" s="9">
        <f t="shared" si="28"/>
        <v>1616</v>
      </c>
      <c r="Y20" s="9">
        <f t="shared" si="28"/>
        <v>2128</v>
      </c>
      <c r="Z20" s="9">
        <f t="shared" si="28"/>
        <v>1668</v>
      </c>
      <c r="AA20" s="9">
        <f t="shared" si="28"/>
        <v>1508</v>
      </c>
      <c r="AB20" s="9">
        <f t="shared" si="28"/>
        <v>2355</v>
      </c>
      <c r="AC20" s="9">
        <f t="shared" si="28"/>
        <v>2488</v>
      </c>
      <c r="AD20" s="9">
        <f t="shared" si="28"/>
        <v>2503</v>
      </c>
      <c r="AE20" s="9">
        <f t="shared" si="28"/>
        <v>1961</v>
      </c>
      <c r="AF20" s="9">
        <f t="shared" si="28"/>
        <v>2492</v>
      </c>
      <c r="AG20" s="9">
        <f t="shared" ref="AG20" si="29">AG18-AG19</f>
        <v>2360</v>
      </c>
      <c r="AH20" s="9">
        <f t="shared" ref="AH20:AI20" si="30">AH42</f>
        <v>2052</v>
      </c>
      <c r="AI20" s="476">
        <f t="shared" si="30"/>
        <v>1831.8860643915914</v>
      </c>
      <c r="AJ20" s="476">
        <f>AJ42</f>
        <v>1867.8830887013601</v>
      </c>
      <c r="AK20" s="476">
        <f>AK42</f>
        <v>1857.6626124087029</v>
      </c>
      <c r="AL20" s="476">
        <f>AL42</f>
        <v>1847.1355218272661</v>
      </c>
      <c r="AM20" s="476">
        <f>AM42</f>
        <v>1836.2926185283861</v>
      </c>
      <c r="AN20" s="476">
        <f>AN42</f>
        <v>1825.1244281305399</v>
      </c>
      <c r="AP20" s="90"/>
      <c r="AQ20" s="90"/>
      <c r="AR20" s="90"/>
      <c r="AS20" s="90"/>
      <c r="AT20" s="90"/>
      <c r="AU20" s="90"/>
      <c r="AV20" s="90"/>
      <c r="AW20" s="90"/>
      <c r="AX20" s="90"/>
      <c r="AY20" s="90"/>
    </row>
    <row r="21" spans="1:51">
      <c r="A21" s="43" t="s">
        <v>56</v>
      </c>
      <c r="B21" s="79"/>
      <c r="C21" s="79"/>
      <c r="D21" s="79"/>
      <c r="E21" s="79"/>
      <c r="F21" s="79"/>
      <c r="G21" s="79"/>
      <c r="H21" s="79"/>
      <c r="I21" s="79"/>
      <c r="J21" s="79"/>
      <c r="K21" s="79"/>
      <c r="L21" s="79"/>
      <c r="M21" s="90">
        <f t="shared" ref="M21:R21" si="31">M20/L20-1</f>
        <v>0.18285123966942152</v>
      </c>
      <c r="N21" s="90">
        <f t="shared" si="31"/>
        <v>-0.11528384279475978</v>
      </c>
      <c r="O21" s="90">
        <f t="shared" si="31"/>
        <v>-4.2448173741362338E-2</v>
      </c>
      <c r="P21" s="90">
        <f t="shared" si="31"/>
        <v>1.8556701030927769E-2</v>
      </c>
      <c r="Q21" s="90">
        <f t="shared" si="31"/>
        <v>3.7449392712550544E-2</v>
      </c>
      <c r="R21" s="90">
        <f t="shared" si="31"/>
        <v>0.14243902439024381</v>
      </c>
      <c r="S21" s="90">
        <f t="shared" ref="S21:AG21" si="32">S20/R20-1</f>
        <v>-4.4406490179333957E-2</v>
      </c>
      <c r="T21" s="90">
        <f t="shared" si="32"/>
        <v>0.63896336014298472</v>
      </c>
      <c r="U21" s="90">
        <f t="shared" si="32"/>
        <v>-0.3287895310796074</v>
      </c>
      <c r="V21" s="90">
        <f t="shared" si="32"/>
        <v>0.13484971567831039</v>
      </c>
      <c r="W21" s="90">
        <f t="shared" si="32"/>
        <v>0.58554044380816039</v>
      </c>
      <c r="X21" s="90">
        <f t="shared" si="32"/>
        <v>-0.27042889390519187</v>
      </c>
      <c r="Y21" s="90">
        <f t="shared" si="32"/>
        <v>0.31683168316831689</v>
      </c>
      <c r="Z21" s="90">
        <f t="shared" si="32"/>
        <v>-0.21616541353383456</v>
      </c>
      <c r="AA21" s="90">
        <f t="shared" si="32"/>
        <v>-9.5923261390887249E-2</v>
      </c>
      <c r="AB21" s="90">
        <f t="shared" si="32"/>
        <v>0.56167108753315653</v>
      </c>
      <c r="AC21" s="90">
        <f t="shared" si="32"/>
        <v>5.6475583864118883E-2</v>
      </c>
      <c r="AD21" s="90">
        <f t="shared" si="32"/>
        <v>6.0289389067524901E-3</v>
      </c>
      <c r="AE21" s="90">
        <f t="shared" si="32"/>
        <v>-0.2165401518178186</v>
      </c>
      <c r="AF21" s="90">
        <f t="shared" si="32"/>
        <v>0.2707802141764406</v>
      </c>
      <c r="AG21" s="90">
        <f t="shared" si="32"/>
        <v>-5.2969502407704705E-2</v>
      </c>
      <c r="AH21" s="90">
        <f t="shared" ref="AH21:AN21" si="33">AH20/AG20-1</f>
        <v>-0.13050847457627124</v>
      </c>
      <c r="AI21" s="90">
        <f t="shared" si="33"/>
        <v>-0.10726799980916601</v>
      </c>
      <c r="AJ21" s="90">
        <f>AJ20/AI20-1</f>
        <v>1.9650252823842473E-2</v>
      </c>
      <c r="AK21" s="90">
        <f>AK20/AJ20-1</f>
        <v>-5.4716895048088077E-3</v>
      </c>
      <c r="AL21" s="90">
        <f>AL20/AK20-1</f>
        <v>-5.6668474195037399E-3</v>
      </c>
      <c r="AM21" s="90">
        <f t="shared" si="33"/>
        <v>-5.8701179045886898E-3</v>
      </c>
      <c r="AN21" s="90">
        <f t="shared" si="33"/>
        <v>-6.0819230470994246E-3</v>
      </c>
    </row>
    <row r="22" spans="1:51">
      <c r="A22" s="43"/>
      <c r="Z22" s="91"/>
      <c r="AA22" s="91"/>
      <c r="AB22" s="90"/>
      <c r="AC22" s="90"/>
      <c r="AD22" s="90"/>
      <c r="AE22" s="90"/>
      <c r="AF22" s="90"/>
      <c r="AG22" s="90"/>
      <c r="AH22" s="90"/>
      <c r="AI22" s="90"/>
      <c r="AJ22" s="90"/>
      <c r="AK22" s="90"/>
      <c r="AL22" s="90"/>
      <c r="AM22" s="90"/>
      <c r="AN22" s="90"/>
    </row>
    <row r="23" spans="1:51">
      <c r="A23" s="6" t="s">
        <v>599</v>
      </c>
      <c r="B23" s="85"/>
      <c r="C23" s="85"/>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row>
    <row r="24" spans="1:51">
      <c r="A24" s="88" t="s">
        <v>672</v>
      </c>
      <c r="B24" s="89"/>
      <c r="C24" s="89"/>
      <c r="D24" s="89"/>
      <c r="E24" s="89"/>
      <c r="F24" s="89"/>
      <c r="G24" s="89"/>
      <c r="H24" s="89"/>
      <c r="I24" s="89"/>
      <c r="J24" s="89"/>
      <c r="K24" s="89"/>
      <c r="L24" s="89"/>
      <c r="M24" s="89"/>
      <c r="N24" s="89"/>
      <c r="O24" s="89"/>
      <c r="P24" s="89"/>
      <c r="Q24" s="89"/>
      <c r="R24" s="89"/>
      <c r="S24" s="89"/>
      <c r="T24" s="89"/>
      <c r="U24" s="89"/>
      <c r="V24" s="89"/>
      <c r="W24" s="89"/>
      <c r="X24" s="89"/>
      <c r="Y24" s="89"/>
      <c r="Z24" s="89"/>
      <c r="AA24" s="89"/>
      <c r="AB24" s="89"/>
      <c r="AC24" s="89"/>
      <c r="AD24" s="89"/>
      <c r="AE24" s="89"/>
      <c r="AF24" s="89"/>
      <c r="AG24" s="89"/>
      <c r="AH24" s="89"/>
      <c r="AI24" s="89"/>
      <c r="AJ24" s="89"/>
      <c r="AK24" s="89"/>
      <c r="AL24" s="89"/>
      <c r="AM24" s="89"/>
      <c r="AN24" s="89"/>
    </row>
    <row r="25" spans="1:51">
      <c r="A25" s="79" t="s">
        <v>522</v>
      </c>
      <c r="B25" s="79">
        <f t="shared" ref="B25:Z25" si="34">SUM(B26:B28)</f>
        <v>0</v>
      </c>
      <c r="C25" s="79">
        <f t="shared" si="34"/>
        <v>0</v>
      </c>
      <c r="D25" s="79">
        <f t="shared" si="34"/>
        <v>0</v>
      </c>
      <c r="E25" s="79">
        <f t="shared" si="34"/>
        <v>0</v>
      </c>
      <c r="F25" s="79">
        <f t="shared" si="34"/>
        <v>0</v>
      </c>
      <c r="G25" s="79">
        <f t="shared" si="34"/>
        <v>0</v>
      </c>
      <c r="H25" s="79">
        <f t="shared" si="34"/>
        <v>0</v>
      </c>
      <c r="I25" s="79">
        <f t="shared" si="34"/>
        <v>0</v>
      </c>
      <c r="J25" s="79">
        <f t="shared" si="34"/>
        <v>0</v>
      </c>
      <c r="K25" s="79">
        <f t="shared" si="34"/>
        <v>0</v>
      </c>
      <c r="L25" s="79">
        <f t="shared" si="34"/>
        <v>0</v>
      </c>
      <c r="M25" s="79">
        <f t="shared" si="34"/>
        <v>0</v>
      </c>
      <c r="N25" s="79">
        <f t="shared" si="34"/>
        <v>0</v>
      </c>
      <c r="O25" s="79">
        <f t="shared" si="34"/>
        <v>0</v>
      </c>
      <c r="P25" s="79">
        <f t="shared" si="34"/>
        <v>0</v>
      </c>
      <c r="Q25" s="79">
        <f t="shared" si="34"/>
        <v>0</v>
      </c>
      <c r="R25" s="79">
        <f t="shared" si="34"/>
        <v>0</v>
      </c>
      <c r="S25" s="79">
        <f t="shared" si="34"/>
        <v>0</v>
      </c>
      <c r="T25" s="79">
        <f t="shared" si="34"/>
        <v>0</v>
      </c>
      <c r="U25" s="79">
        <f t="shared" si="34"/>
        <v>0</v>
      </c>
      <c r="V25" s="79">
        <f t="shared" si="34"/>
        <v>0</v>
      </c>
      <c r="W25" s="79">
        <f t="shared" si="34"/>
        <v>406</v>
      </c>
      <c r="X25" s="79">
        <f t="shared" si="34"/>
        <v>244</v>
      </c>
      <c r="Y25" s="79">
        <f t="shared" si="34"/>
        <v>317</v>
      </c>
      <c r="Z25" s="79">
        <f t="shared" si="34"/>
        <v>404</v>
      </c>
      <c r="AA25" s="108">
        <f t="shared" ref="AA25:AF25" si="35">SUM(AA26:AA28)</f>
        <v>441</v>
      </c>
      <c r="AB25" s="108">
        <f t="shared" si="35"/>
        <v>530</v>
      </c>
      <c r="AC25" s="79">
        <f t="shared" si="35"/>
        <v>547</v>
      </c>
      <c r="AD25" s="79">
        <f t="shared" si="35"/>
        <v>565</v>
      </c>
      <c r="AE25" s="79">
        <f t="shared" si="35"/>
        <v>545</v>
      </c>
      <c r="AF25" s="79">
        <f t="shared" si="35"/>
        <v>610</v>
      </c>
      <c r="AG25" s="79">
        <f t="shared" ref="AG25" si="36">SUM(AG26:AG28)</f>
        <v>603</v>
      </c>
      <c r="AH25" s="79">
        <f t="shared" ref="AH25:AN25" si="37">SUM(AH26:AH28)</f>
        <v>571</v>
      </c>
      <c r="AI25" s="79">
        <f t="shared" si="37"/>
        <v>467.8952668028096</v>
      </c>
      <c r="AJ25" s="79">
        <f t="shared" si="37"/>
        <v>480.94150321850327</v>
      </c>
      <c r="AK25" s="79">
        <f t="shared" si="37"/>
        <v>480.94150321850327</v>
      </c>
      <c r="AL25" s="79">
        <f t="shared" si="37"/>
        <v>480.94150321850327</v>
      </c>
      <c r="AM25" s="79">
        <f t="shared" si="37"/>
        <v>480.94150321850327</v>
      </c>
      <c r="AN25" s="79">
        <f t="shared" si="37"/>
        <v>480.94150321850327</v>
      </c>
      <c r="AR25" s="90"/>
    </row>
    <row r="26" spans="1:51">
      <c r="A26" s="152" t="s">
        <v>297</v>
      </c>
      <c r="W26" s="7">
        <v>192</v>
      </c>
      <c r="X26" s="7">
        <v>144</v>
      </c>
      <c r="Y26" s="7">
        <v>151</v>
      </c>
      <c r="Z26" s="7">
        <v>202</v>
      </c>
      <c r="AA26" s="7">
        <v>245</v>
      </c>
      <c r="AB26" s="7">
        <v>314</v>
      </c>
      <c r="AC26" s="30">
        <v>270</v>
      </c>
      <c r="AD26" s="7">
        <v>306</v>
      </c>
      <c r="AE26" s="7">
        <v>305</v>
      </c>
      <c r="AF26" s="7">
        <v>313</v>
      </c>
      <c r="AG26" s="7">
        <v>308</v>
      </c>
      <c r="AH26" s="7">
        <v>312</v>
      </c>
      <c r="AI26" s="81">
        <f>AI66*AI79*AI$2</f>
        <v>210.86480891053412</v>
      </c>
      <c r="AJ26" s="81">
        <f t="shared" ref="AJ26:AN28" si="38">AJ66*AJ79*AJ$2</f>
        <v>216.74431303032316</v>
      </c>
      <c r="AK26" s="81">
        <f t="shared" si="38"/>
        <v>216.74431303032316</v>
      </c>
      <c r="AL26" s="81">
        <f t="shared" si="38"/>
        <v>216.74431303032316</v>
      </c>
      <c r="AM26" s="81">
        <f t="shared" si="38"/>
        <v>216.74431303032316</v>
      </c>
      <c r="AN26" s="81">
        <f t="shared" si="38"/>
        <v>216.74431303032316</v>
      </c>
      <c r="AO26" s="90">
        <f>AI26/AH26-1</f>
        <v>-0.32415125349187779</v>
      </c>
      <c r="AP26" s="7">
        <v>161</v>
      </c>
      <c r="AQ26" s="7">
        <v>228</v>
      </c>
      <c r="AR26" s="90">
        <f>AP26/AQ26-1</f>
        <v>-0.29385964912280704</v>
      </c>
    </row>
    <row r="27" spans="1:51">
      <c r="A27" s="152" t="s">
        <v>561</v>
      </c>
      <c r="W27" s="7">
        <v>129</v>
      </c>
      <c r="X27" s="7">
        <v>107</v>
      </c>
      <c r="Y27" s="7">
        <v>87</v>
      </c>
      <c r="Z27" s="7">
        <v>121</v>
      </c>
      <c r="AA27" s="7">
        <v>100</v>
      </c>
      <c r="AB27" s="7">
        <v>93</v>
      </c>
      <c r="AC27" s="30">
        <v>104</v>
      </c>
      <c r="AD27" s="7">
        <v>88</v>
      </c>
      <c r="AE27" s="7">
        <v>45</v>
      </c>
      <c r="AF27" s="7">
        <v>112</v>
      </c>
      <c r="AG27" s="7">
        <v>101</v>
      </c>
      <c r="AH27" s="7">
        <v>111</v>
      </c>
      <c r="AI27" s="81">
        <f>AI67*AI80*AI$2</f>
        <v>120.71476904839356</v>
      </c>
      <c r="AJ27" s="81">
        <f t="shared" si="38"/>
        <v>124.08063642857145</v>
      </c>
      <c r="AK27" s="81">
        <f t="shared" si="38"/>
        <v>124.08063642857145</v>
      </c>
      <c r="AL27" s="81">
        <f t="shared" si="38"/>
        <v>124.08063642857145</v>
      </c>
      <c r="AM27" s="81">
        <f t="shared" si="38"/>
        <v>124.08063642857145</v>
      </c>
      <c r="AN27" s="81">
        <f t="shared" si="38"/>
        <v>124.08063642857145</v>
      </c>
      <c r="AO27" s="90">
        <f t="shared" ref="AO27:AO31" si="39">AI27/AH27-1</f>
        <v>8.7520441877419586E-2</v>
      </c>
      <c r="AP27" s="7">
        <v>50</v>
      </c>
      <c r="AQ27" s="7">
        <v>36</v>
      </c>
      <c r="AR27" s="90">
        <f t="shared" ref="AR27:AR34" si="40">AP27/AQ27-1</f>
        <v>0.38888888888888884</v>
      </c>
    </row>
    <row r="28" spans="1:51">
      <c r="A28" s="152" t="s">
        <v>562</v>
      </c>
      <c r="W28" s="7">
        <v>85</v>
      </c>
      <c r="X28" s="7">
        <v>-7</v>
      </c>
      <c r="Y28" s="7">
        <v>79</v>
      </c>
      <c r="Z28" s="7">
        <v>81</v>
      </c>
      <c r="AA28" s="7">
        <v>96</v>
      </c>
      <c r="AB28" s="7">
        <v>123</v>
      </c>
      <c r="AC28" s="30">
        <v>173</v>
      </c>
      <c r="AD28" s="7">
        <v>171</v>
      </c>
      <c r="AE28" s="7">
        <v>195</v>
      </c>
      <c r="AF28" s="7">
        <v>185</v>
      </c>
      <c r="AG28" s="7">
        <v>194</v>
      </c>
      <c r="AH28" s="7">
        <v>148</v>
      </c>
      <c r="AI28" s="81">
        <f>AI68*AI81*AI$2</f>
        <v>136.31568884388187</v>
      </c>
      <c r="AJ28" s="81">
        <f t="shared" si="38"/>
        <v>140.11655375960865</v>
      </c>
      <c r="AK28" s="81">
        <f t="shared" si="38"/>
        <v>140.11655375960865</v>
      </c>
      <c r="AL28" s="81">
        <f t="shared" si="38"/>
        <v>140.11655375960865</v>
      </c>
      <c r="AM28" s="81">
        <f t="shared" si="38"/>
        <v>140.11655375960865</v>
      </c>
      <c r="AN28" s="81">
        <f t="shared" si="38"/>
        <v>140.11655375960865</v>
      </c>
      <c r="AO28" s="90">
        <f t="shared" si="39"/>
        <v>-7.8948048352149525E-2</v>
      </c>
      <c r="AP28" s="7">
        <v>84</v>
      </c>
      <c r="AQ28" s="7">
        <v>87</v>
      </c>
      <c r="AR28" s="90">
        <f t="shared" si="40"/>
        <v>-3.4482758620689613E-2</v>
      </c>
    </row>
    <row r="29" spans="1:51">
      <c r="A29" s="79" t="s">
        <v>563</v>
      </c>
      <c r="B29" s="79">
        <f t="shared" ref="B29:Z29" si="41">SUM(B30:B31)</f>
        <v>0</v>
      </c>
      <c r="C29" s="79">
        <f t="shared" si="41"/>
        <v>0</v>
      </c>
      <c r="D29" s="79">
        <f t="shared" si="41"/>
        <v>135</v>
      </c>
      <c r="E29" s="79">
        <f t="shared" si="41"/>
        <v>218</v>
      </c>
      <c r="F29" s="79">
        <f t="shared" si="41"/>
        <v>296</v>
      </c>
      <c r="G29" s="79">
        <f t="shared" si="41"/>
        <v>350</v>
      </c>
      <c r="H29" s="79">
        <f t="shared" si="41"/>
        <v>423</v>
      </c>
      <c r="I29" s="79">
        <f t="shared" si="41"/>
        <v>578</v>
      </c>
      <c r="J29" s="79">
        <f t="shared" si="41"/>
        <v>551</v>
      </c>
      <c r="K29" s="79">
        <f t="shared" si="41"/>
        <v>700</v>
      </c>
      <c r="L29" s="79">
        <f t="shared" si="41"/>
        <v>676</v>
      </c>
      <c r="M29" s="79">
        <f t="shared" si="41"/>
        <v>696</v>
      </c>
      <c r="N29" s="79">
        <f t="shared" si="41"/>
        <v>663</v>
      </c>
      <c r="O29" s="79">
        <f t="shared" si="41"/>
        <v>698</v>
      </c>
      <c r="P29" s="79">
        <f t="shared" si="41"/>
        <v>691</v>
      </c>
      <c r="Q29" s="79">
        <f t="shared" si="41"/>
        <v>723</v>
      </c>
      <c r="R29" s="79">
        <f t="shared" si="41"/>
        <v>830</v>
      </c>
      <c r="S29" s="79">
        <f t="shared" si="41"/>
        <v>715</v>
      </c>
      <c r="T29" s="79">
        <f t="shared" si="41"/>
        <v>804</v>
      </c>
      <c r="U29" s="79">
        <f t="shared" si="41"/>
        <v>639</v>
      </c>
      <c r="V29" s="79">
        <f t="shared" si="41"/>
        <v>579</v>
      </c>
      <c r="W29" s="79">
        <f t="shared" si="41"/>
        <v>602</v>
      </c>
      <c r="X29" s="79">
        <f t="shared" si="41"/>
        <v>774</v>
      </c>
      <c r="Y29" s="79">
        <f t="shared" si="41"/>
        <v>844</v>
      </c>
      <c r="Z29" s="79">
        <f t="shared" si="41"/>
        <v>863</v>
      </c>
      <c r="AA29" s="79">
        <v>913</v>
      </c>
      <c r="AB29" s="79">
        <v>1720</v>
      </c>
      <c r="AC29" s="79">
        <v>1688</v>
      </c>
      <c r="AD29" s="79">
        <v>1594</v>
      </c>
      <c r="AE29" s="79">
        <v>1908</v>
      </c>
      <c r="AF29" s="79">
        <v>1965</v>
      </c>
      <c r="AG29" s="79">
        <v>1888</v>
      </c>
      <c r="AH29" s="79">
        <f t="shared" ref="AH29:AN29" si="42">SUM(AH30:AH31)</f>
        <v>1671</v>
      </c>
      <c r="AI29" s="100">
        <f>SUM(AI30:AI31)</f>
        <v>1501.7668647379999</v>
      </c>
      <c r="AJ29" s="100">
        <f t="shared" si="42"/>
        <v>1543.6403499999997</v>
      </c>
      <c r="AK29" s="100">
        <f t="shared" si="42"/>
        <v>1543.6403499999997</v>
      </c>
      <c r="AL29" s="100">
        <f t="shared" si="42"/>
        <v>1543.6403499999997</v>
      </c>
      <c r="AM29" s="100">
        <f t="shared" si="42"/>
        <v>1543.6403499999997</v>
      </c>
      <c r="AN29" s="100">
        <f t="shared" si="42"/>
        <v>1543.6403499999997</v>
      </c>
      <c r="AO29" s="90">
        <f t="shared" si="39"/>
        <v>-0.10127656209575109</v>
      </c>
      <c r="AR29" s="90"/>
    </row>
    <row r="30" spans="1:51">
      <c r="A30" s="152" t="s">
        <v>99</v>
      </c>
      <c r="B30" s="7">
        <v>0</v>
      </c>
      <c r="C30" s="7">
        <v>0</v>
      </c>
      <c r="D30" s="7">
        <v>135</v>
      </c>
      <c r="E30" s="7">
        <v>218</v>
      </c>
      <c r="F30" s="7">
        <v>296</v>
      </c>
      <c r="G30" s="7">
        <v>350</v>
      </c>
      <c r="H30" s="7">
        <v>423</v>
      </c>
      <c r="I30" s="7">
        <v>578</v>
      </c>
      <c r="J30" s="7">
        <v>551</v>
      </c>
      <c r="K30" s="7">
        <v>700</v>
      </c>
      <c r="L30" s="7">
        <v>676</v>
      </c>
      <c r="M30" s="7">
        <v>696</v>
      </c>
      <c r="N30" s="7">
        <v>663</v>
      </c>
      <c r="O30" s="7">
        <v>698</v>
      </c>
      <c r="P30" s="7">
        <v>691</v>
      </c>
      <c r="Q30" s="7">
        <v>723</v>
      </c>
      <c r="R30" s="7">
        <v>830</v>
      </c>
      <c r="S30" s="7">
        <v>715</v>
      </c>
      <c r="T30" s="7">
        <v>804</v>
      </c>
      <c r="U30" s="7">
        <v>639</v>
      </c>
      <c r="V30" s="7">
        <v>579</v>
      </c>
      <c r="W30" s="7">
        <v>602</v>
      </c>
      <c r="X30" s="7">
        <v>774</v>
      </c>
      <c r="Y30" s="7">
        <v>844</v>
      </c>
      <c r="Z30" s="7">
        <v>863</v>
      </c>
      <c r="AA30" s="7">
        <f>AA29-AA31</f>
        <v>879</v>
      </c>
      <c r="AB30" s="7">
        <f>AB29-AB31</f>
        <v>920</v>
      </c>
      <c r="AC30" s="30">
        <f>AC29-AC31</f>
        <v>938</v>
      </c>
      <c r="AD30" s="7">
        <v>933</v>
      </c>
      <c r="AE30" s="7">
        <v>963</v>
      </c>
      <c r="AF30" s="7">
        <v>970</v>
      </c>
      <c r="AG30" s="7">
        <v>943</v>
      </c>
      <c r="AH30" s="7">
        <v>911</v>
      </c>
      <c r="AI30" s="81">
        <f t="shared" ref="AI30:AN31" si="43">AI70*AI83*AI$2</f>
        <v>900.66465686393542</v>
      </c>
      <c r="AJ30" s="81">
        <f t="shared" si="43"/>
        <v>925.77772142857134</v>
      </c>
      <c r="AK30" s="81">
        <f t="shared" si="43"/>
        <v>925.77772142857134</v>
      </c>
      <c r="AL30" s="81">
        <f t="shared" si="43"/>
        <v>925.77772142857134</v>
      </c>
      <c r="AM30" s="81">
        <f t="shared" si="43"/>
        <v>925.77772142857134</v>
      </c>
      <c r="AN30" s="81">
        <f t="shared" si="43"/>
        <v>925.77772142857134</v>
      </c>
      <c r="AO30" s="90">
        <f t="shared" si="39"/>
        <v>-1.134505283870979E-2</v>
      </c>
      <c r="AP30" s="7">
        <v>433</v>
      </c>
      <c r="AQ30" s="7">
        <v>344</v>
      </c>
      <c r="AR30" s="90">
        <f t="shared" si="40"/>
        <v>0.25872093023255816</v>
      </c>
    </row>
    <row r="31" spans="1:51">
      <c r="A31" s="152" t="s">
        <v>564</v>
      </c>
      <c r="W31" s="7">
        <v>0</v>
      </c>
      <c r="X31" s="7">
        <v>0</v>
      </c>
      <c r="Y31" s="7">
        <v>0</v>
      </c>
      <c r="Z31" s="7">
        <v>0</v>
      </c>
      <c r="AA31" s="7">
        <v>34</v>
      </c>
      <c r="AB31" s="7">
        <v>800</v>
      </c>
      <c r="AC31" s="30">
        <v>750</v>
      </c>
      <c r="AD31" s="7">
        <v>661</v>
      </c>
      <c r="AE31" s="7">
        <v>945</v>
      </c>
      <c r="AF31" s="7">
        <v>995</v>
      </c>
      <c r="AG31" s="7">
        <v>945</v>
      </c>
      <c r="AH31" s="7">
        <v>760</v>
      </c>
      <c r="AI31" s="81">
        <f>AI71*AI84*AI$2</f>
        <v>601.10220787406445</v>
      </c>
      <c r="AJ31" s="81">
        <f t="shared" si="43"/>
        <v>617.86262857142844</v>
      </c>
      <c r="AK31" s="81">
        <f t="shared" si="43"/>
        <v>617.86262857142844</v>
      </c>
      <c r="AL31" s="81">
        <f t="shared" si="43"/>
        <v>617.86262857142844</v>
      </c>
      <c r="AM31" s="81">
        <f t="shared" si="43"/>
        <v>617.86262857142844</v>
      </c>
      <c r="AN31" s="81">
        <f t="shared" si="43"/>
        <v>617.86262857142844</v>
      </c>
      <c r="AO31" s="90">
        <f t="shared" si="39"/>
        <v>-0.20907604227096788</v>
      </c>
      <c r="AP31" s="7">
        <v>328</v>
      </c>
      <c r="AQ31" s="7">
        <v>492</v>
      </c>
      <c r="AR31" s="90">
        <f t="shared" si="40"/>
        <v>-0.33333333333333337</v>
      </c>
    </row>
    <row r="32" spans="1:51">
      <c r="A32" s="79" t="s">
        <v>544</v>
      </c>
      <c r="B32" s="79">
        <f t="shared" ref="B32:Z32" si="44">SUM(B33:B35)</f>
        <v>0</v>
      </c>
      <c r="C32" s="79">
        <f t="shared" si="44"/>
        <v>0</v>
      </c>
      <c r="D32" s="79">
        <f t="shared" si="44"/>
        <v>0</v>
      </c>
      <c r="E32" s="79">
        <f t="shared" si="44"/>
        <v>0</v>
      </c>
      <c r="F32" s="79">
        <f t="shared" si="44"/>
        <v>0</v>
      </c>
      <c r="G32" s="79">
        <f t="shared" si="44"/>
        <v>0</v>
      </c>
      <c r="H32" s="79">
        <f t="shared" si="44"/>
        <v>0</v>
      </c>
      <c r="I32" s="79">
        <f t="shared" si="44"/>
        <v>0</v>
      </c>
      <c r="J32" s="79">
        <f t="shared" si="44"/>
        <v>0</v>
      </c>
      <c r="K32" s="79">
        <f t="shared" si="44"/>
        <v>0</v>
      </c>
      <c r="L32" s="79">
        <f t="shared" si="44"/>
        <v>0</v>
      </c>
      <c r="M32" s="79">
        <f t="shared" si="44"/>
        <v>0</v>
      </c>
      <c r="N32" s="79">
        <f t="shared" si="44"/>
        <v>0</v>
      </c>
      <c r="O32" s="79">
        <f t="shared" si="44"/>
        <v>0</v>
      </c>
      <c r="P32" s="79">
        <f t="shared" si="44"/>
        <v>0</v>
      </c>
      <c r="Q32" s="79">
        <f t="shared" si="44"/>
        <v>0</v>
      </c>
      <c r="R32" s="79">
        <f t="shared" si="44"/>
        <v>0</v>
      </c>
      <c r="S32" s="79">
        <f t="shared" si="44"/>
        <v>0</v>
      </c>
      <c r="T32" s="79">
        <f t="shared" si="44"/>
        <v>0</v>
      </c>
      <c r="U32" s="79">
        <f t="shared" si="44"/>
        <v>0</v>
      </c>
      <c r="V32" s="79">
        <f t="shared" si="44"/>
        <v>0</v>
      </c>
      <c r="W32" s="79">
        <f t="shared" si="44"/>
        <v>1177</v>
      </c>
      <c r="X32" s="79">
        <f t="shared" si="44"/>
        <v>719</v>
      </c>
      <c r="Y32" s="79">
        <f t="shared" si="44"/>
        <v>941</v>
      </c>
      <c r="Z32" s="79">
        <f t="shared" si="44"/>
        <v>429</v>
      </c>
      <c r="AA32" s="108">
        <f>SUM(AA33:AA35)</f>
        <v>45</v>
      </c>
      <c r="AB32" s="79">
        <f>SUM(AB33:AB35)</f>
        <v>36</v>
      </c>
      <c r="AC32" s="79">
        <f>SUM(AC33:AC35)</f>
        <v>264</v>
      </c>
      <c r="AD32" s="79">
        <v>203</v>
      </c>
      <c r="AE32" s="79">
        <v>-572</v>
      </c>
      <c r="AF32" s="79">
        <v>45</v>
      </c>
      <c r="AG32" s="79">
        <v>-11</v>
      </c>
      <c r="AH32" s="79">
        <v>5</v>
      </c>
      <c r="AI32" s="100">
        <f t="shared" ref="AI32:AN32" si="45">SUM(AI33:AI35)</f>
        <v>-0.98865494716129032</v>
      </c>
      <c r="AJ32" s="100">
        <f t="shared" si="45"/>
        <v>-1.0162214285714286</v>
      </c>
      <c r="AK32" s="100">
        <f t="shared" si="45"/>
        <v>-1.0162214285714286</v>
      </c>
      <c r="AL32" s="100">
        <f t="shared" si="45"/>
        <v>-1.0162214285714286</v>
      </c>
      <c r="AM32" s="100">
        <f t="shared" si="45"/>
        <v>-1.0162214285714286</v>
      </c>
      <c r="AN32" s="100">
        <f t="shared" si="45"/>
        <v>-1.0162214285714286</v>
      </c>
      <c r="AR32" s="90"/>
    </row>
    <row r="33" spans="1:44">
      <c r="A33" s="152" t="s">
        <v>596</v>
      </c>
      <c r="W33" s="7">
        <v>312</v>
      </c>
      <c r="X33" s="7">
        <v>426</v>
      </c>
      <c r="Y33" s="7">
        <v>558</v>
      </c>
      <c r="Z33" s="7">
        <v>250</v>
      </c>
      <c r="AA33" s="7">
        <v>58</v>
      </c>
      <c r="AB33" s="7">
        <v>13</v>
      </c>
      <c r="AC33" s="30">
        <v>-6</v>
      </c>
      <c r="AD33" s="7">
        <v>-7</v>
      </c>
      <c r="AE33" s="7">
        <v>-321</v>
      </c>
      <c r="AF33" s="7">
        <v>7</v>
      </c>
      <c r="AG33" s="7">
        <v>6</v>
      </c>
      <c r="AH33" s="7">
        <v>6</v>
      </c>
      <c r="AI33" s="81">
        <f t="shared" ref="AI33:AN35" si="46">AI73*AI86*AI$2</f>
        <v>0</v>
      </c>
      <c r="AJ33" s="81">
        <f t="shared" si="46"/>
        <v>0</v>
      </c>
      <c r="AK33" s="81">
        <f t="shared" si="46"/>
        <v>0</v>
      </c>
      <c r="AL33" s="81">
        <f t="shared" si="46"/>
        <v>0</v>
      </c>
      <c r="AM33" s="81">
        <f t="shared" si="46"/>
        <v>0</v>
      </c>
      <c r="AN33" s="81">
        <f t="shared" si="46"/>
        <v>0</v>
      </c>
      <c r="AR33" s="90"/>
    </row>
    <row r="34" spans="1:44">
      <c r="A34" s="152" t="s">
        <v>597</v>
      </c>
      <c r="W34" s="7">
        <v>302</v>
      </c>
      <c r="X34" s="7">
        <v>0</v>
      </c>
      <c r="Y34" s="7">
        <v>316</v>
      </c>
      <c r="Z34" s="7">
        <v>170</v>
      </c>
      <c r="AA34" s="7">
        <v>67</v>
      </c>
      <c r="AB34" s="7">
        <v>15</v>
      </c>
      <c r="AC34" s="30">
        <v>33</v>
      </c>
      <c r="AD34" s="7">
        <v>-1</v>
      </c>
      <c r="AE34" s="7">
        <v>-149</v>
      </c>
      <c r="AF34" s="7">
        <v>98</v>
      </c>
      <c r="AG34" s="7">
        <v>-17</v>
      </c>
      <c r="AH34" s="7">
        <v>-1</v>
      </c>
      <c r="AI34" s="81">
        <f>AI74*AI87*AI$2</f>
        <v>-0.98865494716129032</v>
      </c>
      <c r="AJ34" s="81">
        <f t="shared" si="46"/>
        <v>-1.0162214285714286</v>
      </c>
      <c r="AK34" s="81">
        <f t="shared" si="46"/>
        <v>-1.0162214285714286</v>
      </c>
      <c r="AL34" s="81">
        <f t="shared" si="46"/>
        <v>-1.0162214285714286</v>
      </c>
      <c r="AM34" s="81">
        <f t="shared" si="46"/>
        <v>-1.0162214285714286</v>
      </c>
      <c r="AN34" s="81">
        <f t="shared" si="46"/>
        <v>-1.0162214285714286</v>
      </c>
      <c r="AP34" s="7">
        <v>870</v>
      </c>
      <c r="AQ34" s="7">
        <v>988</v>
      </c>
      <c r="AR34" s="90">
        <f t="shared" si="40"/>
        <v>-0.11943319838056676</v>
      </c>
    </row>
    <row r="35" spans="1:44">
      <c r="A35" s="152" t="s">
        <v>598</v>
      </c>
      <c r="W35" s="7">
        <v>563</v>
      </c>
      <c r="X35" s="7">
        <v>293</v>
      </c>
      <c r="Y35" s="7">
        <v>67</v>
      </c>
      <c r="Z35" s="7">
        <v>9</v>
      </c>
      <c r="AA35" s="7">
        <v>-80</v>
      </c>
      <c r="AB35" s="7">
        <v>8</v>
      </c>
      <c r="AC35" s="30">
        <v>237</v>
      </c>
      <c r="AD35" s="7">
        <v>211</v>
      </c>
      <c r="AE35" s="7">
        <v>-102</v>
      </c>
      <c r="AF35" s="7">
        <v>-60</v>
      </c>
      <c r="AG35" s="7">
        <v>0</v>
      </c>
      <c r="AH35" s="7">
        <v>0</v>
      </c>
      <c r="AI35" s="81">
        <f t="shared" si="46"/>
        <v>0</v>
      </c>
      <c r="AJ35" s="81">
        <f t="shared" si="46"/>
        <v>0</v>
      </c>
      <c r="AK35" s="81">
        <f t="shared" si="46"/>
        <v>0</v>
      </c>
      <c r="AL35" s="81">
        <f t="shared" si="46"/>
        <v>0</v>
      </c>
      <c r="AM35" s="81">
        <f t="shared" si="46"/>
        <v>0</v>
      </c>
      <c r="AN35" s="81">
        <f t="shared" si="46"/>
        <v>0</v>
      </c>
      <c r="AR35" s="90"/>
    </row>
    <row r="36" spans="1:44">
      <c r="A36" s="7" t="s">
        <v>549</v>
      </c>
      <c r="W36" s="7">
        <v>-70</v>
      </c>
      <c r="X36" s="7">
        <v>-80</v>
      </c>
      <c r="Y36" s="7">
        <v>-92</v>
      </c>
      <c r="Z36" s="7">
        <v>-120</v>
      </c>
      <c r="AA36" s="30">
        <f>-161-AA37-AA38</f>
        <v>-106</v>
      </c>
      <c r="AB36" s="30">
        <f>-123-AB37-AB38</f>
        <v>-107</v>
      </c>
      <c r="AC36" s="30">
        <f>-222-AC37-AC38</f>
        <v>-206</v>
      </c>
      <c r="AD36" s="30">
        <f>-129-AD37-AD38</f>
        <v>-113</v>
      </c>
      <c r="AE36" s="30">
        <f>-221-AE37-AE38</f>
        <v>-205</v>
      </c>
      <c r="AF36" s="30">
        <f>-343-AF37</f>
        <v>-327</v>
      </c>
      <c r="AG36" s="30">
        <f>-335-AG37</f>
        <v>-319</v>
      </c>
      <c r="AH36" s="30">
        <f>-332-AH37</f>
        <v>-316</v>
      </c>
      <c r="AI36" s="450">
        <f t="shared" ref="AI36:AN36" si="47">AH36/AH2*AI2*1.03</f>
        <v>-321.78741220205677</v>
      </c>
      <c r="AJ36" s="450">
        <f>AI36/AI2*AJ2*1.03</f>
        <v>-340.68254308857144</v>
      </c>
      <c r="AK36" s="450">
        <f>AJ36/AJ2*AK2*1.03</f>
        <v>-350.90301938122855</v>
      </c>
      <c r="AL36" s="450">
        <f>AK36/AK2*AL2*1.03</f>
        <v>-361.43010996266543</v>
      </c>
      <c r="AM36" s="450">
        <f t="shared" si="47"/>
        <v>-372.27301326154537</v>
      </c>
      <c r="AN36" s="450">
        <f t="shared" si="47"/>
        <v>-383.44120365939176</v>
      </c>
      <c r="AR36" s="90"/>
    </row>
    <row r="37" spans="1:44">
      <c r="A37" s="7" t="s">
        <v>343</v>
      </c>
      <c r="W37" s="7">
        <v>-33</v>
      </c>
      <c r="X37" s="7">
        <v>-23</v>
      </c>
      <c r="Y37" s="7">
        <v>-9</v>
      </c>
      <c r="Z37" s="7">
        <v>-16</v>
      </c>
      <c r="AA37" s="81">
        <v>-16</v>
      </c>
      <c r="AB37" s="81">
        <f t="shared" ref="AB37:AI37" si="48">AA37</f>
        <v>-16</v>
      </c>
      <c r="AC37" s="81">
        <f t="shared" si="48"/>
        <v>-16</v>
      </c>
      <c r="AD37" s="81">
        <f t="shared" si="48"/>
        <v>-16</v>
      </c>
      <c r="AE37" s="81">
        <f t="shared" si="48"/>
        <v>-16</v>
      </c>
      <c r="AF37" s="81">
        <f t="shared" si="48"/>
        <v>-16</v>
      </c>
      <c r="AG37" s="81">
        <f t="shared" si="48"/>
        <v>-16</v>
      </c>
      <c r="AH37" s="81">
        <f t="shared" si="48"/>
        <v>-16</v>
      </c>
      <c r="AI37" s="81">
        <f t="shared" si="48"/>
        <v>-16</v>
      </c>
      <c r="AJ37" s="81">
        <f>AI37</f>
        <v>-16</v>
      </c>
      <c r="AK37" s="81">
        <f>AJ37</f>
        <v>-16</v>
      </c>
      <c r="AL37" s="81">
        <f>AK37</f>
        <v>-16</v>
      </c>
      <c r="AM37" s="81">
        <f>AL37</f>
        <v>-16</v>
      </c>
      <c r="AN37" s="81">
        <f>AM37</f>
        <v>-16</v>
      </c>
      <c r="AR37" s="90"/>
    </row>
    <row r="38" spans="1:44">
      <c r="A38" s="7" t="s">
        <v>569</v>
      </c>
      <c r="W38" s="7">
        <f>24+25</f>
        <v>49</v>
      </c>
      <c r="X38" s="7">
        <f>-29-26</f>
        <v>-55</v>
      </c>
      <c r="Y38" s="7">
        <v>-24</v>
      </c>
      <c r="Z38" s="7">
        <v>-39</v>
      </c>
      <c r="AA38" s="81">
        <v>-39</v>
      </c>
      <c r="AB38" s="81">
        <v>0</v>
      </c>
      <c r="AC38" s="81">
        <v>0</v>
      </c>
      <c r="AD38" s="81">
        <v>0</v>
      </c>
      <c r="AE38" s="81">
        <v>0</v>
      </c>
      <c r="AF38" s="81">
        <v>0</v>
      </c>
      <c r="AG38" s="81">
        <v>0</v>
      </c>
      <c r="AH38" s="81">
        <v>0</v>
      </c>
      <c r="AI38" s="81">
        <v>0</v>
      </c>
      <c r="AJ38" s="81">
        <v>0</v>
      </c>
      <c r="AK38" s="81">
        <v>0</v>
      </c>
      <c r="AL38" s="81">
        <v>0</v>
      </c>
      <c r="AM38" s="81">
        <v>0</v>
      </c>
      <c r="AN38" s="81">
        <v>0</v>
      </c>
      <c r="AR38" s="90"/>
    </row>
    <row r="39" spans="1:44">
      <c r="A39" s="7" t="s">
        <v>750</v>
      </c>
      <c r="W39" s="7">
        <v>0</v>
      </c>
      <c r="X39" s="7">
        <v>0</v>
      </c>
      <c r="Y39" s="7">
        <v>0</v>
      </c>
      <c r="Z39" s="7">
        <v>0</v>
      </c>
      <c r="AA39" s="7">
        <v>0</v>
      </c>
      <c r="AB39" s="7">
        <v>0</v>
      </c>
      <c r="AC39" s="7">
        <v>0</v>
      </c>
      <c r="AD39" s="7">
        <v>0</v>
      </c>
      <c r="AE39" s="7">
        <v>0</v>
      </c>
      <c r="AF39" s="7">
        <v>-48</v>
      </c>
      <c r="AG39" s="7">
        <v>-72</v>
      </c>
      <c r="AH39" s="7">
        <v>-64</v>
      </c>
      <c r="AI39" s="81">
        <v>0</v>
      </c>
      <c r="AJ39" s="81">
        <v>0</v>
      </c>
      <c r="AK39" s="81">
        <v>0</v>
      </c>
      <c r="AL39" s="81">
        <v>0</v>
      </c>
      <c r="AM39" s="81">
        <v>0</v>
      </c>
      <c r="AN39" s="81">
        <v>0</v>
      </c>
      <c r="AR39" s="90"/>
    </row>
    <row r="40" spans="1:44">
      <c r="A40" s="9" t="s">
        <v>673</v>
      </c>
      <c r="B40" s="9">
        <f t="shared" ref="B40:H40" si="49">B25+B29+B32+B36+B37+B38</f>
        <v>0</v>
      </c>
      <c r="C40" s="9">
        <f t="shared" si="49"/>
        <v>0</v>
      </c>
      <c r="D40" s="9">
        <f t="shared" si="49"/>
        <v>135</v>
      </c>
      <c r="E40" s="9">
        <f t="shared" si="49"/>
        <v>218</v>
      </c>
      <c r="F40" s="9">
        <f t="shared" si="49"/>
        <v>296</v>
      </c>
      <c r="G40" s="9">
        <f t="shared" si="49"/>
        <v>350</v>
      </c>
      <c r="H40" s="9">
        <f t="shared" si="49"/>
        <v>423</v>
      </c>
      <c r="I40" s="9">
        <f t="shared" ref="I40:P40" si="50">I42-I41</f>
        <v>620</v>
      </c>
      <c r="J40" s="9">
        <f t="shared" si="50"/>
        <v>683</v>
      </c>
      <c r="K40" s="9">
        <f t="shared" si="50"/>
        <v>996</v>
      </c>
      <c r="L40" s="9">
        <f t="shared" si="50"/>
        <v>898</v>
      </c>
      <c r="M40" s="9">
        <f t="shared" si="50"/>
        <v>1078</v>
      </c>
      <c r="N40" s="9">
        <f t="shared" si="50"/>
        <v>949</v>
      </c>
      <c r="O40" s="9">
        <f t="shared" si="50"/>
        <v>908</v>
      </c>
      <c r="P40" s="9">
        <f t="shared" si="50"/>
        <v>928</v>
      </c>
      <c r="Q40" s="9">
        <f t="shared" ref="Q40:V40" si="51">Q42-Q41</f>
        <v>1036</v>
      </c>
      <c r="R40" s="9">
        <f t="shared" si="51"/>
        <v>1070</v>
      </c>
      <c r="S40" s="9">
        <f t="shared" si="51"/>
        <v>1086</v>
      </c>
      <c r="T40" s="9">
        <f t="shared" si="51"/>
        <v>1761</v>
      </c>
      <c r="U40" s="9">
        <f t="shared" si="51"/>
        <v>1155</v>
      </c>
      <c r="V40" s="9">
        <f t="shared" si="51"/>
        <v>1317</v>
      </c>
      <c r="W40" s="9">
        <f t="shared" ref="W40:AC40" si="52">W25+W29+W32+W36+W37+W38</f>
        <v>2131</v>
      </c>
      <c r="X40" s="9">
        <f t="shared" si="52"/>
        <v>1579</v>
      </c>
      <c r="Y40" s="9">
        <f t="shared" si="52"/>
        <v>1977</v>
      </c>
      <c r="Z40" s="9">
        <f t="shared" si="52"/>
        <v>1521</v>
      </c>
      <c r="AA40" s="9">
        <f t="shared" si="52"/>
        <v>1238</v>
      </c>
      <c r="AB40" s="9">
        <f t="shared" si="52"/>
        <v>2163</v>
      </c>
      <c r="AC40" s="9">
        <f t="shared" si="52"/>
        <v>2277</v>
      </c>
      <c r="AD40" s="9">
        <f>AD25+AD29+AD32+AD36+AD37+AD38</f>
        <v>2233</v>
      </c>
      <c r="AE40" s="9">
        <f>AE25+AE29+AE32+AE36+AE37+AE38</f>
        <v>1660</v>
      </c>
      <c r="AF40" s="9">
        <f>AF25+AF29+AF32+AF36+AF37+AF39</f>
        <v>2229</v>
      </c>
      <c r="AG40" s="9">
        <f>AG25+AG29+AG32+AG36+AG37+AG39</f>
        <v>2073</v>
      </c>
      <c r="AH40" s="9">
        <f t="shared" ref="AH40:AN40" si="53">AH25+AH29+AH32+AH36+AH37+AH39</f>
        <v>1851</v>
      </c>
      <c r="AI40" s="9">
        <f t="shared" si="53"/>
        <v>1630.8860643915914</v>
      </c>
      <c r="AJ40" s="9">
        <f t="shared" si="53"/>
        <v>1666.8830887013601</v>
      </c>
      <c r="AK40" s="9">
        <f t="shared" si="53"/>
        <v>1656.6626124087029</v>
      </c>
      <c r="AL40" s="9">
        <f t="shared" si="53"/>
        <v>1646.1355218272661</v>
      </c>
      <c r="AM40" s="9">
        <f t="shared" si="53"/>
        <v>1635.2926185283861</v>
      </c>
      <c r="AN40" s="9">
        <f t="shared" si="53"/>
        <v>1624.1244281305399</v>
      </c>
      <c r="AR40" s="90"/>
    </row>
    <row r="41" spans="1:44">
      <c r="A41" s="7" t="s">
        <v>570</v>
      </c>
      <c r="B41" s="7">
        <v>62</v>
      </c>
      <c r="C41" s="7">
        <v>67</v>
      </c>
      <c r="D41" s="7">
        <v>74</v>
      </c>
      <c r="E41" s="7">
        <v>90</v>
      </c>
      <c r="F41" s="7">
        <v>87</v>
      </c>
      <c r="G41" s="7">
        <v>84</v>
      </c>
      <c r="H41" s="7">
        <v>81</v>
      </c>
      <c r="I41" s="7">
        <v>88</v>
      </c>
      <c r="J41" s="7">
        <v>75</v>
      </c>
      <c r="K41" s="7">
        <v>72</v>
      </c>
      <c r="L41" s="7">
        <v>70</v>
      </c>
      <c r="M41" s="7">
        <v>67</v>
      </c>
      <c r="N41" s="7">
        <v>64</v>
      </c>
      <c r="O41" s="7">
        <v>62</v>
      </c>
      <c r="P41" s="7">
        <v>60</v>
      </c>
      <c r="Q41" s="7">
        <v>-11</v>
      </c>
      <c r="R41" s="7">
        <v>101</v>
      </c>
      <c r="S41" s="7">
        <v>33</v>
      </c>
      <c r="T41" s="7">
        <v>73</v>
      </c>
      <c r="U41" s="7">
        <v>76</v>
      </c>
      <c r="V41" s="7">
        <v>80</v>
      </c>
      <c r="W41" s="7">
        <f>W42-W40</f>
        <v>84</v>
      </c>
      <c r="X41" s="7">
        <f>X42-X40</f>
        <v>37</v>
      </c>
      <c r="Y41" s="7">
        <v>151</v>
      </c>
      <c r="Z41" s="7">
        <v>147</v>
      </c>
      <c r="AA41" s="7">
        <v>270</v>
      </c>
      <c r="AB41" s="7">
        <v>192</v>
      </c>
      <c r="AC41" s="30">
        <v>211</v>
      </c>
      <c r="AD41" s="7">
        <v>270</v>
      </c>
      <c r="AE41" s="7">
        <v>301</v>
      </c>
      <c r="AF41" s="7">
        <v>263</v>
      </c>
      <c r="AG41" s="7">
        <v>287</v>
      </c>
      <c r="AH41" s="7">
        <v>201</v>
      </c>
      <c r="AI41" s="81">
        <f t="shared" ref="AI41:AN41" si="54">AH41</f>
        <v>201</v>
      </c>
      <c r="AJ41" s="81">
        <f>AI41</f>
        <v>201</v>
      </c>
      <c r="AK41" s="81">
        <f>AJ41</f>
        <v>201</v>
      </c>
      <c r="AL41" s="81">
        <f>AK41</f>
        <v>201</v>
      </c>
      <c r="AM41" s="81">
        <f t="shared" si="54"/>
        <v>201</v>
      </c>
      <c r="AN41" s="81">
        <f t="shared" si="54"/>
        <v>201</v>
      </c>
      <c r="AR41" s="90"/>
    </row>
    <row r="42" spans="1:44">
      <c r="A42" s="9" t="s">
        <v>674</v>
      </c>
      <c r="B42" s="9">
        <f t="shared" ref="B42:H42" si="55">B40+B41</f>
        <v>62</v>
      </c>
      <c r="C42" s="9">
        <f t="shared" si="55"/>
        <v>67</v>
      </c>
      <c r="D42" s="9">
        <f t="shared" si="55"/>
        <v>209</v>
      </c>
      <c r="E42" s="9">
        <f t="shared" si="55"/>
        <v>308</v>
      </c>
      <c r="F42" s="9">
        <f t="shared" si="55"/>
        <v>383</v>
      </c>
      <c r="G42" s="9">
        <f t="shared" si="55"/>
        <v>434</v>
      </c>
      <c r="H42" s="9">
        <f t="shared" si="55"/>
        <v>504</v>
      </c>
      <c r="I42" s="9">
        <f>I20</f>
        <v>708</v>
      </c>
      <c r="J42" s="9">
        <f>J20</f>
        <v>758</v>
      </c>
      <c r="K42" s="9">
        <f>K20</f>
        <v>1068</v>
      </c>
      <c r="L42" s="9">
        <f t="shared" ref="L42:V42" si="56">L20</f>
        <v>968</v>
      </c>
      <c r="M42" s="9">
        <f t="shared" si="56"/>
        <v>1145</v>
      </c>
      <c r="N42" s="9">
        <f t="shared" si="56"/>
        <v>1013</v>
      </c>
      <c r="O42" s="9">
        <f t="shared" si="56"/>
        <v>970</v>
      </c>
      <c r="P42" s="9">
        <f t="shared" si="56"/>
        <v>988</v>
      </c>
      <c r="Q42" s="9">
        <f t="shared" si="56"/>
        <v>1025</v>
      </c>
      <c r="R42" s="9">
        <f t="shared" si="56"/>
        <v>1171</v>
      </c>
      <c r="S42" s="9">
        <f t="shared" si="56"/>
        <v>1119</v>
      </c>
      <c r="T42" s="9">
        <f t="shared" si="56"/>
        <v>1834</v>
      </c>
      <c r="U42" s="9">
        <f t="shared" si="56"/>
        <v>1231</v>
      </c>
      <c r="V42" s="9">
        <f t="shared" si="56"/>
        <v>1397</v>
      </c>
      <c r="W42" s="9">
        <f>W20</f>
        <v>2215</v>
      </c>
      <c r="X42" s="9">
        <f>X20</f>
        <v>1616</v>
      </c>
      <c r="Y42" s="9">
        <f t="shared" ref="Y42:AH42" si="57">Y40+Y41</f>
        <v>2128</v>
      </c>
      <c r="Z42" s="9">
        <f t="shared" si="57"/>
        <v>1668</v>
      </c>
      <c r="AA42" s="9">
        <f t="shared" si="57"/>
        <v>1508</v>
      </c>
      <c r="AB42" s="9">
        <f t="shared" si="57"/>
        <v>2355</v>
      </c>
      <c r="AC42" s="9">
        <f t="shared" si="57"/>
        <v>2488</v>
      </c>
      <c r="AD42" s="9">
        <f t="shared" si="57"/>
        <v>2503</v>
      </c>
      <c r="AE42" s="9">
        <f t="shared" si="57"/>
        <v>1961</v>
      </c>
      <c r="AF42" s="9">
        <f t="shared" si="57"/>
        <v>2492</v>
      </c>
      <c r="AG42" s="9">
        <f t="shared" ref="AG42" si="58">AG40+AG41</f>
        <v>2360</v>
      </c>
      <c r="AH42" s="9">
        <f t="shared" si="57"/>
        <v>2052</v>
      </c>
      <c r="AI42" s="9">
        <f t="shared" ref="AI42:AN42" si="59">AI40+AI41</f>
        <v>1831.8860643915914</v>
      </c>
      <c r="AJ42" s="9">
        <f t="shared" si="59"/>
        <v>1867.8830887013601</v>
      </c>
      <c r="AK42" s="9">
        <f t="shared" si="59"/>
        <v>1857.6626124087029</v>
      </c>
      <c r="AL42" s="9">
        <f t="shared" si="59"/>
        <v>1847.1355218272661</v>
      </c>
      <c r="AM42" s="9">
        <f t="shared" si="59"/>
        <v>1836.2926185283861</v>
      </c>
      <c r="AN42" s="9">
        <f t="shared" si="59"/>
        <v>1825.1244281305399</v>
      </c>
      <c r="AR42" s="90"/>
    </row>
    <row r="43" spans="1:44">
      <c r="A43" s="7" t="s">
        <v>56</v>
      </c>
      <c r="B43" s="79"/>
      <c r="C43" s="79"/>
      <c r="D43" s="79"/>
      <c r="E43" s="79"/>
      <c r="F43" s="79"/>
      <c r="G43" s="79"/>
      <c r="H43" s="79"/>
      <c r="I43" s="79"/>
      <c r="J43" s="79"/>
      <c r="K43" s="79"/>
      <c r="L43" s="79"/>
      <c r="M43" s="79"/>
      <c r="N43" s="79"/>
      <c r="O43" s="79"/>
      <c r="P43" s="79"/>
      <c r="Q43" s="90"/>
      <c r="R43" s="90">
        <f t="shared" ref="R43:AG43" si="60">R42/Q42-1</f>
        <v>0.14243902439024381</v>
      </c>
      <c r="S43" s="90">
        <f t="shared" si="60"/>
        <v>-4.4406490179333957E-2</v>
      </c>
      <c r="T43" s="90">
        <f t="shared" si="60"/>
        <v>0.63896336014298472</v>
      </c>
      <c r="U43" s="90">
        <f t="shared" si="60"/>
        <v>-0.3287895310796074</v>
      </c>
      <c r="V43" s="90">
        <f t="shared" si="60"/>
        <v>0.13484971567831039</v>
      </c>
      <c r="W43" s="90">
        <f t="shared" si="60"/>
        <v>0.58554044380816039</v>
      </c>
      <c r="X43" s="90">
        <f t="shared" si="60"/>
        <v>-0.27042889390519187</v>
      </c>
      <c r="Y43" s="90">
        <f t="shared" si="60"/>
        <v>0.31683168316831689</v>
      </c>
      <c r="Z43" s="90">
        <f t="shared" si="60"/>
        <v>-0.21616541353383456</v>
      </c>
      <c r="AA43" s="90">
        <f t="shared" si="60"/>
        <v>-9.5923261390887249E-2</v>
      </c>
      <c r="AB43" s="90">
        <f t="shared" si="60"/>
        <v>0.56167108753315653</v>
      </c>
      <c r="AC43" s="90">
        <f t="shared" si="60"/>
        <v>5.6475583864118883E-2</v>
      </c>
      <c r="AD43" s="90">
        <f t="shared" si="60"/>
        <v>6.0289389067524901E-3</v>
      </c>
      <c r="AE43" s="90">
        <f t="shared" si="60"/>
        <v>-0.2165401518178186</v>
      </c>
      <c r="AF43" s="90">
        <f t="shared" si="60"/>
        <v>0.2707802141764406</v>
      </c>
      <c r="AG43" s="90">
        <f t="shared" si="60"/>
        <v>-5.2969502407704705E-2</v>
      </c>
      <c r="AH43" s="90">
        <f t="shared" ref="AH43:AN43" si="61">AH42/AG42-1</f>
        <v>-0.13050847457627124</v>
      </c>
      <c r="AI43" s="90">
        <f t="shared" si="61"/>
        <v>-0.10726799980916601</v>
      </c>
      <c r="AJ43" s="90">
        <f>AJ42/AI42-1</f>
        <v>1.9650252823842473E-2</v>
      </c>
      <c r="AK43" s="90">
        <f>AK42/AJ42-1</f>
        <v>-5.4716895048088077E-3</v>
      </c>
      <c r="AL43" s="90">
        <f>AL42/AK42-1</f>
        <v>-5.6668474195037399E-3</v>
      </c>
      <c r="AM43" s="90">
        <f t="shared" si="61"/>
        <v>-5.8701179045886898E-3</v>
      </c>
      <c r="AN43" s="90">
        <f t="shared" si="61"/>
        <v>-6.0819230470994246E-3</v>
      </c>
      <c r="AR43" s="90"/>
    </row>
    <row r="44" spans="1:44">
      <c r="AR44" s="90"/>
    </row>
    <row r="45" spans="1:44" hidden="1" outlineLevel="1">
      <c r="A45" s="88" t="s">
        <v>567</v>
      </c>
      <c r="B45" s="89"/>
      <c r="C45" s="89"/>
      <c r="D45" s="89"/>
      <c r="E45" s="89"/>
      <c r="F45" s="89"/>
      <c r="G45" s="89"/>
      <c r="H45" s="89"/>
      <c r="I45" s="89"/>
      <c r="J45" s="89"/>
      <c r="K45" s="89"/>
      <c r="L45" s="89"/>
      <c r="M45" s="89"/>
      <c r="N45" s="89"/>
      <c r="O45" s="89"/>
      <c r="P45" s="89"/>
      <c r="Q45" s="89"/>
      <c r="R45" s="89"/>
      <c r="S45" s="89"/>
      <c r="T45" s="89"/>
      <c r="U45" s="89"/>
      <c r="V45" s="89"/>
      <c r="W45" s="89"/>
      <c r="X45" s="89"/>
      <c r="Y45" s="89"/>
      <c r="Z45" s="89"/>
      <c r="AA45" s="89"/>
      <c r="AB45" s="89"/>
      <c r="AC45" s="89"/>
      <c r="AD45" s="89"/>
      <c r="AE45" s="89"/>
      <c r="AF45" s="89"/>
      <c r="AG45" s="89"/>
      <c r="AH45" s="89"/>
      <c r="AI45" s="89"/>
      <c r="AJ45" s="89"/>
      <c r="AK45" s="89"/>
      <c r="AL45" s="89"/>
      <c r="AM45" s="89"/>
      <c r="AN45" s="89"/>
      <c r="AR45" s="90"/>
    </row>
    <row r="46" spans="1:44" hidden="1" outlineLevel="1">
      <c r="A46" s="79" t="s">
        <v>522</v>
      </c>
      <c r="B46" s="79">
        <f t="shared" ref="B46:Y46" si="62">SUM(B47:B49)</f>
        <v>0</v>
      </c>
      <c r="C46" s="79">
        <f t="shared" si="62"/>
        <v>0</v>
      </c>
      <c r="D46" s="79">
        <f t="shared" si="62"/>
        <v>0</v>
      </c>
      <c r="E46" s="79">
        <f t="shared" si="62"/>
        <v>0</v>
      </c>
      <c r="F46" s="79">
        <f t="shared" si="62"/>
        <v>0</v>
      </c>
      <c r="G46" s="79">
        <f t="shared" si="62"/>
        <v>0</v>
      </c>
      <c r="H46" s="79">
        <f t="shared" si="62"/>
        <v>0</v>
      </c>
      <c r="I46" s="79">
        <f t="shared" si="62"/>
        <v>0</v>
      </c>
      <c r="J46" s="79">
        <f t="shared" si="62"/>
        <v>0</v>
      </c>
      <c r="K46" s="79">
        <f t="shared" si="62"/>
        <v>0</v>
      </c>
      <c r="L46" s="79">
        <f t="shared" si="62"/>
        <v>0</v>
      </c>
      <c r="M46" s="79">
        <f t="shared" si="62"/>
        <v>0</v>
      </c>
      <c r="N46" s="79">
        <f t="shared" si="62"/>
        <v>0</v>
      </c>
      <c r="O46" s="79">
        <f t="shared" si="62"/>
        <v>0</v>
      </c>
      <c r="P46" s="79">
        <f t="shared" si="62"/>
        <v>0</v>
      </c>
      <c r="Q46" s="79">
        <f t="shared" si="62"/>
        <v>0</v>
      </c>
      <c r="R46" s="79">
        <f t="shared" si="62"/>
        <v>0</v>
      </c>
      <c r="S46" s="79">
        <f t="shared" si="62"/>
        <v>0</v>
      </c>
      <c r="T46" s="79">
        <f t="shared" si="62"/>
        <v>0</v>
      </c>
      <c r="U46" s="79">
        <f t="shared" si="62"/>
        <v>0</v>
      </c>
      <c r="V46" s="79">
        <f t="shared" si="62"/>
        <v>0</v>
      </c>
      <c r="W46" s="79">
        <f t="shared" si="62"/>
        <v>406</v>
      </c>
      <c r="X46" s="79">
        <f t="shared" si="62"/>
        <v>244</v>
      </c>
      <c r="Y46" s="79">
        <f t="shared" si="62"/>
        <v>317</v>
      </c>
      <c r="Z46" s="79">
        <f>SUM(Z47:Z49)</f>
        <v>404</v>
      </c>
      <c r="AA46" s="79">
        <f>SUM(AA47:AA49)</f>
        <v>0</v>
      </c>
      <c r="AR46" s="90"/>
    </row>
    <row r="47" spans="1:44" hidden="1" outlineLevel="1">
      <c r="A47" s="152" t="s">
        <v>297</v>
      </c>
      <c r="W47" s="7">
        <v>192</v>
      </c>
      <c r="X47" s="7">
        <v>144</v>
      </c>
      <c r="Y47" s="7">
        <v>151</v>
      </c>
      <c r="Z47" s="7">
        <v>202</v>
      </c>
      <c r="AR47" s="90"/>
    </row>
    <row r="48" spans="1:44" hidden="1" outlineLevel="1">
      <c r="A48" s="152" t="s">
        <v>561</v>
      </c>
      <c r="W48" s="7">
        <v>129</v>
      </c>
      <c r="X48" s="7">
        <v>107</v>
      </c>
      <c r="Y48" s="7">
        <v>87</v>
      </c>
      <c r="Z48" s="7">
        <v>121</v>
      </c>
      <c r="AR48" s="90"/>
    </row>
    <row r="49" spans="1:44" hidden="1" outlineLevel="1">
      <c r="A49" s="152" t="s">
        <v>562</v>
      </c>
      <c r="W49" s="7">
        <v>85</v>
      </c>
      <c r="X49" s="7">
        <v>-7</v>
      </c>
      <c r="Y49" s="7">
        <v>79</v>
      </c>
      <c r="Z49" s="7">
        <v>81</v>
      </c>
      <c r="AR49" s="90"/>
    </row>
    <row r="50" spans="1:44" hidden="1" outlineLevel="1">
      <c r="A50" s="79" t="s">
        <v>563</v>
      </c>
      <c r="B50" s="79">
        <f t="shared" ref="B50:Y50" si="63">SUM(B51:B52)</f>
        <v>0</v>
      </c>
      <c r="C50" s="79">
        <f t="shared" si="63"/>
        <v>0</v>
      </c>
      <c r="D50" s="79">
        <f t="shared" si="63"/>
        <v>0</v>
      </c>
      <c r="E50" s="79">
        <f t="shared" si="63"/>
        <v>0</v>
      </c>
      <c r="F50" s="79">
        <f t="shared" si="63"/>
        <v>0</v>
      </c>
      <c r="G50" s="79">
        <f t="shared" si="63"/>
        <v>0</v>
      </c>
      <c r="H50" s="79">
        <f t="shared" si="63"/>
        <v>0</v>
      </c>
      <c r="I50" s="79">
        <f t="shared" si="63"/>
        <v>0</v>
      </c>
      <c r="J50" s="79">
        <f t="shared" si="63"/>
        <v>0</v>
      </c>
      <c r="K50" s="79">
        <f t="shared" si="63"/>
        <v>0</v>
      </c>
      <c r="L50" s="79">
        <f t="shared" si="63"/>
        <v>0</v>
      </c>
      <c r="M50" s="79">
        <f t="shared" si="63"/>
        <v>0</v>
      </c>
      <c r="N50" s="79">
        <f t="shared" si="63"/>
        <v>0</v>
      </c>
      <c r="O50" s="79">
        <f t="shared" si="63"/>
        <v>0</v>
      </c>
      <c r="P50" s="79">
        <f t="shared" si="63"/>
        <v>0</v>
      </c>
      <c r="Q50" s="79">
        <f t="shared" si="63"/>
        <v>0</v>
      </c>
      <c r="R50" s="79">
        <f t="shared" si="63"/>
        <v>0</v>
      </c>
      <c r="S50" s="79">
        <f t="shared" si="63"/>
        <v>0</v>
      </c>
      <c r="T50" s="79">
        <f t="shared" si="63"/>
        <v>0</v>
      </c>
      <c r="U50" s="79">
        <f t="shared" si="63"/>
        <v>0</v>
      </c>
      <c r="V50" s="79">
        <f t="shared" si="63"/>
        <v>0</v>
      </c>
      <c r="W50" s="79">
        <f t="shared" si="63"/>
        <v>602</v>
      </c>
      <c r="X50" s="79">
        <f t="shared" si="63"/>
        <v>774</v>
      </c>
      <c r="Y50" s="79">
        <f t="shared" si="63"/>
        <v>844</v>
      </c>
      <c r="Z50" s="79">
        <f>SUM(Z51:Z52)</f>
        <v>863</v>
      </c>
      <c r="AR50" s="90"/>
    </row>
    <row r="51" spans="1:44" hidden="1" outlineLevel="1">
      <c r="A51" s="152" t="s">
        <v>99</v>
      </c>
      <c r="W51" s="7">
        <v>602</v>
      </c>
      <c r="X51" s="7">
        <v>774</v>
      </c>
      <c r="Y51" s="7">
        <v>844</v>
      </c>
      <c r="Z51" s="7">
        <v>863</v>
      </c>
      <c r="AR51" s="90"/>
    </row>
    <row r="52" spans="1:44" hidden="1" outlineLevel="1">
      <c r="A52" s="152" t="s">
        <v>564</v>
      </c>
      <c r="W52" s="7">
        <v>0</v>
      </c>
      <c r="X52" s="7">
        <v>0</v>
      </c>
      <c r="Y52" s="7">
        <v>0</v>
      </c>
      <c r="Z52" s="7">
        <v>0</v>
      </c>
      <c r="AR52" s="90"/>
    </row>
    <row r="53" spans="1:44" hidden="1" outlineLevel="1">
      <c r="A53" s="79" t="s">
        <v>544</v>
      </c>
      <c r="B53" s="79">
        <f t="shared" ref="B53:Y53" si="64">SUM(B54:B56)</f>
        <v>0</v>
      </c>
      <c r="C53" s="79">
        <f t="shared" si="64"/>
        <v>0</v>
      </c>
      <c r="D53" s="79">
        <f t="shared" si="64"/>
        <v>0</v>
      </c>
      <c r="E53" s="79">
        <f t="shared" si="64"/>
        <v>0</v>
      </c>
      <c r="F53" s="79">
        <f t="shared" si="64"/>
        <v>0</v>
      </c>
      <c r="G53" s="79">
        <f t="shared" si="64"/>
        <v>0</v>
      </c>
      <c r="H53" s="79">
        <f t="shared" si="64"/>
        <v>0</v>
      </c>
      <c r="I53" s="79">
        <f t="shared" si="64"/>
        <v>0</v>
      </c>
      <c r="J53" s="79">
        <f t="shared" si="64"/>
        <v>0</v>
      </c>
      <c r="K53" s="79">
        <f t="shared" si="64"/>
        <v>0</v>
      </c>
      <c r="L53" s="79">
        <f t="shared" si="64"/>
        <v>0</v>
      </c>
      <c r="M53" s="79">
        <f t="shared" si="64"/>
        <v>0</v>
      </c>
      <c r="N53" s="79">
        <f t="shared" si="64"/>
        <v>0</v>
      </c>
      <c r="O53" s="79">
        <f t="shared" si="64"/>
        <v>0</v>
      </c>
      <c r="P53" s="79">
        <f t="shared" si="64"/>
        <v>0</v>
      </c>
      <c r="Q53" s="79">
        <f t="shared" si="64"/>
        <v>0</v>
      </c>
      <c r="R53" s="79">
        <f t="shared" si="64"/>
        <v>0</v>
      </c>
      <c r="S53" s="79">
        <f t="shared" si="64"/>
        <v>0</v>
      </c>
      <c r="T53" s="79">
        <f t="shared" si="64"/>
        <v>0</v>
      </c>
      <c r="U53" s="79">
        <f t="shared" si="64"/>
        <v>0</v>
      </c>
      <c r="V53" s="79">
        <f t="shared" si="64"/>
        <v>0</v>
      </c>
      <c r="W53" s="79">
        <f t="shared" si="64"/>
        <v>1177</v>
      </c>
      <c r="X53" s="79">
        <f t="shared" si="64"/>
        <v>719</v>
      </c>
      <c r="Y53" s="79">
        <f t="shared" si="64"/>
        <v>941</v>
      </c>
      <c r="Z53" s="79">
        <f>SUM(Z54:Z56)</f>
        <v>429</v>
      </c>
      <c r="AR53" s="90"/>
    </row>
    <row r="54" spans="1:44" hidden="1" outlineLevel="1">
      <c r="A54" s="152" t="s">
        <v>565</v>
      </c>
      <c r="W54" s="7">
        <v>312</v>
      </c>
      <c r="X54" s="7">
        <v>426</v>
      </c>
      <c r="Y54" s="7">
        <v>558</v>
      </c>
      <c r="Z54" s="7">
        <v>250</v>
      </c>
      <c r="AR54" s="90"/>
    </row>
    <row r="55" spans="1:44" hidden="1" outlineLevel="1">
      <c r="A55" s="152" t="s">
        <v>566</v>
      </c>
      <c r="W55" s="7">
        <v>302</v>
      </c>
      <c r="X55" s="7">
        <v>0</v>
      </c>
      <c r="Y55" s="7">
        <v>316</v>
      </c>
      <c r="Z55" s="7">
        <v>170</v>
      </c>
      <c r="AR55" s="90"/>
    </row>
    <row r="56" spans="1:44" hidden="1" outlineLevel="1">
      <c r="A56" s="152" t="s">
        <v>296</v>
      </c>
      <c r="W56" s="7">
        <v>563</v>
      </c>
      <c r="X56" s="7">
        <v>293</v>
      </c>
      <c r="Y56" s="7">
        <v>67</v>
      </c>
      <c r="Z56" s="7">
        <v>9</v>
      </c>
      <c r="AR56" s="90"/>
    </row>
    <row r="57" spans="1:44" hidden="1" outlineLevel="1">
      <c r="A57" s="7" t="s">
        <v>549</v>
      </c>
      <c r="W57" s="7">
        <v>-70</v>
      </c>
      <c r="X57" s="7">
        <v>-80</v>
      </c>
      <c r="Y57" s="7">
        <v>-92</v>
      </c>
      <c r="Z57" s="7">
        <v>-120</v>
      </c>
      <c r="AR57" s="90"/>
    </row>
    <row r="58" spans="1:44" hidden="1" outlineLevel="1">
      <c r="A58" s="7" t="s">
        <v>343</v>
      </c>
      <c r="W58" s="7">
        <v>-33</v>
      </c>
      <c r="X58" s="7">
        <v>-23</v>
      </c>
      <c r="Y58" s="7">
        <v>-9</v>
      </c>
      <c r="Z58" s="7">
        <v>-16</v>
      </c>
      <c r="AR58" s="90"/>
    </row>
    <row r="59" spans="1:44" hidden="1" outlineLevel="1">
      <c r="A59" s="7" t="s">
        <v>569</v>
      </c>
      <c r="W59" s="7">
        <f>24+25</f>
        <v>49</v>
      </c>
      <c r="X59" s="7">
        <f>-29-26</f>
        <v>-55</v>
      </c>
      <c r="Y59" s="7">
        <v>-24</v>
      </c>
      <c r="Z59" s="7">
        <v>-39</v>
      </c>
      <c r="AR59" s="90"/>
    </row>
    <row r="60" spans="1:44" hidden="1" outlineLevel="1">
      <c r="A60" s="9" t="s">
        <v>568</v>
      </c>
      <c r="B60" s="9"/>
      <c r="C60" s="9"/>
      <c r="D60" s="9"/>
      <c r="E60" s="9"/>
      <c r="F60" s="9"/>
      <c r="G60" s="9"/>
      <c r="H60" s="9"/>
      <c r="I60" s="9"/>
      <c r="J60" s="9"/>
      <c r="K60" s="9"/>
      <c r="L60" s="9"/>
      <c r="M60" s="9"/>
      <c r="N60" s="9"/>
      <c r="O60" s="9"/>
      <c r="P60" s="9"/>
      <c r="Q60" s="9"/>
      <c r="R60" s="9"/>
      <c r="S60" s="9"/>
      <c r="T60" s="9"/>
      <c r="U60" s="9"/>
      <c r="V60" s="9"/>
      <c r="W60" s="9">
        <f>W46+W50+W53+W57+W58+W59</f>
        <v>2131</v>
      </c>
      <c r="X60" s="9">
        <f>X46+X50+X53+X57+X58+X59</f>
        <v>1579</v>
      </c>
      <c r="Y60" s="9">
        <f>Y46+Y50+Y53+Y57+Y58+Y59</f>
        <v>1977</v>
      </c>
      <c r="Z60" s="9">
        <f>Z46+Z50+Z53+Z57+Z58+Z59</f>
        <v>1521</v>
      </c>
      <c r="AA60" s="9"/>
      <c r="AB60" s="9"/>
      <c r="AC60" s="9"/>
      <c r="AD60" s="9"/>
      <c r="AE60" s="9"/>
      <c r="AF60" s="9"/>
      <c r="AG60" s="9"/>
      <c r="AH60" s="9"/>
      <c r="AI60" s="9"/>
      <c r="AJ60" s="9"/>
      <c r="AK60" s="9"/>
      <c r="AL60" s="9"/>
      <c r="AM60" s="9"/>
      <c r="AN60" s="9"/>
      <c r="AR60" s="90"/>
    </row>
    <row r="61" spans="1:44" hidden="1" outlineLevel="1">
      <c r="A61" s="7" t="s">
        <v>570</v>
      </c>
      <c r="W61" s="7">
        <f>W62-W60</f>
        <v>84</v>
      </c>
      <c r="X61" s="7">
        <v>30</v>
      </c>
      <c r="Y61" s="7">
        <v>151</v>
      </c>
      <c r="Z61" s="7">
        <v>147</v>
      </c>
      <c r="AR61" s="90"/>
    </row>
    <row r="62" spans="1:44" hidden="1" outlineLevel="1">
      <c r="A62" s="9" t="s">
        <v>571</v>
      </c>
      <c r="B62" s="9"/>
      <c r="C62" s="9"/>
      <c r="D62" s="9"/>
      <c r="E62" s="9"/>
      <c r="F62" s="9"/>
      <c r="G62" s="9"/>
      <c r="H62" s="9"/>
      <c r="I62" s="9"/>
      <c r="J62" s="9"/>
      <c r="K62" s="9"/>
      <c r="L62" s="9"/>
      <c r="M62" s="9"/>
      <c r="N62" s="9"/>
      <c r="O62" s="9"/>
      <c r="P62" s="9"/>
      <c r="Q62" s="9"/>
      <c r="R62" s="9"/>
      <c r="S62" s="9"/>
      <c r="T62" s="9"/>
      <c r="U62" s="9"/>
      <c r="V62" s="9"/>
      <c r="W62" s="9">
        <f>W20</f>
        <v>2215</v>
      </c>
      <c r="X62" s="9">
        <f>X60+X61</f>
        <v>1609</v>
      </c>
      <c r="Y62" s="9">
        <f>Y60+Y61</f>
        <v>2128</v>
      </c>
      <c r="Z62" s="9">
        <f>Z60+Z61</f>
        <v>1668</v>
      </c>
      <c r="AA62" s="9"/>
      <c r="AB62" s="9"/>
      <c r="AC62" s="9"/>
      <c r="AD62" s="9"/>
      <c r="AE62" s="9"/>
      <c r="AF62" s="9"/>
      <c r="AG62" s="9"/>
      <c r="AH62" s="9"/>
      <c r="AI62" s="9"/>
      <c r="AJ62" s="9"/>
      <c r="AK62" s="9"/>
      <c r="AL62" s="9"/>
      <c r="AM62" s="9"/>
      <c r="AN62" s="9"/>
      <c r="AR62" s="90"/>
    </row>
    <row r="63" spans="1:44" hidden="1" outlineLevel="1">
      <c r="AR63" s="90"/>
    </row>
    <row r="64" spans="1:44" collapsed="1">
      <c r="A64" s="88" t="s">
        <v>602</v>
      </c>
      <c r="B64" s="89"/>
      <c r="C64" s="89"/>
      <c r="D64" s="89"/>
      <c r="E64" s="89"/>
      <c r="F64" s="89"/>
      <c r="G64" s="89"/>
      <c r="H64" s="89"/>
      <c r="I64" s="89"/>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R64" s="90"/>
    </row>
    <row r="65" spans="1:47">
      <c r="A65" s="79" t="s">
        <v>522</v>
      </c>
      <c r="B65" s="79">
        <f t="shared" ref="B65:AA65" si="65">SUM(B66:B68)</f>
        <v>0</v>
      </c>
      <c r="C65" s="79">
        <f t="shared" si="65"/>
        <v>0</v>
      </c>
      <c r="D65" s="79">
        <f t="shared" si="65"/>
        <v>0</v>
      </c>
      <c r="E65" s="79">
        <f t="shared" si="65"/>
        <v>0</v>
      </c>
      <c r="F65" s="79">
        <f t="shared" si="65"/>
        <v>0</v>
      </c>
      <c r="G65" s="79">
        <f t="shared" si="65"/>
        <v>0</v>
      </c>
      <c r="H65" s="79">
        <f t="shared" si="65"/>
        <v>0</v>
      </c>
      <c r="I65" s="79">
        <f t="shared" si="65"/>
        <v>0</v>
      </c>
      <c r="J65" s="79">
        <f t="shared" si="65"/>
        <v>0</v>
      </c>
      <c r="K65" s="79">
        <f t="shared" si="65"/>
        <v>0</v>
      </c>
      <c r="L65" s="79">
        <f t="shared" si="65"/>
        <v>0</v>
      </c>
      <c r="M65" s="79">
        <f t="shared" si="65"/>
        <v>0</v>
      </c>
      <c r="N65" s="79">
        <f t="shared" si="65"/>
        <v>0</v>
      </c>
      <c r="O65" s="79">
        <f t="shared" si="65"/>
        <v>0</v>
      </c>
      <c r="P65" s="79">
        <f t="shared" si="65"/>
        <v>0</v>
      </c>
      <c r="Q65" s="79">
        <f t="shared" si="65"/>
        <v>134</v>
      </c>
      <c r="R65" s="79">
        <f t="shared" si="65"/>
        <v>214</v>
      </c>
      <c r="S65" s="79">
        <f t="shared" si="65"/>
        <v>432</v>
      </c>
      <c r="T65" s="79">
        <f t="shared" si="65"/>
        <v>906</v>
      </c>
      <c r="U65" s="79">
        <f t="shared" si="65"/>
        <v>1492</v>
      </c>
      <c r="V65" s="79">
        <f t="shared" si="65"/>
        <v>1547</v>
      </c>
      <c r="W65" s="79">
        <f t="shared" si="65"/>
        <v>1330</v>
      </c>
      <c r="X65" s="79">
        <f t="shared" si="65"/>
        <v>1425</v>
      </c>
      <c r="Y65" s="79">
        <f t="shared" si="65"/>
        <v>1515</v>
      </c>
      <c r="Z65" s="79">
        <f t="shared" si="65"/>
        <v>1790</v>
      </c>
      <c r="AA65" s="79">
        <f t="shared" si="65"/>
        <v>1558</v>
      </c>
      <c r="AB65" s="79">
        <f t="shared" ref="AB65:AI65" si="66">SUM(AB66:AB68)</f>
        <v>1616</v>
      </c>
      <c r="AC65" s="79">
        <f t="shared" si="66"/>
        <v>1702</v>
      </c>
      <c r="AD65" s="79">
        <f t="shared" si="66"/>
        <v>1752</v>
      </c>
      <c r="AE65" s="79">
        <f t="shared" si="66"/>
        <v>1727</v>
      </c>
      <c r="AF65" s="79">
        <f t="shared" si="66"/>
        <v>1827</v>
      </c>
      <c r="AG65" s="79">
        <f t="shared" ref="AG65" si="67">SUM(AG66:AG68)</f>
        <v>1950</v>
      </c>
      <c r="AH65" s="79">
        <f t="shared" si="66"/>
        <v>1994.8</v>
      </c>
      <c r="AI65" s="79">
        <f t="shared" si="66"/>
        <v>2330.8000000000002</v>
      </c>
      <c r="AJ65" s="79">
        <f>SUM(AJ66:AJ68)</f>
        <v>2330.8000000000002</v>
      </c>
      <c r="AK65" s="79">
        <f>SUM(AK66:AK68)</f>
        <v>2330.8000000000002</v>
      </c>
      <c r="AL65" s="79">
        <f>SUM(AL66:AL68)</f>
        <v>2330.8000000000002</v>
      </c>
      <c r="AM65" s="79">
        <f>SUM(AM66:AM68)</f>
        <v>2330.8000000000002</v>
      </c>
      <c r="AN65" s="79">
        <f>SUM(AN66:AN68)</f>
        <v>2330.8000000000002</v>
      </c>
      <c r="AR65" s="90"/>
    </row>
    <row r="66" spans="1:47">
      <c r="A66" s="152" t="s">
        <v>297</v>
      </c>
      <c r="Q66" s="7">
        <f t="shared" ref="Q66:Y66" si="68">Q132+Q134</f>
        <v>44</v>
      </c>
      <c r="R66" s="7">
        <f t="shared" si="68"/>
        <v>108</v>
      </c>
      <c r="S66" s="7">
        <f t="shared" si="68"/>
        <v>276</v>
      </c>
      <c r="T66" s="7">
        <f t="shared" si="68"/>
        <v>750</v>
      </c>
      <c r="U66" s="7">
        <f t="shared" si="68"/>
        <v>1006</v>
      </c>
      <c r="V66" s="7">
        <f t="shared" si="68"/>
        <v>1061</v>
      </c>
      <c r="W66" s="7">
        <f t="shared" si="68"/>
        <v>801</v>
      </c>
      <c r="X66" s="7">
        <f t="shared" si="68"/>
        <v>851</v>
      </c>
      <c r="Y66" s="7">
        <f t="shared" si="68"/>
        <v>851</v>
      </c>
      <c r="Z66" s="7">
        <f t="shared" ref="Z66:AH66" si="69">Z132+Z134</f>
        <v>1080</v>
      </c>
      <c r="AA66" s="7">
        <f t="shared" si="69"/>
        <v>835</v>
      </c>
      <c r="AB66" s="7">
        <f t="shared" si="69"/>
        <v>835</v>
      </c>
      <c r="AC66" s="7">
        <f t="shared" si="69"/>
        <v>885</v>
      </c>
      <c r="AD66" s="7">
        <f t="shared" si="69"/>
        <v>935</v>
      </c>
      <c r="AE66" s="7">
        <f t="shared" si="69"/>
        <v>910</v>
      </c>
      <c r="AF66" s="7">
        <f t="shared" si="69"/>
        <v>1010</v>
      </c>
      <c r="AG66" s="7">
        <f t="shared" ref="AG66" si="70">AG132+AG134</f>
        <v>1059</v>
      </c>
      <c r="AH66" s="7">
        <f t="shared" si="69"/>
        <v>1076.5</v>
      </c>
      <c r="AI66" s="7">
        <f t="shared" ref="AI66:AN66" si="71">AI132+AI134</f>
        <v>1226.5</v>
      </c>
      <c r="AJ66" s="7">
        <f t="shared" si="71"/>
        <v>1226.5</v>
      </c>
      <c r="AK66" s="7">
        <f t="shared" si="71"/>
        <v>1226.5</v>
      </c>
      <c r="AL66" s="7">
        <f t="shared" si="71"/>
        <v>1226.5</v>
      </c>
      <c r="AM66" s="7">
        <f t="shared" si="71"/>
        <v>1226.5</v>
      </c>
      <c r="AN66" s="7">
        <f t="shared" si="71"/>
        <v>1226.5</v>
      </c>
      <c r="AR66" s="90"/>
    </row>
    <row r="67" spans="1:47">
      <c r="A67" s="152" t="s">
        <v>561</v>
      </c>
      <c r="Q67" s="7">
        <f>Q131</f>
        <v>90</v>
      </c>
      <c r="R67" s="7">
        <f t="shared" ref="R67:AF67" si="72">R131</f>
        <v>106</v>
      </c>
      <c r="S67" s="7">
        <f t="shared" si="72"/>
        <v>156</v>
      </c>
      <c r="T67" s="7">
        <f t="shared" si="72"/>
        <v>156</v>
      </c>
      <c r="U67" s="7">
        <f t="shared" si="72"/>
        <v>486</v>
      </c>
      <c r="V67" s="7">
        <f t="shared" si="72"/>
        <v>486</v>
      </c>
      <c r="W67" s="7">
        <f t="shared" si="72"/>
        <v>486</v>
      </c>
      <c r="X67" s="7">
        <f t="shared" si="72"/>
        <v>489</v>
      </c>
      <c r="Y67" s="7">
        <f t="shared" si="72"/>
        <v>489</v>
      </c>
      <c r="Z67" s="7">
        <f t="shared" si="72"/>
        <v>489</v>
      </c>
      <c r="AA67" s="7">
        <f t="shared" si="72"/>
        <v>489</v>
      </c>
      <c r="AB67" s="7">
        <f t="shared" si="72"/>
        <v>489</v>
      </c>
      <c r="AC67" s="7">
        <f t="shared" si="72"/>
        <v>489</v>
      </c>
      <c r="AD67" s="7">
        <f t="shared" si="72"/>
        <v>489</v>
      </c>
      <c r="AE67" s="7">
        <f t="shared" si="72"/>
        <v>489</v>
      </c>
      <c r="AF67" s="7">
        <f t="shared" si="72"/>
        <v>489</v>
      </c>
      <c r="AG67" s="7">
        <f t="shared" ref="AG67" si="73">AG131</f>
        <v>489</v>
      </c>
      <c r="AH67" s="7">
        <f t="shared" ref="AH67:AN67" si="74">AH131</f>
        <v>489</v>
      </c>
      <c r="AI67" s="7">
        <f t="shared" si="74"/>
        <v>489</v>
      </c>
      <c r="AJ67" s="7">
        <f t="shared" si="74"/>
        <v>489</v>
      </c>
      <c r="AK67" s="7">
        <f t="shared" si="74"/>
        <v>489</v>
      </c>
      <c r="AL67" s="7">
        <f t="shared" si="74"/>
        <v>489</v>
      </c>
      <c r="AM67" s="7">
        <f t="shared" si="74"/>
        <v>489</v>
      </c>
      <c r="AN67" s="7">
        <f t="shared" si="74"/>
        <v>489</v>
      </c>
      <c r="AR67" s="90"/>
    </row>
    <row r="68" spans="1:47">
      <c r="A68" s="152" t="s">
        <v>562</v>
      </c>
      <c r="Q68" s="7">
        <f t="shared" ref="Q68:Y68" si="75">Q135</f>
        <v>0</v>
      </c>
      <c r="R68" s="7">
        <f t="shared" si="75"/>
        <v>0</v>
      </c>
      <c r="S68" s="7">
        <f t="shared" si="75"/>
        <v>0</v>
      </c>
      <c r="T68" s="7">
        <f t="shared" si="75"/>
        <v>0</v>
      </c>
      <c r="U68" s="7">
        <f t="shared" si="75"/>
        <v>0</v>
      </c>
      <c r="V68" s="7">
        <f t="shared" si="75"/>
        <v>0</v>
      </c>
      <c r="W68" s="7">
        <f t="shared" si="75"/>
        <v>43</v>
      </c>
      <c r="X68" s="7">
        <f t="shared" si="75"/>
        <v>85</v>
      </c>
      <c r="Y68" s="7">
        <f t="shared" si="75"/>
        <v>175</v>
      </c>
      <c r="Z68" s="7">
        <f t="shared" ref="Z68:AI68" si="76">Z135</f>
        <v>221</v>
      </c>
      <c r="AA68" s="7">
        <f t="shared" si="76"/>
        <v>234</v>
      </c>
      <c r="AB68" s="7">
        <f t="shared" si="76"/>
        <v>292</v>
      </c>
      <c r="AC68" s="7">
        <f t="shared" si="76"/>
        <v>328</v>
      </c>
      <c r="AD68" s="7">
        <f t="shared" si="76"/>
        <v>328</v>
      </c>
      <c r="AE68" s="7">
        <f t="shared" si="76"/>
        <v>328</v>
      </c>
      <c r="AF68" s="7">
        <f t="shared" si="76"/>
        <v>328</v>
      </c>
      <c r="AG68" s="7">
        <f t="shared" ref="AG68" si="77">AG135</f>
        <v>402</v>
      </c>
      <c r="AH68" s="7">
        <f t="shared" si="76"/>
        <v>429.3</v>
      </c>
      <c r="AI68" s="7">
        <f t="shared" si="76"/>
        <v>615.29999999999995</v>
      </c>
      <c r="AJ68" s="7">
        <f>AJ135</f>
        <v>615.29999999999995</v>
      </c>
      <c r="AK68" s="7">
        <f>AK135</f>
        <v>615.29999999999995</v>
      </c>
      <c r="AL68" s="7">
        <f>AL135</f>
        <v>615.29999999999995</v>
      </c>
      <c r="AM68" s="7">
        <f>AM135</f>
        <v>615.29999999999995</v>
      </c>
      <c r="AN68" s="7">
        <f>AN135</f>
        <v>615.29999999999995</v>
      </c>
      <c r="AO68" s="87"/>
      <c r="AP68" s="87"/>
      <c r="AQ68" s="87"/>
      <c r="AR68" s="87"/>
      <c r="AS68" s="87"/>
      <c r="AT68" s="87"/>
      <c r="AU68" s="87">
        <f>AC28/AC68</f>
        <v>0.52743902439024393</v>
      </c>
    </row>
    <row r="69" spans="1:47">
      <c r="A69" s="79" t="s">
        <v>563</v>
      </c>
      <c r="B69" s="79">
        <f t="shared" ref="B69:Z69" si="78">SUM(B70:B71)</f>
        <v>0</v>
      </c>
      <c r="C69" s="79">
        <f t="shared" si="78"/>
        <v>0</v>
      </c>
      <c r="D69" s="79">
        <f t="shared" si="78"/>
        <v>0</v>
      </c>
      <c r="E69" s="79">
        <f t="shared" si="78"/>
        <v>0</v>
      </c>
      <c r="F69" s="79">
        <f t="shared" si="78"/>
        <v>0</v>
      </c>
      <c r="G69" s="79">
        <f t="shared" si="78"/>
        <v>0</v>
      </c>
      <c r="H69" s="79">
        <f t="shared" si="78"/>
        <v>0</v>
      </c>
      <c r="I69" s="79">
        <f t="shared" si="78"/>
        <v>0</v>
      </c>
      <c r="J69" s="79">
        <f t="shared" si="78"/>
        <v>0</v>
      </c>
      <c r="K69" s="79">
        <f t="shared" si="78"/>
        <v>0</v>
      </c>
      <c r="L69" s="79">
        <f t="shared" si="78"/>
        <v>0</v>
      </c>
      <c r="M69" s="79">
        <f t="shared" si="78"/>
        <v>0</v>
      </c>
      <c r="N69" s="79">
        <f t="shared" si="78"/>
        <v>0</v>
      </c>
      <c r="O69" s="79">
        <f t="shared" si="78"/>
        <v>0</v>
      </c>
      <c r="P69" s="79">
        <f t="shared" si="78"/>
        <v>1380</v>
      </c>
      <c r="Q69" s="79">
        <f t="shared" si="78"/>
        <v>1380</v>
      </c>
      <c r="R69" s="79">
        <f t="shared" si="78"/>
        <v>1380</v>
      </c>
      <c r="S69" s="79">
        <f t="shared" si="78"/>
        <v>1380</v>
      </c>
      <c r="T69" s="79">
        <f t="shared" si="78"/>
        <v>1380</v>
      </c>
      <c r="U69" s="79">
        <f t="shared" si="78"/>
        <v>1380</v>
      </c>
      <c r="V69" s="79">
        <f t="shared" si="78"/>
        <v>1380</v>
      </c>
      <c r="W69" s="79">
        <f t="shared" si="78"/>
        <v>1380</v>
      </c>
      <c r="X69" s="79">
        <f t="shared" si="78"/>
        <v>1380</v>
      </c>
      <c r="Y69" s="79">
        <f t="shared" si="78"/>
        <v>1380</v>
      </c>
      <c r="Z69" s="79">
        <f t="shared" si="78"/>
        <v>1380</v>
      </c>
      <c r="AA69" s="79">
        <f t="shared" ref="AA69:AI69" si="79">SUM(AA70:AA71)</f>
        <v>2118</v>
      </c>
      <c r="AB69" s="79">
        <f t="shared" si="79"/>
        <v>2500</v>
      </c>
      <c r="AC69" s="79">
        <f t="shared" si="79"/>
        <v>2685</v>
      </c>
      <c r="AD69" s="79">
        <f t="shared" si="79"/>
        <v>2685</v>
      </c>
      <c r="AE69" s="79">
        <f t="shared" si="79"/>
        <v>2685</v>
      </c>
      <c r="AF69" s="79">
        <f t="shared" si="79"/>
        <v>2685</v>
      </c>
      <c r="AG69" s="79">
        <f t="shared" ref="AG69" si="80">SUM(AG70:AG71)</f>
        <v>2685</v>
      </c>
      <c r="AH69" s="79">
        <f t="shared" si="79"/>
        <v>2685</v>
      </c>
      <c r="AI69" s="79">
        <f t="shared" si="79"/>
        <v>2685</v>
      </c>
      <c r="AJ69" s="79">
        <f>SUM(AJ70:AJ71)</f>
        <v>2685</v>
      </c>
      <c r="AK69" s="79">
        <f>SUM(AK70:AK71)</f>
        <v>2685</v>
      </c>
      <c r="AL69" s="79">
        <f>SUM(AL70:AL71)</f>
        <v>2685</v>
      </c>
      <c r="AM69" s="79">
        <f>SUM(AM70:AM71)</f>
        <v>2685</v>
      </c>
      <c r="AN69" s="79">
        <f>SUM(AN70:AN71)</f>
        <v>2685</v>
      </c>
      <c r="AR69" s="90"/>
    </row>
    <row r="70" spans="1:47">
      <c r="A70" s="152" t="s">
        <v>99</v>
      </c>
      <c r="P70" s="7">
        <f>P125</f>
        <v>1380</v>
      </c>
      <c r="Q70" s="7">
        <f t="shared" ref="Q70:Y70" si="81">Q125</f>
        <v>1380</v>
      </c>
      <c r="R70" s="7">
        <f t="shared" si="81"/>
        <v>1380</v>
      </c>
      <c r="S70" s="7">
        <f t="shared" si="81"/>
        <v>1380</v>
      </c>
      <c r="T70" s="7">
        <f t="shared" si="81"/>
        <v>1380</v>
      </c>
      <c r="U70" s="7">
        <f t="shared" si="81"/>
        <v>1380</v>
      </c>
      <c r="V70" s="7">
        <f t="shared" si="81"/>
        <v>1380</v>
      </c>
      <c r="W70" s="7">
        <f t="shared" si="81"/>
        <v>1380</v>
      </c>
      <c r="X70" s="7">
        <f t="shared" si="81"/>
        <v>1380</v>
      </c>
      <c r="Y70" s="7">
        <f t="shared" si="81"/>
        <v>1380</v>
      </c>
      <c r="Z70" s="7">
        <f t="shared" ref="Z70:AI70" si="82">Z125</f>
        <v>1380</v>
      </c>
      <c r="AA70" s="7">
        <f t="shared" si="82"/>
        <v>1380</v>
      </c>
      <c r="AB70" s="7">
        <f t="shared" si="82"/>
        <v>1577</v>
      </c>
      <c r="AC70" s="7">
        <f t="shared" si="82"/>
        <v>1577</v>
      </c>
      <c r="AD70" s="7">
        <f t="shared" si="82"/>
        <v>1577</v>
      </c>
      <c r="AE70" s="7">
        <f t="shared" si="82"/>
        <v>1577</v>
      </c>
      <c r="AF70" s="7">
        <f t="shared" si="82"/>
        <v>1577</v>
      </c>
      <c r="AG70" s="7">
        <f t="shared" ref="AG70" si="83">AG125</f>
        <v>1577</v>
      </c>
      <c r="AH70" s="7">
        <f t="shared" si="82"/>
        <v>1577</v>
      </c>
      <c r="AI70" s="7">
        <f t="shared" si="82"/>
        <v>1577</v>
      </c>
      <c r="AJ70" s="7">
        <f>AJ125</f>
        <v>1577</v>
      </c>
      <c r="AK70" s="7">
        <f>AK125</f>
        <v>1577</v>
      </c>
      <c r="AL70" s="7">
        <f>AL125</f>
        <v>1577</v>
      </c>
      <c r="AM70" s="7">
        <f>AM125</f>
        <v>1577</v>
      </c>
      <c r="AN70" s="7">
        <f>AN125</f>
        <v>1577</v>
      </c>
      <c r="AR70" s="90"/>
    </row>
    <row r="71" spans="1:47">
      <c r="A71" s="152" t="s">
        <v>564</v>
      </c>
      <c r="Q71" s="7">
        <v>0</v>
      </c>
      <c r="R71" s="7">
        <v>0</v>
      </c>
      <c r="S71" s="7">
        <v>0</v>
      </c>
      <c r="T71" s="7">
        <v>0</v>
      </c>
      <c r="U71" s="7">
        <v>0</v>
      </c>
      <c r="V71" s="7">
        <v>0</v>
      </c>
      <c r="W71" s="7">
        <v>0</v>
      </c>
      <c r="X71" s="7">
        <v>0</v>
      </c>
      <c r="Y71" s="7">
        <v>0</v>
      </c>
      <c r="Z71" s="7">
        <f t="shared" ref="Z71:AI71" si="84">Z136</f>
        <v>0</v>
      </c>
      <c r="AA71" s="7">
        <f t="shared" si="84"/>
        <v>738</v>
      </c>
      <c r="AB71" s="7">
        <f t="shared" si="84"/>
        <v>923</v>
      </c>
      <c r="AC71" s="7">
        <f t="shared" si="84"/>
        <v>1108</v>
      </c>
      <c r="AD71" s="7">
        <f t="shared" si="84"/>
        <v>1108</v>
      </c>
      <c r="AE71" s="7">
        <f t="shared" si="84"/>
        <v>1108</v>
      </c>
      <c r="AF71" s="7">
        <f t="shared" si="84"/>
        <v>1108</v>
      </c>
      <c r="AG71" s="7">
        <f t="shared" ref="AG71" si="85">AG136</f>
        <v>1108</v>
      </c>
      <c r="AH71" s="7">
        <f t="shared" si="84"/>
        <v>1108</v>
      </c>
      <c r="AI71" s="7">
        <f t="shared" si="84"/>
        <v>1108</v>
      </c>
      <c r="AJ71" s="7">
        <f>AJ136</f>
        <v>1108</v>
      </c>
      <c r="AK71" s="7">
        <f>AK136</f>
        <v>1108</v>
      </c>
      <c r="AL71" s="7">
        <f>AL136</f>
        <v>1108</v>
      </c>
      <c r="AM71" s="7">
        <f>AM136</f>
        <v>1108</v>
      </c>
      <c r="AN71" s="7">
        <f>AN136</f>
        <v>1108</v>
      </c>
      <c r="AR71" s="90"/>
    </row>
    <row r="72" spans="1:47">
      <c r="A72" s="79" t="s">
        <v>544</v>
      </c>
      <c r="B72" s="79">
        <f t="shared" ref="B72:Z72" si="86">SUM(B73:B75)</f>
        <v>0</v>
      </c>
      <c r="C72" s="79">
        <f t="shared" si="86"/>
        <v>0</v>
      </c>
      <c r="D72" s="79">
        <f t="shared" si="86"/>
        <v>0</v>
      </c>
      <c r="E72" s="79">
        <f t="shared" si="86"/>
        <v>0</v>
      </c>
      <c r="F72" s="79">
        <f t="shared" si="86"/>
        <v>0</v>
      </c>
      <c r="G72" s="79">
        <f t="shared" si="86"/>
        <v>0</v>
      </c>
      <c r="H72" s="79">
        <f t="shared" si="86"/>
        <v>0</v>
      </c>
      <c r="I72" s="79">
        <f t="shared" si="86"/>
        <v>0</v>
      </c>
      <c r="J72" s="79">
        <f t="shared" si="86"/>
        <v>0</v>
      </c>
      <c r="K72" s="79">
        <f t="shared" si="86"/>
        <v>0</v>
      </c>
      <c r="L72" s="79">
        <f t="shared" si="86"/>
        <v>0</v>
      </c>
      <c r="M72" s="79">
        <f t="shared" si="86"/>
        <v>0</v>
      </c>
      <c r="N72" s="79">
        <f t="shared" si="86"/>
        <v>0</v>
      </c>
      <c r="O72" s="79">
        <f t="shared" si="86"/>
        <v>0</v>
      </c>
      <c r="P72" s="79">
        <f t="shared" si="86"/>
        <v>0</v>
      </c>
      <c r="Q72" s="79">
        <f t="shared" si="86"/>
        <v>2523</v>
      </c>
      <c r="R72" s="79">
        <f t="shared" si="86"/>
        <v>2912</v>
      </c>
      <c r="S72" s="79">
        <f t="shared" si="86"/>
        <v>2923</v>
      </c>
      <c r="T72" s="79">
        <f t="shared" si="86"/>
        <v>3223</v>
      </c>
      <c r="U72" s="79">
        <f t="shared" si="86"/>
        <v>3223</v>
      </c>
      <c r="V72" s="79">
        <f t="shared" si="86"/>
        <v>3222</v>
      </c>
      <c r="W72" s="79">
        <f t="shared" si="86"/>
        <v>3223</v>
      </c>
      <c r="X72" s="79">
        <f t="shared" si="86"/>
        <v>3228</v>
      </c>
      <c r="Y72" s="79">
        <f t="shared" si="86"/>
        <v>3132</v>
      </c>
      <c r="Z72" s="79">
        <f t="shared" si="86"/>
        <v>4056</v>
      </c>
      <c r="AA72" s="79">
        <f t="shared" ref="AA72:AI72" si="87">SUM(AA73:AA75)</f>
        <v>4061</v>
      </c>
      <c r="AB72" s="79">
        <f t="shared" si="87"/>
        <v>3954</v>
      </c>
      <c r="AC72" s="79">
        <f t="shared" si="87"/>
        <v>3954</v>
      </c>
      <c r="AD72" s="79">
        <f t="shared" si="87"/>
        <v>3954</v>
      </c>
      <c r="AE72" s="79">
        <f t="shared" si="87"/>
        <v>3954</v>
      </c>
      <c r="AF72" s="79">
        <f t="shared" si="87"/>
        <v>1777</v>
      </c>
      <c r="AG72" s="79">
        <f t="shared" ref="AG72" si="88">SUM(AG73:AG75)</f>
        <v>1777</v>
      </c>
      <c r="AH72" s="79">
        <f t="shared" si="87"/>
        <v>1248</v>
      </c>
      <c r="AI72" s="79">
        <f t="shared" si="87"/>
        <v>1248</v>
      </c>
      <c r="AJ72" s="79">
        <f>SUM(AJ73:AJ75)</f>
        <v>1248</v>
      </c>
      <c r="AK72" s="79">
        <f>SUM(AK73:AK75)</f>
        <v>1248</v>
      </c>
      <c r="AL72" s="79">
        <f>SUM(AL73:AL75)</f>
        <v>1248</v>
      </c>
      <c r="AM72" s="79">
        <f>SUM(AM73:AM75)</f>
        <v>1248</v>
      </c>
      <c r="AN72" s="79">
        <f>SUM(AN73:AN75)</f>
        <v>1248</v>
      </c>
      <c r="AR72" s="90"/>
    </row>
    <row r="73" spans="1:47">
      <c r="A73" s="152" t="s">
        <v>565</v>
      </c>
      <c r="Q73" s="7">
        <f t="shared" ref="Q73:Y73" si="89">Q128</f>
        <v>882</v>
      </c>
      <c r="R73" s="7">
        <f t="shared" si="89"/>
        <v>900</v>
      </c>
      <c r="S73" s="7">
        <f t="shared" si="89"/>
        <v>900</v>
      </c>
      <c r="T73" s="7">
        <f t="shared" si="89"/>
        <v>900</v>
      </c>
      <c r="U73" s="7">
        <f t="shared" si="89"/>
        <v>900</v>
      </c>
      <c r="V73" s="7">
        <f t="shared" si="89"/>
        <v>900</v>
      </c>
      <c r="W73" s="7">
        <f t="shared" si="89"/>
        <v>900</v>
      </c>
      <c r="X73" s="7">
        <f t="shared" si="89"/>
        <v>900</v>
      </c>
      <c r="Y73" s="7">
        <f t="shared" si="89"/>
        <v>900</v>
      </c>
      <c r="Z73" s="7">
        <f t="shared" ref="Z73:AF73" si="90">Z128</f>
        <v>900</v>
      </c>
      <c r="AA73" s="7">
        <f t="shared" si="90"/>
        <v>900</v>
      </c>
      <c r="AB73" s="7">
        <f t="shared" si="90"/>
        <v>900</v>
      </c>
      <c r="AC73" s="7">
        <f t="shared" si="90"/>
        <v>900</v>
      </c>
      <c r="AD73" s="7">
        <f t="shared" si="90"/>
        <v>900</v>
      </c>
      <c r="AE73" s="7">
        <f t="shared" si="90"/>
        <v>900</v>
      </c>
      <c r="AF73" s="7">
        <f t="shared" si="90"/>
        <v>529</v>
      </c>
      <c r="AG73" s="7">
        <f t="shared" ref="AG73" si="91">AG128</f>
        <v>529</v>
      </c>
      <c r="AH73" s="7">
        <v>0</v>
      </c>
      <c r="AI73" s="7">
        <f>AH73</f>
        <v>0</v>
      </c>
      <c r="AJ73" s="7">
        <f t="shared" ref="AJ73:AN73" si="92">AI73</f>
        <v>0</v>
      </c>
      <c r="AK73" s="7">
        <f t="shared" si="92"/>
        <v>0</v>
      </c>
      <c r="AL73" s="7">
        <f t="shared" si="92"/>
        <v>0</v>
      </c>
      <c r="AM73" s="7">
        <f t="shared" si="92"/>
        <v>0</v>
      </c>
      <c r="AN73" s="7">
        <f t="shared" si="92"/>
        <v>0</v>
      </c>
      <c r="AR73" s="90"/>
    </row>
    <row r="74" spans="1:47">
      <c r="A74" s="152" t="s">
        <v>566</v>
      </c>
      <c r="Q74" s="7">
        <f t="shared" ref="Q74:Y74" si="93">Q129</f>
        <v>801</v>
      </c>
      <c r="R74" s="7">
        <f t="shared" si="93"/>
        <v>1130</v>
      </c>
      <c r="S74" s="7">
        <f t="shared" si="93"/>
        <v>1141</v>
      </c>
      <c r="T74" s="7">
        <f t="shared" si="93"/>
        <v>1441</v>
      </c>
      <c r="U74" s="7">
        <f t="shared" si="93"/>
        <v>1441</v>
      </c>
      <c r="V74" s="7">
        <f t="shared" si="93"/>
        <v>1440</v>
      </c>
      <c r="W74" s="7">
        <f t="shared" si="93"/>
        <v>1441</v>
      </c>
      <c r="X74" s="7">
        <f t="shared" si="93"/>
        <v>1446</v>
      </c>
      <c r="Y74" s="7">
        <f t="shared" si="93"/>
        <v>1350</v>
      </c>
      <c r="Z74" s="7">
        <f t="shared" ref="Z74:AI74" si="94">Z129</f>
        <v>1350</v>
      </c>
      <c r="AA74" s="7">
        <f t="shared" si="94"/>
        <v>1355</v>
      </c>
      <c r="AB74" s="7">
        <f t="shared" si="94"/>
        <v>1248</v>
      </c>
      <c r="AC74" s="7">
        <f t="shared" si="94"/>
        <v>1248</v>
      </c>
      <c r="AD74" s="7">
        <f t="shared" si="94"/>
        <v>1248</v>
      </c>
      <c r="AE74" s="7">
        <f t="shared" si="94"/>
        <v>1248</v>
      </c>
      <c r="AF74" s="7">
        <f t="shared" si="94"/>
        <v>1248</v>
      </c>
      <c r="AG74" s="7">
        <f t="shared" ref="AG74" si="95">AG129</f>
        <v>1248</v>
      </c>
      <c r="AH74" s="7">
        <f t="shared" si="94"/>
        <v>1248</v>
      </c>
      <c r="AI74" s="7">
        <f t="shared" si="94"/>
        <v>1248</v>
      </c>
      <c r="AJ74" s="7">
        <f t="shared" ref="AJ74:AN74" si="96">AJ129</f>
        <v>1248</v>
      </c>
      <c r="AK74" s="7">
        <f t="shared" si="96"/>
        <v>1248</v>
      </c>
      <c r="AL74" s="7">
        <f t="shared" si="96"/>
        <v>1248</v>
      </c>
      <c r="AM74" s="7">
        <f t="shared" si="96"/>
        <v>1248</v>
      </c>
      <c r="AN74" s="7">
        <f t="shared" si="96"/>
        <v>1248</v>
      </c>
      <c r="AR74" s="90"/>
    </row>
    <row r="75" spans="1:47">
      <c r="A75" s="152" t="s">
        <v>296</v>
      </c>
      <c r="Q75" s="7">
        <f t="shared" ref="Q75:Y75" si="97">Q127</f>
        <v>840</v>
      </c>
      <c r="R75" s="7">
        <f t="shared" si="97"/>
        <v>882</v>
      </c>
      <c r="S75" s="7">
        <f t="shared" si="97"/>
        <v>882</v>
      </c>
      <c r="T75" s="7">
        <f t="shared" si="97"/>
        <v>882</v>
      </c>
      <c r="U75" s="7">
        <f t="shared" si="97"/>
        <v>882</v>
      </c>
      <c r="V75" s="7">
        <f t="shared" si="97"/>
        <v>882</v>
      </c>
      <c r="W75" s="7">
        <f t="shared" si="97"/>
        <v>882</v>
      </c>
      <c r="X75" s="7">
        <f t="shared" si="97"/>
        <v>882</v>
      </c>
      <c r="Y75" s="7">
        <f t="shared" si="97"/>
        <v>882</v>
      </c>
      <c r="Z75" s="7">
        <f t="shared" ref="Z75:AI75" si="98">Z127</f>
        <v>1806</v>
      </c>
      <c r="AA75" s="7">
        <f t="shared" si="98"/>
        <v>1806</v>
      </c>
      <c r="AB75" s="7">
        <f t="shared" si="98"/>
        <v>1806</v>
      </c>
      <c r="AC75" s="7">
        <f t="shared" si="98"/>
        <v>1806</v>
      </c>
      <c r="AD75" s="7">
        <f t="shared" si="98"/>
        <v>1806</v>
      </c>
      <c r="AE75" s="7">
        <f t="shared" si="98"/>
        <v>1806</v>
      </c>
      <c r="AF75" s="7">
        <f t="shared" si="98"/>
        <v>0</v>
      </c>
      <c r="AG75" s="7">
        <f t="shared" ref="AG75" si="99">AG127</f>
        <v>0</v>
      </c>
      <c r="AH75" s="7">
        <f t="shared" si="98"/>
        <v>0</v>
      </c>
      <c r="AI75" s="7">
        <f t="shared" si="98"/>
        <v>0</v>
      </c>
      <c r="AJ75" s="7">
        <f>AJ127</f>
        <v>0</v>
      </c>
      <c r="AK75" s="7">
        <f>AK127</f>
        <v>0</v>
      </c>
      <c r="AL75" s="7">
        <f>AL127</f>
        <v>0</v>
      </c>
      <c r="AM75" s="7">
        <f>AM127</f>
        <v>0</v>
      </c>
      <c r="AN75" s="7">
        <f>AN127</f>
        <v>0</v>
      </c>
      <c r="AR75" s="90"/>
    </row>
    <row r="76" spans="1:47">
      <c r="A76" s="152"/>
      <c r="AR76" s="90"/>
    </row>
    <row r="77" spans="1:47">
      <c r="A77" s="88" t="s">
        <v>601</v>
      </c>
      <c r="B77" s="89"/>
      <c r="C77" s="89"/>
      <c r="D77" s="89"/>
      <c r="E77" s="89"/>
      <c r="F77" s="89"/>
      <c r="G77" s="89"/>
      <c r="H77" s="89"/>
      <c r="I77" s="89"/>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R77" s="90"/>
    </row>
    <row r="78" spans="1:47">
      <c r="A78" s="79" t="s">
        <v>522</v>
      </c>
      <c r="B78" s="79">
        <f t="shared" ref="B78:P78" si="100">SUM(B79:B81)</f>
        <v>0</v>
      </c>
      <c r="C78" s="79">
        <f t="shared" si="100"/>
        <v>0</v>
      </c>
      <c r="D78" s="79">
        <f t="shared" si="100"/>
        <v>0</v>
      </c>
      <c r="E78" s="79">
        <f t="shared" si="100"/>
        <v>0</v>
      </c>
      <c r="F78" s="79">
        <f t="shared" si="100"/>
        <v>0</v>
      </c>
      <c r="G78" s="79">
        <f t="shared" si="100"/>
        <v>0</v>
      </c>
      <c r="H78" s="79">
        <f t="shared" si="100"/>
        <v>0</v>
      </c>
      <c r="I78" s="79">
        <f t="shared" si="100"/>
        <v>0</v>
      </c>
      <c r="J78" s="79">
        <f t="shared" si="100"/>
        <v>0</v>
      </c>
      <c r="K78" s="79">
        <f t="shared" si="100"/>
        <v>0</v>
      </c>
      <c r="L78" s="79">
        <f t="shared" si="100"/>
        <v>0</v>
      </c>
      <c r="M78" s="79">
        <f t="shared" si="100"/>
        <v>0</v>
      </c>
      <c r="N78" s="79">
        <f t="shared" si="100"/>
        <v>0</v>
      </c>
      <c r="O78" s="79">
        <f t="shared" si="100"/>
        <v>0</v>
      </c>
      <c r="P78" s="79">
        <f t="shared" si="100"/>
        <v>0</v>
      </c>
      <c r="Q78" s="79"/>
      <c r="R78" s="79"/>
      <c r="S78" s="79"/>
      <c r="T78" s="79"/>
      <c r="U78" s="79"/>
      <c r="V78" s="79"/>
      <c r="W78" s="79"/>
      <c r="X78" s="79"/>
      <c r="Y78" s="79"/>
      <c r="Z78" s="79"/>
      <c r="AR78" s="90"/>
    </row>
    <row r="79" spans="1:47">
      <c r="A79" s="152" t="s">
        <v>297</v>
      </c>
      <c r="W79" s="99">
        <f t="shared" ref="W79:AF79" si="101">W26/W66/W$2</f>
        <v>0.18980154765368218</v>
      </c>
      <c r="X79" s="99">
        <f t="shared" si="101"/>
        <v>0.13458418114357862</v>
      </c>
      <c r="Y79" s="99">
        <f t="shared" si="101"/>
        <v>0.14401524890680026</v>
      </c>
      <c r="Z79" s="99">
        <f t="shared" si="101"/>
        <v>0.16056473000166285</v>
      </c>
      <c r="AA79" s="99">
        <f t="shared" si="101"/>
        <v>0.25357414044705739</v>
      </c>
      <c r="AB79" s="99">
        <f t="shared" si="101"/>
        <v>0.31801360196840289</v>
      </c>
      <c r="AC79" s="99">
        <f t="shared" si="101"/>
        <v>0.26889401441488209</v>
      </c>
      <c r="AD79" s="99">
        <f t="shared" si="101"/>
        <v>0.29103893525170543</v>
      </c>
      <c r="AE79" s="99">
        <f t="shared" si="101"/>
        <v>0.27823745240315056</v>
      </c>
      <c r="AF79" s="99">
        <f t="shared" si="101"/>
        <v>0.26607795148880387</v>
      </c>
      <c r="AG79" s="99">
        <f t="shared" ref="AG79:AH79" si="102">AG26/AG66/AG$2</f>
        <v>0.26263357006168309</v>
      </c>
      <c r="AH79" s="99">
        <f t="shared" si="102"/>
        <v>0.26602671141542933</v>
      </c>
      <c r="AI79" s="102">
        <f>AH79*0.6</f>
        <v>0.1596160268492576</v>
      </c>
      <c r="AJ79" s="102">
        <f>AI79</f>
        <v>0.1596160268492576</v>
      </c>
      <c r="AK79" s="102">
        <f>AJ79</f>
        <v>0.1596160268492576</v>
      </c>
      <c r="AL79" s="102">
        <f>AK79</f>
        <v>0.1596160268492576</v>
      </c>
      <c r="AM79" s="102">
        <f t="shared" ref="AM79:AN81" si="103">AL79</f>
        <v>0.1596160268492576</v>
      </c>
      <c r="AN79" s="102">
        <f t="shared" si="103"/>
        <v>0.1596160268492576</v>
      </c>
      <c r="AR79" s="90"/>
    </row>
    <row r="80" spans="1:47">
      <c r="A80" s="152" t="s">
        <v>561</v>
      </c>
      <c r="W80" s="99">
        <f t="shared" ref="W80:AF80" si="104">W27/W67/W$2</f>
        <v>0.2101766559232181</v>
      </c>
      <c r="X80" s="99">
        <f t="shared" si="104"/>
        <v>0.17403476173583896</v>
      </c>
      <c r="Y80" s="99">
        <f t="shared" si="104"/>
        <v>0.14440142720395416</v>
      </c>
      <c r="Z80" s="99">
        <f t="shared" si="104"/>
        <v>0.21242178335881778</v>
      </c>
      <c r="AA80" s="99">
        <f t="shared" si="104"/>
        <v>0.17673252975526307</v>
      </c>
      <c r="AB80" s="99">
        <f t="shared" si="104"/>
        <v>0.16083353692610897</v>
      </c>
      <c r="AC80" s="99">
        <f t="shared" si="104"/>
        <v>0.18744986053734564</v>
      </c>
      <c r="AD80" s="99">
        <f t="shared" si="104"/>
        <v>0.16003504278780442</v>
      </c>
      <c r="AE80" s="99">
        <f t="shared" si="104"/>
        <v>7.6394271855637241E-2</v>
      </c>
      <c r="AF80" s="99">
        <f t="shared" si="104"/>
        <v>0.19665051498731514</v>
      </c>
      <c r="AG80" s="99">
        <f t="shared" ref="AG80:AH80" si="105">AG27/AG67/AG$2</f>
        <v>0.18651252237688606</v>
      </c>
      <c r="AH80" s="99">
        <f t="shared" si="105"/>
        <v>0.20835254304373638</v>
      </c>
      <c r="AI80" s="102">
        <f>AH80*1.1</f>
        <v>0.22918779734811004</v>
      </c>
      <c r="AJ80" s="102">
        <f t="shared" ref="AJ80:AL81" si="106">AI80</f>
        <v>0.22918779734811004</v>
      </c>
      <c r="AK80" s="102">
        <f t="shared" si="106"/>
        <v>0.22918779734811004</v>
      </c>
      <c r="AL80" s="102">
        <f t="shared" si="106"/>
        <v>0.22918779734811004</v>
      </c>
      <c r="AM80" s="102">
        <f t="shared" si="103"/>
        <v>0.22918779734811004</v>
      </c>
      <c r="AN80" s="102">
        <f t="shared" si="103"/>
        <v>0.22918779734811004</v>
      </c>
      <c r="AR80" s="90"/>
    </row>
    <row r="81" spans="1:44">
      <c r="A81" s="152" t="s">
        <v>562</v>
      </c>
      <c r="W81" s="99">
        <f t="shared" ref="W81:AF81" si="107">W28/W68/W$2</f>
        <v>1.5652420508722082</v>
      </c>
      <c r="X81" s="99">
        <f t="shared" si="107"/>
        <v>-6.5499833911135438E-2</v>
      </c>
      <c r="Y81" s="99">
        <f t="shared" si="107"/>
        <v>0.36639550307493945</v>
      </c>
      <c r="Z81" s="99">
        <f t="shared" si="107"/>
        <v>0.31464097891101356</v>
      </c>
      <c r="AA81" s="99">
        <f t="shared" si="107"/>
        <v>0.35455264430902006</v>
      </c>
      <c r="AB81" s="99">
        <f t="shared" si="107"/>
        <v>0.35622531836406968</v>
      </c>
      <c r="AC81" s="99">
        <f t="shared" si="107"/>
        <v>0.46487147783412963</v>
      </c>
      <c r="AD81" s="99">
        <f t="shared" si="107"/>
        <v>0.46362147460065889</v>
      </c>
      <c r="AE81" s="99">
        <f t="shared" si="107"/>
        <v>0.49353494531126618</v>
      </c>
      <c r="AF81" s="99">
        <f t="shared" si="107"/>
        <v>0.48426581114785128</v>
      </c>
      <c r="AG81" s="99">
        <f t="shared" ref="AG81:AH81" si="108">AG28/AG68/AG$2</f>
        <v>0.43578387635598426</v>
      </c>
      <c r="AH81" s="99">
        <f t="shared" si="108"/>
        <v>0.31643572807946918</v>
      </c>
      <c r="AI81" s="102">
        <f>AH81*0.65</f>
        <v>0.20568322325165497</v>
      </c>
      <c r="AJ81" s="102">
        <f t="shared" si="106"/>
        <v>0.20568322325165497</v>
      </c>
      <c r="AK81" s="102">
        <f t="shared" si="106"/>
        <v>0.20568322325165497</v>
      </c>
      <c r="AL81" s="102">
        <f t="shared" si="106"/>
        <v>0.20568322325165497</v>
      </c>
      <c r="AM81" s="102">
        <f t="shared" si="103"/>
        <v>0.20568322325165497</v>
      </c>
      <c r="AN81" s="102">
        <f t="shared" si="103"/>
        <v>0.20568322325165497</v>
      </c>
      <c r="AR81" s="90"/>
    </row>
    <row r="82" spans="1:44">
      <c r="A82" s="79" t="s">
        <v>563</v>
      </c>
      <c r="B82" s="79">
        <f t="shared" ref="B82:P82" si="109">SUM(B83:B84)</f>
        <v>0</v>
      </c>
      <c r="C82" s="79">
        <f t="shared" si="109"/>
        <v>0</v>
      </c>
      <c r="D82" s="79">
        <f t="shared" si="109"/>
        <v>0</v>
      </c>
      <c r="E82" s="79">
        <f t="shared" si="109"/>
        <v>0</v>
      </c>
      <c r="F82" s="79">
        <f t="shared" si="109"/>
        <v>0</v>
      </c>
      <c r="G82" s="79">
        <f t="shared" si="109"/>
        <v>0</v>
      </c>
      <c r="H82" s="79">
        <f t="shared" si="109"/>
        <v>0</v>
      </c>
      <c r="I82" s="79">
        <f t="shared" si="109"/>
        <v>0</v>
      </c>
      <c r="J82" s="79">
        <f t="shared" si="109"/>
        <v>0</v>
      </c>
      <c r="K82" s="79">
        <f t="shared" si="109"/>
        <v>0</v>
      </c>
      <c r="L82" s="79">
        <f t="shared" si="109"/>
        <v>0</v>
      </c>
      <c r="M82" s="79">
        <f t="shared" si="109"/>
        <v>0</v>
      </c>
      <c r="N82" s="79">
        <f t="shared" si="109"/>
        <v>0</v>
      </c>
      <c r="O82" s="79">
        <f t="shared" si="109"/>
        <v>0</v>
      </c>
      <c r="P82" s="79">
        <f t="shared" si="109"/>
        <v>0</v>
      </c>
      <c r="Q82" s="79"/>
      <c r="R82" s="79"/>
      <c r="S82" s="79"/>
      <c r="T82" s="79"/>
      <c r="U82" s="79"/>
      <c r="V82" s="79"/>
      <c r="W82" s="79"/>
      <c r="X82" s="79"/>
      <c r="Y82" s="79"/>
      <c r="Z82" s="79"/>
      <c r="AA82" s="79"/>
      <c r="AB82" s="79"/>
      <c r="AH82" s="90"/>
      <c r="AR82" s="90"/>
    </row>
    <row r="83" spans="1:44">
      <c r="A83" s="152" t="s">
        <v>99</v>
      </c>
      <c r="W83" s="99">
        <f t="shared" ref="W83:AC83" si="110">W30/W70/W$2</f>
        <v>0.34542076495207147</v>
      </c>
      <c r="X83" s="99">
        <f t="shared" si="110"/>
        <v>0.44609048374881988</v>
      </c>
      <c r="Y83" s="99">
        <f t="shared" si="110"/>
        <v>0.49639163276617643</v>
      </c>
      <c r="Z83" s="99">
        <f t="shared" si="110"/>
        <v>0.53685159617861189</v>
      </c>
      <c r="AA83" s="99">
        <f t="shared" si="110"/>
        <v>0.55047188403793101</v>
      </c>
      <c r="AB83" s="99">
        <f t="shared" si="110"/>
        <v>0.4933540040795979</v>
      </c>
      <c r="AC83" s="99">
        <f t="shared" si="110"/>
        <v>0.52424196948313972</v>
      </c>
      <c r="AD83" s="99">
        <f t="shared" ref="AD83:AF84" si="111">AD30/AD70/AD$2</f>
        <v>0.52612777293177149</v>
      </c>
      <c r="AE83" s="99">
        <f t="shared" si="111"/>
        <v>0.50693436731800978</v>
      </c>
      <c r="AF83" s="99">
        <f t="shared" si="111"/>
        <v>0.52811191442801209</v>
      </c>
      <c r="AG83" s="99">
        <f t="shared" ref="AG83:AH83" si="112">AG30/AG70/AG$2</f>
        <v>0.53997727170957732</v>
      </c>
      <c r="AH83" s="99">
        <f t="shared" si="112"/>
        <v>0.53023863603821053</v>
      </c>
      <c r="AI83" s="102">
        <f>AH83</f>
        <v>0.53023863603821053</v>
      </c>
      <c r="AJ83" s="102">
        <f t="shared" ref="AJ83:AL84" si="113">AI83</f>
        <v>0.53023863603821053</v>
      </c>
      <c r="AK83" s="102">
        <f t="shared" si="113"/>
        <v>0.53023863603821053</v>
      </c>
      <c r="AL83" s="102">
        <f t="shared" si="113"/>
        <v>0.53023863603821053</v>
      </c>
      <c r="AM83" s="102">
        <f t="shared" ref="AM83:AN84" si="114">AL83</f>
        <v>0.53023863603821053</v>
      </c>
      <c r="AN83" s="102">
        <f t="shared" si="114"/>
        <v>0.53023863603821053</v>
      </c>
      <c r="AR83" s="90"/>
    </row>
    <row r="84" spans="1:44">
      <c r="A84" s="152" t="s">
        <v>564</v>
      </c>
      <c r="W84" s="99"/>
      <c r="X84" s="99"/>
      <c r="Y84" s="99"/>
      <c r="Z84" s="99"/>
      <c r="AA84" s="414">
        <f>AA31/AA71/AA$2*12</f>
        <v>0.47778130727008195</v>
      </c>
      <c r="AB84" s="414">
        <f>AB31/AB71/AB$2</f>
        <v>0.73297777986106349</v>
      </c>
      <c r="AC84" s="414">
        <f>AC31/AC71/AC$2</f>
        <v>0.59659848264433069</v>
      </c>
      <c r="AD84" s="414">
        <f t="shared" si="111"/>
        <v>0.53052148471097837</v>
      </c>
      <c r="AE84" s="414">
        <f t="shared" si="111"/>
        <v>0.70802597264037803</v>
      </c>
      <c r="AF84" s="414">
        <f t="shared" si="111"/>
        <v>0.7710263934345436</v>
      </c>
      <c r="AG84" s="414">
        <f t="shared" ref="AG84:AH84" si="115">AG31/AG71/AG$2</f>
        <v>0.77017165129366028</v>
      </c>
      <c r="AH84" s="414">
        <f t="shared" si="115"/>
        <v>0.62959100966577375</v>
      </c>
      <c r="AI84" s="102">
        <f>AH84*0.8</f>
        <v>0.50367280773261902</v>
      </c>
      <c r="AJ84" s="102">
        <f t="shared" si="113"/>
        <v>0.50367280773261902</v>
      </c>
      <c r="AK84" s="102">
        <f t="shared" si="113"/>
        <v>0.50367280773261902</v>
      </c>
      <c r="AL84" s="102">
        <f t="shared" si="113"/>
        <v>0.50367280773261902</v>
      </c>
      <c r="AM84" s="102">
        <f t="shared" si="114"/>
        <v>0.50367280773261902</v>
      </c>
      <c r="AN84" s="102">
        <f t="shared" si="114"/>
        <v>0.50367280773261902</v>
      </c>
      <c r="AR84" s="90"/>
    </row>
    <row r="85" spans="1:44">
      <c r="A85" s="79" t="s">
        <v>544</v>
      </c>
      <c r="B85" s="79">
        <f t="shared" ref="B85:P85" si="116">SUM(B86:B88)</f>
        <v>0</v>
      </c>
      <c r="C85" s="79">
        <f t="shared" si="116"/>
        <v>0</v>
      </c>
      <c r="D85" s="79">
        <f t="shared" si="116"/>
        <v>0</v>
      </c>
      <c r="E85" s="79">
        <f t="shared" si="116"/>
        <v>0</v>
      </c>
      <c r="F85" s="79">
        <f t="shared" si="116"/>
        <v>0</v>
      </c>
      <c r="G85" s="79">
        <f t="shared" si="116"/>
        <v>0</v>
      </c>
      <c r="H85" s="79">
        <f t="shared" si="116"/>
        <v>0</v>
      </c>
      <c r="I85" s="79">
        <f t="shared" si="116"/>
        <v>0</v>
      </c>
      <c r="J85" s="79">
        <f t="shared" si="116"/>
        <v>0</v>
      </c>
      <c r="K85" s="79">
        <f t="shared" si="116"/>
        <v>0</v>
      </c>
      <c r="L85" s="79">
        <f t="shared" si="116"/>
        <v>0</v>
      </c>
      <c r="M85" s="79">
        <f t="shared" si="116"/>
        <v>0</v>
      </c>
      <c r="N85" s="79">
        <f t="shared" si="116"/>
        <v>0</v>
      </c>
      <c r="O85" s="79">
        <f t="shared" si="116"/>
        <v>0</v>
      </c>
      <c r="P85" s="79">
        <f t="shared" si="116"/>
        <v>0</v>
      </c>
      <c r="Q85" s="79"/>
      <c r="R85" s="79"/>
      <c r="S85" s="79"/>
      <c r="T85" s="79"/>
      <c r="U85" s="79"/>
      <c r="V85" s="79"/>
      <c r="W85" s="79"/>
      <c r="X85" s="79"/>
      <c r="Y85" s="79"/>
      <c r="Z85" s="79"/>
      <c r="AA85" s="79"/>
      <c r="AB85" s="79"/>
      <c r="AR85" s="90"/>
    </row>
    <row r="86" spans="1:44">
      <c r="A86" s="152" t="s">
        <v>565</v>
      </c>
      <c r="W86" s="99">
        <f t="shared" ref="W86:AF86" si="117">W33/W73/W$2</f>
        <v>0.27450048829413787</v>
      </c>
      <c r="X86" s="99">
        <f t="shared" si="117"/>
        <v>0.37646809300352607</v>
      </c>
      <c r="Y86" s="99">
        <f t="shared" si="117"/>
        <v>0.50321407700798648</v>
      </c>
      <c r="Z86" s="99">
        <f t="shared" si="117"/>
        <v>0.23846247029949932</v>
      </c>
      <c r="AA86" s="99">
        <f t="shared" si="117"/>
        <v>5.5694311210208569E-2</v>
      </c>
      <c r="AB86" s="99">
        <f t="shared" si="117"/>
        <v>1.2215278306323473E-2</v>
      </c>
      <c r="AC86" s="99">
        <f t="shared" si="117"/>
        <v>-5.8758321668437195E-3</v>
      </c>
      <c r="AD86" s="99">
        <f t="shared" si="117"/>
        <v>-6.9166660538213954E-3</v>
      </c>
      <c r="AE86" s="99">
        <f t="shared" si="117"/>
        <v>-0.29608722120759318</v>
      </c>
      <c r="AF86" s="99">
        <f t="shared" si="117"/>
        <v>1.1361306926842759E-2</v>
      </c>
      <c r="AG86" s="99">
        <f t="shared" ref="AG86" si="118">AG33/AG73/AG$2</f>
        <v>1.0242148283774424E-2</v>
      </c>
      <c r="AH86" s="99">
        <v>0</v>
      </c>
      <c r="AI86" s="102">
        <f t="shared" ref="AI86:AN86" si="119">AH86</f>
        <v>0</v>
      </c>
      <c r="AJ86" s="102">
        <f t="shared" ref="AJ86:AK88" si="120">AI86</f>
        <v>0</v>
      </c>
      <c r="AK86" s="102">
        <f t="shared" si="120"/>
        <v>0</v>
      </c>
      <c r="AL86" s="102">
        <f>AK86</f>
        <v>0</v>
      </c>
      <c r="AM86" s="102">
        <f t="shared" si="119"/>
        <v>0</v>
      </c>
      <c r="AN86" s="102">
        <f t="shared" si="119"/>
        <v>0</v>
      </c>
      <c r="AQ86" s="91"/>
      <c r="AR86" s="90"/>
    </row>
    <row r="87" spans="1:44">
      <c r="A87" s="152" t="s">
        <v>566</v>
      </c>
      <c r="W87" s="99">
        <f t="shared" ref="W87:AF87" si="121">W34/W74/W$2</f>
        <v>0.16594875513431437</v>
      </c>
      <c r="X87" s="99">
        <f t="shared" si="121"/>
        <v>0</v>
      </c>
      <c r="Y87" s="99">
        <f t="shared" si="121"/>
        <v>0.18998285344626489</v>
      </c>
      <c r="Z87" s="99">
        <f t="shared" si="121"/>
        <v>0.10810298653577301</v>
      </c>
      <c r="AA87" s="99">
        <f t="shared" si="121"/>
        <v>4.2732751825621286E-2</v>
      </c>
      <c r="AB87" s="99">
        <f t="shared" si="121"/>
        <v>1.0164340306667092E-2</v>
      </c>
      <c r="AC87" s="99">
        <f t="shared" si="121"/>
        <v>2.3305584315606098E-2</v>
      </c>
      <c r="AD87" s="99">
        <f t="shared" si="121"/>
        <v>-7.1256861818214925E-4</v>
      </c>
      <c r="AE87" s="99">
        <f t="shared" si="121"/>
        <v>-9.9112589773390047E-2</v>
      </c>
      <c r="AF87" s="99">
        <f t="shared" si="121"/>
        <v>6.7421345432850541E-2</v>
      </c>
      <c r="AG87" s="99">
        <f t="shared" ref="AG87" si="122">AG34/AG74/AG$2</f>
        <v>-1.2300699721685815E-2</v>
      </c>
      <c r="AH87" s="99">
        <f t="shared" ref="AH87" si="123">AH34/AH74/AH$2</f>
        <v>-7.3547870140612071E-4</v>
      </c>
      <c r="AI87" s="102">
        <f t="shared" ref="AI87:AN87" si="124">AH87</f>
        <v>-7.3547870140612071E-4</v>
      </c>
      <c r="AJ87" s="102">
        <f t="shared" si="120"/>
        <v>-7.3547870140612071E-4</v>
      </c>
      <c r="AK87" s="102">
        <f t="shared" si="120"/>
        <v>-7.3547870140612071E-4</v>
      </c>
      <c r="AL87" s="102">
        <f>AK87</f>
        <v>-7.3547870140612071E-4</v>
      </c>
      <c r="AM87" s="102">
        <f t="shared" si="124"/>
        <v>-7.3547870140612071E-4</v>
      </c>
      <c r="AN87" s="102">
        <f t="shared" si="124"/>
        <v>-7.3547870140612071E-4</v>
      </c>
      <c r="AR87" s="90"/>
    </row>
    <row r="88" spans="1:44">
      <c r="A88" s="152" t="s">
        <v>296</v>
      </c>
      <c r="W88" s="99">
        <f>W35/W75/W$2</f>
        <v>0.50544144070381869</v>
      </c>
      <c r="X88" s="99">
        <f>X35/X75/X$2</f>
        <v>0.26421661217311759</v>
      </c>
      <c r="Y88" s="99">
        <f>Y35/Y75/Y$2</f>
        <v>6.1654859116990521E-2</v>
      </c>
      <c r="Z88" s="414">
        <f t="shared" ref="Z88:AF88" si="125">Z35/Y75/Z$2</f>
        <v>8.7598458477367094E-3</v>
      </c>
      <c r="AA88" s="414">
        <f t="shared" si="125"/>
        <v>-3.8282262259279581E-2</v>
      </c>
      <c r="AB88" s="414">
        <f t="shared" si="125"/>
        <v>3.7460603034981262E-3</v>
      </c>
      <c r="AC88" s="414">
        <f t="shared" si="125"/>
        <v>0.11566214481245526</v>
      </c>
      <c r="AD88" s="414">
        <f t="shared" si="125"/>
        <v>0.10389771267368161</v>
      </c>
      <c r="AE88" s="414">
        <f t="shared" si="125"/>
        <v>-4.6885609592906045E-2</v>
      </c>
      <c r="AF88" s="414">
        <f t="shared" si="125"/>
        <v>-2.8524591192690175E-2</v>
      </c>
      <c r="AG88" s="414">
        <v>0</v>
      </c>
      <c r="AH88" s="414">
        <v>0</v>
      </c>
      <c r="AI88" s="102">
        <f t="shared" ref="AI88:AN88" si="126">AH88</f>
        <v>0</v>
      </c>
      <c r="AJ88" s="102">
        <f t="shared" si="120"/>
        <v>0</v>
      </c>
      <c r="AK88" s="102">
        <f t="shared" si="120"/>
        <v>0</v>
      </c>
      <c r="AL88" s="102">
        <f>AK88</f>
        <v>0</v>
      </c>
      <c r="AM88" s="102">
        <f t="shared" si="126"/>
        <v>0</v>
      </c>
      <c r="AN88" s="102">
        <f t="shared" si="126"/>
        <v>0</v>
      </c>
      <c r="AR88" s="90"/>
    </row>
    <row r="89" spans="1:44">
      <c r="A89" s="152"/>
      <c r="AR89" s="90"/>
    </row>
    <row r="90" spans="1:44">
      <c r="A90" s="6" t="s">
        <v>447</v>
      </c>
      <c r="B90" s="85"/>
      <c r="C90" s="85"/>
      <c r="D90" s="85"/>
      <c r="E90" s="85"/>
      <c r="F90" s="85"/>
      <c r="G90" s="85"/>
      <c r="H90" s="85"/>
      <c r="I90" s="85"/>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R90" s="90"/>
    </row>
    <row r="91" spans="1:44" hidden="1" outlineLevel="1">
      <c r="A91" s="88" t="s">
        <v>529</v>
      </c>
      <c r="B91" s="89"/>
      <c r="C91" s="89"/>
      <c r="D91" s="89"/>
      <c r="E91" s="89"/>
      <c r="F91" s="89"/>
      <c r="G91" s="89"/>
      <c r="H91" s="89"/>
      <c r="I91" s="89"/>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R91" s="90"/>
    </row>
    <row r="92" spans="1:44" hidden="1" outlineLevel="1">
      <c r="A92" s="42" t="s">
        <v>530</v>
      </c>
      <c r="B92" s="43"/>
      <c r="C92" s="43"/>
      <c r="D92" s="43"/>
      <c r="E92" s="43"/>
      <c r="F92" s="43"/>
      <c r="G92" s="43"/>
      <c r="H92" s="43"/>
      <c r="I92" s="43"/>
      <c r="AR92" s="90"/>
    </row>
    <row r="93" spans="1:44" hidden="1" outlineLevel="1">
      <c r="A93" s="86" t="s">
        <v>573</v>
      </c>
      <c r="B93" s="43"/>
      <c r="C93" s="43"/>
      <c r="D93" s="43"/>
      <c r="E93" s="43"/>
      <c r="F93" s="43"/>
      <c r="G93" s="43"/>
      <c r="H93" s="43"/>
      <c r="I93" s="43"/>
      <c r="Q93" s="7">
        <v>1968</v>
      </c>
      <c r="R93" s="7">
        <v>1968</v>
      </c>
      <c r="S93" s="7">
        <v>1968</v>
      </c>
      <c r="T93" s="7">
        <v>1968</v>
      </c>
      <c r="U93" s="7">
        <v>1968</v>
      </c>
      <c r="V93" s="7">
        <v>1968</v>
      </c>
      <c r="W93" s="7">
        <v>1968</v>
      </c>
      <c r="X93" s="7">
        <v>1968</v>
      </c>
      <c r="Y93" s="7">
        <v>1968</v>
      </c>
      <c r="Z93" s="7">
        <v>1968</v>
      </c>
      <c r="AA93" s="7">
        <v>1968</v>
      </c>
      <c r="AR93" s="90"/>
    </row>
    <row r="94" spans="1:44" hidden="1" outlineLevel="1">
      <c r="A94" s="86" t="s">
        <v>574</v>
      </c>
      <c r="B94" s="43"/>
      <c r="C94" s="43"/>
      <c r="D94" s="43"/>
      <c r="E94" s="43"/>
      <c r="F94" s="43"/>
      <c r="G94" s="43"/>
      <c r="H94" s="43"/>
      <c r="I94" s="43"/>
      <c r="Q94" s="7">
        <v>1200</v>
      </c>
      <c r="R94" s="7">
        <v>1200</v>
      </c>
      <c r="S94" s="7">
        <v>1200</v>
      </c>
      <c r="T94" s="7">
        <v>1200</v>
      </c>
      <c r="U94" s="7">
        <v>1200</v>
      </c>
      <c r="V94" s="7">
        <v>1200</v>
      </c>
      <c r="W94" s="7">
        <v>1200</v>
      </c>
      <c r="X94" s="7">
        <v>1200</v>
      </c>
      <c r="Y94" s="7">
        <v>1200</v>
      </c>
      <c r="Z94" s="7">
        <v>1200</v>
      </c>
      <c r="AA94" s="7">
        <v>1200</v>
      </c>
      <c r="AR94" s="90"/>
    </row>
    <row r="95" spans="1:44" hidden="1" outlineLevel="1">
      <c r="A95" s="86" t="s">
        <v>575</v>
      </c>
      <c r="B95" s="43"/>
      <c r="C95" s="43"/>
      <c r="D95" s="43"/>
      <c r="E95" s="43"/>
      <c r="F95" s="43"/>
      <c r="G95" s="43"/>
      <c r="H95" s="43"/>
      <c r="I95" s="43"/>
      <c r="Q95" s="7">
        <v>1200</v>
      </c>
      <c r="R95" s="7">
        <v>1260</v>
      </c>
      <c r="S95" s="7">
        <v>1260</v>
      </c>
      <c r="T95" s="7">
        <v>1260</v>
      </c>
      <c r="U95" s="7">
        <v>1260</v>
      </c>
      <c r="V95" s="7">
        <v>1260</v>
      </c>
      <c r="W95" s="7">
        <v>1260</v>
      </c>
      <c r="X95" s="7">
        <v>1260</v>
      </c>
      <c r="Y95" s="7">
        <v>1260</v>
      </c>
      <c r="Z95" s="7">
        <v>2580</v>
      </c>
      <c r="AA95" s="7">
        <v>2580</v>
      </c>
      <c r="AR95" s="90"/>
    </row>
    <row r="96" spans="1:44" hidden="1" outlineLevel="1">
      <c r="A96" s="86" t="s">
        <v>591</v>
      </c>
      <c r="B96" s="43"/>
      <c r="C96" s="43"/>
      <c r="D96" s="43"/>
      <c r="E96" s="43"/>
      <c r="F96" s="43"/>
      <c r="G96" s="43"/>
      <c r="H96" s="43"/>
      <c r="I96" s="43"/>
      <c r="Q96" s="7">
        <v>3000</v>
      </c>
      <c r="R96" s="7">
        <v>3060</v>
      </c>
      <c r="S96" s="7">
        <v>3060</v>
      </c>
      <c r="T96" s="7">
        <v>3060</v>
      </c>
      <c r="U96" s="7">
        <v>3060</v>
      </c>
      <c r="V96" s="7">
        <v>3060</v>
      </c>
      <c r="W96" s="7">
        <v>3060</v>
      </c>
      <c r="X96" s="7">
        <v>3060</v>
      </c>
      <c r="Y96" s="7">
        <v>3060</v>
      </c>
      <c r="Z96" s="7">
        <v>3060</v>
      </c>
      <c r="AA96" s="7">
        <v>3060</v>
      </c>
      <c r="AR96" s="90"/>
    </row>
    <row r="97" spans="1:44" hidden="1" outlineLevel="1">
      <c r="A97" s="86" t="s">
        <v>592</v>
      </c>
      <c r="B97" s="43"/>
      <c r="C97" s="43"/>
      <c r="D97" s="43"/>
      <c r="E97" s="43"/>
      <c r="F97" s="43"/>
      <c r="G97" s="43"/>
      <c r="H97" s="43"/>
      <c r="I97" s="43"/>
      <c r="Q97" s="7">
        <v>2300</v>
      </c>
      <c r="R97" s="7">
        <v>5830</v>
      </c>
      <c r="S97" s="7">
        <v>5870</v>
      </c>
      <c r="T97" s="7">
        <v>7870</v>
      </c>
      <c r="U97" s="7">
        <v>7870</v>
      </c>
      <c r="V97" s="7">
        <v>7870</v>
      </c>
      <c r="W97" s="7">
        <v>7870</v>
      </c>
      <c r="X97" s="7">
        <v>7900</v>
      </c>
      <c r="Y97" s="7">
        <v>7660</v>
      </c>
      <c r="Z97" s="7">
        <v>7660</v>
      </c>
      <c r="AA97" s="7">
        <v>7690</v>
      </c>
      <c r="AR97" s="90"/>
    </row>
    <row r="98" spans="1:44" hidden="1" outlineLevel="1">
      <c r="A98" s="86" t="s">
        <v>576</v>
      </c>
      <c r="B98" s="43"/>
      <c r="C98" s="43"/>
      <c r="D98" s="43"/>
      <c r="E98" s="43"/>
      <c r="F98" s="43"/>
      <c r="G98" s="43"/>
      <c r="H98" s="43"/>
      <c r="I98" s="43"/>
      <c r="Q98" s="7">
        <v>600</v>
      </c>
      <c r="R98" s="7">
        <v>600</v>
      </c>
      <c r="S98" s="7">
        <v>600</v>
      </c>
      <c r="T98" s="7">
        <v>0</v>
      </c>
      <c r="U98" s="7">
        <v>0</v>
      </c>
      <c r="V98" s="7">
        <v>0</v>
      </c>
      <c r="W98" s="7">
        <v>0</v>
      </c>
      <c r="X98" s="7">
        <v>0</v>
      </c>
      <c r="Y98" s="7">
        <v>0</v>
      </c>
      <c r="Z98" s="7">
        <v>0</v>
      </c>
      <c r="AA98" s="7">
        <v>0</v>
      </c>
      <c r="AR98" s="90"/>
    </row>
    <row r="99" spans="1:44" hidden="1" outlineLevel="1">
      <c r="A99" s="86" t="s">
        <v>582</v>
      </c>
      <c r="B99" s="43"/>
      <c r="C99" s="43"/>
      <c r="D99" s="43"/>
      <c r="E99" s="43"/>
      <c r="F99" s="43"/>
      <c r="G99" s="43"/>
      <c r="H99" s="43"/>
      <c r="I99" s="43"/>
      <c r="Q99" s="7">
        <v>106</v>
      </c>
      <c r="R99" s="7">
        <v>125</v>
      </c>
      <c r="S99" s="7">
        <v>175</v>
      </c>
      <c r="T99" s="7">
        <v>175</v>
      </c>
      <c r="U99" s="7">
        <v>505</v>
      </c>
      <c r="V99" s="7">
        <v>505</v>
      </c>
      <c r="W99" s="7">
        <v>505</v>
      </c>
      <c r="X99" s="7">
        <v>508</v>
      </c>
      <c r="Y99" s="7">
        <v>509</v>
      </c>
      <c r="Z99" s="7">
        <v>509</v>
      </c>
      <c r="AA99" s="7">
        <v>509</v>
      </c>
      <c r="AR99" s="90"/>
    </row>
    <row r="100" spans="1:44" hidden="1" outlineLevel="1">
      <c r="A100" s="86" t="s">
        <v>579</v>
      </c>
      <c r="B100" s="43"/>
      <c r="C100" s="43"/>
      <c r="D100" s="43"/>
      <c r="E100" s="43"/>
      <c r="F100" s="43"/>
      <c r="G100" s="43"/>
      <c r="H100" s="43"/>
      <c r="I100" s="43"/>
      <c r="Q100" s="7">
        <v>141</v>
      </c>
      <c r="R100" s="7">
        <v>329</v>
      </c>
      <c r="S100" s="7">
        <v>626</v>
      </c>
      <c r="T100" s="7">
        <v>889</v>
      </c>
      <c r="U100" s="7">
        <v>989</v>
      </c>
      <c r="V100" s="7">
        <v>1036</v>
      </c>
      <c r="W100" s="7">
        <v>1084</v>
      </c>
      <c r="X100" s="7">
        <v>1133</v>
      </c>
      <c r="Y100" s="7">
        <v>1133</v>
      </c>
      <c r="Z100" s="7">
        <v>1331</v>
      </c>
      <c r="AA100" s="7">
        <v>1354</v>
      </c>
      <c r="AR100" s="90"/>
    </row>
    <row r="101" spans="1:44" hidden="1" outlineLevel="1">
      <c r="A101" s="86" t="s">
        <v>572</v>
      </c>
      <c r="B101" s="43"/>
      <c r="C101" s="43"/>
      <c r="D101" s="43"/>
      <c r="E101" s="43"/>
      <c r="F101" s="43"/>
      <c r="G101" s="43"/>
      <c r="H101" s="43"/>
      <c r="I101" s="43"/>
      <c r="Q101" s="7">
        <v>0</v>
      </c>
      <c r="R101" s="7">
        <v>14</v>
      </c>
      <c r="S101" s="7">
        <v>14</v>
      </c>
      <c r="T101" s="7">
        <v>15</v>
      </c>
      <c r="U101" s="7">
        <v>15</v>
      </c>
      <c r="V101" s="7">
        <v>15</v>
      </c>
      <c r="W101" s="7">
        <v>0</v>
      </c>
      <c r="X101" s="7">
        <v>0</v>
      </c>
      <c r="Y101" s="7">
        <v>0</v>
      </c>
      <c r="Z101" s="7">
        <v>0</v>
      </c>
      <c r="AA101" s="7">
        <v>0</v>
      </c>
      <c r="AR101" s="90"/>
    </row>
    <row r="102" spans="1:44" hidden="1" outlineLevel="1">
      <c r="A102" s="86" t="s">
        <v>583</v>
      </c>
      <c r="B102" s="43"/>
      <c r="C102" s="43"/>
      <c r="D102" s="43"/>
      <c r="E102" s="43"/>
      <c r="F102" s="43"/>
      <c r="G102" s="43"/>
      <c r="H102" s="43"/>
      <c r="I102" s="43"/>
      <c r="Q102" s="7">
        <v>0</v>
      </c>
      <c r="R102" s="7">
        <v>0</v>
      </c>
      <c r="S102" s="7">
        <v>0</v>
      </c>
      <c r="T102" s="7">
        <v>1342</v>
      </c>
      <c r="U102" s="7">
        <v>1969</v>
      </c>
      <c r="V102" s="7">
        <v>2001</v>
      </c>
      <c r="W102" s="7">
        <v>1794</v>
      </c>
      <c r="X102" s="7">
        <v>1794</v>
      </c>
      <c r="Y102" s="7">
        <v>1794</v>
      </c>
      <c r="Z102" s="7">
        <v>1993</v>
      </c>
      <c r="AA102" s="7">
        <v>0</v>
      </c>
      <c r="AR102" s="90"/>
    </row>
    <row r="103" spans="1:44" hidden="1" outlineLevel="1">
      <c r="A103" s="86" t="s">
        <v>584</v>
      </c>
      <c r="B103" s="43"/>
      <c r="C103" s="43"/>
      <c r="D103" s="43"/>
      <c r="E103" s="43"/>
      <c r="F103" s="43"/>
      <c r="G103" s="43"/>
      <c r="H103" s="43"/>
      <c r="I103" s="43"/>
      <c r="W103" s="7">
        <v>85</v>
      </c>
      <c r="X103" s="7">
        <f>85+42</f>
        <v>127</v>
      </c>
      <c r="Y103" s="7">
        <v>262</v>
      </c>
      <c r="Z103" s="7">
        <v>262</v>
      </c>
      <c r="AA103" s="7">
        <v>275</v>
      </c>
      <c r="AR103" s="90"/>
    </row>
    <row r="104" spans="1:44" hidden="1" outlineLevel="1">
      <c r="A104" s="86" t="s">
        <v>600</v>
      </c>
      <c r="B104" s="43"/>
      <c r="C104" s="43"/>
      <c r="D104" s="43"/>
      <c r="E104" s="43"/>
      <c r="F104" s="43"/>
      <c r="G104" s="43"/>
      <c r="H104" s="43"/>
      <c r="I104" s="43"/>
      <c r="Z104" s="7">
        <v>0</v>
      </c>
      <c r="AA104" s="7">
        <v>4344</v>
      </c>
      <c r="AR104" s="90"/>
    </row>
    <row r="105" spans="1:44" hidden="1" outlineLevel="1">
      <c r="A105" s="86"/>
      <c r="B105" s="43"/>
      <c r="C105" s="43"/>
      <c r="D105" s="43"/>
      <c r="E105" s="43"/>
      <c r="F105" s="43"/>
      <c r="G105" s="43"/>
      <c r="H105" s="43"/>
      <c r="I105" s="43"/>
      <c r="AR105" s="90"/>
    </row>
    <row r="106" spans="1:44" hidden="1" outlineLevel="1">
      <c r="A106" s="80" t="s">
        <v>531</v>
      </c>
      <c r="B106" s="80"/>
      <c r="C106" s="80"/>
      <c r="D106" s="80"/>
      <c r="E106" s="80"/>
      <c r="F106" s="80"/>
      <c r="G106" s="80"/>
      <c r="H106" s="80"/>
      <c r="I106" s="80"/>
      <c r="J106" s="9"/>
      <c r="K106" s="9"/>
      <c r="L106" s="9"/>
      <c r="M106" s="9"/>
      <c r="N106" s="9"/>
      <c r="O106" s="9"/>
      <c r="P106" s="9"/>
      <c r="Q106" s="9">
        <f>SUM(Q93:Q105)</f>
        <v>10515</v>
      </c>
      <c r="R106" s="9">
        <f t="shared" ref="R106:AF106" si="127">SUM(R93:R105)</f>
        <v>14386</v>
      </c>
      <c r="S106" s="9">
        <f t="shared" si="127"/>
        <v>14773</v>
      </c>
      <c r="T106" s="9">
        <f t="shared" si="127"/>
        <v>17779</v>
      </c>
      <c r="U106" s="9">
        <f t="shared" si="127"/>
        <v>18836</v>
      </c>
      <c r="V106" s="9">
        <f t="shared" si="127"/>
        <v>18915</v>
      </c>
      <c r="W106" s="9">
        <f t="shared" si="127"/>
        <v>18826</v>
      </c>
      <c r="X106" s="9">
        <f t="shared" si="127"/>
        <v>18950</v>
      </c>
      <c r="Y106" s="9">
        <f t="shared" si="127"/>
        <v>18846</v>
      </c>
      <c r="Z106" s="9">
        <f t="shared" si="127"/>
        <v>20563</v>
      </c>
      <c r="AA106" s="9">
        <f t="shared" si="127"/>
        <v>22980</v>
      </c>
      <c r="AB106" s="9">
        <f t="shared" si="127"/>
        <v>0</v>
      </c>
      <c r="AC106" s="9">
        <f t="shared" si="127"/>
        <v>0</v>
      </c>
      <c r="AD106" s="9">
        <f t="shared" si="127"/>
        <v>0</v>
      </c>
      <c r="AE106" s="9">
        <f t="shared" si="127"/>
        <v>0</v>
      </c>
      <c r="AF106" s="9">
        <f t="shared" si="127"/>
        <v>0</v>
      </c>
      <c r="AG106" s="9">
        <f t="shared" ref="AG106:AN106" si="128">SUM(AG93:AG105)</f>
        <v>0</v>
      </c>
      <c r="AH106" s="9">
        <f t="shared" si="128"/>
        <v>0</v>
      </c>
      <c r="AI106" s="9">
        <f t="shared" si="128"/>
        <v>0</v>
      </c>
      <c r="AJ106" s="9">
        <f t="shared" si="128"/>
        <v>0</v>
      </c>
      <c r="AK106" s="9">
        <f t="shared" si="128"/>
        <v>0</v>
      </c>
      <c r="AL106" s="9">
        <f t="shared" si="128"/>
        <v>0</v>
      </c>
      <c r="AM106" s="9">
        <f t="shared" si="128"/>
        <v>0</v>
      </c>
      <c r="AN106" s="9">
        <f t="shared" si="128"/>
        <v>0</v>
      </c>
      <c r="AR106" s="90"/>
    </row>
    <row r="107" spans="1:44" hidden="1" outlineLevel="1">
      <c r="A107" s="43"/>
      <c r="B107" s="43"/>
      <c r="C107" s="43"/>
      <c r="D107" s="43"/>
      <c r="E107" s="43"/>
      <c r="F107" s="43"/>
      <c r="G107" s="43"/>
      <c r="H107" s="43"/>
      <c r="I107" s="43"/>
      <c r="AR107" s="90"/>
    </row>
    <row r="108" spans="1:44" hidden="1" outlineLevel="1">
      <c r="A108" s="42" t="s">
        <v>533</v>
      </c>
      <c r="B108" s="43"/>
      <c r="C108" s="43"/>
      <c r="D108" s="43"/>
      <c r="E108" s="43"/>
      <c r="F108" s="43"/>
      <c r="G108" s="43"/>
      <c r="H108" s="43"/>
      <c r="I108" s="43"/>
      <c r="AR108" s="90"/>
    </row>
    <row r="109" spans="1:44" hidden="1" outlineLevel="1">
      <c r="A109" s="86" t="s">
        <v>577</v>
      </c>
      <c r="B109" s="43"/>
      <c r="C109" s="43"/>
      <c r="D109" s="43"/>
      <c r="E109" s="43"/>
      <c r="F109" s="43"/>
      <c r="G109" s="43"/>
      <c r="H109" s="43"/>
      <c r="I109" s="43"/>
      <c r="Q109" s="7">
        <v>330</v>
      </c>
      <c r="R109" s="7">
        <v>330</v>
      </c>
      <c r="S109" s="7">
        <v>330</v>
      </c>
      <c r="T109" s="7">
        <v>330</v>
      </c>
      <c r="AR109" s="90"/>
    </row>
    <row r="110" spans="1:44" hidden="1" outlineLevel="1">
      <c r="A110" s="86" t="s">
        <v>572</v>
      </c>
      <c r="B110" s="43"/>
      <c r="C110" s="43"/>
      <c r="D110" s="43"/>
      <c r="E110" s="43"/>
      <c r="F110" s="43"/>
      <c r="G110" s="43"/>
      <c r="H110" s="43"/>
      <c r="I110" s="43"/>
      <c r="Q110" s="7">
        <v>14</v>
      </c>
      <c r="R110" s="7">
        <v>0</v>
      </c>
      <c r="S110" s="7">
        <v>0</v>
      </c>
      <c r="T110" s="7">
        <v>0</v>
      </c>
      <c r="AR110" s="90"/>
    </row>
    <row r="111" spans="1:44" hidden="1" outlineLevel="1">
      <c r="A111" s="86" t="s">
        <v>578</v>
      </c>
      <c r="B111" s="43"/>
      <c r="C111" s="43"/>
      <c r="D111" s="43"/>
      <c r="E111" s="43"/>
      <c r="F111" s="43"/>
      <c r="G111" s="43"/>
      <c r="H111" s="43"/>
      <c r="I111" s="43"/>
      <c r="Q111" s="7">
        <v>469</v>
      </c>
      <c r="R111" s="7">
        <v>421</v>
      </c>
      <c r="S111" s="7">
        <v>362</v>
      </c>
      <c r="T111" s="7">
        <v>195</v>
      </c>
      <c r="U111" s="7">
        <v>146</v>
      </c>
      <c r="V111" s="7">
        <v>98</v>
      </c>
      <c r="W111" s="7">
        <v>99</v>
      </c>
      <c r="X111" s="7">
        <v>50</v>
      </c>
      <c r="Y111" s="7">
        <v>346</v>
      </c>
      <c r="Z111" s="7">
        <v>198</v>
      </c>
      <c r="AA111" s="7">
        <v>149</v>
      </c>
      <c r="AR111" s="90"/>
    </row>
    <row r="112" spans="1:44" hidden="1" outlineLevel="1">
      <c r="A112" s="86" t="s">
        <v>580</v>
      </c>
      <c r="Q112" s="7">
        <v>0</v>
      </c>
      <c r="R112" s="7">
        <v>2000</v>
      </c>
      <c r="S112" s="7">
        <v>2000</v>
      </c>
      <c r="T112" s="7">
        <v>0</v>
      </c>
      <c r="AR112" s="90"/>
    </row>
    <row r="113" spans="1:44" hidden="1" outlineLevel="1">
      <c r="A113" s="86" t="s">
        <v>581</v>
      </c>
      <c r="Q113" s="7">
        <v>0</v>
      </c>
      <c r="R113" s="7">
        <v>50</v>
      </c>
      <c r="S113" s="7">
        <v>0</v>
      </c>
      <c r="T113" s="7">
        <v>0</v>
      </c>
      <c r="AR113" s="90"/>
    </row>
    <row r="114" spans="1:44" hidden="1" outlineLevel="1">
      <c r="A114" s="86" t="s">
        <v>583</v>
      </c>
      <c r="Q114" s="7">
        <v>0</v>
      </c>
      <c r="R114" s="7">
        <v>0</v>
      </c>
      <c r="S114" s="7">
        <v>0</v>
      </c>
      <c r="T114" s="7">
        <v>801</v>
      </c>
      <c r="U114" s="7">
        <v>173</v>
      </c>
      <c r="Y114" s="7">
        <v>399</v>
      </c>
      <c r="Z114" s="7">
        <v>200</v>
      </c>
      <c r="AA114" s="7">
        <v>0</v>
      </c>
      <c r="AR114" s="90"/>
    </row>
    <row r="115" spans="1:44" hidden="1" outlineLevel="1">
      <c r="A115" s="86" t="s">
        <v>586</v>
      </c>
      <c r="W115" s="7">
        <v>42</v>
      </c>
      <c r="X115" s="7">
        <v>50</v>
      </c>
      <c r="Y115" s="7">
        <v>0</v>
      </c>
      <c r="Z115" s="7">
        <v>13</v>
      </c>
      <c r="AA115" s="7">
        <v>17</v>
      </c>
      <c r="AR115" s="90"/>
    </row>
    <row r="116" spans="1:44" hidden="1" outlineLevel="1">
      <c r="A116" s="86" t="s">
        <v>585</v>
      </c>
      <c r="X116" s="7">
        <v>1320</v>
      </c>
      <c r="Y116" s="7">
        <v>1320</v>
      </c>
      <c r="Z116" s="7">
        <v>0</v>
      </c>
      <c r="AR116" s="90"/>
    </row>
    <row r="117" spans="1:44" hidden="1" outlineLevel="1">
      <c r="A117" s="86" t="s">
        <v>600</v>
      </c>
      <c r="AA117" s="7">
        <v>2172</v>
      </c>
      <c r="AR117" s="90"/>
    </row>
    <row r="118" spans="1:44" hidden="1" outlineLevel="1">
      <c r="A118" s="86"/>
      <c r="AR118" s="90"/>
    </row>
    <row r="119" spans="1:44" hidden="1" outlineLevel="1">
      <c r="A119" s="80" t="s">
        <v>532</v>
      </c>
      <c r="B119" s="9"/>
      <c r="C119" s="9"/>
      <c r="D119" s="9"/>
      <c r="E119" s="9"/>
      <c r="F119" s="9"/>
      <c r="G119" s="9"/>
      <c r="H119" s="9"/>
      <c r="I119" s="9"/>
      <c r="J119" s="9"/>
      <c r="K119" s="9"/>
      <c r="L119" s="9"/>
      <c r="M119" s="9"/>
      <c r="N119" s="9"/>
      <c r="O119" s="9"/>
      <c r="P119" s="9"/>
      <c r="Q119" s="9">
        <f>SUM(Q109:Q118)</f>
        <v>813</v>
      </c>
      <c r="R119" s="9">
        <f t="shared" ref="R119:AF119" si="129">SUM(R109:R118)</f>
        <v>2801</v>
      </c>
      <c r="S119" s="9">
        <f t="shared" si="129"/>
        <v>2692</v>
      </c>
      <c r="T119" s="9">
        <f t="shared" si="129"/>
        <v>1326</v>
      </c>
      <c r="U119" s="9">
        <f t="shared" si="129"/>
        <v>319</v>
      </c>
      <c r="V119" s="9">
        <f t="shared" si="129"/>
        <v>98</v>
      </c>
      <c r="W119" s="9">
        <f t="shared" si="129"/>
        <v>141</v>
      </c>
      <c r="X119" s="9">
        <f t="shared" si="129"/>
        <v>1420</v>
      </c>
      <c r="Y119" s="9">
        <f t="shared" si="129"/>
        <v>2065</v>
      </c>
      <c r="Z119" s="9">
        <f t="shared" si="129"/>
        <v>411</v>
      </c>
      <c r="AA119" s="9">
        <f t="shared" si="129"/>
        <v>2338</v>
      </c>
      <c r="AB119" s="9">
        <f t="shared" si="129"/>
        <v>0</v>
      </c>
      <c r="AC119" s="9">
        <f t="shared" si="129"/>
        <v>0</v>
      </c>
      <c r="AD119" s="9">
        <f t="shared" si="129"/>
        <v>0</v>
      </c>
      <c r="AE119" s="9">
        <f t="shared" si="129"/>
        <v>0</v>
      </c>
      <c r="AF119" s="9">
        <f t="shared" si="129"/>
        <v>0</v>
      </c>
      <c r="AG119" s="9">
        <f t="shared" ref="AG119:AN119" si="130">SUM(AG109:AG118)</f>
        <v>0</v>
      </c>
      <c r="AH119" s="9">
        <f t="shared" si="130"/>
        <v>0</v>
      </c>
      <c r="AI119" s="9">
        <f t="shared" si="130"/>
        <v>0</v>
      </c>
      <c r="AJ119" s="9">
        <f t="shared" si="130"/>
        <v>0</v>
      </c>
      <c r="AK119" s="9">
        <f t="shared" si="130"/>
        <v>0</v>
      </c>
      <c r="AL119" s="9">
        <f t="shared" si="130"/>
        <v>0</v>
      </c>
      <c r="AM119" s="9">
        <f t="shared" si="130"/>
        <v>0</v>
      </c>
      <c r="AN119" s="9">
        <f t="shared" si="130"/>
        <v>0</v>
      </c>
      <c r="AR119" s="90"/>
    </row>
    <row r="120" spans="1:44" hidden="1" outlineLevel="1">
      <c r="A120" s="43"/>
      <c r="B120" s="43"/>
      <c r="C120" s="43"/>
      <c r="D120" s="43"/>
      <c r="E120" s="43"/>
      <c r="F120" s="43"/>
      <c r="G120" s="43"/>
      <c r="H120" s="43"/>
      <c r="I120" s="43"/>
      <c r="AR120" s="90"/>
    </row>
    <row r="121" spans="1:44" hidden="1" outlineLevel="1">
      <c r="A121" s="80" t="s">
        <v>534</v>
      </c>
      <c r="B121" s="9"/>
      <c r="C121" s="9"/>
      <c r="D121" s="9"/>
      <c r="E121" s="9"/>
      <c r="F121" s="9"/>
      <c r="G121" s="9"/>
      <c r="H121" s="9"/>
      <c r="I121" s="9"/>
      <c r="J121" s="9"/>
      <c r="K121" s="9"/>
      <c r="L121" s="9"/>
      <c r="M121" s="9"/>
      <c r="N121" s="9"/>
      <c r="O121" s="9"/>
      <c r="P121" s="9"/>
      <c r="Q121" s="9">
        <f>Q106+Q119</f>
        <v>11328</v>
      </c>
      <c r="R121" s="9">
        <f>R106+R119</f>
        <v>17187</v>
      </c>
      <c r="S121" s="9">
        <f t="shared" ref="S121:AF121" si="131">S106+S119</f>
        <v>17465</v>
      </c>
      <c r="T121" s="9">
        <f t="shared" si="131"/>
        <v>19105</v>
      </c>
      <c r="U121" s="9">
        <f t="shared" si="131"/>
        <v>19155</v>
      </c>
      <c r="V121" s="9">
        <f t="shared" si="131"/>
        <v>19013</v>
      </c>
      <c r="W121" s="9">
        <f t="shared" si="131"/>
        <v>18967</v>
      </c>
      <c r="X121" s="9">
        <f t="shared" si="131"/>
        <v>20370</v>
      </c>
      <c r="Y121" s="9">
        <f t="shared" si="131"/>
        <v>20911</v>
      </c>
      <c r="Z121" s="9">
        <f t="shared" si="131"/>
        <v>20974</v>
      </c>
      <c r="AA121" s="9">
        <f t="shared" si="131"/>
        <v>25318</v>
      </c>
      <c r="AB121" s="9">
        <f t="shared" si="131"/>
        <v>0</v>
      </c>
      <c r="AC121" s="9">
        <f t="shared" si="131"/>
        <v>0</v>
      </c>
      <c r="AD121" s="9">
        <f t="shared" si="131"/>
        <v>0</v>
      </c>
      <c r="AE121" s="9">
        <f t="shared" si="131"/>
        <v>0</v>
      </c>
      <c r="AF121" s="9">
        <f t="shared" si="131"/>
        <v>0</v>
      </c>
      <c r="AG121" s="9">
        <f t="shared" ref="AG121:AN121" si="132">AG106+AG119</f>
        <v>0</v>
      </c>
      <c r="AH121" s="9">
        <f t="shared" si="132"/>
        <v>0</v>
      </c>
      <c r="AI121" s="9">
        <f t="shared" si="132"/>
        <v>0</v>
      </c>
      <c r="AJ121" s="9">
        <f t="shared" si="132"/>
        <v>0</v>
      </c>
      <c r="AK121" s="9">
        <f t="shared" si="132"/>
        <v>0</v>
      </c>
      <c r="AL121" s="9">
        <f t="shared" si="132"/>
        <v>0</v>
      </c>
      <c r="AM121" s="9">
        <f t="shared" si="132"/>
        <v>0</v>
      </c>
      <c r="AN121" s="9">
        <f t="shared" si="132"/>
        <v>0</v>
      </c>
      <c r="AR121" s="90"/>
    </row>
    <row r="122" spans="1:44" hidden="1" outlineLevel="1">
      <c r="A122" s="43"/>
      <c r="B122" s="43"/>
      <c r="C122" s="43"/>
      <c r="D122" s="43"/>
      <c r="E122" s="43"/>
      <c r="F122" s="43"/>
      <c r="G122" s="43"/>
      <c r="H122" s="43"/>
      <c r="I122" s="43"/>
      <c r="AR122" s="90"/>
    </row>
    <row r="123" spans="1:44" collapsed="1">
      <c r="A123" s="88" t="s">
        <v>552</v>
      </c>
      <c r="B123" s="89"/>
      <c r="C123" s="89"/>
      <c r="D123" s="89"/>
      <c r="E123" s="89"/>
      <c r="F123" s="89"/>
      <c r="G123" s="89"/>
      <c r="H123" s="89"/>
      <c r="I123" s="89"/>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R123" s="90"/>
    </row>
    <row r="124" spans="1:44">
      <c r="A124" s="42" t="s">
        <v>530</v>
      </c>
      <c r="B124" s="43"/>
      <c r="C124" s="43"/>
      <c r="D124" s="43"/>
      <c r="E124" s="43"/>
      <c r="F124" s="43"/>
      <c r="G124" s="43"/>
      <c r="H124" s="43"/>
      <c r="I124" s="43"/>
      <c r="AR124" s="90"/>
    </row>
    <row r="125" spans="1:44">
      <c r="A125" s="86" t="str">
        <f t="shared" ref="A125:A136" si="133">A93</f>
        <v>Daya Bay (n)</v>
      </c>
      <c r="B125" s="153" t="s">
        <v>590</v>
      </c>
      <c r="C125" s="154">
        <v>0.25</v>
      </c>
      <c r="D125" s="43"/>
      <c r="E125" s="43"/>
      <c r="F125" s="43"/>
      <c r="G125" s="43"/>
      <c r="H125" s="43"/>
      <c r="I125" s="43"/>
      <c r="P125" s="7">
        <v>1380</v>
      </c>
      <c r="Q125" s="7">
        <v>1380</v>
      </c>
      <c r="R125" s="7">
        <v>1380</v>
      </c>
      <c r="S125" s="7">
        <v>1380</v>
      </c>
      <c r="T125" s="7">
        <v>1380</v>
      </c>
      <c r="U125" s="7">
        <v>1380</v>
      </c>
      <c r="V125" s="7">
        <v>1380</v>
      </c>
      <c r="W125" s="7">
        <v>1380</v>
      </c>
      <c r="X125" s="7">
        <v>1380</v>
      </c>
      <c r="Y125" s="7">
        <v>1380</v>
      </c>
      <c r="Z125" s="7">
        <v>1380</v>
      </c>
      <c r="AA125" s="7">
        <v>1380</v>
      </c>
      <c r="AB125" s="7">
        <v>1577</v>
      </c>
      <c r="AC125" s="30">
        <v>1577</v>
      </c>
      <c r="AD125" s="7">
        <v>1577</v>
      </c>
      <c r="AE125" s="30">
        <v>1577</v>
      </c>
      <c r="AF125" s="7">
        <v>1577</v>
      </c>
      <c r="AG125" s="7">
        <v>1577</v>
      </c>
      <c r="AH125" s="7">
        <v>1577</v>
      </c>
      <c r="AI125" s="81">
        <f t="shared" ref="AI125:AI134" si="134">AH125</f>
        <v>1577</v>
      </c>
      <c r="AJ125" s="81">
        <f t="shared" ref="AJ125:AK134" si="135">AI125</f>
        <v>1577</v>
      </c>
      <c r="AK125" s="81">
        <f t="shared" si="135"/>
        <v>1577</v>
      </c>
      <c r="AL125" s="81">
        <f t="shared" ref="AL125:AL134" si="136">AK125</f>
        <v>1577</v>
      </c>
      <c r="AM125" s="81">
        <f t="shared" ref="AM125:AM134" si="137">AL125</f>
        <v>1577</v>
      </c>
      <c r="AN125" s="81">
        <f t="shared" ref="AN125:AN134" si="138">AM125</f>
        <v>1577</v>
      </c>
      <c r="AR125" s="90"/>
    </row>
    <row r="126" spans="1:44">
      <c r="A126" s="86" t="str">
        <f t="shared" si="133"/>
        <v>Pumped Storage (h)</v>
      </c>
      <c r="B126" s="153" t="s">
        <v>595</v>
      </c>
      <c r="C126" s="154">
        <v>1</v>
      </c>
      <c r="D126" s="43"/>
      <c r="E126" s="43"/>
      <c r="F126" s="43"/>
      <c r="G126" s="43"/>
      <c r="H126" s="43"/>
      <c r="I126" s="43"/>
      <c r="Q126" s="7">
        <v>600</v>
      </c>
      <c r="R126" s="7">
        <v>600</v>
      </c>
      <c r="S126" s="7">
        <v>600</v>
      </c>
      <c r="T126" s="7">
        <v>600</v>
      </c>
      <c r="U126" s="7">
        <v>600</v>
      </c>
      <c r="V126" s="7">
        <v>600</v>
      </c>
      <c r="W126" s="7">
        <v>600</v>
      </c>
      <c r="X126" s="7">
        <v>600</v>
      </c>
      <c r="Y126" s="7">
        <v>600</v>
      </c>
      <c r="Z126" s="7">
        <v>600</v>
      </c>
      <c r="AA126" s="7">
        <v>600</v>
      </c>
      <c r="AB126" s="7">
        <v>600</v>
      </c>
      <c r="AC126" s="30">
        <v>600</v>
      </c>
      <c r="AD126" s="7">
        <v>600</v>
      </c>
      <c r="AE126" s="30">
        <v>600</v>
      </c>
      <c r="AF126" s="7">
        <v>600</v>
      </c>
      <c r="AG126" s="7">
        <v>600</v>
      </c>
      <c r="AH126" s="7">
        <f t="shared" ref="AH126:AH134" si="139">AG126</f>
        <v>600</v>
      </c>
      <c r="AI126" s="81">
        <f t="shared" si="134"/>
        <v>600</v>
      </c>
      <c r="AJ126" s="81">
        <f t="shared" si="135"/>
        <v>600</v>
      </c>
      <c r="AK126" s="81">
        <f t="shared" si="135"/>
        <v>600</v>
      </c>
      <c r="AL126" s="81">
        <f t="shared" si="136"/>
        <v>600</v>
      </c>
      <c r="AM126" s="81">
        <f t="shared" si="137"/>
        <v>600</v>
      </c>
      <c r="AN126" s="81">
        <f t="shared" si="138"/>
        <v>600</v>
      </c>
      <c r="AR126" s="90"/>
    </row>
    <row r="127" spans="1:44">
      <c r="A127" s="86" t="str">
        <f t="shared" si="133"/>
        <v>Fangchenggang (c)</v>
      </c>
      <c r="B127" s="153" t="s">
        <v>587</v>
      </c>
      <c r="C127" s="154">
        <v>0.7</v>
      </c>
      <c r="D127" s="43"/>
      <c r="E127" s="43"/>
      <c r="F127" s="43"/>
      <c r="G127" s="43"/>
      <c r="H127" s="43"/>
      <c r="I127" s="43"/>
      <c r="Q127" s="7">
        <v>840</v>
      </c>
      <c r="R127" s="7">
        <v>882</v>
      </c>
      <c r="S127" s="7">
        <v>882</v>
      </c>
      <c r="T127" s="7">
        <v>882</v>
      </c>
      <c r="U127" s="7">
        <v>882</v>
      </c>
      <c r="V127" s="7">
        <v>882</v>
      </c>
      <c r="W127" s="7">
        <v>882</v>
      </c>
      <c r="X127" s="7">
        <v>882</v>
      </c>
      <c r="Y127" s="7">
        <v>882</v>
      </c>
      <c r="Z127" s="7">
        <v>1806</v>
      </c>
      <c r="AA127" s="7">
        <v>1806</v>
      </c>
      <c r="AB127" s="7">
        <v>1806</v>
      </c>
      <c r="AC127" s="30">
        <v>1806</v>
      </c>
      <c r="AD127" s="7">
        <v>1806</v>
      </c>
      <c r="AE127" s="30">
        <v>1806</v>
      </c>
      <c r="AF127" s="7">
        <v>0</v>
      </c>
      <c r="AG127" s="7">
        <v>0</v>
      </c>
      <c r="AH127" s="7">
        <f t="shared" si="139"/>
        <v>0</v>
      </c>
      <c r="AI127" s="81">
        <f t="shared" si="134"/>
        <v>0</v>
      </c>
      <c r="AJ127" s="81">
        <f t="shared" si="135"/>
        <v>0</v>
      </c>
      <c r="AK127" s="81">
        <f t="shared" si="135"/>
        <v>0</v>
      </c>
      <c r="AL127" s="81">
        <f t="shared" si="136"/>
        <v>0</v>
      </c>
      <c r="AM127" s="81">
        <f t="shared" si="137"/>
        <v>0</v>
      </c>
      <c r="AN127" s="81">
        <f t="shared" si="138"/>
        <v>0</v>
      </c>
      <c r="AR127" s="90"/>
    </row>
    <row r="128" spans="1:44">
      <c r="A128" s="86" t="str">
        <f t="shared" si="133"/>
        <v>Shandong SZPC (c)</v>
      </c>
      <c r="B128" s="153" t="s">
        <v>587</v>
      </c>
      <c r="C128" s="154">
        <v>0.29399999999999998</v>
      </c>
      <c r="D128" s="43"/>
      <c r="E128" s="43"/>
      <c r="F128" s="43"/>
      <c r="G128" s="43"/>
      <c r="H128" s="43"/>
      <c r="I128" s="43"/>
      <c r="Q128" s="7">
        <v>882</v>
      </c>
      <c r="R128" s="7">
        <v>900</v>
      </c>
      <c r="S128" s="7">
        <v>900</v>
      </c>
      <c r="T128" s="7">
        <v>900</v>
      </c>
      <c r="U128" s="7">
        <v>900</v>
      </c>
      <c r="V128" s="7">
        <v>900</v>
      </c>
      <c r="W128" s="7">
        <v>900</v>
      </c>
      <c r="X128" s="7">
        <v>900</v>
      </c>
      <c r="Y128" s="7">
        <v>900</v>
      </c>
      <c r="Z128" s="7">
        <v>900</v>
      </c>
      <c r="AA128" s="7">
        <v>900</v>
      </c>
      <c r="AB128" s="7">
        <v>900</v>
      </c>
      <c r="AC128" s="30">
        <v>900</v>
      </c>
      <c r="AD128" s="7">
        <v>900</v>
      </c>
      <c r="AE128" s="30">
        <v>900</v>
      </c>
      <c r="AF128" s="7">
        <v>529</v>
      </c>
      <c r="AG128" s="7">
        <v>529</v>
      </c>
      <c r="AH128" s="7">
        <v>0</v>
      </c>
      <c r="AI128" s="81">
        <f t="shared" si="134"/>
        <v>0</v>
      </c>
      <c r="AJ128" s="81">
        <f t="shared" si="135"/>
        <v>0</v>
      </c>
      <c r="AK128" s="81">
        <f t="shared" si="135"/>
        <v>0</v>
      </c>
      <c r="AL128" s="81">
        <f t="shared" si="136"/>
        <v>0</v>
      </c>
      <c r="AM128" s="81">
        <f t="shared" si="137"/>
        <v>0</v>
      </c>
      <c r="AN128" s="81">
        <f t="shared" si="138"/>
        <v>0</v>
      </c>
      <c r="AR128" s="90"/>
    </row>
    <row r="129" spans="1:44">
      <c r="A129" s="86" t="str">
        <f t="shared" si="133"/>
        <v>Guohua &amp; Shenmu (c)</v>
      </c>
      <c r="B129" s="153" t="s">
        <v>587</v>
      </c>
      <c r="C129" s="153" t="s">
        <v>593</v>
      </c>
      <c r="D129" s="43"/>
      <c r="E129" s="43"/>
      <c r="F129" s="43"/>
      <c r="G129" s="43"/>
      <c r="H129" s="43"/>
      <c r="I129" s="43"/>
      <c r="Q129" s="7">
        <v>801</v>
      </c>
      <c r="R129" s="7">
        <v>1130</v>
      </c>
      <c r="S129" s="7">
        <v>1141</v>
      </c>
      <c r="T129" s="7">
        <v>1441</v>
      </c>
      <c r="U129" s="7">
        <v>1441</v>
      </c>
      <c r="V129" s="7">
        <v>1440</v>
      </c>
      <c r="W129" s="7">
        <v>1441</v>
      </c>
      <c r="X129" s="7">
        <v>1446</v>
      </c>
      <c r="Y129" s="7">
        <v>1350</v>
      </c>
      <c r="Z129" s="7">
        <v>1350</v>
      </c>
      <c r="AA129" s="7">
        <v>1355</v>
      </c>
      <c r="AB129" s="7">
        <v>1248</v>
      </c>
      <c r="AC129" s="30">
        <v>1248</v>
      </c>
      <c r="AD129" s="7">
        <v>1248</v>
      </c>
      <c r="AE129" s="30">
        <v>1248</v>
      </c>
      <c r="AF129" s="7">
        <f t="shared" ref="AF129:AG134" si="140">AE129</f>
        <v>1248</v>
      </c>
      <c r="AG129" s="7">
        <f t="shared" si="140"/>
        <v>1248</v>
      </c>
      <c r="AH129" s="7">
        <f t="shared" si="139"/>
        <v>1248</v>
      </c>
      <c r="AI129" s="81">
        <f t="shared" si="134"/>
        <v>1248</v>
      </c>
      <c r="AJ129" s="81">
        <f t="shared" si="135"/>
        <v>1248</v>
      </c>
      <c r="AK129" s="81">
        <f t="shared" si="135"/>
        <v>1248</v>
      </c>
      <c r="AL129" s="81">
        <f t="shared" si="136"/>
        <v>1248</v>
      </c>
      <c r="AM129" s="81">
        <f t="shared" si="137"/>
        <v>1248</v>
      </c>
      <c r="AN129" s="81">
        <f t="shared" si="138"/>
        <v>1248</v>
      </c>
      <c r="AR129" s="90"/>
    </row>
    <row r="130" spans="1:44">
      <c r="A130" s="86" t="str">
        <f t="shared" si="133"/>
        <v>Anshun II (c)</v>
      </c>
      <c r="B130" s="153"/>
      <c r="C130" s="153"/>
      <c r="D130" s="43"/>
      <c r="E130" s="43"/>
      <c r="F130" s="43"/>
      <c r="G130" s="43"/>
      <c r="H130" s="43"/>
      <c r="I130" s="43"/>
      <c r="Q130" s="7">
        <v>420</v>
      </c>
      <c r="R130" s="7">
        <v>420</v>
      </c>
      <c r="S130" s="7">
        <v>420</v>
      </c>
      <c r="T130" s="7">
        <v>0</v>
      </c>
      <c r="U130" s="7">
        <v>0</v>
      </c>
      <c r="V130" s="7">
        <v>0</v>
      </c>
      <c r="W130" s="7">
        <v>0</v>
      </c>
      <c r="X130" s="7">
        <v>0</v>
      </c>
      <c r="Y130" s="7">
        <v>0</v>
      </c>
      <c r="Z130" s="7">
        <v>0</v>
      </c>
      <c r="AA130" s="7">
        <v>0</v>
      </c>
      <c r="AB130" s="7">
        <v>0</v>
      </c>
      <c r="AC130" s="30">
        <f>AB130</f>
        <v>0</v>
      </c>
      <c r="AD130" s="7">
        <f>AC130</f>
        <v>0</v>
      </c>
      <c r="AE130" s="30">
        <f>AD130</f>
        <v>0</v>
      </c>
      <c r="AF130" s="7">
        <f t="shared" si="140"/>
        <v>0</v>
      </c>
      <c r="AG130" s="7">
        <f t="shared" si="140"/>
        <v>0</v>
      </c>
      <c r="AH130" s="7">
        <f t="shared" si="139"/>
        <v>0</v>
      </c>
      <c r="AI130" s="81">
        <f t="shared" si="134"/>
        <v>0</v>
      </c>
      <c r="AJ130" s="81">
        <f t="shared" si="135"/>
        <v>0</v>
      </c>
      <c r="AK130" s="81">
        <f t="shared" si="135"/>
        <v>0</v>
      </c>
      <c r="AL130" s="81">
        <f t="shared" si="136"/>
        <v>0</v>
      </c>
      <c r="AM130" s="81">
        <f t="shared" si="137"/>
        <v>0</v>
      </c>
      <c r="AN130" s="81">
        <f t="shared" si="138"/>
        <v>0</v>
      </c>
      <c r="AR130" s="90"/>
    </row>
    <row r="131" spans="1:44">
      <c r="A131" s="86" t="str">
        <f t="shared" si="133"/>
        <v>Hydro projects (h)</v>
      </c>
      <c r="B131" s="153" t="s">
        <v>595</v>
      </c>
      <c r="C131" s="153" t="s">
        <v>594</v>
      </c>
      <c r="D131" s="43"/>
      <c r="E131" s="43"/>
      <c r="F131" s="43"/>
      <c r="G131" s="43"/>
      <c r="H131" s="43"/>
      <c r="I131" s="43"/>
      <c r="Q131" s="7">
        <v>90</v>
      </c>
      <c r="R131" s="7">
        <v>106</v>
      </c>
      <c r="S131" s="7">
        <v>156</v>
      </c>
      <c r="T131" s="7">
        <v>156</v>
      </c>
      <c r="U131" s="7">
        <v>486</v>
      </c>
      <c r="V131" s="7">
        <v>486</v>
      </c>
      <c r="W131" s="7">
        <v>486</v>
      </c>
      <c r="X131" s="7">
        <v>489</v>
      </c>
      <c r="Y131" s="7">
        <v>489</v>
      </c>
      <c r="Z131" s="7">
        <v>489</v>
      </c>
      <c r="AA131" s="7">
        <v>489</v>
      </c>
      <c r="AB131" s="7">
        <v>489</v>
      </c>
      <c r="AC131" s="30">
        <v>489</v>
      </c>
      <c r="AD131" s="7">
        <v>489</v>
      </c>
      <c r="AE131" s="30">
        <v>489</v>
      </c>
      <c r="AF131" s="7">
        <f t="shared" si="140"/>
        <v>489</v>
      </c>
      <c r="AG131" s="7">
        <f t="shared" si="140"/>
        <v>489</v>
      </c>
      <c r="AH131" s="7">
        <f t="shared" si="139"/>
        <v>489</v>
      </c>
      <c r="AI131" s="81">
        <f t="shared" si="134"/>
        <v>489</v>
      </c>
      <c r="AJ131" s="81">
        <f t="shared" si="135"/>
        <v>489</v>
      </c>
      <c r="AK131" s="81">
        <f t="shared" si="135"/>
        <v>489</v>
      </c>
      <c r="AL131" s="81">
        <f t="shared" si="136"/>
        <v>489</v>
      </c>
      <c r="AM131" s="81">
        <f t="shared" si="137"/>
        <v>489</v>
      </c>
      <c r="AN131" s="81">
        <f t="shared" si="138"/>
        <v>489</v>
      </c>
      <c r="AR131" s="90"/>
    </row>
    <row r="132" spans="1:44">
      <c r="A132" s="86" t="str">
        <f t="shared" si="133"/>
        <v>Wind projects (w)</v>
      </c>
      <c r="B132" s="153" t="s">
        <v>595</v>
      </c>
      <c r="C132" s="153"/>
      <c r="D132" s="43"/>
      <c r="E132" s="43"/>
      <c r="F132" s="43"/>
      <c r="G132" s="43"/>
      <c r="H132" s="43"/>
      <c r="I132" s="43"/>
      <c r="Q132" s="7">
        <v>44</v>
      </c>
      <c r="R132" s="7">
        <v>108</v>
      </c>
      <c r="S132" s="7">
        <v>276</v>
      </c>
      <c r="T132" s="7">
        <v>415</v>
      </c>
      <c r="U132" s="7">
        <v>488</v>
      </c>
      <c r="V132" s="7">
        <v>537</v>
      </c>
      <c r="W132" s="7">
        <v>550</v>
      </c>
      <c r="X132" s="7">
        <v>600</v>
      </c>
      <c r="Y132" s="7">
        <v>600</v>
      </c>
      <c r="Z132" s="7">
        <v>798</v>
      </c>
      <c r="AA132" s="7">
        <v>835</v>
      </c>
      <c r="AB132" s="7">
        <v>835</v>
      </c>
      <c r="AC132" s="30">
        <v>885</v>
      </c>
      <c r="AD132" s="7">
        <v>935</v>
      </c>
      <c r="AE132" s="30">
        <v>910</v>
      </c>
      <c r="AF132" s="7">
        <v>1010</v>
      </c>
      <c r="AG132" s="7">
        <v>1059</v>
      </c>
      <c r="AH132" s="7">
        <f>11+4+99+22+24+49.5+49.5+100+24+24+49.5+49.5+24+17+49.5+49.5+50+24+24+48+24+24+24+9+22+24+24+14+49.5+50+5+5+10</f>
        <v>1076.5</v>
      </c>
      <c r="AI132" s="81">
        <f>AH132+150</f>
        <v>1226.5</v>
      </c>
      <c r="AJ132" s="81">
        <f t="shared" si="135"/>
        <v>1226.5</v>
      </c>
      <c r="AK132" s="81">
        <f t="shared" si="135"/>
        <v>1226.5</v>
      </c>
      <c r="AL132" s="81">
        <f t="shared" si="136"/>
        <v>1226.5</v>
      </c>
      <c r="AM132" s="81">
        <f t="shared" si="137"/>
        <v>1226.5</v>
      </c>
      <c r="AN132" s="81">
        <f t="shared" si="138"/>
        <v>1226.5</v>
      </c>
      <c r="AR132" s="90"/>
    </row>
    <row r="133" spans="1:44">
      <c r="A133" s="86" t="str">
        <f t="shared" si="133"/>
        <v>Boxing Biomass</v>
      </c>
      <c r="B133" s="153"/>
      <c r="C133" s="153"/>
      <c r="D133" s="43"/>
      <c r="E133" s="43"/>
      <c r="F133" s="43"/>
      <c r="G133" s="43"/>
      <c r="H133" s="43"/>
      <c r="I133" s="43"/>
      <c r="Q133" s="7">
        <v>0</v>
      </c>
      <c r="R133" s="7">
        <v>11</v>
      </c>
      <c r="S133" s="7">
        <v>11</v>
      </c>
      <c r="T133" s="7">
        <v>12</v>
      </c>
      <c r="U133" s="7">
        <v>12</v>
      </c>
      <c r="V133" s="7">
        <v>12</v>
      </c>
      <c r="W133" s="7">
        <v>0</v>
      </c>
      <c r="X133" s="7">
        <v>0</v>
      </c>
      <c r="Y133" s="7">
        <v>0</v>
      </c>
      <c r="Z133" s="7">
        <v>0</v>
      </c>
      <c r="AA133" s="7">
        <v>0</v>
      </c>
      <c r="AB133" s="7">
        <f t="shared" ref="AB133:AE134" si="141">AA133</f>
        <v>0</v>
      </c>
      <c r="AC133" s="30">
        <f t="shared" si="141"/>
        <v>0</v>
      </c>
      <c r="AD133" s="7">
        <f t="shared" si="141"/>
        <v>0</v>
      </c>
      <c r="AE133" s="30">
        <f t="shared" si="141"/>
        <v>0</v>
      </c>
      <c r="AF133" s="7">
        <f t="shared" si="140"/>
        <v>0</v>
      </c>
      <c r="AG133" s="7">
        <f t="shared" si="140"/>
        <v>0</v>
      </c>
      <c r="AH133" s="7">
        <f t="shared" si="139"/>
        <v>0</v>
      </c>
      <c r="AI133" s="81">
        <f t="shared" si="134"/>
        <v>0</v>
      </c>
      <c r="AJ133" s="81">
        <f t="shared" si="135"/>
        <v>0</v>
      </c>
      <c r="AK133" s="81">
        <f t="shared" si="135"/>
        <v>0</v>
      </c>
      <c r="AL133" s="81">
        <f t="shared" si="136"/>
        <v>0</v>
      </c>
      <c r="AM133" s="81">
        <f t="shared" si="137"/>
        <v>0</v>
      </c>
      <c r="AN133" s="81">
        <f t="shared" si="138"/>
        <v>0</v>
      </c>
      <c r="AR133" s="90"/>
    </row>
    <row r="134" spans="1:44">
      <c r="A134" s="86" t="str">
        <f t="shared" si="133"/>
        <v>CGN Wind (w)</v>
      </c>
      <c r="B134" s="153" t="s">
        <v>587</v>
      </c>
      <c r="C134" s="154">
        <v>0.1575</v>
      </c>
      <c r="D134" s="43"/>
      <c r="E134" s="43"/>
      <c r="F134" s="43"/>
      <c r="G134" s="43"/>
      <c r="H134" s="43"/>
      <c r="I134" s="43"/>
      <c r="Q134" s="7">
        <v>0</v>
      </c>
      <c r="R134" s="7">
        <v>0</v>
      </c>
      <c r="S134" s="7">
        <v>0</v>
      </c>
      <c r="T134" s="7">
        <v>335</v>
      </c>
      <c r="U134" s="7">
        <v>518</v>
      </c>
      <c r="V134" s="7">
        <v>524</v>
      </c>
      <c r="W134" s="7">
        <v>251</v>
      </c>
      <c r="X134" s="7">
        <v>251</v>
      </c>
      <c r="Y134" s="7">
        <v>251</v>
      </c>
      <c r="Z134" s="7">
        <v>282</v>
      </c>
      <c r="AA134" s="7">
        <v>0</v>
      </c>
      <c r="AB134" s="7">
        <f t="shared" si="141"/>
        <v>0</v>
      </c>
      <c r="AC134" s="30">
        <f t="shared" si="141"/>
        <v>0</v>
      </c>
      <c r="AD134" s="7">
        <f t="shared" si="141"/>
        <v>0</v>
      </c>
      <c r="AE134" s="30">
        <f t="shared" si="141"/>
        <v>0</v>
      </c>
      <c r="AF134" s="7">
        <f t="shared" si="140"/>
        <v>0</v>
      </c>
      <c r="AG134" s="7">
        <f t="shared" si="140"/>
        <v>0</v>
      </c>
      <c r="AH134" s="7">
        <f t="shared" si="139"/>
        <v>0</v>
      </c>
      <c r="AI134" s="81">
        <f t="shared" si="134"/>
        <v>0</v>
      </c>
      <c r="AJ134" s="81">
        <f t="shared" si="135"/>
        <v>0</v>
      </c>
      <c r="AK134" s="81">
        <f t="shared" si="135"/>
        <v>0</v>
      </c>
      <c r="AL134" s="81">
        <f t="shared" si="136"/>
        <v>0</v>
      </c>
      <c r="AM134" s="81">
        <f t="shared" si="137"/>
        <v>0</v>
      </c>
      <c r="AN134" s="81">
        <f t="shared" si="138"/>
        <v>0</v>
      </c>
      <c r="AR134" s="90"/>
    </row>
    <row r="135" spans="1:44">
      <c r="A135" s="86" t="str">
        <f t="shared" si="133"/>
        <v>Solar projects</v>
      </c>
      <c r="B135" s="153" t="s">
        <v>595</v>
      </c>
      <c r="C135" s="153"/>
      <c r="D135" s="43"/>
      <c r="E135" s="43"/>
      <c r="F135" s="43"/>
      <c r="G135" s="43"/>
      <c r="H135" s="43"/>
      <c r="I135" s="43"/>
      <c r="W135" s="7">
        <v>43</v>
      </c>
      <c r="X135" s="7">
        <f>43+42</f>
        <v>85</v>
      </c>
      <c r="Y135" s="7">
        <v>175</v>
      </c>
      <c r="Z135" s="7">
        <v>221</v>
      </c>
      <c r="AA135" s="7">
        <v>234</v>
      </c>
      <c r="AB135" s="7">
        <v>292</v>
      </c>
      <c r="AC135" s="30">
        <v>328</v>
      </c>
      <c r="AD135" s="7">
        <v>328</v>
      </c>
      <c r="AE135" s="30">
        <v>328</v>
      </c>
      <c r="AF135" s="7">
        <v>328</v>
      </c>
      <c r="AG135" s="7">
        <v>402</v>
      </c>
      <c r="AH135" s="7">
        <f>85+36.1+12.8+93.4+74+17+42+42+10+8+9</f>
        <v>429.3</v>
      </c>
      <c r="AI135" s="81">
        <f>AH135+AH147+96+90</f>
        <v>615.29999999999995</v>
      </c>
      <c r="AJ135" s="81">
        <f>AI135+AI147</f>
        <v>615.29999999999995</v>
      </c>
      <c r="AK135" s="81">
        <f>AJ135+AJ147</f>
        <v>615.29999999999995</v>
      </c>
      <c r="AL135" s="81">
        <f>AK135+AK147</f>
        <v>615.29999999999995</v>
      </c>
      <c r="AM135" s="81">
        <f t="shared" ref="AM135:AN135" si="142">AL135+AL147</f>
        <v>615.29999999999995</v>
      </c>
      <c r="AN135" s="81">
        <f t="shared" si="142"/>
        <v>615.29999999999995</v>
      </c>
      <c r="AR135" s="90"/>
    </row>
    <row r="136" spans="1:44">
      <c r="A136" s="86" t="str">
        <f t="shared" si="133"/>
        <v>Yangjiang  (n)</v>
      </c>
      <c r="B136" s="155" t="s">
        <v>590</v>
      </c>
      <c r="C136" s="155"/>
      <c r="D136" s="43"/>
      <c r="E136" s="43"/>
      <c r="F136" s="43"/>
      <c r="G136" s="43"/>
      <c r="H136" s="43"/>
      <c r="I136" s="43"/>
      <c r="Z136" s="7">
        <v>0</v>
      </c>
      <c r="AA136" s="7">
        <v>738</v>
      </c>
      <c r="AB136" s="7">
        <v>923</v>
      </c>
      <c r="AC136" s="30">
        <v>1108</v>
      </c>
      <c r="AD136" s="7">
        <v>1108</v>
      </c>
      <c r="AE136" s="30">
        <v>1108</v>
      </c>
      <c r="AF136" s="7">
        <v>1108</v>
      </c>
      <c r="AG136" s="7">
        <v>1108</v>
      </c>
      <c r="AH136" s="7">
        <v>1108</v>
      </c>
      <c r="AI136" s="81">
        <f t="shared" ref="AI136:AN136" si="143">AH136</f>
        <v>1108</v>
      </c>
      <c r="AJ136" s="81">
        <f>AI136</f>
        <v>1108</v>
      </c>
      <c r="AK136" s="81">
        <f>AJ136</f>
        <v>1108</v>
      </c>
      <c r="AL136" s="81">
        <f>AK136</f>
        <v>1108</v>
      </c>
      <c r="AM136" s="81">
        <f t="shared" si="143"/>
        <v>1108</v>
      </c>
      <c r="AN136" s="81">
        <f t="shared" si="143"/>
        <v>1108</v>
      </c>
      <c r="AR136" s="90"/>
    </row>
    <row r="137" spans="1:44">
      <c r="A137" s="86"/>
      <c r="B137" s="43"/>
      <c r="C137" s="43"/>
      <c r="D137" s="43"/>
      <c r="E137" s="43"/>
      <c r="F137" s="43"/>
      <c r="G137" s="43"/>
      <c r="H137" s="43"/>
      <c r="I137" s="43"/>
      <c r="AB137" s="81"/>
      <c r="AC137" s="3"/>
      <c r="AD137" s="81"/>
      <c r="AE137" s="81"/>
      <c r="AG137" s="81"/>
      <c r="AH137" s="81"/>
      <c r="AI137" s="81"/>
      <c r="AJ137" s="81"/>
      <c r="AK137" s="81"/>
      <c r="AL137" s="81"/>
      <c r="AM137" s="81"/>
      <c r="AN137" s="81"/>
      <c r="AR137" s="90"/>
    </row>
    <row r="138" spans="1:44">
      <c r="A138" s="80" t="s">
        <v>531</v>
      </c>
      <c r="B138" s="80"/>
      <c r="C138" s="80"/>
      <c r="D138" s="80"/>
      <c r="E138" s="80"/>
      <c r="F138" s="80"/>
      <c r="G138" s="80"/>
      <c r="H138" s="80"/>
      <c r="I138" s="80"/>
      <c r="J138" s="9"/>
      <c r="K138" s="9"/>
      <c r="L138" s="9"/>
      <c r="M138" s="9"/>
      <c r="N138" s="9"/>
      <c r="O138" s="9"/>
      <c r="P138" s="9"/>
      <c r="Q138" s="9">
        <f>SUM(Q125:Q137)</f>
        <v>5057</v>
      </c>
      <c r="R138" s="9">
        <f t="shared" ref="R138:AF138" si="144">SUM(R125:R137)</f>
        <v>5537</v>
      </c>
      <c r="S138" s="9">
        <f t="shared" si="144"/>
        <v>5766</v>
      </c>
      <c r="T138" s="9">
        <f t="shared" si="144"/>
        <v>6121</v>
      </c>
      <c r="U138" s="9">
        <f t="shared" si="144"/>
        <v>6707</v>
      </c>
      <c r="V138" s="9">
        <f t="shared" si="144"/>
        <v>6761</v>
      </c>
      <c r="W138" s="9">
        <f t="shared" si="144"/>
        <v>6533</v>
      </c>
      <c r="X138" s="9">
        <f t="shared" si="144"/>
        <v>6633</v>
      </c>
      <c r="Y138" s="9">
        <f t="shared" si="144"/>
        <v>6627</v>
      </c>
      <c r="Z138" s="9">
        <f t="shared" si="144"/>
        <v>7826</v>
      </c>
      <c r="AA138" s="9">
        <f t="shared" si="144"/>
        <v>8337</v>
      </c>
      <c r="AB138" s="9">
        <f t="shared" si="144"/>
        <v>8670</v>
      </c>
      <c r="AC138" s="9">
        <f t="shared" si="144"/>
        <v>8941</v>
      </c>
      <c r="AD138" s="9">
        <f t="shared" si="144"/>
        <v>8991</v>
      </c>
      <c r="AE138" s="9">
        <f t="shared" si="144"/>
        <v>8966</v>
      </c>
      <c r="AF138" s="9">
        <f t="shared" si="144"/>
        <v>6889</v>
      </c>
      <c r="AG138" s="9">
        <f t="shared" ref="AG138:AN138" si="145">SUM(AG125:AG137)</f>
        <v>7012</v>
      </c>
      <c r="AH138" s="9">
        <f t="shared" si="145"/>
        <v>6527.8</v>
      </c>
      <c r="AI138" s="9">
        <f t="shared" si="145"/>
        <v>6863.8</v>
      </c>
      <c r="AJ138" s="9">
        <f t="shared" si="145"/>
        <v>6863.8</v>
      </c>
      <c r="AK138" s="9">
        <f t="shared" si="145"/>
        <v>6863.8</v>
      </c>
      <c r="AL138" s="9">
        <f t="shared" si="145"/>
        <v>6863.8</v>
      </c>
      <c r="AM138" s="9">
        <f t="shared" si="145"/>
        <v>6863.8</v>
      </c>
      <c r="AN138" s="9">
        <f t="shared" si="145"/>
        <v>6863.8</v>
      </c>
      <c r="AR138" s="90"/>
    </row>
    <row r="139" spans="1:44">
      <c r="A139" s="43"/>
      <c r="B139" s="43"/>
      <c r="C139" s="43"/>
      <c r="D139" s="43"/>
      <c r="E139" s="43"/>
      <c r="F139" s="43"/>
      <c r="G139" s="43"/>
      <c r="H139" s="43"/>
      <c r="I139" s="43"/>
    </row>
    <row r="140" spans="1:44" hidden="1" outlineLevel="1">
      <c r="A140" s="42" t="s">
        <v>533</v>
      </c>
      <c r="B140" s="43"/>
      <c r="C140" s="43"/>
      <c r="D140" s="43"/>
      <c r="E140" s="43"/>
      <c r="F140" s="43"/>
      <c r="G140" s="43"/>
      <c r="H140" s="43"/>
      <c r="I140" s="43"/>
    </row>
    <row r="141" spans="1:44" hidden="1" outlineLevel="1">
      <c r="A141" s="86" t="str">
        <f t="shared" ref="A141:A149" si="146">A109</f>
        <v>Jiangbian (h)</v>
      </c>
      <c r="B141" s="43"/>
      <c r="C141" s="43"/>
      <c r="D141" s="43"/>
      <c r="E141" s="43"/>
      <c r="F141" s="43"/>
      <c r="G141" s="43"/>
      <c r="H141" s="43"/>
      <c r="I141" s="43"/>
      <c r="Q141" s="7">
        <v>215</v>
      </c>
      <c r="R141" s="7">
        <v>215</v>
      </c>
      <c r="S141" s="7">
        <v>215</v>
      </c>
      <c r="T141" s="7">
        <v>330</v>
      </c>
    </row>
    <row r="142" spans="1:44" hidden="1" outlineLevel="1">
      <c r="A142" s="86" t="str">
        <f t="shared" si="146"/>
        <v>Boxing Biomass</v>
      </c>
      <c r="B142" s="43"/>
      <c r="C142" s="43"/>
      <c r="D142" s="43"/>
      <c r="E142" s="43"/>
      <c r="F142" s="43"/>
      <c r="G142" s="43"/>
      <c r="H142" s="43"/>
      <c r="I142" s="43"/>
      <c r="Q142" s="7">
        <v>11</v>
      </c>
      <c r="R142" s="7">
        <v>0</v>
      </c>
      <c r="S142" s="7">
        <v>0</v>
      </c>
      <c r="T142" s="7">
        <v>0</v>
      </c>
    </row>
    <row r="143" spans="1:44" hidden="1" outlineLevel="1">
      <c r="A143" s="86" t="str">
        <f t="shared" si="146"/>
        <v>Wind project (w)</v>
      </c>
      <c r="B143" s="43"/>
      <c r="C143" s="43"/>
      <c r="D143" s="43"/>
      <c r="E143" s="43"/>
      <c r="F143" s="43"/>
      <c r="G143" s="43"/>
      <c r="H143" s="43"/>
      <c r="I143" s="43"/>
      <c r="Q143" s="7">
        <v>142</v>
      </c>
      <c r="R143" s="7">
        <v>130</v>
      </c>
      <c r="S143" s="7">
        <v>187</v>
      </c>
      <c r="T143" s="7">
        <v>110</v>
      </c>
      <c r="U143" s="7">
        <v>87</v>
      </c>
      <c r="V143" s="7">
        <v>38</v>
      </c>
      <c r="W143" s="7">
        <v>74</v>
      </c>
      <c r="X143" s="7">
        <v>24</v>
      </c>
      <c r="Y143" s="7">
        <v>346</v>
      </c>
      <c r="Z143" s="7">
        <v>198</v>
      </c>
      <c r="AA143" s="7">
        <v>149</v>
      </c>
      <c r="AB143" s="7">
        <v>100</v>
      </c>
      <c r="AC143" s="81">
        <v>0</v>
      </c>
      <c r="AD143" s="81">
        <v>0</v>
      </c>
      <c r="AE143" s="81">
        <v>0</v>
      </c>
      <c r="AF143" s="81">
        <v>0</v>
      </c>
      <c r="AG143" s="81">
        <v>0</v>
      </c>
      <c r="AH143" s="81">
        <v>0</v>
      </c>
      <c r="AI143" s="81">
        <v>0</v>
      </c>
      <c r="AJ143" s="81">
        <v>0</v>
      </c>
      <c r="AK143" s="81">
        <v>0</v>
      </c>
      <c r="AL143" s="81">
        <v>0</v>
      </c>
      <c r="AM143" s="81">
        <v>0</v>
      </c>
      <c r="AN143" s="81">
        <v>0</v>
      </c>
      <c r="AO143" s="81"/>
    </row>
    <row r="144" spans="1:44" hidden="1" outlineLevel="1">
      <c r="A144" s="86" t="str">
        <f t="shared" si="146"/>
        <v>Suizhong II (c)</v>
      </c>
      <c r="Q144" s="7">
        <v>0</v>
      </c>
      <c r="R144" s="7">
        <v>300</v>
      </c>
      <c r="S144" s="7">
        <v>300</v>
      </c>
      <c r="T144" s="7">
        <v>0</v>
      </c>
    </row>
    <row r="145" spans="1:40" hidden="1" outlineLevel="1">
      <c r="A145" s="86" t="str">
        <f t="shared" si="146"/>
        <v>Dali Yang'er (h)</v>
      </c>
      <c r="Q145" s="7">
        <v>0</v>
      </c>
      <c r="R145" s="7">
        <v>50</v>
      </c>
      <c r="S145" s="7">
        <v>0</v>
      </c>
      <c r="T145" s="7">
        <v>0</v>
      </c>
    </row>
    <row r="146" spans="1:40" hidden="1" outlineLevel="1">
      <c r="A146" s="86" t="str">
        <f t="shared" si="146"/>
        <v>CGN Wind (w)</v>
      </c>
      <c r="T146" s="7">
        <v>226</v>
      </c>
      <c r="U146" s="7">
        <v>51</v>
      </c>
      <c r="W146" s="7">
        <v>42</v>
      </c>
      <c r="Y146" s="7">
        <v>63</v>
      </c>
      <c r="Z146" s="7">
        <v>32</v>
      </c>
      <c r="AA146" s="81"/>
      <c r="AB146" s="81">
        <v>0</v>
      </c>
      <c r="AC146" s="81">
        <v>0</v>
      </c>
      <c r="AD146" s="81">
        <v>0</v>
      </c>
      <c r="AE146" s="81">
        <v>0</v>
      </c>
      <c r="AF146" s="81">
        <v>0</v>
      </c>
      <c r="AG146" s="81">
        <v>0</v>
      </c>
      <c r="AH146" s="81">
        <v>0</v>
      </c>
      <c r="AI146" s="81">
        <v>0</v>
      </c>
      <c r="AJ146" s="81">
        <v>0</v>
      </c>
      <c r="AK146" s="81">
        <v>0</v>
      </c>
      <c r="AL146" s="81">
        <v>0</v>
      </c>
      <c r="AM146" s="81">
        <v>0</v>
      </c>
      <c r="AN146" s="81">
        <v>0</v>
      </c>
    </row>
    <row r="147" spans="1:40" hidden="1" outlineLevel="1">
      <c r="A147" s="86" t="str">
        <f t="shared" si="146"/>
        <v>Solar projects (s)</v>
      </c>
      <c r="X147" s="7">
        <v>48</v>
      </c>
      <c r="Z147" s="7">
        <v>13</v>
      </c>
      <c r="AA147" s="7">
        <v>17</v>
      </c>
      <c r="AB147" s="81">
        <v>0</v>
      </c>
      <c r="AC147" s="81">
        <v>0</v>
      </c>
      <c r="AD147" s="81">
        <v>0</v>
      </c>
      <c r="AE147" s="81">
        <v>0</v>
      </c>
      <c r="AF147" s="81">
        <v>0</v>
      </c>
      <c r="AG147" s="81">
        <v>0</v>
      </c>
      <c r="AH147" s="81">
        <v>0</v>
      </c>
      <c r="AI147" s="81">
        <v>0</v>
      </c>
      <c r="AJ147" s="81">
        <v>0</v>
      </c>
      <c r="AK147" s="81">
        <v>0</v>
      </c>
      <c r="AL147" s="81">
        <v>0</v>
      </c>
      <c r="AM147" s="81">
        <v>0</v>
      </c>
      <c r="AN147" s="81">
        <v>0</v>
      </c>
    </row>
    <row r="148" spans="1:40" hidden="1" outlineLevel="1">
      <c r="A148" s="86" t="str">
        <f t="shared" si="146"/>
        <v>Fangchenggang II (c)</v>
      </c>
      <c r="X148" s="7">
        <v>924</v>
      </c>
      <c r="Y148" s="7">
        <v>924</v>
      </c>
    </row>
    <row r="149" spans="1:40" hidden="1" outlineLevel="1">
      <c r="A149" s="86" t="str">
        <f t="shared" si="146"/>
        <v>Yangjiang  (n)</v>
      </c>
      <c r="Z149" s="81">
        <f>1086*3*0.17</f>
        <v>553.86</v>
      </c>
      <c r="AA149" s="7">
        <v>369</v>
      </c>
      <c r="AB149" s="7">
        <v>185</v>
      </c>
      <c r="AC149" s="81">
        <v>0</v>
      </c>
      <c r="AD149" s="81">
        <f t="shared" ref="AD149:AI149" si="147">AC149</f>
        <v>0</v>
      </c>
      <c r="AE149" s="81">
        <f t="shared" si="147"/>
        <v>0</v>
      </c>
      <c r="AF149" s="81">
        <f t="shared" si="147"/>
        <v>0</v>
      </c>
      <c r="AG149" s="81">
        <f t="shared" si="147"/>
        <v>0</v>
      </c>
      <c r="AH149" s="81">
        <f t="shared" si="147"/>
        <v>0</v>
      </c>
      <c r="AI149" s="81">
        <f t="shared" si="147"/>
        <v>0</v>
      </c>
      <c r="AJ149" s="81">
        <f>AI149</f>
        <v>0</v>
      </c>
      <c r="AK149" s="81">
        <f>AJ149</f>
        <v>0</v>
      </c>
      <c r="AL149" s="81">
        <f>AK149</f>
        <v>0</v>
      </c>
      <c r="AM149" s="81">
        <f>AL149</f>
        <v>0</v>
      </c>
      <c r="AN149" s="81">
        <f>AM149</f>
        <v>0</v>
      </c>
    </row>
    <row r="150" spans="1:40" hidden="1" outlineLevel="1">
      <c r="A150" s="86"/>
    </row>
    <row r="151" spans="1:40" hidden="1" outlineLevel="1">
      <c r="A151" s="80" t="s">
        <v>532</v>
      </c>
      <c r="B151" s="9"/>
      <c r="C151" s="9"/>
      <c r="D151" s="9"/>
      <c r="E151" s="9"/>
      <c r="F151" s="9"/>
      <c r="G151" s="9"/>
      <c r="H151" s="9"/>
      <c r="I151" s="9"/>
      <c r="J151" s="9"/>
      <c r="K151" s="9"/>
      <c r="L151" s="9"/>
      <c r="M151" s="9"/>
      <c r="N151" s="9"/>
      <c r="O151" s="9"/>
      <c r="P151" s="9"/>
      <c r="Q151" s="9">
        <f>SUM(Q141:Q150)</f>
        <v>368</v>
      </c>
      <c r="R151" s="9">
        <f t="shared" ref="R151:AF151" si="148">SUM(R141:R150)</f>
        <v>695</v>
      </c>
      <c r="S151" s="9">
        <f t="shared" si="148"/>
        <v>702</v>
      </c>
      <c r="T151" s="9">
        <f t="shared" si="148"/>
        <v>666</v>
      </c>
      <c r="U151" s="9">
        <f t="shared" si="148"/>
        <v>138</v>
      </c>
      <c r="V151" s="9">
        <f t="shared" si="148"/>
        <v>38</v>
      </c>
      <c r="W151" s="9">
        <f t="shared" si="148"/>
        <v>116</v>
      </c>
      <c r="X151" s="9">
        <f t="shared" si="148"/>
        <v>996</v>
      </c>
      <c r="Y151" s="9">
        <f t="shared" si="148"/>
        <v>1333</v>
      </c>
      <c r="Z151" s="9">
        <f t="shared" si="148"/>
        <v>796.86</v>
      </c>
      <c r="AA151" s="9">
        <f t="shared" si="148"/>
        <v>535</v>
      </c>
      <c r="AB151" s="9">
        <f t="shared" si="148"/>
        <v>285</v>
      </c>
      <c r="AC151" s="9">
        <f t="shared" si="148"/>
        <v>0</v>
      </c>
      <c r="AD151" s="9">
        <f t="shared" si="148"/>
        <v>0</v>
      </c>
      <c r="AE151" s="9">
        <f t="shared" si="148"/>
        <v>0</v>
      </c>
      <c r="AF151" s="9">
        <f t="shared" si="148"/>
        <v>0</v>
      </c>
      <c r="AG151" s="9">
        <f t="shared" ref="AG151:AN151" si="149">SUM(AG141:AG150)</f>
        <v>0</v>
      </c>
      <c r="AH151" s="9">
        <f t="shared" si="149"/>
        <v>0</v>
      </c>
      <c r="AI151" s="9">
        <f t="shared" si="149"/>
        <v>0</v>
      </c>
      <c r="AJ151" s="9">
        <f t="shared" si="149"/>
        <v>0</v>
      </c>
      <c r="AK151" s="9">
        <f t="shared" si="149"/>
        <v>0</v>
      </c>
      <c r="AL151" s="9">
        <f t="shared" si="149"/>
        <v>0</v>
      </c>
      <c r="AM151" s="9">
        <f t="shared" si="149"/>
        <v>0</v>
      </c>
      <c r="AN151" s="9">
        <f t="shared" si="149"/>
        <v>0</v>
      </c>
    </row>
    <row r="152" spans="1:40" hidden="1" outlineLevel="1">
      <c r="A152" s="43"/>
      <c r="B152" s="43"/>
      <c r="C152" s="43"/>
      <c r="D152" s="43"/>
      <c r="E152" s="43"/>
      <c r="F152" s="43"/>
      <c r="G152" s="43"/>
      <c r="H152" s="43"/>
      <c r="I152" s="43"/>
    </row>
    <row r="153" spans="1:40" hidden="1" outlineLevel="1">
      <c r="A153" s="80" t="s">
        <v>534</v>
      </c>
      <c r="B153" s="9"/>
      <c r="C153" s="9"/>
      <c r="D153" s="9"/>
      <c r="E153" s="9"/>
      <c r="F153" s="9"/>
      <c r="G153" s="9"/>
      <c r="H153" s="9"/>
      <c r="I153" s="9"/>
      <c r="J153" s="9"/>
      <c r="K153" s="9"/>
      <c r="L153" s="9"/>
      <c r="M153" s="9"/>
      <c r="N153" s="9"/>
      <c r="O153" s="9"/>
      <c r="P153" s="9"/>
      <c r="Q153" s="9">
        <f>Q138+Q151</f>
        <v>5425</v>
      </c>
      <c r="R153" s="9">
        <f t="shared" ref="R153:AF153" si="150">R138+R151</f>
        <v>6232</v>
      </c>
      <c r="S153" s="9">
        <f t="shared" si="150"/>
        <v>6468</v>
      </c>
      <c r="T153" s="9">
        <f t="shared" si="150"/>
        <v>6787</v>
      </c>
      <c r="U153" s="9">
        <f t="shared" si="150"/>
        <v>6845</v>
      </c>
      <c r="V153" s="9">
        <f t="shared" si="150"/>
        <v>6799</v>
      </c>
      <c r="W153" s="9">
        <f t="shared" si="150"/>
        <v>6649</v>
      </c>
      <c r="X153" s="9">
        <f t="shared" si="150"/>
        <v>7629</v>
      </c>
      <c r="Y153" s="9">
        <f t="shared" si="150"/>
        <v>7960</v>
      </c>
      <c r="Z153" s="9">
        <f t="shared" si="150"/>
        <v>8622.86</v>
      </c>
      <c r="AA153" s="9">
        <f t="shared" si="150"/>
        <v>8872</v>
      </c>
      <c r="AB153" s="9">
        <f t="shared" si="150"/>
        <v>8955</v>
      </c>
      <c r="AC153" s="9">
        <f t="shared" si="150"/>
        <v>8941</v>
      </c>
      <c r="AD153" s="9">
        <f t="shared" si="150"/>
        <v>8991</v>
      </c>
      <c r="AE153" s="9">
        <f t="shared" si="150"/>
        <v>8966</v>
      </c>
      <c r="AF153" s="9">
        <f t="shared" si="150"/>
        <v>6889</v>
      </c>
      <c r="AG153" s="9">
        <f t="shared" ref="AG153:AN153" si="151">AG138+AG151</f>
        <v>7012</v>
      </c>
      <c r="AH153" s="9">
        <f t="shared" si="151"/>
        <v>6527.8</v>
      </c>
      <c r="AI153" s="9">
        <f t="shared" si="151"/>
        <v>6863.8</v>
      </c>
      <c r="AJ153" s="9">
        <f t="shared" si="151"/>
        <v>6863.8</v>
      </c>
      <c r="AK153" s="9">
        <f t="shared" si="151"/>
        <v>6863.8</v>
      </c>
      <c r="AL153" s="9">
        <f t="shared" si="151"/>
        <v>6863.8</v>
      </c>
      <c r="AM153" s="9">
        <f t="shared" si="151"/>
        <v>6863.8</v>
      </c>
      <c r="AN153" s="9">
        <f t="shared" si="151"/>
        <v>6863.8</v>
      </c>
    </row>
    <row r="154" spans="1:40" collapsed="1">
      <c r="A154" s="43"/>
      <c r="B154" s="43"/>
      <c r="C154" s="43"/>
      <c r="D154" s="43"/>
      <c r="E154" s="43"/>
      <c r="F154" s="43"/>
      <c r="G154" s="43"/>
      <c r="H154" s="43"/>
      <c r="I154" s="43"/>
    </row>
    <row r="156" spans="1:40">
      <c r="A156" s="88" t="s">
        <v>539</v>
      </c>
      <c r="B156" s="89"/>
      <c r="C156" s="89"/>
      <c r="D156" s="89"/>
      <c r="E156" s="89"/>
      <c r="F156" s="89"/>
      <c r="G156" s="89"/>
      <c r="H156" s="89"/>
      <c r="I156" s="89"/>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row>
    <row r="157" spans="1:40">
      <c r="A157" s="7" t="s">
        <v>128</v>
      </c>
      <c r="Q157" s="7">
        <v>858</v>
      </c>
      <c r="R157" s="7">
        <v>1588</v>
      </c>
      <c r="S157" s="7">
        <v>1730</v>
      </c>
      <c r="T157" s="7">
        <v>3907</v>
      </c>
      <c r="U157" s="7">
        <v>5199</v>
      </c>
      <c r="V157" s="7">
        <v>5001</v>
      </c>
      <c r="W157" s="7">
        <v>5405</v>
      </c>
      <c r="X157" s="7">
        <v>5364</v>
      </c>
      <c r="Y157" s="7">
        <v>6576</v>
      </c>
      <c r="Z157" s="7">
        <v>7679</v>
      </c>
      <c r="AA157" s="7">
        <v>8522</v>
      </c>
      <c r="AB157" s="7">
        <v>8997</v>
      </c>
      <c r="AC157" s="30">
        <v>9021</v>
      </c>
      <c r="AD157" s="7">
        <v>9375</v>
      </c>
      <c r="AE157" s="7">
        <v>9960</v>
      </c>
      <c r="AF157" s="7">
        <v>9158</v>
      </c>
      <c r="AG157" s="7">
        <v>9107</v>
      </c>
      <c r="AH157" s="7">
        <v>10547</v>
      </c>
      <c r="AI157" s="81">
        <f t="shared" ref="AI157:AN157" si="152">AH157+AI160+AI158</f>
        <v>11832.116719242902</v>
      </c>
      <c r="AJ157" s="81">
        <f>AI157+AJ160+AJ158</f>
        <v>12667.461511210182</v>
      </c>
      <c r="AK157" s="81">
        <f>AJ157+AK160+AK158</f>
        <v>13153.933475873326</v>
      </c>
      <c r="AL157" s="81">
        <f>AK157+AL160+AL158</f>
        <v>13371.630426770109</v>
      </c>
      <c r="AM157" s="81">
        <f t="shared" si="152"/>
        <v>13576.966036606507</v>
      </c>
      <c r="AN157" s="81">
        <f t="shared" si="152"/>
        <v>13770.642211184057</v>
      </c>
    </row>
    <row r="158" spans="1:40">
      <c r="A158" s="7" t="s">
        <v>169</v>
      </c>
      <c r="Q158" s="7">
        <f>Q11</f>
        <v>-39</v>
      </c>
      <c r="R158" s="7">
        <f t="shared" ref="R158:AH158" si="153">R11</f>
        <v>-51</v>
      </c>
      <c r="S158" s="7">
        <f t="shared" si="153"/>
        <v>-68</v>
      </c>
      <c r="T158" s="7">
        <f t="shared" si="153"/>
        <v>-81</v>
      </c>
      <c r="U158" s="7">
        <f t="shared" si="153"/>
        <v>-148</v>
      </c>
      <c r="V158" s="7">
        <f t="shared" si="153"/>
        <v>-209</v>
      </c>
      <c r="W158" s="7">
        <f t="shared" si="153"/>
        <v>-213</v>
      </c>
      <c r="X158" s="7">
        <f t="shared" si="153"/>
        <v>-231</v>
      </c>
      <c r="Y158" s="7">
        <f t="shared" si="153"/>
        <v>-245</v>
      </c>
      <c r="Z158" s="7">
        <f t="shared" si="153"/>
        <v>-310</v>
      </c>
      <c r="AA158" s="7">
        <f t="shared" si="153"/>
        <v>-364</v>
      </c>
      <c r="AB158" s="7">
        <f t="shared" si="153"/>
        <v>-422</v>
      </c>
      <c r="AC158" s="7">
        <f t="shared" si="153"/>
        <v>-459</v>
      </c>
      <c r="AD158" s="7">
        <f t="shared" si="153"/>
        <v>-492</v>
      </c>
      <c r="AE158" s="7">
        <f t="shared" si="153"/>
        <v>-531</v>
      </c>
      <c r="AF158" s="7">
        <f t="shared" si="153"/>
        <v>-535</v>
      </c>
      <c r="AG158" s="7">
        <f t="shared" si="153"/>
        <v>-545</v>
      </c>
      <c r="AH158" s="7">
        <f t="shared" si="153"/>
        <v>-558</v>
      </c>
      <c r="AI158" s="81">
        <f t="shared" ref="AI158:AN158" si="154">-AH157*AI159</f>
        <v>-598.88328075709785</v>
      </c>
      <c r="AJ158" s="81">
        <f>-AI157*AJ159</f>
        <v>-671.85520803272004</v>
      </c>
      <c r="AK158" s="81">
        <f>-AJ157*AK159</f>
        <v>-719.28803533685573</v>
      </c>
      <c r="AL158" s="81">
        <f>-AK157*AL159</f>
        <v>-746.91104910321724</v>
      </c>
      <c r="AM158" s="81">
        <f t="shared" si="154"/>
        <v>-759.27239016360238</v>
      </c>
      <c r="AN158" s="81">
        <f t="shared" si="154"/>
        <v>-770.93182542245154</v>
      </c>
    </row>
    <row r="159" spans="1:40">
      <c r="A159" s="86" t="s">
        <v>540</v>
      </c>
      <c r="R159" s="90">
        <f>-R158/AVERAGE(Q157:R157)</f>
        <v>4.1700735895339326E-2</v>
      </c>
      <c r="S159" s="90">
        <f t="shared" ref="S159:AH159" si="155">-S158/AVERAGE(R157:S157)</f>
        <v>4.0988547317661245E-2</v>
      </c>
      <c r="T159" s="90">
        <f t="shared" si="155"/>
        <v>2.8738690792974985E-2</v>
      </c>
      <c r="U159" s="90">
        <f t="shared" si="155"/>
        <v>3.2506039973643749E-2</v>
      </c>
      <c r="V159" s="90">
        <f t="shared" si="155"/>
        <v>4.0980392156862742E-2</v>
      </c>
      <c r="W159" s="90">
        <f t="shared" si="155"/>
        <v>4.0937920430520851E-2</v>
      </c>
      <c r="X159" s="90">
        <f t="shared" si="155"/>
        <v>4.290091930541369E-2</v>
      </c>
      <c r="Y159" s="90">
        <f t="shared" si="155"/>
        <v>4.1038525963149081E-2</v>
      </c>
      <c r="Z159" s="90">
        <f t="shared" si="155"/>
        <v>4.3493511048754825E-2</v>
      </c>
      <c r="AA159" s="90">
        <f t="shared" si="155"/>
        <v>4.4935497808777237E-2</v>
      </c>
      <c r="AB159" s="90">
        <f t="shared" si="155"/>
        <v>4.8176265768594101E-2</v>
      </c>
      <c r="AC159" s="90">
        <f t="shared" si="155"/>
        <v>5.0949050949050952E-2</v>
      </c>
      <c r="AD159" s="90">
        <f t="shared" si="155"/>
        <v>5.348988910632746E-2</v>
      </c>
      <c r="AE159" s="90">
        <f t="shared" si="155"/>
        <v>5.492629945694337E-2</v>
      </c>
      <c r="AF159" s="90">
        <f t="shared" si="155"/>
        <v>5.596819751019981E-2</v>
      </c>
      <c r="AG159" s="90">
        <f t="shared" si="155"/>
        <v>5.9676977826444016E-2</v>
      </c>
      <c r="AH159" s="90">
        <f t="shared" si="155"/>
        <v>5.6782334384858045E-2</v>
      </c>
      <c r="AI159" s="101">
        <f t="shared" ref="AI159" si="156">AH159</f>
        <v>5.6782334384858045E-2</v>
      </c>
      <c r="AJ159" s="101">
        <f t="shared" ref="AJ159:AL159" si="157">AI159</f>
        <v>5.6782334384858045E-2</v>
      </c>
      <c r="AK159" s="101">
        <f t="shared" si="157"/>
        <v>5.6782334384858045E-2</v>
      </c>
      <c r="AL159" s="101">
        <f t="shared" si="157"/>
        <v>5.6782334384858045E-2</v>
      </c>
      <c r="AM159" s="101">
        <f t="shared" ref="AM159:AN160" si="158">AL159</f>
        <v>5.6782334384858045E-2</v>
      </c>
      <c r="AN159" s="101">
        <f t="shared" si="158"/>
        <v>5.6782334384858045E-2</v>
      </c>
    </row>
    <row r="160" spans="1:40">
      <c r="A160" s="43" t="s">
        <v>538</v>
      </c>
      <c r="M160" s="7">
        <v>2</v>
      </c>
      <c r="N160" s="7">
        <v>7</v>
      </c>
      <c r="O160" s="7">
        <v>2</v>
      </c>
      <c r="P160" s="7">
        <v>31</v>
      </c>
      <c r="Q160" s="7">
        <v>189</v>
      </c>
      <c r="R160" s="7">
        <v>258</v>
      </c>
      <c r="S160" s="7">
        <v>239</v>
      </c>
      <c r="T160" s="7">
        <v>965</v>
      </c>
      <c r="U160" s="7">
        <v>1268</v>
      </c>
      <c r="V160" s="7">
        <v>100</v>
      </c>
      <c r="W160" s="7">
        <v>483</v>
      </c>
      <c r="X160" s="7">
        <v>537</v>
      </c>
      <c r="Y160" s="7">
        <v>1648</v>
      </c>
      <c r="Z160" s="7">
        <v>918</v>
      </c>
      <c r="AA160" s="7">
        <v>630</v>
      </c>
      <c r="AB160" s="7">
        <v>525</v>
      </c>
      <c r="AC160" s="30">
        <v>345</v>
      </c>
      <c r="AD160" s="7">
        <v>238</v>
      </c>
      <c r="AE160" s="7">
        <v>826</v>
      </c>
      <c r="AF160" s="7">
        <v>588</v>
      </c>
      <c r="AG160" s="7">
        <v>759</v>
      </c>
      <c r="AH160" s="7">
        <v>2355</v>
      </c>
      <c r="AI160" s="81">
        <f>AH160*0.8</f>
        <v>1884</v>
      </c>
      <c r="AJ160" s="81">
        <f t="shared" ref="AJ160:AL160" si="159">AI160*0.8</f>
        <v>1507.2</v>
      </c>
      <c r="AK160" s="81">
        <f t="shared" si="159"/>
        <v>1205.76</v>
      </c>
      <c r="AL160" s="81">
        <f t="shared" si="159"/>
        <v>964.60800000000006</v>
      </c>
      <c r="AM160" s="81">
        <f t="shared" si="158"/>
        <v>964.60800000000006</v>
      </c>
      <c r="AN160" s="81">
        <f t="shared" si="158"/>
        <v>964.60800000000006</v>
      </c>
    </row>
    <row r="162" spans="1:40">
      <c r="A162" s="88" t="s">
        <v>101</v>
      </c>
      <c r="B162" s="89"/>
      <c r="C162" s="89"/>
      <c r="D162" s="89"/>
      <c r="E162" s="89"/>
      <c r="F162" s="89"/>
      <c r="G162" s="89"/>
      <c r="H162" s="89"/>
      <c r="I162" s="89"/>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row>
    <row r="163" spans="1:40">
      <c r="A163" s="43" t="s">
        <v>541</v>
      </c>
      <c r="L163" s="7">
        <v>0</v>
      </c>
      <c r="M163" s="7">
        <v>0</v>
      </c>
      <c r="N163" s="7">
        <v>0</v>
      </c>
      <c r="O163" s="7">
        <v>228</v>
      </c>
      <c r="P163" s="7">
        <v>253</v>
      </c>
      <c r="Q163" s="7">
        <v>340</v>
      </c>
      <c r="R163" s="7">
        <v>824</v>
      </c>
      <c r="S163" s="7">
        <v>784</v>
      </c>
      <c r="T163" s="7">
        <v>2288</v>
      </c>
      <c r="U163" s="7">
        <v>3271</v>
      </c>
      <c r="V163" s="7">
        <v>3367</v>
      </c>
      <c r="W163" s="7">
        <v>3457</v>
      </c>
      <c r="X163" s="7">
        <v>3516</v>
      </c>
      <c r="Y163" s="7">
        <v>4402</v>
      </c>
      <c r="Z163" s="7">
        <v>4973</v>
      </c>
      <c r="AA163" s="7">
        <v>5573</v>
      </c>
      <c r="AB163" s="7">
        <v>6080</v>
      </c>
      <c r="AC163" s="30">
        <v>5777</v>
      </c>
      <c r="AD163" s="7">
        <v>5769</v>
      </c>
      <c r="AE163" s="7">
        <v>5856</v>
      </c>
      <c r="AF163" s="7">
        <v>5531</v>
      </c>
      <c r="AG163" s="7">
        <v>5025</v>
      </c>
      <c r="AH163" s="7">
        <v>5572</v>
      </c>
      <c r="AI163" s="81">
        <f>AH163/AH2*AI2</f>
        <v>5508.7853655827093</v>
      </c>
      <c r="AJ163" s="81">
        <f t="shared" ref="AJ163:AN163" si="160">AI163/AI2*AJ2</f>
        <v>5662.3858</v>
      </c>
      <c r="AK163" s="81">
        <f t="shared" si="160"/>
        <v>5662.3858</v>
      </c>
      <c r="AL163" s="81">
        <f t="shared" si="160"/>
        <v>5662.3858</v>
      </c>
      <c r="AM163" s="81">
        <f t="shared" si="160"/>
        <v>5662.3858</v>
      </c>
      <c r="AN163" s="81">
        <f t="shared" si="160"/>
        <v>5662.3858</v>
      </c>
    </row>
    <row r="164" spans="1:40">
      <c r="A164" s="43" t="s">
        <v>542</v>
      </c>
      <c r="S164" s="90">
        <f>-S14/AVERAGE(R163:S163)</f>
        <v>3.7313432835820892E-2</v>
      </c>
      <c r="T164" s="90">
        <f t="shared" ref="T164:AH164" si="161">-T14/AVERAGE(S163:T163)</f>
        <v>3.125E-2</v>
      </c>
      <c r="U164" s="90">
        <f t="shared" si="161"/>
        <v>4.7130778917071417E-2</v>
      </c>
      <c r="V164" s="90">
        <f t="shared" si="161"/>
        <v>6.2669478758662245E-2</v>
      </c>
      <c r="W164" s="90">
        <f t="shared" si="161"/>
        <v>5.8909730363423216E-2</v>
      </c>
      <c r="X164" s="90">
        <f t="shared" si="161"/>
        <v>5.7937759931163055E-2</v>
      </c>
      <c r="Y164" s="90">
        <f t="shared" si="161"/>
        <v>3.7130588532457688E-2</v>
      </c>
      <c r="Z164" s="90">
        <f t="shared" si="161"/>
        <v>3.3279999999999997E-2</v>
      </c>
      <c r="AA164" s="90">
        <f t="shared" si="161"/>
        <v>3.8308363360515837E-2</v>
      </c>
      <c r="AB164" s="90">
        <f t="shared" si="161"/>
        <v>4.0332961469149574E-2</v>
      </c>
      <c r="AC164" s="90">
        <f t="shared" si="161"/>
        <v>4.1831829299148179E-2</v>
      </c>
      <c r="AD164" s="90">
        <f t="shared" si="161"/>
        <v>4.1053178589987874E-2</v>
      </c>
      <c r="AE164" s="90">
        <f t="shared" si="161"/>
        <v>4.1118279569892474E-2</v>
      </c>
      <c r="AF164" s="90">
        <f t="shared" si="161"/>
        <v>4.145077720207254E-2</v>
      </c>
      <c r="AG164" s="90">
        <f t="shared" si="161"/>
        <v>3.6945812807881777E-2</v>
      </c>
      <c r="AH164" s="90">
        <f t="shared" si="161"/>
        <v>3.1329621591016328E-2</v>
      </c>
      <c r="AI164" s="101">
        <f>AH164-0.4%</f>
        <v>2.7329621591016328E-2</v>
      </c>
      <c r="AJ164" s="101">
        <f>AI164</f>
        <v>2.7329621591016328E-2</v>
      </c>
      <c r="AK164" s="101">
        <f>AJ164</f>
        <v>2.7329621591016328E-2</v>
      </c>
      <c r="AL164" s="101">
        <f>AK164</f>
        <v>2.7329621591016328E-2</v>
      </c>
      <c r="AM164" s="101">
        <f t="shared" ref="AM164:AN164" si="162">AL164</f>
        <v>2.7329621591016328E-2</v>
      </c>
      <c r="AN164" s="101">
        <f t="shared" si="162"/>
        <v>2.7329621591016328E-2</v>
      </c>
    </row>
    <row r="165" spans="1:40">
      <c r="A165" s="43"/>
    </row>
  </sheetData>
  <pageMargins left="0.7" right="0.7" top="0.75" bottom="0.75" header="0.3" footer="0.3"/>
  <pageSetup paperSize="9"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pageSetUpPr fitToPage="1"/>
  </sheetPr>
  <dimension ref="A1:BD110"/>
  <sheetViews>
    <sheetView showOutlineSymbols="0" zoomScale="130" zoomScaleNormal="130" workbookViewId="0">
      <pane xSplit="20" ySplit="1" topLeftCell="AC69" activePane="bottomRight" state="frozen"/>
      <selection pane="topRight" activeCell="U1" sqref="U1"/>
      <selection pane="bottomLeft" activeCell="A2" sqref="A2"/>
      <selection pane="bottomRight" activeCell="AI91" sqref="AI91"/>
    </sheetView>
  </sheetViews>
  <sheetFormatPr defaultColWidth="9.140625" defaultRowHeight="12.75" outlineLevelCol="1"/>
  <cols>
    <col min="1" max="1" width="39.42578125" style="29" customWidth="1"/>
    <col min="2" max="11" width="9.140625" style="29" hidden="1" customWidth="1" outlineLevel="1"/>
    <col min="12" max="12" width="10.85546875" style="29" hidden="1" customWidth="1" outlineLevel="1"/>
    <col min="13" max="13" width="9.140625" style="29" hidden="1" customWidth="1" outlineLevel="1" collapsed="1"/>
    <col min="14" max="16" width="9.140625" style="29" hidden="1" customWidth="1" outlineLevel="1"/>
    <col min="17" max="17" width="10" style="29" hidden="1" customWidth="1" outlineLevel="1"/>
    <col min="18" max="18" width="10.140625" style="29" hidden="1" customWidth="1" outlineLevel="1"/>
    <col min="19" max="19" width="9.7109375" style="29" hidden="1" customWidth="1" outlineLevel="1"/>
    <col min="20" max="20" width="9" style="29" hidden="1" customWidth="1" outlineLevel="1"/>
    <col min="21" max="21" width="9" style="29" hidden="1" customWidth="1" collapsed="1"/>
    <col min="22" max="28" width="9" style="29" hidden="1" customWidth="1"/>
    <col min="29" max="40" width="9" style="29" customWidth="1"/>
    <col min="41" max="42" width="10.140625" style="29" customWidth="1"/>
    <col min="43" max="43" width="26.140625" style="29" bestFit="1" customWidth="1"/>
    <col min="44" max="46" width="9.140625" style="29"/>
    <col min="47" max="47" width="8.5703125" style="29" customWidth="1"/>
    <col min="48" max="16384" width="9.140625" style="29"/>
  </cols>
  <sheetData>
    <row r="1" spans="1:56">
      <c r="A1" s="62" t="s">
        <v>472</v>
      </c>
      <c r="B1" s="84">
        <f>Final!B2</f>
        <v>1992</v>
      </c>
      <c r="C1" s="84">
        <f>Final!C2</f>
        <v>1993</v>
      </c>
      <c r="D1" s="84">
        <f>Final!D2</f>
        <v>1994</v>
      </c>
      <c r="E1" s="84">
        <f>Final!E2</f>
        <v>1995</v>
      </c>
      <c r="F1" s="84">
        <f>Final!F2</f>
        <v>1996</v>
      </c>
      <c r="G1" s="84">
        <f>Final!G2</f>
        <v>1997</v>
      </c>
      <c r="H1" s="84">
        <f>Final!H2</f>
        <v>1998</v>
      </c>
      <c r="I1" s="84" t="str">
        <f>Final!I2</f>
        <v>1999*</v>
      </c>
      <c r="J1" s="84">
        <f>Final!J2</f>
        <v>2000</v>
      </c>
      <c r="K1" s="84">
        <f>Final!K2</f>
        <v>2001</v>
      </c>
      <c r="L1" s="84">
        <f>Final!L2</f>
        <v>2002</v>
      </c>
      <c r="M1" s="84">
        <f>Final!M2</f>
        <v>2003</v>
      </c>
      <c r="N1" s="84">
        <f>Final!N2</f>
        <v>2004</v>
      </c>
      <c r="O1" s="84">
        <f>Final!O2</f>
        <v>2005</v>
      </c>
      <c r="P1" s="84">
        <f>Final!P2</f>
        <v>2006</v>
      </c>
      <c r="Q1" s="84">
        <f>Final!Q2</f>
        <v>2007</v>
      </c>
      <c r="R1" s="84">
        <f>Final!R2</f>
        <v>2008</v>
      </c>
      <c r="S1" s="84">
        <f>Final!S2</f>
        <v>2009</v>
      </c>
      <c r="T1" s="84">
        <f>Final!T2</f>
        <v>2010</v>
      </c>
      <c r="U1" s="84">
        <f>Final!U2</f>
        <v>2011</v>
      </c>
      <c r="V1" s="84">
        <f>Final!V2</f>
        <v>2012</v>
      </c>
      <c r="W1" s="84">
        <f>Final!W2</f>
        <v>2013</v>
      </c>
      <c r="X1" s="84">
        <f>Final!X2</f>
        <v>2014</v>
      </c>
      <c r="Y1" s="84">
        <f>Final!Y2</f>
        <v>2015</v>
      </c>
      <c r="Z1" s="84">
        <f>Final!Z2</f>
        <v>2016</v>
      </c>
      <c r="AA1" s="84">
        <f>Final!AA2</f>
        <v>2017</v>
      </c>
      <c r="AB1" s="84">
        <f>Final!AB2</f>
        <v>2018</v>
      </c>
      <c r="AC1" s="84">
        <f>Final!AC2</f>
        <v>2019</v>
      </c>
      <c r="AD1" s="84">
        <f>Final!AD2</f>
        <v>2020</v>
      </c>
      <c r="AE1" s="84">
        <f>Final!AE2</f>
        <v>2021</v>
      </c>
      <c r="AF1" s="84">
        <f>Final!AF2</f>
        <v>2022</v>
      </c>
      <c r="AG1" s="84">
        <f>Final!AG2</f>
        <v>2023</v>
      </c>
      <c r="AH1" s="84">
        <f>Final!AH2</f>
        <v>2024</v>
      </c>
      <c r="AI1" s="84" t="str">
        <f>Final!AI2</f>
        <v>2025E</v>
      </c>
      <c r="AJ1" s="84" t="str">
        <f>Final!AJ2</f>
        <v>2026E</v>
      </c>
      <c r="AK1" s="84" t="str">
        <f>Final!AK2</f>
        <v>2027E</v>
      </c>
      <c r="AL1" s="84" t="str">
        <f>Final!AL2</f>
        <v>2028E</v>
      </c>
      <c r="AM1" s="84" t="str">
        <f>Final!AM2</f>
        <v>2029E</v>
      </c>
      <c r="AN1" s="84" t="str">
        <f>Final!AN2</f>
        <v>2030E</v>
      </c>
      <c r="AR1" s="84">
        <v>2010</v>
      </c>
      <c r="AS1" s="84">
        <v>2011</v>
      </c>
      <c r="AT1" s="84">
        <v>2012</v>
      </c>
      <c r="AU1" s="84">
        <v>2013</v>
      </c>
      <c r="AV1" s="84">
        <v>2014</v>
      </c>
      <c r="AW1" s="84">
        <v>2015</v>
      </c>
      <c r="AX1" s="84">
        <v>2016</v>
      </c>
      <c r="AY1" s="84" t="s">
        <v>6</v>
      </c>
      <c r="AZ1" s="84" t="s">
        <v>279</v>
      </c>
      <c r="BA1" s="84" t="s">
        <v>378</v>
      </c>
      <c r="BB1" s="84" t="s">
        <v>399</v>
      </c>
      <c r="BC1" s="84" t="s">
        <v>408</v>
      </c>
      <c r="BD1" s="84" t="s">
        <v>458</v>
      </c>
    </row>
    <row r="2" spans="1:56">
      <c r="A2" s="29" t="s">
        <v>35</v>
      </c>
      <c r="B2" s="32"/>
      <c r="C2" s="32"/>
      <c r="D2" s="32"/>
      <c r="E2" s="32"/>
      <c r="F2" s="32"/>
      <c r="G2" s="32"/>
      <c r="H2" s="32"/>
      <c r="I2" s="103">
        <v>5.0059190345359115</v>
      </c>
      <c r="J2" s="103">
        <v>4.5166005974364181</v>
      </c>
      <c r="K2" s="103">
        <v>4.0330318285668971</v>
      </c>
      <c r="L2" s="103">
        <v>4.2376916987528359</v>
      </c>
      <c r="M2" s="103">
        <v>5.0547042253065833</v>
      </c>
      <c r="N2" s="103">
        <v>5.7283255899084535</v>
      </c>
      <c r="O2" s="103">
        <v>5.9287105920597867</v>
      </c>
      <c r="P2" s="103">
        <v>5.8501471336628379</v>
      </c>
      <c r="Q2" s="103">
        <v>6.5284701695681866</v>
      </c>
      <c r="R2" s="103">
        <v>6.5063465114899346</v>
      </c>
      <c r="S2" s="103">
        <v>6.0511883203641474</v>
      </c>
      <c r="T2" s="103">
        <f>0.9204*7.7689</f>
        <v>7.1504955600000004</v>
      </c>
      <c r="U2" s="103">
        <v>8.0392060262616205</v>
      </c>
      <c r="V2" s="103">
        <v>8.0351149991711175</v>
      </c>
      <c r="W2" s="103">
        <v>7.4428999999999998</v>
      </c>
      <c r="X2" s="103">
        <v>6.9734999999999996</v>
      </c>
      <c r="Y2" s="103">
        <v>5.7897271268057784</v>
      </c>
      <c r="Z2" s="103">
        <v>5.7614999999999998</v>
      </c>
      <c r="AA2" s="103">
        <v>5.9958</v>
      </c>
      <c r="AB2" s="103">
        <v>5.8376000000000001</v>
      </c>
      <c r="AC2" s="267">
        <v>5.4482866670002039</v>
      </c>
      <c r="AD2" s="103">
        <v>5.3621749999999997</v>
      </c>
      <c r="AE2" s="103">
        <v>5.8391999999999999</v>
      </c>
      <c r="AF2" s="103">
        <f>1/0.1842</f>
        <v>5.4288816503800215</v>
      </c>
      <c r="AG2" s="103">
        <f>1/0.1924</f>
        <v>5.1975051975051976</v>
      </c>
      <c r="AH2" s="103">
        <f>1/0.1943</f>
        <v>5.1466803911477097</v>
      </c>
      <c r="AI2" s="104">
        <v>5.1462000000000003</v>
      </c>
      <c r="AJ2" s="104">
        <f>0.67*7.8</f>
        <v>5.226</v>
      </c>
      <c r="AK2" s="104">
        <f>AJ2</f>
        <v>5.226</v>
      </c>
      <c r="AL2" s="104">
        <f t="shared" ref="AL2:AN2" si="0">AK2</f>
        <v>5.226</v>
      </c>
      <c r="AM2" s="104">
        <f t="shared" si="0"/>
        <v>5.226</v>
      </c>
      <c r="AN2" s="104">
        <f t="shared" si="0"/>
        <v>5.226</v>
      </c>
    </row>
    <row r="3" spans="1:56">
      <c r="AQ3" s="29" t="s">
        <v>418</v>
      </c>
      <c r="AR3" s="30">
        <f t="shared" ref="AR3:BD3" si="1">T11</f>
        <v>4414</v>
      </c>
      <c r="AS3" s="30">
        <f t="shared" si="1"/>
        <v>8542</v>
      </c>
      <c r="AT3" s="30">
        <f t="shared" si="1"/>
        <v>7062</v>
      </c>
      <c r="AU3" s="30">
        <f t="shared" si="1"/>
        <v>4279</v>
      </c>
      <c r="AV3" s="30">
        <f t="shared" si="1"/>
        <v>3878</v>
      </c>
      <c r="AW3" s="30">
        <f t="shared" si="1"/>
        <v>3607</v>
      </c>
      <c r="AX3" s="30">
        <f t="shared" si="1"/>
        <v>3756</v>
      </c>
      <c r="AY3" s="30">
        <f t="shared" si="1"/>
        <v>5421</v>
      </c>
      <c r="AZ3" s="30">
        <f t="shared" si="1"/>
        <v>6566</v>
      </c>
      <c r="BA3" s="30">
        <f t="shared" si="1"/>
        <v>4231</v>
      </c>
      <c r="BB3" s="30">
        <f t="shared" si="1"/>
        <v>4041</v>
      </c>
      <c r="BC3" s="30">
        <f t="shared" si="1"/>
        <v>2792</v>
      </c>
      <c r="BD3" s="30">
        <f t="shared" si="1"/>
        <v>-695</v>
      </c>
    </row>
    <row r="4" spans="1:56" s="43" customFormat="1">
      <c r="A4" s="6" t="s">
        <v>448</v>
      </c>
      <c r="B4" s="85"/>
      <c r="C4" s="85"/>
      <c r="D4" s="85"/>
      <c r="E4" s="85"/>
      <c r="F4" s="85"/>
      <c r="G4" s="85"/>
      <c r="H4" s="85"/>
      <c r="I4" s="85"/>
      <c r="J4" s="85"/>
      <c r="K4" s="85"/>
      <c r="L4" s="85"/>
      <c r="M4" s="85"/>
      <c r="N4" s="85"/>
      <c r="O4" s="85"/>
      <c r="P4" s="85"/>
      <c r="Q4" s="85"/>
      <c r="R4" s="85"/>
      <c r="S4" s="85"/>
      <c r="T4" s="85"/>
      <c r="U4" s="85"/>
      <c r="V4" s="85"/>
      <c r="W4" s="85"/>
      <c r="X4" s="85"/>
      <c r="Y4" s="85"/>
      <c r="Z4" s="85"/>
      <c r="AA4" s="85"/>
      <c r="AB4" s="85"/>
      <c r="AC4" s="85"/>
      <c r="AD4" s="85"/>
      <c r="AE4" s="85"/>
      <c r="AF4" s="85"/>
      <c r="AG4" s="85"/>
      <c r="AH4" s="85"/>
      <c r="AI4" s="85"/>
      <c r="AJ4" s="85"/>
      <c r="AK4" s="85"/>
      <c r="AL4" s="85"/>
      <c r="AM4" s="85"/>
      <c r="AN4" s="85"/>
      <c r="AQ4" s="86" t="s">
        <v>349</v>
      </c>
      <c r="AR4" s="105">
        <f t="shared" ref="AR4:BD4" si="2">T13</f>
        <v>-1493</v>
      </c>
      <c r="AS4" s="105">
        <f t="shared" si="2"/>
        <v>-2205</v>
      </c>
      <c r="AT4" s="105">
        <f t="shared" si="2"/>
        <v>-2448</v>
      </c>
      <c r="AU4" s="105">
        <f t="shared" si="2"/>
        <v>-2531</v>
      </c>
      <c r="AV4" s="105">
        <f t="shared" si="2"/>
        <v>-1877</v>
      </c>
      <c r="AW4" s="105">
        <f t="shared" si="2"/>
        <v>-1454</v>
      </c>
      <c r="AX4" s="105">
        <f t="shared" si="2"/>
        <v>-1320</v>
      </c>
      <c r="AY4" s="105">
        <f t="shared" si="2"/>
        <v>-1335</v>
      </c>
      <c r="AZ4" s="105">
        <f t="shared" si="2"/>
        <v>-1681</v>
      </c>
      <c r="BA4" s="105">
        <f t="shared" si="2"/>
        <v>-1900</v>
      </c>
      <c r="BB4" s="105">
        <f t="shared" si="2"/>
        <v>-2000</v>
      </c>
      <c r="BC4" s="105">
        <f t="shared" si="2"/>
        <v>-2327</v>
      </c>
      <c r="BD4" s="105">
        <f t="shared" si="2"/>
        <v>-2368</v>
      </c>
    </row>
    <row r="5" spans="1:56" s="42" customFormat="1">
      <c r="A5" s="62" t="s">
        <v>114</v>
      </c>
      <c r="B5" s="62"/>
      <c r="C5" s="62"/>
      <c r="D5" s="62"/>
      <c r="E5" s="62"/>
      <c r="F5" s="62"/>
      <c r="G5" s="62"/>
      <c r="H5" s="62"/>
      <c r="I5" s="62"/>
      <c r="J5" s="62"/>
      <c r="K5" s="62"/>
      <c r="L5" s="62"/>
      <c r="M5" s="62"/>
      <c r="N5" s="106">
        <v>2000</v>
      </c>
      <c r="O5" s="106">
        <v>8045</v>
      </c>
      <c r="P5" s="107">
        <v>13770</v>
      </c>
      <c r="Q5" s="107">
        <v>18018</v>
      </c>
      <c r="R5" s="107">
        <v>19432</v>
      </c>
      <c r="S5" s="107">
        <v>19166</v>
      </c>
      <c r="T5" s="106">
        <v>25182</v>
      </c>
      <c r="U5" s="106">
        <v>56325</v>
      </c>
      <c r="V5" s="108">
        <v>66843</v>
      </c>
      <c r="W5" s="20">
        <v>64976</v>
      </c>
      <c r="X5" s="20">
        <v>50895</v>
      </c>
      <c r="Y5" s="20">
        <v>35707</v>
      </c>
      <c r="Z5" s="20">
        <v>36441</v>
      </c>
      <c r="AA5" s="108">
        <v>45895</v>
      </c>
      <c r="AB5" s="108">
        <v>43013</v>
      </c>
      <c r="AC5" s="108">
        <v>38752</v>
      </c>
      <c r="AD5" s="108">
        <v>32357</v>
      </c>
      <c r="AE5" s="108">
        <v>32271</v>
      </c>
      <c r="AF5" s="108">
        <v>41839</v>
      </c>
      <c r="AG5" s="108">
        <v>33190</v>
      </c>
      <c r="AH5" s="108">
        <v>37097</v>
      </c>
      <c r="AI5" s="477">
        <f t="shared" ref="AI5:AN5" si="3">AI11-AI8-AI9-AI10</f>
        <v>35907.274028518659</v>
      </c>
      <c r="AJ5" s="477">
        <f t="shared" si="3"/>
        <v>36001.23616812133</v>
      </c>
      <c r="AK5" s="477">
        <f t="shared" si="3"/>
        <v>36045.432280066088</v>
      </c>
      <c r="AL5" s="477">
        <f t="shared" si="3"/>
        <v>35968.016682438276</v>
      </c>
      <c r="AM5" s="477">
        <f t="shared" si="3"/>
        <v>35873.870974146535</v>
      </c>
      <c r="AN5" s="477">
        <f t="shared" si="3"/>
        <v>35772.396436202544</v>
      </c>
      <c r="AQ5" s="109" t="s">
        <v>424</v>
      </c>
      <c r="AR5" s="110">
        <f t="shared" ref="AR5:BD5" si="4">T16</f>
        <v>2921</v>
      </c>
      <c r="AS5" s="110">
        <f t="shared" si="4"/>
        <v>6337</v>
      </c>
      <c r="AT5" s="110">
        <f t="shared" si="4"/>
        <v>4614</v>
      </c>
      <c r="AU5" s="110">
        <f t="shared" si="4"/>
        <v>1748</v>
      </c>
      <c r="AV5" s="110">
        <f t="shared" si="4"/>
        <v>2001</v>
      </c>
      <c r="AW5" s="110">
        <f t="shared" si="4"/>
        <v>2153</v>
      </c>
      <c r="AX5" s="110">
        <f t="shared" si="4"/>
        <v>2436</v>
      </c>
      <c r="AY5" s="110">
        <f t="shared" si="4"/>
        <v>4086</v>
      </c>
      <c r="AZ5" s="110">
        <f t="shared" si="4"/>
        <v>4885</v>
      </c>
      <c r="BA5" s="110">
        <f t="shared" si="4"/>
        <v>2331</v>
      </c>
      <c r="BB5" s="110">
        <f t="shared" si="4"/>
        <v>2041</v>
      </c>
      <c r="BC5" s="110">
        <f t="shared" si="4"/>
        <v>465</v>
      </c>
      <c r="BD5" s="110">
        <f t="shared" si="4"/>
        <v>-3063</v>
      </c>
    </row>
    <row r="6" spans="1:56" s="42" customFormat="1">
      <c r="A6" s="111" t="s">
        <v>428</v>
      </c>
      <c r="B6" s="62"/>
      <c r="C6" s="62"/>
      <c r="D6" s="62"/>
      <c r="E6" s="62"/>
      <c r="F6" s="62"/>
      <c r="G6" s="62"/>
      <c r="H6" s="62"/>
      <c r="I6" s="62"/>
      <c r="J6" s="62"/>
      <c r="K6" s="62"/>
      <c r="L6" s="62"/>
      <c r="M6" s="62"/>
      <c r="N6" s="106"/>
      <c r="O6" s="106"/>
      <c r="P6" s="107"/>
      <c r="Q6" s="107"/>
      <c r="R6" s="107"/>
      <c r="S6" s="107"/>
      <c r="T6" s="106"/>
      <c r="U6" s="106"/>
      <c r="V6" s="108"/>
      <c r="W6" s="17">
        <f t="shared" ref="W6:AF6" si="5">W42+W50</f>
        <v>51713.269200000002</v>
      </c>
      <c r="X6" s="17">
        <f t="shared" si="5"/>
        <v>41687.582999999999</v>
      </c>
      <c r="Y6" s="17">
        <f t="shared" si="5"/>
        <v>30626.498555377206</v>
      </c>
      <c r="Z6" s="17">
        <f t="shared" si="5"/>
        <v>28302.792600000001</v>
      </c>
      <c r="AA6" s="17">
        <f t="shared" si="5"/>
        <v>31394.0088</v>
      </c>
      <c r="AB6" s="17">
        <f t="shared" si="5"/>
        <v>32051.342800000002</v>
      </c>
      <c r="AC6" s="17">
        <f t="shared" si="5"/>
        <v>28290.228518398562</v>
      </c>
      <c r="AD6" s="17">
        <f>AD42+AD50</f>
        <v>26173.848610000001</v>
      </c>
      <c r="AE6" s="17">
        <f>AE42+AE50</f>
        <v>25209.578159999997</v>
      </c>
      <c r="AF6" s="17">
        <f t="shared" si="5"/>
        <v>24703.583061889247</v>
      </c>
      <c r="AG6" s="17">
        <f t="shared" ref="AG6" si="6">AG42+AG50</f>
        <v>25551.455301455302</v>
      </c>
      <c r="AH6" s="17">
        <f t="shared" ref="AH6:AN6" si="7">AH42+AH50</f>
        <v>25595.47092125579</v>
      </c>
      <c r="AI6" s="17">
        <f t="shared" ref="AI6" si="8">AI42+AI50</f>
        <v>0</v>
      </c>
      <c r="AJ6" s="17">
        <f t="shared" si="7"/>
        <v>0</v>
      </c>
      <c r="AK6" s="17">
        <f t="shared" si="7"/>
        <v>0</v>
      </c>
      <c r="AL6" s="17">
        <f t="shared" si="7"/>
        <v>0</v>
      </c>
      <c r="AM6" s="17">
        <f t="shared" si="7"/>
        <v>0</v>
      </c>
      <c r="AN6" s="17">
        <f t="shared" si="7"/>
        <v>0</v>
      </c>
      <c r="AQ6" s="111" t="s">
        <v>484</v>
      </c>
      <c r="AR6" s="7">
        <f t="shared" ref="AR6:BD8" si="9">T22</f>
        <v>-248</v>
      </c>
      <c r="AS6" s="7">
        <f t="shared" si="9"/>
        <v>-176</v>
      </c>
      <c r="AT6" s="7">
        <f t="shared" si="9"/>
        <v>-538</v>
      </c>
      <c r="AU6" s="7">
        <f t="shared" si="9"/>
        <v>4</v>
      </c>
      <c r="AV6" s="7">
        <f t="shared" si="9"/>
        <v>42</v>
      </c>
      <c r="AW6" s="7">
        <f t="shared" si="9"/>
        <v>-241</v>
      </c>
      <c r="AX6" s="7">
        <f t="shared" si="9"/>
        <v>367</v>
      </c>
      <c r="AY6" s="7">
        <f t="shared" si="9"/>
        <v>-182</v>
      </c>
      <c r="AZ6" s="7">
        <f t="shared" si="9"/>
        <v>-50</v>
      </c>
      <c r="BA6" s="7">
        <f t="shared" si="9"/>
        <v>-171</v>
      </c>
      <c r="BB6" s="7">
        <f t="shared" si="9"/>
        <v>440</v>
      </c>
      <c r="BC6" s="7">
        <f t="shared" si="9"/>
        <v>-477</v>
      </c>
      <c r="BD6" s="7">
        <f t="shared" si="9"/>
        <v>-4196</v>
      </c>
    </row>
    <row r="7" spans="1:56" s="42" customFormat="1">
      <c r="A7" s="111" t="s">
        <v>429</v>
      </c>
      <c r="B7" s="62"/>
      <c r="C7" s="62"/>
      <c r="D7" s="62"/>
      <c r="E7" s="62"/>
      <c r="F7" s="62"/>
      <c r="G7" s="62"/>
      <c r="H7" s="62"/>
      <c r="I7" s="62"/>
      <c r="J7" s="62"/>
      <c r="K7" s="62"/>
      <c r="L7" s="62"/>
      <c r="M7" s="62"/>
      <c r="N7" s="106"/>
      <c r="O7" s="106"/>
      <c r="P7" s="107"/>
      <c r="Q7" s="107"/>
      <c r="R7" s="107"/>
      <c r="S7" s="107"/>
      <c r="T7" s="17"/>
      <c r="U7" s="17"/>
      <c r="V7" s="17"/>
      <c r="W7" s="17">
        <f t="shared" ref="W7:AD7" si="10">W5-W6</f>
        <v>13262.730799999998</v>
      </c>
      <c r="X7" s="17">
        <f t="shared" si="10"/>
        <v>9207.4170000000013</v>
      </c>
      <c r="Y7" s="17">
        <f t="shared" si="10"/>
        <v>5080.5014446227942</v>
      </c>
      <c r="Z7" s="17">
        <f t="shared" si="10"/>
        <v>8138.2073999999993</v>
      </c>
      <c r="AA7" s="17">
        <f t="shared" si="10"/>
        <v>14500.9912</v>
      </c>
      <c r="AB7" s="17">
        <f t="shared" si="10"/>
        <v>10961.657199999998</v>
      </c>
      <c r="AC7" s="17">
        <f t="shared" si="10"/>
        <v>10461.771481601438</v>
      </c>
      <c r="AD7" s="17">
        <f t="shared" si="10"/>
        <v>6183.1513899999991</v>
      </c>
      <c r="AE7" s="17">
        <f>AE5-AE6</f>
        <v>7061.4218400000027</v>
      </c>
      <c r="AF7" s="17">
        <f>AF5-AF6</f>
        <v>17135.416938110753</v>
      </c>
      <c r="AG7" s="17">
        <f>AG5-AG6</f>
        <v>7638.5446985446979</v>
      </c>
      <c r="AH7" s="17">
        <f>AH5-AH6</f>
        <v>11501.52907874421</v>
      </c>
      <c r="AI7" s="477"/>
      <c r="AJ7" s="477"/>
      <c r="AK7" s="477"/>
      <c r="AL7" s="477"/>
      <c r="AM7" s="477"/>
      <c r="AN7" s="477"/>
      <c r="AQ7" s="109" t="s">
        <v>483</v>
      </c>
      <c r="AR7" s="9">
        <f t="shared" si="9"/>
        <v>2673</v>
      </c>
      <c r="AS7" s="9">
        <f t="shared" si="9"/>
        <v>6161</v>
      </c>
      <c r="AT7" s="9">
        <f t="shared" si="9"/>
        <v>4076</v>
      </c>
      <c r="AU7" s="9">
        <f t="shared" si="9"/>
        <v>1752</v>
      </c>
      <c r="AV7" s="9">
        <f t="shared" si="9"/>
        <v>2043</v>
      </c>
      <c r="AW7" s="9">
        <f t="shared" si="9"/>
        <v>1912</v>
      </c>
      <c r="AX7" s="9">
        <f t="shared" si="9"/>
        <v>2803</v>
      </c>
      <c r="AY7" s="9">
        <f t="shared" si="9"/>
        <v>3904</v>
      </c>
      <c r="AZ7" s="9">
        <f t="shared" si="9"/>
        <v>4835</v>
      </c>
      <c r="BA7" s="9">
        <f t="shared" si="9"/>
        <v>2160</v>
      </c>
      <c r="BB7" s="9">
        <f t="shared" si="9"/>
        <v>2481</v>
      </c>
      <c r="BC7" s="9">
        <f t="shared" si="9"/>
        <v>-12</v>
      </c>
      <c r="BD7" s="9">
        <f t="shared" si="9"/>
        <v>-7259</v>
      </c>
    </row>
    <row r="8" spans="1:56" s="43" customFormat="1">
      <c r="A8" s="29" t="s">
        <v>417</v>
      </c>
      <c r="B8" s="29"/>
      <c r="C8" s="29"/>
      <c r="D8" s="29"/>
      <c r="E8" s="29"/>
      <c r="F8" s="29"/>
      <c r="G8" s="29"/>
      <c r="H8" s="29"/>
      <c r="I8" s="29"/>
      <c r="J8" s="29"/>
      <c r="K8" s="29"/>
      <c r="L8" s="29"/>
      <c r="M8" s="29"/>
      <c r="N8" s="50"/>
      <c r="O8" s="50"/>
      <c r="P8" s="45"/>
      <c r="Q8" s="45"/>
      <c r="R8" s="45"/>
      <c r="S8" s="45"/>
      <c r="T8" s="50">
        <f>T11-T5-T9-T10</f>
        <v>-20490</v>
      </c>
      <c r="U8" s="50">
        <f t="shared" ref="U8:AF8" si="11">U11-U5-U9-U10</f>
        <v>-47836</v>
      </c>
      <c r="V8" s="50">
        <f t="shared" si="11"/>
        <v>-59773</v>
      </c>
      <c r="W8" s="50">
        <f t="shared" si="11"/>
        <v>-60683</v>
      </c>
      <c r="X8" s="50">
        <f t="shared" si="11"/>
        <v>-46956</v>
      </c>
      <c r="Y8" s="50">
        <f t="shared" si="11"/>
        <v>-32103</v>
      </c>
      <c r="Z8" s="50">
        <f t="shared" si="11"/>
        <v>-32687</v>
      </c>
      <c r="AA8" s="50">
        <f t="shared" si="11"/>
        <v>-40479</v>
      </c>
      <c r="AB8" s="50">
        <f t="shared" si="11"/>
        <v>-36417</v>
      </c>
      <c r="AC8" s="17">
        <f t="shared" si="11"/>
        <v>-34537</v>
      </c>
      <c r="AD8" s="17">
        <f t="shared" si="11"/>
        <v>-28240</v>
      </c>
      <c r="AE8" s="17">
        <f t="shared" si="11"/>
        <v>-29479</v>
      </c>
      <c r="AF8" s="17">
        <f t="shared" si="11"/>
        <v>-42534</v>
      </c>
      <c r="AG8" s="17">
        <f t="shared" ref="AG8:AH8" si="12">AG11-AG5-AG9-AG10</f>
        <v>-30883</v>
      </c>
      <c r="AH8" s="17">
        <f t="shared" si="12"/>
        <v>-33323</v>
      </c>
      <c r="AI8" s="3">
        <f t="shared" ref="AI8:AL8" si="13">AH8</f>
        <v>-33323</v>
      </c>
      <c r="AJ8" s="3">
        <f t="shared" si="13"/>
        <v>-33323</v>
      </c>
      <c r="AK8" s="3">
        <f t="shared" si="13"/>
        <v>-33323</v>
      </c>
      <c r="AL8" s="3">
        <f t="shared" si="13"/>
        <v>-33323</v>
      </c>
      <c r="AM8" s="3">
        <f t="shared" ref="AM8:AN10" si="14">AL8</f>
        <v>-33323</v>
      </c>
      <c r="AN8" s="3">
        <f t="shared" si="14"/>
        <v>-33323</v>
      </c>
      <c r="AQ8" s="111" t="s">
        <v>485</v>
      </c>
      <c r="AR8" s="7">
        <f t="shared" si="9"/>
        <v>-779</v>
      </c>
      <c r="AS8" s="7">
        <f t="shared" si="9"/>
        <v>-1859</v>
      </c>
      <c r="AT8" s="7">
        <f t="shared" si="9"/>
        <v>-1636</v>
      </c>
      <c r="AU8" s="7">
        <f t="shared" si="9"/>
        <v>-1576</v>
      </c>
      <c r="AV8" s="7">
        <f t="shared" si="9"/>
        <v>-991</v>
      </c>
      <c r="AW8" s="7">
        <f t="shared" si="9"/>
        <v>-682</v>
      </c>
      <c r="AX8" s="7">
        <f t="shared" si="9"/>
        <v>-207</v>
      </c>
      <c r="AY8" s="7">
        <f t="shared" si="9"/>
        <v>-124</v>
      </c>
      <c r="AZ8" s="7">
        <f t="shared" si="9"/>
        <v>-24</v>
      </c>
      <c r="BA8" s="7">
        <f t="shared" si="9"/>
        <v>-60</v>
      </c>
      <c r="BB8" s="7">
        <f t="shared" si="9"/>
        <v>-88</v>
      </c>
      <c r="BC8" s="7">
        <f t="shared" si="9"/>
        <v>-126</v>
      </c>
      <c r="BD8" s="7">
        <f t="shared" si="9"/>
        <v>-311</v>
      </c>
    </row>
    <row r="9" spans="1:56" s="43" customFormat="1">
      <c r="A9" s="29" t="s">
        <v>419</v>
      </c>
      <c r="B9" s="29"/>
      <c r="C9" s="29"/>
      <c r="D9" s="29"/>
      <c r="E9" s="29"/>
      <c r="F9" s="29"/>
      <c r="G9" s="29"/>
      <c r="H9" s="29"/>
      <c r="I9" s="29"/>
      <c r="J9" s="29"/>
      <c r="K9" s="29"/>
      <c r="L9" s="29"/>
      <c r="M9" s="29"/>
      <c r="N9" s="50">
        <v>0</v>
      </c>
      <c r="O9" s="50">
        <v>16</v>
      </c>
      <c r="P9" s="50">
        <v>24</v>
      </c>
      <c r="Q9" s="50">
        <v>27</v>
      </c>
      <c r="R9" s="50">
        <v>21</v>
      </c>
      <c r="S9" s="50">
        <v>-40</v>
      </c>
      <c r="T9" s="50">
        <v>-287</v>
      </c>
      <c r="U9" s="50">
        <v>11</v>
      </c>
      <c r="V9" s="50">
        <v>-8</v>
      </c>
      <c r="W9" s="50">
        <v>-14</v>
      </c>
      <c r="X9" s="50">
        <v>-61</v>
      </c>
      <c r="Y9" s="50">
        <v>3</v>
      </c>
      <c r="Z9" s="50">
        <v>5</v>
      </c>
      <c r="AA9" s="30">
        <v>16</v>
      </c>
      <c r="AB9" s="30">
        <v>15</v>
      </c>
      <c r="AC9" s="30">
        <v>16</v>
      </c>
      <c r="AD9" s="30">
        <v>-76</v>
      </c>
      <c r="AE9" s="30">
        <v>0</v>
      </c>
      <c r="AF9" s="3">
        <f t="shared" ref="AD9:AG10" si="15">AE9</f>
        <v>0</v>
      </c>
      <c r="AG9" s="3">
        <f t="shared" si="15"/>
        <v>0</v>
      </c>
      <c r="AH9" s="3">
        <f t="shared" ref="AH9:AI10" si="16">AG9</f>
        <v>0</v>
      </c>
      <c r="AI9" s="3">
        <f t="shared" si="16"/>
        <v>0</v>
      </c>
      <c r="AJ9" s="3">
        <f t="shared" ref="AJ9:AL10" si="17">AI9</f>
        <v>0</v>
      </c>
      <c r="AK9" s="3">
        <f t="shared" si="17"/>
        <v>0</v>
      </c>
      <c r="AL9" s="3">
        <f t="shared" si="17"/>
        <v>0</v>
      </c>
      <c r="AM9" s="3">
        <f t="shared" si="14"/>
        <v>0</v>
      </c>
      <c r="AN9" s="3">
        <f t="shared" si="14"/>
        <v>0</v>
      </c>
      <c r="AQ9" s="111" t="s">
        <v>486</v>
      </c>
      <c r="AR9" s="105">
        <f t="shared" ref="AR9:BD9" si="18">T27</f>
        <v>-591</v>
      </c>
      <c r="AS9" s="105">
        <f t="shared" si="18"/>
        <v>-1391</v>
      </c>
      <c r="AT9" s="105">
        <f t="shared" si="18"/>
        <v>-755</v>
      </c>
      <c r="AU9" s="105">
        <f t="shared" si="18"/>
        <v>-50</v>
      </c>
      <c r="AV9" s="105">
        <f t="shared" si="18"/>
        <v>-296</v>
      </c>
      <c r="AW9" s="105">
        <f t="shared" si="18"/>
        <v>-394</v>
      </c>
      <c r="AX9" s="105">
        <f t="shared" si="18"/>
        <v>-747</v>
      </c>
      <c r="AY9" s="105">
        <f t="shared" si="18"/>
        <v>-1042</v>
      </c>
      <c r="AZ9" s="105">
        <f t="shared" si="18"/>
        <v>-1509</v>
      </c>
      <c r="BA9" s="105">
        <f t="shared" si="18"/>
        <v>-534</v>
      </c>
      <c r="BB9" s="105">
        <f t="shared" si="18"/>
        <v>-703</v>
      </c>
      <c r="BC9" s="105">
        <f t="shared" si="18"/>
        <v>55</v>
      </c>
      <c r="BD9" s="105">
        <f t="shared" si="18"/>
        <v>2303</v>
      </c>
    </row>
    <row r="10" spans="1:56" s="43" customFormat="1">
      <c r="A10" s="29" t="s">
        <v>420</v>
      </c>
      <c r="B10" s="29"/>
      <c r="C10" s="29"/>
      <c r="D10" s="29"/>
      <c r="E10" s="29"/>
      <c r="F10" s="29"/>
      <c r="G10" s="29"/>
      <c r="H10" s="29"/>
      <c r="I10" s="29"/>
      <c r="J10" s="29"/>
      <c r="K10" s="29"/>
      <c r="L10" s="29"/>
      <c r="M10" s="29"/>
      <c r="N10" s="50"/>
      <c r="O10" s="50"/>
      <c r="P10" s="50">
        <v>2</v>
      </c>
      <c r="Q10" s="50">
        <v>1</v>
      </c>
      <c r="R10" s="50">
        <v>-27</v>
      </c>
      <c r="S10" s="50">
        <v>-354</v>
      </c>
      <c r="T10" s="50">
        <v>9</v>
      </c>
      <c r="U10" s="50">
        <v>42</v>
      </c>
      <c r="V10" s="50">
        <v>0</v>
      </c>
      <c r="W10" s="50">
        <v>0</v>
      </c>
      <c r="X10" s="50">
        <v>0</v>
      </c>
      <c r="Y10" s="50">
        <v>0</v>
      </c>
      <c r="Z10" s="50">
        <v>-3</v>
      </c>
      <c r="AA10" s="30">
        <v>-11</v>
      </c>
      <c r="AB10" s="30">
        <v>-45</v>
      </c>
      <c r="AC10" s="30">
        <v>0</v>
      </c>
      <c r="AD10" s="30">
        <f t="shared" si="15"/>
        <v>0</v>
      </c>
      <c r="AE10" s="3">
        <f t="shared" si="15"/>
        <v>0</v>
      </c>
      <c r="AF10" s="3">
        <f t="shared" si="15"/>
        <v>0</v>
      </c>
      <c r="AG10" s="3">
        <f t="shared" si="15"/>
        <v>0</v>
      </c>
      <c r="AH10" s="3">
        <f t="shared" si="16"/>
        <v>0</v>
      </c>
      <c r="AI10" s="3">
        <f t="shared" si="16"/>
        <v>0</v>
      </c>
      <c r="AJ10" s="3">
        <f t="shared" si="17"/>
        <v>0</v>
      </c>
      <c r="AK10" s="3">
        <f t="shared" si="17"/>
        <v>0</v>
      </c>
      <c r="AL10" s="3">
        <f t="shared" si="17"/>
        <v>0</v>
      </c>
      <c r="AM10" s="3">
        <f t="shared" si="14"/>
        <v>0</v>
      </c>
      <c r="AN10" s="3">
        <f t="shared" si="14"/>
        <v>0</v>
      </c>
      <c r="AQ10" s="109" t="s">
        <v>487</v>
      </c>
      <c r="AR10" s="9">
        <f t="shared" ref="AR10:BD10" si="19">T29</f>
        <v>1303</v>
      </c>
      <c r="AS10" s="9">
        <f t="shared" si="19"/>
        <v>2911</v>
      </c>
      <c r="AT10" s="9">
        <f t="shared" si="19"/>
        <v>1685</v>
      </c>
      <c r="AU10" s="9">
        <f t="shared" si="19"/>
        <v>126</v>
      </c>
      <c r="AV10" s="9">
        <f t="shared" si="19"/>
        <v>756</v>
      </c>
      <c r="AW10" s="9">
        <f t="shared" si="19"/>
        <v>836</v>
      </c>
      <c r="AX10" s="9">
        <f t="shared" si="19"/>
        <v>1849</v>
      </c>
      <c r="AY10" s="9">
        <f t="shared" si="19"/>
        <v>2738</v>
      </c>
      <c r="AZ10" s="9">
        <f t="shared" si="19"/>
        <v>3302</v>
      </c>
      <c r="BA10" s="9">
        <f t="shared" si="19"/>
        <v>1566</v>
      </c>
      <c r="BB10" s="9">
        <f t="shared" si="19"/>
        <v>1690</v>
      </c>
      <c r="BC10" s="9">
        <f t="shared" si="19"/>
        <v>-83</v>
      </c>
      <c r="BD10" s="9">
        <f t="shared" si="19"/>
        <v>-5267</v>
      </c>
    </row>
    <row r="11" spans="1:56" s="43" customFormat="1">
      <c r="A11" s="109" t="s">
        <v>418</v>
      </c>
      <c r="B11" s="109"/>
      <c r="C11" s="109"/>
      <c r="D11" s="109"/>
      <c r="E11" s="109"/>
      <c r="F11" s="109"/>
      <c r="G11" s="109"/>
      <c r="H11" s="109"/>
      <c r="I11" s="109"/>
      <c r="J11" s="109"/>
      <c r="K11" s="109"/>
      <c r="L11" s="109"/>
      <c r="M11" s="109"/>
      <c r="N11" s="112"/>
      <c r="O11" s="112"/>
      <c r="P11" s="112"/>
      <c r="Q11" s="112"/>
      <c r="R11" s="112"/>
      <c r="S11" s="112"/>
      <c r="T11" s="112">
        <f>4447-33</f>
        <v>4414</v>
      </c>
      <c r="U11" s="112">
        <v>8542</v>
      </c>
      <c r="V11" s="112">
        <v>7062</v>
      </c>
      <c r="W11" s="112">
        <v>4279</v>
      </c>
      <c r="X11" s="112">
        <v>3878</v>
      </c>
      <c r="Y11" s="112">
        <v>3607</v>
      </c>
      <c r="Z11" s="112">
        <v>3756</v>
      </c>
      <c r="AA11" s="112">
        <v>5421</v>
      </c>
      <c r="AB11" s="112">
        <v>6566</v>
      </c>
      <c r="AC11" s="112">
        <f>4231</f>
        <v>4231</v>
      </c>
      <c r="AD11" s="112">
        <v>4041</v>
      </c>
      <c r="AE11" s="112">
        <v>2792</v>
      </c>
      <c r="AF11" s="112">
        <v>-695</v>
      </c>
      <c r="AG11" s="112">
        <v>2307</v>
      </c>
      <c r="AH11" s="112">
        <v>3774</v>
      </c>
      <c r="AI11" s="480">
        <f>AI16-AI13</f>
        <v>2584.2740285186592</v>
      </c>
      <c r="AJ11" s="480">
        <f t="shared" ref="AJ11:AN11" si="20">AJ16-AJ13</f>
        <v>2678.2361681213297</v>
      </c>
      <c r="AK11" s="480">
        <f t="shared" si="20"/>
        <v>2722.4322800660857</v>
      </c>
      <c r="AL11" s="480">
        <f t="shared" si="20"/>
        <v>2645.0166824382786</v>
      </c>
      <c r="AM11" s="480">
        <f t="shared" si="20"/>
        <v>2550.8709741465345</v>
      </c>
      <c r="AN11" s="480">
        <f t="shared" si="20"/>
        <v>2449.3964362025454</v>
      </c>
      <c r="AQ11" s="29"/>
    </row>
    <row r="12" spans="1:56" s="43" customFormat="1">
      <c r="A12" s="113" t="s">
        <v>59</v>
      </c>
      <c r="B12" s="62"/>
      <c r="C12" s="62"/>
      <c r="D12" s="62"/>
      <c r="E12" s="62"/>
      <c r="F12" s="62"/>
      <c r="G12" s="62"/>
      <c r="H12" s="62"/>
      <c r="I12" s="62"/>
      <c r="J12" s="62"/>
      <c r="K12" s="62"/>
      <c r="L12" s="62"/>
      <c r="M12" s="62"/>
      <c r="N12" s="108"/>
      <c r="O12" s="108"/>
      <c r="P12" s="108"/>
      <c r="Q12" s="108"/>
      <c r="R12" s="108"/>
      <c r="S12" s="108"/>
      <c r="T12" s="114">
        <f>T11/T5</f>
        <v>0.17528393296799302</v>
      </c>
      <c r="U12" s="114">
        <f t="shared" ref="U12:AF12" si="21">U11/U5</f>
        <v>0.15165557035064359</v>
      </c>
      <c r="V12" s="114">
        <f t="shared" si="21"/>
        <v>0.10565055428391903</v>
      </c>
      <c r="W12" s="114">
        <f t="shared" si="21"/>
        <v>6.5855084954444712E-2</v>
      </c>
      <c r="X12" s="114">
        <f t="shared" si="21"/>
        <v>7.6196089989193444E-2</v>
      </c>
      <c r="Y12" s="114">
        <f t="shared" si="21"/>
        <v>0.10101660738790713</v>
      </c>
      <c r="Z12" s="114">
        <f t="shared" si="21"/>
        <v>0.10307071704947723</v>
      </c>
      <c r="AA12" s="114">
        <f t="shared" si="21"/>
        <v>0.11811744198714456</v>
      </c>
      <c r="AB12" s="114">
        <f t="shared" si="21"/>
        <v>0.15265152395787321</v>
      </c>
      <c r="AC12" s="114">
        <f t="shared" si="21"/>
        <v>0.10918146160198183</v>
      </c>
      <c r="AD12" s="114">
        <f t="shared" si="21"/>
        <v>0.12488796860030286</v>
      </c>
      <c r="AE12" s="114">
        <f t="shared" si="21"/>
        <v>8.651730656006941E-2</v>
      </c>
      <c r="AF12" s="114">
        <f t="shared" si="21"/>
        <v>-1.6611295681063124E-2</v>
      </c>
      <c r="AG12" s="114">
        <f t="shared" ref="AG12" si="22">AG11/AG5</f>
        <v>6.9508888219343173E-2</v>
      </c>
      <c r="AH12" s="114">
        <f t="shared" ref="AH12:AN12" si="23">AH11/AH5</f>
        <v>0.1017332937973421</v>
      </c>
      <c r="AI12" s="114">
        <f t="shared" si="23"/>
        <v>7.1970766326236557E-2</v>
      </c>
      <c r="AJ12" s="114">
        <f t="shared" si="23"/>
        <v>7.4392894611015503E-2</v>
      </c>
      <c r="AK12" s="114">
        <f t="shared" si="23"/>
        <v>7.5527802216749956E-2</v>
      </c>
      <c r="AL12" s="114">
        <f t="shared" si="23"/>
        <v>7.3538018673399166E-2</v>
      </c>
      <c r="AM12" s="114">
        <f t="shared" si="23"/>
        <v>7.1106655202748767E-2</v>
      </c>
      <c r="AN12" s="114">
        <f t="shared" si="23"/>
        <v>6.8471689912384406E-2</v>
      </c>
    </row>
    <row r="13" spans="1:56">
      <c r="A13" s="29" t="s">
        <v>307</v>
      </c>
      <c r="M13" s="30">
        <v>-375</v>
      </c>
      <c r="N13" s="30">
        <v>-650</v>
      </c>
      <c r="O13" s="30">
        <v>-663</v>
      </c>
      <c r="P13" s="30">
        <v>-874</v>
      </c>
      <c r="Q13" s="30">
        <v>-969</v>
      </c>
      <c r="R13" s="30">
        <v>-1047</v>
      </c>
      <c r="S13" s="30">
        <v>-1132</v>
      </c>
      <c r="T13" s="115">
        <v>-1493</v>
      </c>
      <c r="U13" s="30">
        <v>-2205</v>
      </c>
      <c r="V13" s="30">
        <v>-2448</v>
      </c>
      <c r="W13" s="30">
        <v>-2531</v>
      </c>
      <c r="X13" s="30">
        <v>-1877</v>
      </c>
      <c r="Y13" s="30">
        <v>-1454</v>
      </c>
      <c r="Z13" s="30">
        <v>-1320</v>
      </c>
      <c r="AA13" s="30">
        <v>-1335</v>
      </c>
      <c r="AB13" s="30">
        <v>-1681</v>
      </c>
      <c r="AC13" s="30">
        <v>-1900</v>
      </c>
      <c r="AD13" s="30">
        <v>-2000</v>
      </c>
      <c r="AE13" s="30">
        <v>-2327</v>
      </c>
      <c r="AF13" s="30">
        <v>-2368</v>
      </c>
      <c r="AG13" s="30">
        <v>-2281</v>
      </c>
      <c r="AH13" s="30">
        <v>-2658</v>
      </c>
      <c r="AI13" s="3">
        <f t="shared" ref="AI13:AN13" si="24">AI14+AI15</f>
        <v>-2507.8533950617284</v>
      </c>
      <c r="AJ13" s="3">
        <f t="shared" si="24"/>
        <v>-2441.0909295140477</v>
      </c>
      <c r="AK13" s="3">
        <f t="shared" si="24"/>
        <v>-2330.2793006483162</v>
      </c>
      <c r="AL13" s="3">
        <f t="shared" si="24"/>
        <v>-2193.6476458608613</v>
      </c>
      <c r="AM13" s="3">
        <f t="shared" si="24"/>
        <v>-2044.2336175534458</v>
      </c>
      <c r="AN13" s="3">
        <f t="shared" si="24"/>
        <v>-1891.1753142614969</v>
      </c>
      <c r="AO13" s="30"/>
    </row>
    <row r="14" spans="1:56" s="43" customFormat="1">
      <c r="A14" s="416" t="s">
        <v>648</v>
      </c>
      <c r="B14" s="29"/>
      <c r="C14" s="29"/>
      <c r="D14" s="29"/>
      <c r="E14" s="29"/>
      <c r="F14" s="29"/>
      <c r="G14" s="29"/>
      <c r="H14" s="29"/>
      <c r="I14" s="29"/>
      <c r="J14" s="29"/>
      <c r="K14" s="29"/>
      <c r="L14" s="29"/>
      <c r="M14" s="30"/>
      <c r="N14" s="30"/>
      <c r="O14" s="30">
        <v>-66</v>
      </c>
      <c r="P14" s="30">
        <v>-165</v>
      </c>
      <c r="Q14" s="30">
        <v>-198</v>
      </c>
      <c r="R14" s="30">
        <v>-222</v>
      </c>
      <c r="S14" s="30">
        <v>-225</v>
      </c>
      <c r="T14" s="116">
        <v>-253</v>
      </c>
      <c r="U14" s="116">
        <v>-496</v>
      </c>
      <c r="V14" s="116">
        <v>-553</v>
      </c>
      <c r="W14" s="116">
        <v>-892</v>
      </c>
      <c r="X14" s="116">
        <v>-755</v>
      </c>
      <c r="Y14" s="116">
        <v>-468</v>
      </c>
      <c r="Z14" s="116">
        <v>-489</v>
      </c>
      <c r="AA14" s="116">
        <v>-404</v>
      </c>
      <c r="AB14" s="116">
        <v>-675</v>
      </c>
      <c r="AC14" s="17">
        <v>-732</v>
      </c>
      <c r="AD14" s="30">
        <v>-652</v>
      </c>
      <c r="AE14" s="30">
        <v>-544</v>
      </c>
      <c r="AF14" s="30">
        <v>-425</v>
      </c>
      <c r="AG14" s="30">
        <v>-425</v>
      </c>
      <c r="AH14" s="30">
        <v>-425</v>
      </c>
      <c r="AI14" s="3">
        <f>AH14</f>
        <v>-425</v>
      </c>
      <c r="AJ14" s="3">
        <f>AI14</f>
        <v>-425</v>
      </c>
      <c r="AK14" s="3">
        <f>AJ14</f>
        <v>-425</v>
      </c>
      <c r="AL14" s="3">
        <f>AK14</f>
        <v>-425</v>
      </c>
      <c r="AM14" s="3">
        <f t="shared" ref="AM14:AN14" si="25">AL14</f>
        <v>-425</v>
      </c>
      <c r="AN14" s="3">
        <f t="shared" si="25"/>
        <v>-425</v>
      </c>
      <c r="AO14" s="29"/>
      <c r="AP14" s="29"/>
      <c r="AQ14" s="117" t="s">
        <v>491</v>
      </c>
    </row>
    <row r="15" spans="1:56" s="43" customFormat="1">
      <c r="A15" s="416" t="s">
        <v>649</v>
      </c>
      <c r="B15" s="29"/>
      <c r="C15" s="29"/>
      <c r="D15" s="29"/>
      <c r="E15" s="29"/>
      <c r="F15" s="29"/>
      <c r="G15" s="29"/>
      <c r="H15" s="29"/>
      <c r="I15" s="29"/>
      <c r="J15" s="29"/>
      <c r="K15" s="29"/>
      <c r="L15" s="29"/>
      <c r="M15" s="116">
        <f t="shared" ref="M15:S15" si="26">M13-M14</f>
        <v>-375</v>
      </c>
      <c r="N15" s="116">
        <f t="shared" si="26"/>
        <v>-650</v>
      </c>
      <c r="O15" s="116">
        <f t="shared" si="26"/>
        <v>-597</v>
      </c>
      <c r="P15" s="116">
        <f t="shared" si="26"/>
        <v>-709</v>
      </c>
      <c r="Q15" s="116">
        <f t="shared" si="26"/>
        <v>-771</v>
      </c>
      <c r="R15" s="116">
        <f t="shared" si="26"/>
        <v>-825</v>
      </c>
      <c r="S15" s="116">
        <f t="shared" si="26"/>
        <v>-907</v>
      </c>
      <c r="T15" s="116">
        <f t="shared" ref="T15:AF15" si="27">T13-T14</f>
        <v>-1240</v>
      </c>
      <c r="U15" s="30">
        <f t="shared" si="27"/>
        <v>-1709</v>
      </c>
      <c r="V15" s="30">
        <f t="shared" si="27"/>
        <v>-1895</v>
      </c>
      <c r="W15" s="30">
        <f t="shared" si="27"/>
        <v>-1639</v>
      </c>
      <c r="X15" s="30">
        <f t="shared" si="27"/>
        <v>-1122</v>
      </c>
      <c r="Y15" s="30">
        <f t="shared" si="27"/>
        <v>-986</v>
      </c>
      <c r="Z15" s="30">
        <f t="shared" si="27"/>
        <v>-831</v>
      </c>
      <c r="AA15" s="30">
        <f t="shared" si="27"/>
        <v>-931</v>
      </c>
      <c r="AB15" s="30">
        <f t="shared" si="27"/>
        <v>-1006</v>
      </c>
      <c r="AC15" s="30">
        <f t="shared" si="27"/>
        <v>-1168</v>
      </c>
      <c r="AD15" s="30">
        <f t="shared" si="27"/>
        <v>-1348</v>
      </c>
      <c r="AE15" s="30">
        <f t="shared" si="27"/>
        <v>-1783</v>
      </c>
      <c r="AF15" s="30">
        <f t="shared" si="27"/>
        <v>-1943</v>
      </c>
      <c r="AG15" s="30">
        <f t="shared" ref="AG15:AH15" si="28">AG13-AG14</f>
        <v>-1856</v>
      </c>
      <c r="AH15" s="30">
        <f t="shared" si="28"/>
        <v>-2233</v>
      </c>
      <c r="AI15" s="3">
        <f t="shared" ref="AI15:AN15" si="29">AI89</f>
        <v>-2082.8533950617284</v>
      </c>
      <c r="AJ15" s="3">
        <f t="shared" si="29"/>
        <v>-2016.0909295140477</v>
      </c>
      <c r="AK15" s="3">
        <f t="shared" si="29"/>
        <v>-1905.2793006483164</v>
      </c>
      <c r="AL15" s="3">
        <f t="shared" si="29"/>
        <v>-1768.6476458608611</v>
      </c>
      <c r="AM15" s="3">
        <f t="shared" si="29"/>
        <v>-1619.2336175534458</v>
      </c>
      <c r="AN15" s="3">
        <f t="shared" si="29"/>
        <v>-1466.1753142614969</v>
      </c>
      <c r="AO15" s="29"/>
      <c r="AP15" s="29"/>
      <c r="AR15" s="493" t="s">
        <v>493</v>
      </c>
      <c r="AS15" s="493"/>
      <c r="AT15" s="493"/>
      <c r="AU15" s="493" t="s">
        <v>494</v>
      </c>
      <c r="AV15" s="493"/>
      <c r="AW15" s="493"/>
      <c r="AX15" s="493" t="s">
        <v>497</v>
      </c>
      <c r="AY15" s="493"/>
      <c r="AZ15" s="493"/>
      <c r="BA15" s="84" t="s">
        <v>495</v>
      </c>
      <c r="BB15" s="84" t="s">
        <v>97</v>
      </c>
    </row>
    <row r="16" spans="1:56" s="43" customFormat="1">
      <c r="A16" s="109" t="s">
        <v>424</v>
      </c>
      <c r="B16" s="109"/>
      <c r="C16" s="109"/>
      <c r="D16" s="109"/>
      <c r="E16" s="109"/>
      <c r="F16" s="109"/>
      <c r="G16" s="109"/>
      <c r="H16" s="109"/>
      <c r="I16" s="109"/>
      <c r="J16" s="109"/>
      <c r="K16" s="109"/>
      <c r="L16" s="109"/>
      <c r="M16" s="109"/>
      <c r="N16" s="112"/>
      <c r="O16" s="112"/>
      <c r="P16" s="112"/>
      <c r="Q16" s="112"/>
      <c r="R16" s="112"/>
      <c r="S16" s="112"/>
      <c r="T16" s="112">
        <f t="shared" ref="T16:AF16" si="30">T11+T13</f>
        <v>2921</v>
      </c>
      <c r="U16" s="112">
        <f t="shared" si="30"/>
        <v>6337</v>
      </c>
      <c r="V16" s="112">
        <f t="shared" si="30"/>
        <v>4614</v>
      </c>
      <c r="W16" s="112">
        <f t="shared" si="30"/>
        <v>1748</v>
      </c>
      <c r="X16" s="112">
        <f t="shared" si="30"/>
        <v>2001</v>
      </c>
      <c r="Y16" s="112">
        <f t="shared" si="30"/>
        <v>2153</v>
      </c>
      <c r="Z16" s="112">
        <f t="shared" si="30"/>
        <v>2436</v>
      </c>
      <c r="AA16" s="112">
        <f t="shared" si="30"/>
        <v>4086</v>
      </c>
      <c r="AB16" s="112">
        <f t="shared" si="30"/>
        <v>4885</v>
      </c>
      <c r="AC16" s="112">
        <f t="shared" si="30"/>
        <v>2331</v>
      </c>
      <c r="AD16" s="112">
        <f t="shared" si="30"/>
        <v>2041</v>
      </c>
      <c r="AE16" s="112">
        <f t="shared" si="30"/>
        <v>465</v>
      </c>
      <c r="AF16" s="112">
        <f t="shared" si="30"/>
        <v>-3063</v>
      </c>
      <c r="AG16" s="112">
        <f t="shared" ref="AG16:AH16" si="31">AG11+AG13</f>
        <v>26</v>
      </c>
      <c r="AH16" s="112">
        <f t="shared" si="31"/>
        <v>1116</v>
      </c>
      <c r="AI16" s="480">
        <f>AI17+AI19+AI21</f>
        <v>76.420633456931</v>
      </c>
      <c r="AJ16" s="480">
        <f t="shared" ref="AJ16:AN16" si="32">AJ17+AJ19+AJ21</f>
        <v>237.14523860728195</v>
      </c>
      <c r="AK16" s="480">
        <f t="shared" si="32"/>
        <v>392.15297941776953</v>
      </c>
      <c r="AL16" s="480">
        <f t="shared" si="32"/>
        <v>451.36903657741732</v>
      </c>
      <c r="AM16" s="480">
        <f t="shared" si="32"/>
        <v>506.63735659308895</v>
      </c>
      <c r="AN16" s="480">
        <f t="shared" si="32"/>
        <v>558.22112194104875</v>
      </c>
      <c r="AQ16" s="29"/>
      <c r="AR16" s="84">
        <f>AA1</f>
        <v>2017</v>
      </c>
      <c r="AS16" s="84">
        <f>AB1</f>
        <v>2018</v>
      </c>
      <c r="AT16" s="84">
        <f>AC1</f>
        <v>2019</v>
      </c>
      <c r="AU16" s="84">
        <f t="shared" ref="AU16:AZ16" si="33">AR16</f>
        <v>2017</v>
      </c>
      <c r="AV16" s="84">
        <f t="shared" si="33"/>
        <v>2018</v>
      </c>
      <c r="AW16" s="84">
        <f t="shared" si="33"/>
        <v>2019</v>
      </c>
      <c r="AX16" s="84">
        <f t="shared" si="33"/>
        <v>2017</v>
      </c>
      <c r="AY16" s="84">
        <f t="shared" si="33"/>
        <v>2018</v>
      </c>
      <c r="AZ16" s="84">
        <f t="shared" si="33"/>
        <v>2019</v>
      </c>
    </row>
    <row r="17" spans="1:55" s="43" customFormat="1">
      <c r="A17" s="111" t="s">
        <v>428</v>
      </c>
      <c r="B17" s="62"/>
      <c r="C17" s="62"/>
      <c r="D17" s="62"/>
      <c r="E17" s="62"/>
      <c r="F17" s="62"/>
      <c r="G17" s="62"/>
      <c r="H17" s="62"/>
      <c r="I17" s="62"/>
      <c r="J17" s="62"/>
      <c r="K17" s="62"/>
      <c r="L17" s="62"/>
      <c r="M17" s="62"/>
      <c r="N17" s="108"/>
      <c r="O17" s="108"/>
      <c r="P17" s="108"/>
      <c r="Q17" s="50"/>
      <c r="R17" s="50"/>
      <c r="S17" s="50"/>
      <c r="T17" s="50"/>
      <c r="U17" s="50"/>
      <c r="V17" s="50"/>
      <c r="W17" s="50">
        <v>668</v>
      </c>
      <c r="X17" s="50">
        <v>1279</v>
      </c>
      <c r="Y17" s="50">
        <v>2658</v>
      </c>
      <c r="Z17" s="50">
        <v>2937</v>
      </c>
      <c r="AA17" s="50">
        <v>2990</v>
      </c>
      <c r="AB17" s="50">
        <v>1539</v>
      </c>
      <c r="AC17" s="17">
        <v>679</v>
      </c>
      <c r="AD17" s="17">
        <v>264</v>
      </c>
      <c r="AE17" s="50">
        <v>819</v>
      </c>
      <c r="AF17" s="50">
        <v>1131</v>
      </c>
      <c r="AG17" s="50">
        <f>1759-(-AG13*$AU$28)</f>
        <v>1491.2136824324325</v>
      </c>
      <c r="AH17" s="50">
        <f>34-(-AH13*$AU$28)</f>
        <v>-278.04560810810807</v>
      </c>
      <c r="AI17" s="148">
        <f t="shared" ref="AI17:AN17" si="34">AI52</f>
        <v>-1448.3212334600714</v>
      </c>
      <c r="AJ17" s="148">
        <f t="shared" si="34"/>
        <v>-1402.8021365907266</v>
      </c>
      <c r="AK17" s="148">
        <f t="shared" si="34"/>
        <v>-1339.3563610625324</v>
      </c>
      <c r="AL17" s="148">
        <f t="shared" si="34"/>
        <v>-1280.1403039028846</v>
      </c>
      <c r="AM17" s="148">
        <f t="shared" si="34"/>
        <v>-1224.8719838872132</v>
      </c>
      <c r="AN17" s="148">
        <f t="shared" si="34"/>
        <v>-1173.2882185392532</v>
      </c>
      <c r="AQ17" s="86" t="s">
        <v>498</v>
      </c>
      <c r="AR17" s="120">
        <v>2.5361347389581641E-2</v>
      </c>
      <c r="AS17" s="120">
        <v>3.0361347389581642E-2</v>
      </c>
      <c r="AT17" s="120">
        <v>3.0361347389581642E-2</v>
      </c>
      <c r="AU17" s="120">
        <v>0.03</v>
      </c>
      <c r="AV17" s="120">
        <v>3.4999999999999996E-2</v>
      </c>
      <c r="AW17" s="120">
        <v>3.4999999999999996E-2</v>
      </c>
      <c r="AX17" s="90">
        <v>0.9</v>
      </c>
      <c r="AY17" s="90">
        <v>0.9</v>
      </c>
      <c r="AZ17" s="90">
        <v>0.9</v>
      </c>
      <c r="BA17" s="121">
        <v>84</v>
      </c>
      <c r="BB17" s="122">
        <v>210995.85913462465</v>
      </c>
    </row>
    <row r="18" spans="1:55" s="43" customFormat="1">
      <c r="A18" s="118" t="s">
        <v>435</v>
      </c>
      <c r="B18" s="62"/>
      <c r="C18" s="62"/>
      <c r="D18" s="62"/>
      <c r="E18" s="62"/>
      <c r="F18" s="62"/>
      <c r="G18" s="62"/>
      <c r="H18" s="62"/>
      <c r="I18" s="62"/>
      <c r="J18" s="62"/>
      <c r="K18" s="62"/>
      <c r="L18" s="62"/>
      <c r="M18" s="62"/>
      <c r="N18" s="108"/>
      <c r="O18" s="108"/>
      <c r="P18" s="108"/>
      <c r="Q18" s="50"/>
      <c r="R18" s="50"/>
      <c r="S18" s="50"/>
      <c r="T18" s="50"/>
      <c r="U18" s="50"/>
      <c r="V18" s="50"/>
      <c r="W18" s="119">
        <f t="shared" ref="W18:AH18" si="35">W17/W6</f>
        <v>1.2917380980431227E-2</v>
      </c>
      <c r="X18" s="119">
        <f t="shared" si="35"/>
        <v>3.0680598584955143E-2</v>
      </c>
      <c r="Y18" s="119">
        <f t="shared" si="35"/>
        <v>8.6787590007847151E-2</v>
      </c>
      <c r="Z18" s="119">
        <f t="shared" si="35"/>
        <v>0.10377067879867091</v>
      </c>
      <c r="AA18" s="119">
        <f t="shared" si="35"/>
        <v>9.5241102181254408E-2</v>
      </c>
      <c r="AB18" s="119">
        <f t="shared" si="35"/>
        <v>4.8016708991050441E-2</v>
      </c>
      <c r="AC18" s="169">
        <f t="shared" si="35"/>
        <v>2.4001220052302232E-2</v>
      </c>
      <c r="AD18" s="169">
        <f t="shared" si="35"/>
        <v>1.0086403567686869E-2</v>
      </c>
      <c r="AE18" s="169">
        <f t="shared" si="35"/>
        <v>3.2487651907619229E-2</v>
      </c>
      <c r="AF18" s="169">
        <f t="shared" si="35"/>
        <v>4.5782832278481018E-2</v>
      </c>
      <c r="AG18" s="169">
        <f t="shared" si="35"/>
        <v>5.8361203494640058E-2</v>
      </c>
      <c r="AH18" s="169">
        <f t="shared" si="35"/>
        <v>-1.0863078431473779E-2</v>
      </c>
      <c r="AI18" s="123"/>
      <c r="AJ18" s="123"/>
      <c r="AK18" s="123"/>
      <c r="AL18" s="123"/>
      <c r="AM18" s="123"/>
      <c r="AN18" s="123"/>
      <c r="AQ18" s="86" t="s">
        <v>492</v>
      </c>
      <c r="AR18" s="120">
        <v>0.02</v>
      </c>
      <c r="AS18" s="120">
        <v>0.02</v>
      </c>
      <c r="AT18" s="120">
        <v>0.02</v>
      </c>
      <c r="AU18" s="120">
        <v>0.02</v>
      </c>
      <c r="AV18" s="120">
        <v>2.5000000000000001E-2</v>
      </c>
      <c r="AW18" s="120">
        <v>2.5000000000000001E-2</v>
      </c>
      <c r="AX18" s="90">
        <v>0.8</v>
      </c>
      <c r="AY18" s="90">
        <v>0.8</v>
      </c>
      <c r="AZ18" s="90">
        <v>0.8</v>
      </c>
      <c r="BA18" s="121">
        <v>78</v>
      </c>
      <c r="BB18" s="122">
        <v>198079.59963322012</v>
      </c>
    </row>
    <row r="19" spans="1:55" s="43" customFormat="1">
      <c r="A19" s="111" t="s">
        <v>429</v>
      </c>
      <c r="B19" s="62"/>
      <c r="C19" s="62"/>
      <c r="D19" s="62"/>
      <c r="E19" s="62"/>
      <c r="F19" s="62"/>
      <c r="G19" s="62"/>
      <c r="H19" s="62"/>
      <c r="I19" s="62"/>
      <c r="J19" s="62"/>
      <c r="K19" s="62"/>
      <c r="L19" s="62"/>
      <c r="M19" s="62"/>
      <c r="N19" s="108"/>
      <c r="O19" s="108"/>
      <c r="P19" s="108"/>
      <c r="Q19" s="50"/>
      <c r="R19" s="50"/>
      <c r="S19" s="50"/>
      <c r="T19" s="50"/>
      <c r="U19" s="50"/>
      <c r="V19" s="50"/>
      <c r="W19" s="50">
        <v>2127</v>
      </c>
      <c r="X19" s="50">
        <v>2198</v>
      </c>
      <c r="Y19" s="50">
        <v>975</v>
      </c>
      <c r="Z19" s="50">
        <v>1419</v>
      </c>
      <c r="AA19" s="50">
        <v>2925</v>
      </c>
      <c r="AB19" s="50">
        <v>5391</v>
      </c>
      <c r="AC19" s="17">
        <v>3621</v>
      </c>
      <c r="AD19" s="17">
        <v>3440</v>
      </c>
      <c r="AE19" s="17">
        <v>1445</v>
      </c>
      <c r="AF19" s="50">
        <v>-2879</v>
      </c>
      <c r="AG19" s="50">
        <f>1967-(-AG13*$AU$29)</f>
        <v>64.561233108108127</v>
      </c>
      <c r="AH19" s="50">
        <f>5164-(-AH13*$AU$29)</f>
        <v>2947.1292229729729</v>
      </c>
      <c r="AI19" s="148">
        <f t="shared" ref="AI19:AN19" si="36">AI79</f>
        <v>3077.6805169572558</v>
      </c>
      <c r="AJ19" s="148">
        <f t="shared" si="36"/>
        <v>3216.9668041184477</v>
      </c>
      <c r="AK19" s="148">
        <f t="shared" si="36"/>
        <v>3308.5287694007411</v>
      </c>
      <c r="AL19" s="148">
        <f t="shared" si="36"/>
        <v>3308.5287694007411</v>
      </c>
      <c r="AM19" s="148">
        <f t="shared" si="36"/>
        <v>3308.5287694007411</v>
      </c>
      <c r="AN19" s="148">
        <f t="shared" si="36"/>
        <v>3308.5287694007411</v>
      </c>
      <c r="AQ19" s="86" t="s">
        <v>499</v>
      </c>
      <c r="AR19" s="120">
        <v>0.02</v>
      </c>
      <c r="AS19" s="120">
        <v>1.4999999999999999E-2</v>
      </c>
      <c r="AT19" s="120">
        <v>9.9999999999999985E-3</v>
      </c>
      <c r="AU19" s="120">
        <v>0.02</v>
      </c>
      <c r="AV19" s="120">
        <v>0.02</v>
      </c>
      <c r="AW19" s="120">
        <v>1.4999999999999999E-2</v>
      </c>
      <c r="AX19" s="90">
        <v>0.7</v>
      </c>
      <c r="AY19" s="90">
        <v>0.64999999999999991</v>
      </c>
      <c r="AZ19" s="90">
        <v>0.59999999999999987</v>
      </c>
      <c r="BA19" s="121">
        <v>74</v>
      </c>
      <c r="BB19" s="122">
        <v>188138.65786321403</v>
      </c>
    </row>
    <row r="20" spans="1:55" s="43" customFormat="1">
      <c r="A20" s="118" t="s">
        <v>435</v>
      </c>
      <c r="B20" s="62"/>
      <c r="C20" s="62"/>
      <c r="D20" s="62"/>
      <c r="E20" s="62"/>
      <c r="F20" s="62"/>
      <c r="G20" s="62"/>
      <c r="H20" s="62"/>
      <c r="I20" s="62"/>
      <c r="J20" s="62"/>
      <c r="K20" s="62"/>
      <c r="L20" s="62"/>
      <c r="M20" s="62"/>
      <c r="N20" s="108"/>
      <c r="O20" s="108"/>
      <c r="P20" s="108"/>
      <c r="Q20" s="50"/>
      <c r="R20" s="50"/>
      <c r="S20" s="50"/>
      <c r="T20" s="50"/>
      <c r="U20" s="50"/>
      <c r="V20" s="50"/>
      <c r="W20" s="119">
        <f t="shared" ref="W20:AH20" si="37">W19/W7</f>
        <v>0.16037421192323381</v>
      </c>
      <c r="X20" s="119">
        <f t="shared" si="37"/>
        <v>0.23872058797814846</v>
      </c>
      <c r="Y20" s="119">
        <f t="shared" si="37"/>
        <v>0.19191019048561447</v>
      </c>
      <c r="Z20" s="119">
        <f t="shared" si="37"/>
        <v>0.17436272268018141</v>
      </c>
      <c r="AA20" s="119">
        <f t="shared" si="37"/>
        <v>0.20171034928977821</v>
      </c>
      <c r="AB20" s="119">
        <f t="shared" si="37"/>
        <v>0.49180519894382402</v>
      </c>
      <c r="AC20" s="169">
        <f t="shared" si="37"/>
        <v>0.34611729059156571</v>
      </c>
      <c r="AD20" s="169">
        <f t="shared" si="37"/>
        <v>0.55635060230993316</v>
      </c>
      <c r="AE20" s="169">
        <f t="shared" si="37"/>
        <v>0.20463300915046304</v>
      </c>
      <c r="AF20" s="169">
        <f t="shared" si="37"/>
        <v>-0.16801458700411528</v>
      </c>
      <c r="AG20" s="169">
        <f t="shared" si="37"/>
        <v>8.4520331628626048E-3</v>
      </c>
      <c r="AH20" s="169">
        <f t="shared" si="37"/>
        <v>0.2562380360729179</v>
      </c>
      <c r="AI20" s="123"/>
      <c r="AJ20" s="123"/>
      <c r="AK20" s="123"/>
      <c r="AL20" s="123"/>
      <c r="AM20" s="123"/>
      <c r="AN20" s="123"/>
      <c r="AQ20" s="29"/>
      <c r="AR20" s="29"/>
      <c r="AS20" s="29"/>
      <c r="AT20" s="29"/>
      <c r="AU20" s="29"/>
      <c r="AV20" s="29"/>
      <c r="AW20" s="29"/>
      <c r="AX20" s="29"/>
      <c r="AY20" s="29"/>
      <c r="AZ20" s="29"/>
      <c r="BA20" s="29"/>
      <c r="BB20" s="29"/>
    </row>
    <row r="21" spans="1:55" s="43" customFormat="1">
      <c r="A21" s="111" t="s">
        <v>430</v>
      </c>
      <c r="B21" s="62"/>
      <c r="C21" s="62"/>
      <c r="D21" s="62"/>
      <c r="E21" s="62"/>
      <c r="F21" s="62"/>
      <c r="G21" s="62"/>
      <c r="H21" s="62"/>
      <c r="I21" s="62"/>
      <c r="J21" s="62"/>
      <c r="K21" s="62"/>
      <c r="L21" s="62"/>
      <c r="M21" s="62"/>
      <c r="N21" s="108"/>
      <c r="O21" s="108"/>
      <c r="P21" s="108"/>
      <c r="Q21" s="50"/>
      <c r="R21" s="50"/>
      <c r="S21" s="50"/>
      <c r="T21" s="50"/>
      <c r="U21" s="50"/>
      <c r="V21" s="50"/>
      <c r="W21" s="50">
        <v>-1047</v>
      </c>
      <c r="X21" s="50">
        <v>-1476</v>
      </c>
      <c r="Y21" s="50">
        <v>-1480</v>
      </c>
      <c r="Z21" s="50">
        <v>-1920</v>
      </c>
      <c r="AA21" s="50">
        <v>-1829</v>
      </c>
      <c r="AB21" s="50">
        <v>-2045</v>
      </c>
      <c r="AC21" s="17">
        <v>-1969</v>
      </c>
      <c r="AD21" s="30">
        <v>-1663</v>
      </c>
      <c r="AE21" s="30">
        <v>-1799</v>
      </c>
      <c r="AF21" s="30">
        <v>-1315</v>
      </c>
      <c r="AG21" s="50">
        <f>-1419-(-AG13*$AU$30)</f>
        <v>-1529.7749155405406</v>
      </c>
      <c r="AH21" s="50">
        <f>-1424-(-AH13*$AU$30)</f>
        <v>-1553.0836148648648</v>
      </c>
      <c r="AI21" s="3">
        <f>AH21/AH2*AI2</f>
        <v>-1552.9386500402534</v>
      </c>
      <c r="AJ21" s="3">
        <f>AI21/AI2*AJ2</f>
        <v>-1577.0194289204392</v>
      </c>
      <c r="AK21" s="3">
        <f>AJ21/AJ2*AK2</f>
        <v>-1577.0194289204392</v>
      </c>
      <c r="AL21" s="3">
        <f>AK21/AK2*AL2</f>
        <v>-1577.0194289204392</v>
      </c>
      <c r="AM21" s="3">
        <f t="shared" ref="AM21:AN21" si="38">AL21/AL2*AM2</f>
        <v>-1577.0194289204392</v>
      </c>
      <c r="AN21" s="3">
        <f t="shared" si="38"/>
        <v>-1577.0194289204392</v>
      </c>
      <c r="AQ21" s="42" t="s">
        <v>496</v>
      </c>
      <c r="AR21" s="84">
        <f t="shared" ref="AR21:BC21" si="39">U1</f>
        <v>2011</v>
      </c>
      <c r="AS21" s="84">
        <f t="shared" si="39"/>
        <v>2012</v>
      </c>
      <c r="AT21" s="84">
        <f t="shared" si="39"/>
        <v>2013</v>
      </c>
      <c r="AU21" s="84">
        <f t="shared" si="39"/>
        <v>2014</v>
      </c>
      <c r="AV21" s="84">
        <f t="shared" si="39"/>
        <v>2015</v>
      </c>
      <c r="AW21" s="84">
        <f t="shared" si="39"/>
        <v>2016</v>
      </c>
      <c r="AX21" s="84">
        <f t="shared" si="39"/>
        <v>2017</v>
      </c>
      <c r="AY21" s="84">
        <f t="shared" si="39"/>
        <v>2018</v>
      </c>
      <c r="AZ21" s="84">
        <f t="shared" si="39"/>
        <v>2019</v>
      </c>
      <c r="BA21" s="84">
        <f t="shared" si="39"/>
        <v>2020</v>
      </c>
      <c r="BB21" s="84">
        <f t="shared" si="39"/>
        <v>2021</v>
      </c>
      <c r="BC21" s="84">
        <f t="shared" si="39"/>
        <v>2022</v>
      </c>
    </row>
    <row r="22" spans="1:55" s="43" customFormat="1">
      <c r="A22" s="29" t="s">
        <v>58</v>
      </c>
      <c r="B22" s="29"/>
      <c r="C22" s="29"/>
      <c r="D22" s="29"/>
      <c r="E22" s="29"/>
      <c r="F22" s="29"/>
      <c r="G22" s="29"/>
      <c r="H22" s="29"/>
      <c r="I22" s="29"/>
      <c r="J22" s="29"/>
      <c r="K22" s="29"/>
      <c r="L22" s="29"/>
      <c r="M22" s="29"/>
      <c r="N22" s="30"/>
      <c r="O22" s="30"/>
      <c r="P22" s="30"/>
      <c r="Q22" s="30"/>
      <c r="R22" s="30"/>
      <c r="S22" s="30"/>
      <c r="T22" s="50">
        <v>-248</v>
      </c>
      <c r="U22" s="50">
        <v>-176</v>
      </c>
      <c r="V22" s="50">
        <v>-538</v>
      </c>
      <c r="W22" s="50">
        <v>4</v>
      </c>
      <c r="X22" s="50">
        <v>42</v>
      </c>
      <c r="Y22" s="50">
        <v>-241</v>
      </c>
      <c r="Z22" s="50">
        <v>367</v>
      </c>
      <c r="AA22" s="30">
        <v>-182</v>
      </c>
      <c r="AB22" s="30">
        <v>-50</v>
      </c>
      <c r="AC22" s="30">
        <v>-171</v>
      </c>
      <c r="AD22" s="30">
        <v>440</v>
      </c>
      <c r="AE22" s="30">
        <v>-477</v>
      </c>
      <c r="AF22" s="30">
        <v>-4196</v>
      </c>
      <c r="AG22" s="30">
        <v>2138</v>
      </c>
      <c r="AH22" s="30">
        <v>734</v>
      </c>
      <c r="AI22" s="3">
        <f>AH22</f>
        <v>734</v>
      </c>
      <c r="AJ22" s="3">
        <f>AI22</f>
        <v>734</v>
      </c>
      <c r="AK22" s="3">
        <f t="shared" ref="AK22:AN22" si="40">AJ22</f>
        <v>734</v>
      </c>
      <c r="AL22" s="3">
        <f t="shared" si="40"/>
        <v>734</v>
      </c>
      <c r="AM22" s="3">
        <f t="shared" si="40"/>
        <v>734</v>
      </c>
      <c r="AN22" s="3">
        <f t="shared" si="40"/>
        <v>734</v>
      </c>
      <c r="AQ22" s="86" t="s">
        <v>498</v>
      </c>
      <c r="AR22" s="124"/>
      <c r="AS22" s="124"/>
      <c r="AT22" s="124"/>
      <c r="AU22" s="124"/>
      <c r="AV22" s="124"/>
      <c r="AW22" s="124">
        <v>7.1442370851203585E-2</v>
      </c>
      <c r="AX22" s="124">
        <v>0.1611937336242002</v>
      </c>
      <c r="AY22" s="124">
        <v>0.19965208302756771</v>
      </c>
      <c r="AZ22" s="124">
        <v>0.19447084621141439</v>
      </c>
      <c r="BA22" s="124">
        <v>0.18986053469994035</v>
      </c>
      <c r="BB22" s="124">
        <v>0.18571594510961728</v>
      </c>
      <c r="BC22" s="124">
        <v>0.18204933292869752</v>
      </c>
    </row>
    <row r="23" spans="1:55">
      <c r="A23" s="109" t="s">
        <v>61</v>
      </c>
      <c r="B23" s="109"/>
      <c r="C23" s="109"/>
      <c r="D23" s="109"/>
      <c r="E23" s="109"/>
      <c r="F23" s="109"/>
      <c r="G23" s="109"/>
      <c r="H23" s="109"/>
      <c r="I23" s="109"/>
      <c r="J23" s="109"/>
      <c r="K23" s="109"/>
      <c r="L23" s="109"/>
      <c r="M23" s="109"/>
      <c r="N23" s="112"/>
      <c r="O23" s="112"/>
      <c r="P23" s="112"/>
      <c r="Q23" s="112"/>
      <c r="R23" s="112"/>
      <c r="S23" s="112"/>
      <c r="T23" s="112">
        <f>T16+T22</f>
        <v>2673</v>
      </c>
      <c r="U23" s="112">
        <f t="shared" ref="U23:AB23" si="41">U16+U22</f>
        <v>6161</v>
      </c>
      <c r="V23" s="112">
        <f t="shared" si="41"/>
        <v>4076</v>
      </c>
      <c r="W23" s="112">
        <f t="shared" si="41"/>
        <v>1752</v>
      </c>
      <c r="X23" s="112">
        <f t="shared" si="41"/>
        <v>2043</v>
      </c>
      <c r="Y23" s="112">
        <f t="shared" si="41"/>
        <v>1912</v>
      </c>
      <c r="Z23" s="112">
        <f t="shared" si="41"/>
        <v>2803</v>
      </c>
      <c r="AA23" s="112">
        <f t="shared" si="41"/>
        <v>3904</v>
      </c>
      <c r="AB23" s="112">
        <f t="shared" si="41"/>
        <v>4835</v>
      </c>
      <c r="AC23" s="112">
        <f t="shared" ref="AC23:AI23" si="42">AC16+AC22</f>
        <v>2160</v>
      </c>
      <c r="AD23" s="112">
        <f t="shared" si="42"/>
        <v>2481</v>
      </c>
      <c r="AE23" s="112">
        <f>AE16+AE22</f>
        <v>-12</v>
      </c>
      <c r="AF23" s="112">
        <f t="shared" si="42"/>
        <v>-7259</v>
      </c>
      <c r="AG23" s="112">
        <f>AG16+AG22</f>
        <v>2164</v>
      </c>
      <c r="AH23" s="112">
        <f t="shared" si="42"/>
        <v>1850</v>
      </c>
      <c r="AI23" s="112">
        <f t="shared" si="42"/>
        <v>810.420633456931</v>
      </c>
      <c r="AJ23" s="112">
        <f>AJ16+AJ22</f>
        <v>971.14523860728195</v>
      </c>
      <c r="AK23" s="112">
        <f>AK16+AK22</f>
        <v>1126.1529794177695</v>
      </c>
      <c r="AL23" s="112">
        <f>AL16+AL22</f>
        <v>1185.3690365774173</v>
      </c>
      <c r="AM23" s="112">
        <f>AM16+AM22</f>
        <v>1240.637356593089</v>
      </c>
      <c r="AN23" s="112">
        <f>AN16+AN22</f>
        <v>1292.2211219410488</v>
      </c>
      <c r="AO23" s="43"/>
      <c r="AP23" s="43"/>
      <c r="AQ23" s="86" t="s">
        <v>492</v>
      </c>
      <c r="AR23" s="124">
        <v>5.5126311404007124E-2</v>
      </c>
      <c r="AS23" s="124">
        <v>3.1165035973884255E-2</v>
      </c>
      <c r="AT23" s="124">
        <v>3.1764438954294504E-3</v>
      </c>
      <c r="AU23" s="124">
        <v>2.2192215111841718E-2</v>
      </c>
      <c r="AV23" s="124">
        <v>3.1410858538418185E-2</v>
      </c>
      <c r="AW23" s="124">
        <v>7.1442370851203585E-2</v>
      </c>
      <c r="AX23" s="124">
        <v>8.7687088407743877E-2</v>
      </c>
      <c r="AY23" s="124">
        <v>0.10736644090272268</v>
      </c>
      <c r="AZ23" s="124">
        <v>0.10417047033565532</v>
      </c>
      <c r="BA23" s="124">
        <v>0.1013468551519973</v>
      </c>
      <c r="BB23" s="124">
        <v>9.8803867938209472E-2</v>
      </c>
      <c r="BC23" s="124">
        <v>9.6543851826826899E-2</v>
      </c>
    </row>
    <row r="24" spans="1:55">
      <c r="A24" s="29" t="s">
        <v>421</v>
      </c>
      <c r="B24" s="62"/>
      <c r="C24" s="62"/>
      <c r="D24" s="62"/>
      <c r="E24" s="62"/>
      <c r="F24" s="62"/>
      <c r="G24" s="62"/>
      <c r="H24" s="62"/>
      <c r="I24" s="62"/>
      <c r="J24" s="62"/>
      <c r="K24" s="62"/>
      <c r="L24" s="62"/>
      <c r="M24" s="62"/>
      <c r="N24" s="108"/>
      <c r="O24" s="50"/>
      <c r="P24" s="50"/>
      <c r="Q24" s="50"/>
      <c r="R24" s="50">
        <f>R25+R26</f>
        <v>-685</v>
      </c>
      <c r="S24" s="50">
        <f>S25+S26</f>
        <v>-636</v>
      </c>
      <c r="T24" s="50">
        <f>T25+T26</f>
        <v>-779</v>
      </c>
      <c r="U24" s="50">
        <f>U25+U26</f>
        <v>-1859</v>
      </c>
      <c r="V24" s="50">
        <v>-1636</v>
      </c>
      <c r="W24" s="50">
        <v>-1576</v>
      </c>
      <c r="X24" s="50">
        <v>-991</v>
      </c>
      <c r="Y24" s="50">
        <v>-682</v>
      </c>
      <c r="Z24" s="50">
        <v>-207</v>
      </c>
      <c r="AA24" s="30">
        <f t="shared" ref="AA24:AF24" si="43">AA25+AA26</f>
        <v>-124</v>
      </c>
      <c r="AB24" s="30">
        <f t="shared" si="43"/>
        <v>-24</v>
      </c>
      <c r="AC24" s="30">
        <v>-60</v>
      </c>
      <c r="AD24" s="30">
        <v>-88</v>
      </c>
      <c r="AE24" s="30">
        <f t="shared" si="43"/>
        <v>-126</v>
      </c>
      <c r="AF24" s="30">
        <f t="shared" si="43"/>
        <v>-311</v>
      </c>
      <c r="AG24" s="30">
        <f t="shared" ref="AG24" si="44">AG25+AG26</f>
        <v>-454</v>
      </c>
      <c r="AH24" s="30">
        <f t="shared" ref="AH24:AN24" si="45">AH25+AH26</f>
        <v>-442</v>
      </c>
      <c r="AI24" s="30">
        <f>AI25+AI26</f>
        <v>-343.50912699379035</v>
      </c>
      <c r="AJ24" s="30">
        <f t="shared" si="45"/>
        <v>-343.47435699187679</v>
      </c>
      <c r="AK24" s="30">
        <f t="shared" si="45"/>
        <v>-349.25016315719324</v>
      </c>
      <c r="AL24" s="30">
        <f t="shared" si="45"/>
        <v>-349.25016315719324</v>
      </c>
      <c r="AM24" s="30">
        <f t="shared" si="45"/>
        <v>-349.25016315719324</v>
      </c>
      <c r="AN24" s="30">
        <f t="shared" si="45"/>
        <v>-349.25016315719324</v>
      </c>
      <c r="AO24" s="43"/>
      <c r="AP24" s="43"/>
      <c r="AQ24" s="86" t="s">
        <v>499</v>
      </c>
      <c r="AR24" s="124"/>
      <c r="AS24" s="124"/>
      <c r="AT24" s="124"/>
      <c r="AU24" s="124"/>
      <c r="AV24" s="124"/>
      <c r="AW24" s="124">
        <v>7.1442370851203585E-2</v>
      </c>
      <c r="AX24" s="124">
        <v>7.7455054019055641E-2</v>
      </c>
      <c r="AY24" s="124">
        <v>5.5339408885739218E-2</v>
      </c>
      <c r="AZ24" s="124">
        <v>1.7523302996966344E-2</v>
      </c>
      <c r="BA24" s="124">
        <v>1.6417771151077936E-2</v>
      </c>
      <c r="BB24" s="124">
        <v>1.5414998472210353E-2</v>
      </c>
      <c r="BC24" s="124">
        <v>1.4507849901142346E-2</v>
      </c>
    </row>
    <row r="25" spans="1:55">
      <c r="A25" s="111" t="s">
        <v>422</v>
      </c>
      <c r="N25" s="30"/>
      <c r="O25" s="50"/>
      <c r="P25" s="50"/>
      <c r="Q25" s="50"/>
      <c r="R25" s="115">
        <v>-731</v>
      </c>
      <c r="S25" s="50">
        <v>-666</v>
      </c>
      <c r="T25" s="17">
        <v>-831</v>
      </c>
      <c r="U25" s="17">
        <v>-1929</v>
      </c>
      <c r="V25" s="50">
        <f>V24-V26</f>
        <v>-1844</v>
      </c>
      <c r="W25" s="50">
        <f>W24-W26</f>
        <v>-1620</v>
      </c>
      <c r="X25" s="50">
        <f>X24-X26</f>
        <v>-1019</v>
      </c>
      <c r="Y25" s="50">
        <f>Y24-Y26</f>
        <v>-702</v>
      </c>
      <c r="Z25" s="50">
        <f>Z24-Z26</f>
        <v>-215</v>
      </c>
      <c r="AA25" s="30">
        <v>-140</v>
      </c>
      <c r="AB25" s="30">
        <v>-97</v>
      </c>
      <c r="AC25" s="30">
        <v>-109</v>
      </c>
      <c r="AD25" s="30">
        <v>-110</v>
      </c>
      <c r="AE25" s="30">
        <v>-133</v>
      </c>
      <c r="AF25" s="30">
        <v>-345</v>
      </c>
      <c r="AG25" s="30">
        <v>-477</v>
      </c>
      <c r="AH25" s="30">
        <v>-471</v>
      </c>
      <c r="AI25" s="3">
        <f>-AI85*AH84</f>
        <v>-372.50912699379035</v>
      </c>
      <c r="AJ25" s="3">
        <f>-AJ85*AI84</f>
        <v>-372.47435699187679</v>
      </c>
      <c r="AK25" s="3">
        <f>-AK85*AJ84</f>
        <v>-378.25016315719324</v>
      </c>
      <c r="AL25" s="3">
        <f>-AL85*AK84</f>
        <v>-378.25016315719324</v>
      </c>
      <c r="AM25" s="3">
        <f t="shared" ref="AM25:AN25" si="46">-AM85*AL84</f>
        <v>-378.25016315719324</v>
      </c>
      <c r="AN25" s="3">
        <f t="shared" si="46"/>
        <v>-378.25016315719324</v>
      </c>
      <c r="AQ25" s="125"/>
      <c r="AR25" s="90"/>
      <c r="AS25" s="90"/>
      <c r="AT25" s="90"/>
      <c r="AU25" s="126"/>
      <c r="AV25" s="127"/>
    </row>
    <row r="26" spans="1:55">
      <c r="A26" s="111" t="s">
        <v>342</v>
      </c>
      <c r="N26" s="30"/>
      <c r="O26" s="50"/>
      <c r="P26" s="50"/>
      <c r="Q26" s="50"/>
      <c r="R26" s="50">
        <v>46</v>
      </c>
      <c r="S26" s="50">
        <v>30</v>
      </c>
      <c r="T26" s="50">
        <v>52</v>
      </c>
      <c r="U26" s="50">
        <v>70</v>
      </c>
      <c r="V26" s="50">
        <v>208</v>
      </c>
      <c r="W26" s="50">
        <v>44</v>
      </c>
      <c r="X26" s="50">
        <v>28</v>
      </c>
      <c r="Y26" s="50">
        <v>20</v>
      </c>
      <c r="Z26" s="50">
        <v>8</v>
      </c>
      <c r="AA26" s="30">
        <v>16</v>
      </c>
      <c r="AB26" s="30">
        <v>73</v>
      </c>
      <c r="AC26" s="30">
        <v>49</v>
      </c>
      <c r="AD26" s="30">
        <v>22</v>
      </c>
      <c r="AE26" s="30">
        <v>7</v>
      </c>
      <c r="AF26" s="30">
        <v>34</v>
      </c>
      <c r="AG26" s="30">
        <v>23</v>
      </c>
      <c r="AH26" s="30">
        <v>29</v>
      </c>
      <c r="AI26" s="3">
        <f t="shared" ref="AI26:AN26" si="47">AH26</f>
        <v>29</v>
      </c>
      <c r="AJ26" s="3">
        <f>AI26</f>
        <v>29</v>
      </c>
      <c r="AK26" s="3">
        <f>AJ26</f>
        <v>29</v>
      </c>
      <c r="AL26" s="3">
        <f>AK26</f>
        <v>29</v>
      </c>
      <c r="AM26" s="3">
        <f t="shared" si="47"/>
        <v>29</v>
      </c>
      <c r="AN26" s="3">
        <f t="shared" si="47"/>
        <v>29</v>
      </c>
      <c r="AQ26" s="130"/>
      <c r="AR26" s="131"/>
      <c r="AS26" s="131"/>
      <c r="AT26" s="131"/>
      <c r="AU26" s="126"/>
      <c r="AV26" s="127"/>
    </row>
    <row r="27" spans="1:55" s="43" customFormat="1">
      <c r="A27" s="29" t="s">
        <v>409</v>
      </c>
      <c r="B27" s="29"/>
      <c r="C27" s="29"/>
      <c r="D27" s="29"/>
      <c r="E27" s="29"/>
      <c r="F27" s="29"/>
      <c r="G27" s="29"/>
      <c r="H27" s="29"/>
      <c r="I27" s="29"/>
      <c r="J27" s="29"/>
      <c r="K27" s="29"/>
      <c r="L27" s="29"/>
      <c r="M27" s="29"/>
      <c r="N27" s="30"/>
      <c r="O27" s="50"/>
      <c r="P27" s="50"/>
      <c r="Q27" s="50"/>
      <c r="R27" s="50"/>
      <c r="S27" s="50"/>
      <c r="T27" s="115">
        <v>-591</v>
      </c>
      <c r="U27" s="115">
        <v>-1391</v>
      </c>
      <c r="V27" s="116">
        <v>-755</v>
      </c>
      <c r="W27" s="50">
        <v>-50</v>
      </c>
      <c r="X27" s="50">
        <v>-296</v>
      </c>
      <c r="Y27" s="50">
        <v>-394</v>
      </c>
      <c r="Z27" s="50">
        <v>-747</v>
      </c>
      <c r="AA27" s="30">
        <v>-1042</v>
      </c>
      <c r="AB27" s="30">
        <v>-1509</v>
      </c>
      <c r="AC27" s="30">
        <v>-534</v>
      </c>
      <c r="AD27" s="30">
        <v>-703</v>
      </c>
      <c r="AE27" s="30">
        <v>55</v>
      </c>
      <c r="AF27" s="30">
        <v>2303</v>
      </c>
      <c r="AG27" s="30">
        <v>246</v>
      </c>
      <c r="AH27" s="30">
        <v>-83</v>
      </c>
      <c r="AI27" s="3">
        <f t="shared" ref="AI27:AN27" si="48">-(AI23+AI24)*AI28</f>
        <v>-27.523902724744797</v>
      </c>
      <c r="AJ27" s="3">
        <f t="shared" si="48"/>
        <v>-37.000485208862663</v>
      </c>
      <c r="AK27" s="3">
        <f t="shared" si="48"/>
        <v>-45.797538174451589</v>
      </c>
      <c r="AL27" s="3">
        <f t="shared" si="48"/>
        <v>-49.288257453038781</v>
      </c>
      <c r="AM27" s="3">
        <f t="shared" si="48"/>
        <v>-52.546262113053515</v>
      </c>
      <c r="AN27" s="3">
        <f t="shared" si="48"/>
        <v>-55.587066462400578</v>
      </c>
      <c r="AO27" s="29"/>
      <c r="AP27" s="29"/>
      <c r="AQ27" s="90"/>
      <c r="AR27" s="43" t="s">
        <v>762</v>
      </c>
      <c r="AS27" s="43" t="s">
        <v>57</v>
      </c>
      <c r="AT27" s="43" t="s">
        <v>763</v>
      </c>
      <c r="AU27" s="117" t="s">
        <v>349</v>
      </c>
    </row>
    <row r="28" spans="1:55">
      <c r="A28" s="118" t="s">
        <v>363</v>
      </c>
      <c r="N28" s="30"/>
      <c r="O28" s="50"/>
      <c r="P28" s="50"/>
      <c r="Q28" s="50"/>
      <c r="R28" s="50"/>
      <c r="S28" s="50"/>
      <c r="T28" s="128">
        <f>-T27/(T23+T24)</f>
        <v>0.31203801478352694</v>
      </c>
      <c r="U28" s="128">
        <f t="shared" ref="U28:AH28" si="49">-U27/(U23+U24)</f>
        <v>0.32333798233379824</v>
      </c>
      <c r="V28" s="128">
        <f t="shared" si="49"/>
        <v>0.3094262295081967</v>
      </c>
      <c r="W28" s="128">
        <f t="shared" si="49"/>
        <v>0.28409090909090912</v>
      </c>
      <c r="X28" s="128">
        <f t="shared" si="49"/>
        <v>0.28136882129277568</v>
      </c>
      <c r="Y28" s="128">
        <f t="shared" si="49"/>
        <v>0.32032520325203251</v>
      </c>
      <c r="Z28" s="128">
        <f t="shared" si="49"/>
        <v>0.28775038520801233</v>
      </c>
      <c r="AA28" s="128">
        <f t="shared" si="49"/>
        <v>0.27566137566137566</v>
      </c>
      <c r="AB28" s="128">
        <f t="shared" si="49"/>
        <v>0.31365620453128246</v>
      </c>
      <c r="AC28" s="459">
        <f t="shared" si="49"/>
        <v>0.25428571428571428</v>
      </c>
      <c r="AD28" s="459">
        <f t="shared" si="49"/>
        <v>0.29377350605933972</v>
      </c>
      <c r="AE28" s="459">
        <f t="shared" si="49"/>
        <v>0.39855072463768115</v>
      </c>
      <c r="AF28" s="459">
        <f t="shared" si="49"/>
        <v>0.30422721268163805</v>
      </c>
      <c r="AG28" s="459">
        <f t="shared" si="49"/>
        <v>-0.14385964912280702</v>
      </c>
      <c r="AH28" s="459">
        <f t="shared" si="49"/>
        <v>5.894886363636364E-2</v>
      </c>
      <c r="AI28" s="129">
        <f>AH28</f>
        <v>5.894886363636364E-2</v>
      </c>
      <c r="AJ28" s="129">
        <f>AI28</f>
        <v>5.894886363636364E-2</v>
      </c>
      <c r="AK28" s="129">
        <f>AJ28</f>
        <v>5.894886363636364E-2</v>
      </c>
      <c r="AL28" s="129">
        <f>AK28</f>
        <v>5.894886363636364E-2</v>
      </c>
      <c r="AM28" s="129">
        <f t="shared" ref="AM28:AN28" si="50">AL28</f>
        <v>5.894886363636364E-2</v>
      </c>
      <c r="AN28" s="129">
        <f t="shared" si="50"/>
        <v>5.894886363636364E-2</v>
      </c>
      <c r="AQ28" s="111" t="s">
        <v>428</v>
      </c>
      <c r="AR28" s="29">
        <v>1131</v>
      </c>
      <c r="AS28" s="29">
        <v>1409</v>
      </c>
      <c r="AT28" s="29">
        <f>AR28-AS28</f>
        <v>-278</v>
      </c>
      <c r="AU28" s="485">
        <f>AT28/-2368</f>
        <v>0.11739864864864864</v>
      </c>
    </row>
    <row r="29" spans="1:55">
      <c r="A29" s="109" t="s">
        <v>423</v>
      </c>
      <c r="B29" s="109"/>
      <c r="C29" s="109"/>
      <c r="D29" s="109"/>
      <c r="E29" s="109"/>
      <c r="F29" s="109"/>
      <c r="G29" s="109"/>
      <c r="H29" s="109"/>
      <c r="I29" s="109"/>
      <c r="J29" s="109"/>
      <c r="K29" s="109"/>
      <c r="L29" s="109"/>
      <c r="M29" s="109"/>
      <c r="N29" s="112">
        <v>118</v>
      </c>
      <c r="O29" s="112">
        <v>200</v>
      </c>
      <c r="P29" s="112">
        <v>191</v>
      </c>
      <c r="Q29" s="112">
        <v>227</v>
      </c>
      <c r="R29" s="112">
        <v>604</v>
      </c>
      <c r="S29" s="112">
        <v>736</v>
      </c>
      <c r="T29" s="112">
        <f>T23+T24+T27</f>
        <v>1303</v>
      </c>
      <c r="U29" s="112">
        <f t="shared" ref="U29:Z29" si="51">U23+U24+U27</f>
        <v>2911</v>
      </c>
      <c r="V29" s="112">
        <f t="shared" si="51"/>
        <v>1685</v>
      </c>
      <c r="W29" s="112">
        <f t="shared" si="51"/>
        <v>126</v>
      </c>
      <c r="X29" s="112">
        <f t="shared" si="51"/>
        <v>756</v>
      </c>
      <c r="Y29" s="112">
        <f t="shared" si="51"/>
        <v>836</v>
      </c>
      <c r="Z29" s="112">
        <f t="shared" si="51"/>
        <v>1849</v>
      </c>
      <c r="AA29" s="112">
        <f t="shared" ref="AA29:AF29" si="52">AA23+AA24+AA27</f>
        <v>2738</v>
      </c>
      <c r="AB29" s="112">
        <f t="shared" si="52"/>
        <v>3302</v>
      </c>
      <c r="AC29" s="112">
        <f t="shared" si="52"/>
        <v>1566</v>
      </c>
      <c r="AD29" s="112">
        <f t="shared" si="52"/>
        <v>1690</v>
      </c>
      <c r="AE29" s="112">
        <f>AE23+AE24+AE27</f>
        <v>-83</v>
      </c>
      <c r="AF29" s="112">
        <f t="shared" si="52"/>
        <v>-5267</v>
      </c>
      <c r="AG29" s="112">
        <f t="shared" ref="AG29" si="53">AG23+AG24+AG27</f>
        <v>1956</v>
      </c>
      <c r="AH29" s="112">
        <f t="shared" ref="AH29:AN29" si="54">AH23+AH24+AH27</f>
        <v>1325</v>
      </c>
      <c r="AI29" s="112">
        <f>AI23+AI24+AI27</f>
        <v>439.38760373839585</v>
      </c>
      <c r="AJ29" s="112">
        <f>AJ23+AJ24+AJ27</f>
        <v>590.67039640654252</v>
      </c>
      <c r="AK29" s="112">
        <f t="shared" si="54"/>
        <v>731.10527808612471</v>
      </c>
      <c r="AL29" s="112">
        <f t="shared" si="54"/>
        <v>786.83061596718528</v>
      </c>
      <c r="AM29" s="112">
        <f t="shared" si="54"/>
        <v>838.84093132284215</v>
      </c>
      <c r="AN29" s="112">
        <f t="shared" si="54"/>
        <v>887.38389232145494</v>
      </c>
      <c r="AO29" s="43"/>
      <c r="AP29" s="43"/>
      <c r="AQ29" s="111" t="s">
        <v>429</v>
      </c>
      <c r="AR29" s="29">
        <v>-2879</v>
      </c>
      <c r="AS29" s="29">
        <v>-904</v>
      </c>
      <c r="AT29" s="29">
        <f t="shared" ref="AT29:AT30" si="55">AR29-AS29</f>
        <v>-1975</v>
      </c>
      <c r="AU29" s="485">
        <f t="shared" ref="AU29:AU30" si="56">AT29/-2368</f>
        <v>0.83403716216216217</v>
      </c>
    </row>
    <row r="30" spans="1:55" s="43" customFormat="1">
      <c r="A30" s="29" t="s">
        <v>425</v>
      </c>
      <c r="B30" s="29"/>
      <c r="C30" s="29"/>
      <c r="D30" s="29"/>
      <c r="E30" s="29"/>
      <c r="F30" s="29"/>
      <c r="G30" s="29"/>
      <c r="H30" s="29"/>
      <c r="I30" s="29"/>
      <c r="J30" s="29"/>
      <c r="K30" s="29"/>
      <c r="L30" s="29"/>
      <c r="M30" s="29"/>
      <c r="N30" s="30"/>
      <c r="O30" s="30"/>
      <c r="P30" s="30"/>
      <c r="Q30" s="30"/>
      <c r="R30" s="30"/>
      <c r="S30" s="30"/>
      <c r="T30" s="30">
        <v>0</v>
      </c>
      <c r="U30" s="30">
        <v>-1933</v>
      </c>
      <c r="V30" s="30">
        <v>-790</v>
      </c>
      <c r="W30" s="30">
        <v>-3106</v>
      </c>
      <c r="X30" s="30">
        <v>-1578</v>
      </c>
      <c r="Y30" s="30">
        <v>-1480</v>
      </c>
      <c r="Z30" s="30">
        <v>54</v>
      </c>
      <c r="AA30" s="30">
        <v>0</v>
      </c>
      <c r="AB30" s="30">
        <v>0</v>
      </c>
      <c r="AC30" s="30">
        <v>-6381</v>
      </c>
      <c r="AD30" s="30">
        <v>0</v>
      </c>
      <c r="AE30" s="30">
        <v>0</v>
      </c>
      <c r="AF30" s="30">
        <v>0</v>
      </c>
      <c r="AG30" s="30">
        <v>-5868</v>
      </c>
      <c r="AH30" s="30">
        <v>0</v>
      </c>
      <c r="AI30" s="30"/>
      <c r="AJ30" s="30"/>
      <c r="AK30" s="30"/>
      <c r="AL30" s="30"/>
      <c r="AM30" s="30"/>
      <c r="AN30" s="30"/>
      <c r="AO30" s="29"/>
      <c r="AP30" s="29"/>
      <c r="AQ30" s="111" t="s">
        <v>430</v>
      </c>
      <c r="AR30" s="43">
        <v>-1315</v>
      </c>
      <c r="AS30" s="43">
        <v>-1200</v>
      </c>
      <c r="AT30" s="29">
        <f t="shared" si="55"/>
        <v>-115</v>
      </c>
      <c r="AU30" s="485">
        <f t="shared" si="56"/>
        <v>4.8564189189189186E-2</v>
      </c>
    </row>
    <row r="31" spans="1:55">
      <c r="A31" s="29" t="s">
        <v>426</v>
      </c>
      <c r="N31" s="30"/>
      <c r="O31" s="30"/>
      <c r="P31" s="30"/>
      <c r="Q31" s="30"/>
      <c r="R31" s="30"/>
      <c r="S31" s="30"/>
      <c r="T31" s="30">
        <f>989+97-258</f>
        <v>828</v>
      </c>
      <c r="U31" s="30">
        <f>-640+300+148</f>
        <v>-192</v>
      </c>
      <c r="V31" s="30">
        <v>105</v>
      </c>
      <c r="W31" s="30">
        <f>-76+600</f>
        <v>524</v>
      </c>
      <c r="X31" s="30">
        <f>152+545</f>
        <v>697</v>
      </c>
      <c r="Y31" s="30">
        <f>6619-858</f>
        <v>5761</v>
      </c>
      <c r="Z31" s="30">
        <v>0</v>
      </c>
      <c r="AA31" s="30">
        <v>573</v>
      </c>
      <c r="AB31" s="30">
        <v>0</v>
      </c>
      <c r="AC31" s="30">
        <v>0</v>
      </c>
      <c r="AD31" s="30">
        <v>0</v>
      </c>
      <c r="AE31" s="30">
        <v>-1093</v>
      </c>
      <c r="AF31" s="30">
        <v>0</v>
      </c>
      <c r="AG31" s="30">
        <v>0</v>
      </c>
      <c r="AH31" s="30">
        <v>0</v>
      </c>
      <c r="AI31" s="30"/>
      <c r="AJ31" s="30"/>
      <c r="AK31" s="30"/>
      <c r="AL31" s="30"/>
      <c r="AM31" s="30"/>
      <c r="AN31" s="30"/>
    </row>
    <row r="32" spans="1:55">
      <c r="A32" s="109" t="s">
        <v>427</v>
      </c>
      <c r="B32" s="109"/>
      <c r="C32" s="109"/>
      <c r="D32" s="109"/>
      <c r="E32" s="109"/>
      <c r="F32" s="109"/>
      <c r="G32" s="109"/>
      <c r="H32" s="109"/>
      <c r="I32" s="109"/>
      <c r="J32" s="109"/>
      <c r="K32" s="109"/>
      <c r="L32" s="109"/>
      <c r="M32" s="109"/>
      <c r="N32" s="112"/>
      <c r="O32" s="112"/>
      <c r="P32" s="112"/>
      <c r="Q32" s="112"/>
      <c r="R32" s="112"/>
      <c r="S32" s="112"/>
      <c r="T32" s="112">
        <f>T29+T30+T31</f>
        <v>2131</v>
      </c>
      <c r="U32" s="112">
        <f t="shared" ref="U32:Z32" si="57">U29+U30+U31</f>
        <v>786</v>
      </c>
      <c r="V32" s="112">
        <f t="shared" si="57"/>
        <v>1000</v>
      </c>
      <c r="W32" s="112">
        <f t="shared" si="57"/>
        <v>-2456</v>
      </c>
      <c r="X32" s="112">
        <f t="shared" si="57"/>
        <v>-125</v>
      </c>
      <c r="Y32" s="112">
        <f t="shared" si="57"/>
        <v>5117</v>
      </c>
      <c r="Z32" s="112">
        <f t="shared" si="57"/>
        <v>1903</v>
      </c>
      <c r="AA32" s="112">
        <f t="shared" ref="AA32:AF32" si="58">AA29+AA30+AA31</f>
        <v>3311</v>
      </c>
      <c r="AB32" s="112">
        <f t="shared" si="58"/>
        <v>3302</v>
      </c>
      <c r="AC32" s="112">
        <f t="shared" si="58"/>
        <v>-4815</v>
      </c>
      <c r="AD32" s="112">
        <f>SUM(AD29:AD31)</f>
        <v>1690</v>
      </c>
      <c r="AE32" s="112">
        <f t="shared" si="58"/>
        <v>-1176</v>
      </c>
      <c r="AF32" s="112">
        <f t="shared" si="58"/>
        <v>-5267</v>
      </c>
      <c r="AG32" s="112">
        <f>AG29+AG30+AG31</f>
        <v>-3912</v>
      </c>
      <c r="AH32" s="112">
        <f t="shared" ref="AH32:AN32" si="59">AH29+AH30+AH31</f>
        <v>1325</v>
      </c>
      <c r="AI32" s="112">
        <f t="shared" si="59"/>
        <v>439.38760373839585</v>
      </c>
      <c r="AJ32" s="112">
        <f t="shared" si="59"/>
        <v>590.67039640654252</v>
      </c>
      <c r="AK32" s="112">
        <f t="shared" si="59"/>
        <v>731.10527808612471</v>
      </c>
      <c r="AL32" s="112">
        <f t="shared" si="59"/>
        <v>786.83061596718528</v>
      </c>
      <c r="AM32" s="112">
        <f t="shared" si="59"/>
        <v>838.84093132284215</v>
      </c>
      <c r="AN32" s="112">
        <f t="shared" si="59"/>
        <v>887.38389232145494</v>
      </c>
      <c r="AO32" s="43"/>
      <c r="AP32" s="43"/>
    </row>
    <row r="33" spans="1:43">
      <c r="N33" s="30"/>
      <c r="O33" s="30"/>
      <c r="P33" s="30"/>
      <c r="Q33" s="30"/>
      <c r="R33" s="30"/>
      <c r="S33" s="30"/>
      <c r="T33" s="30"/>
      <c r="U33" s="30"/>
      <c r="V33" s="30"/>
      <c r="W33" s="30"/>
      <c r="X33" s="30"/>
      <c r="Y33" s="30"/>
      <c r="Z33" s="30"/>
      <c r="AA33" s="30"/>
      <c r="AB33" s="30"/>
      <c r="AC33" s="30"/>
      <c r="AD33" s="30"/>
      <c r="AE33" s="263"/>
      <c r="AF33" s="30"/>
      <c r="AG33" s="30"/>
      <c r="AH33" s="30"/>
      <c r="AI33" s="131"/>
      <c r="AJ33" s="30"/>
      <c r="AK33" s="30"/>
      <c r="AL33" s="30"/>
      <c r="AM33" s="30"/>
      <c r="AN33" s="30"/>
    </row>
    <row r="34" spans="1:43" s="62" customFormat="1">
      <c r="A34" s="6" t="s">
        <v>447</v>
      </c>
      <c r="B34" s="85"/>
      <c r="C34" s="85"/>
      <c r="D34" s="85"/>
      <c r="E34" s="85"/>
      <c r="F34" s="85"/>
      <c r="G34" s="85"/>
      <c r="H34" s="85"/>
      <c r="I34" s="85"/>
      <c r="J34" s="85"/>
      <c r="K34" s="85"/>
      <c r="L34" s="85"/>
      <c r="M34" s="85"/>
      <c r="N34" s="85"/>
      <c r="O34" s="85"/>
      <c r="P34" s="85"/>
      <c r="Q34" s="85"/>
      <c r="R34" s="85"/>
      <c r="S34" s="85"/>
      <c r="T34" s="85"/>
      <c r="U34" s="85"/>
      <c r="V34" s="85"/>
      <c r="W34" s="85"/>
      <c r="X34" s="85"/>
      <c r="Y34" s="85"/>
      <c r="Z34" s="85"/>
      <c r="AA34" s="85"/>
      <c r="AB34" s="85"/>
      <c r="AC34" s="85"/>
      <c r="AD34" s="85"/>
      <c r="AE34" s="452"/>
      <c r="AF34" s="85"/>
      <c r="AG34" s="85"/>
      <c r="AH34" s="85"/>
      <c r="AI34" s="85"/>
      <c r="AJ34" s="85"/>
      <c r="AK34" s="85"/>
      <c r="AL34" s="85"/>
      <c r="AM34" s="85"/>
      <c r="AN34" s="85"/>
      <c r="AO34" s="29"/>
      <c r="AP34" s="29"/>
    </row>
    <row r="35" spans="1:43" s="62" customFormat="1">
      <c r="A35" s="88" t="s">
        <v>431</v>
      </c>
      <c r="B35" s="132"/>
      <c r="C35" s="132"/>
      <c r="D35" s="132"/>
      <c r="E35" s="132"/>
      <c r="F35" s="132"/>
      <c r="G35" s="132"/>
      <c r="H35" s="132"/>
      <c r="I35" s="132"/>
      <c r="J35" s="132"/>
      <c r="K35" s="132"/>
      <c r="L35" s="132"/>
      <c r="M35" s="132"/>
      <c r="N35" s="132"/>
      <c r="O35" s="132"/>
      <c r="P35" s="132"/>
      <c r="Q35" s="132"/>
      <c r="R35" s="133"/>
      <c r="S35" s="134"/>
      <c r="T35" s="134"/>
      <c r="U35" s="134"/>
      <c r="V35" s="134"/>
      <c r="W35" s="132"/>
      <c r="X35" s="132"/>
      <c r="Y35" s="132"/>
      <c r="Z35" s="132"/>
      <c r="AA35" s="132"/>
      <c r="AB35" s="132"/>
      <c r="AC35" s="132"/>
      <c r="AD35" s="132"/>
      <c r="AE35" s="132"/>
      <c r="AF35" s="132"/>
      <c r="AG35" s="132"/>
      <c r="AH35" s="132"/>
      <c r="AI35" s="132"/>
      <c r="AJ35" s="132"/>
      <c r="AK35" s="132"/>
      <c r="AL35" s="132"/>
      <c r="AM35" s="132"/>
      <c r="AN35" s="132"/>
      <c r="AO35" s="29"/>
      <c r="AP35" s="29"/>
    </row>
    <row r="36" spans="1:43">
      <c r="A36" s="62" t="s">
        <v>374</v>
      </c>
      <c r="B36" s="62"/>
      <c r="C36" s="62"/>
      <c r="D36" s="62"/>
      <c r="E36" s="62"/>
      <c r="F36" s="62"/>
      <c r="G36" s="62"/>
      <c r="H36" s="62"/>
      <c r="I36" s="62"/>
      <c r="J36" s="62"/>
      <c r="K36" s="62"/>
      <c r="L36" s="62"/>
      <c r="M36" s="62"/>
      <c r="N36" s="62"/>
      <c r="O36" s="106"/>
      <c r="P36" s="106"/>
      <c r="Q36" s="106"/>
      <c r="R36" s="106"/>
      <c r="S36" s="106"/>
      <c r="T36" s="106"/>
      <c r="U36" s="106"/>
      <c r="V36" s="106"/>
      <c r="W36" s="106"/>
      <c r="X36" s="106"/>
      <c r="Y36" s="106"/>
      <c r="Z36" s="106"/>
      <c r="AA36" s="106"/>
      <c r="AB36" s="106"/>
      <c r="AC36" s="445"/>
      <c r="AD36" s="62"/>
      <c r="AE36" s="62"/>
      <c r="AF36" s="62"/>
      <c r="AG36" s="62"/>
      <c r="AH36" s="62"/>
      <c r="AI36" s="62"/>
      <c r="AJ36" s="62"/>
      <c r="AK36" s="62"/>
      <c r="AL36" s="62"/>
      <c r="AM36" s="62"/>
      <c r="AN36" s="62"/>
      <c r="AO36" s="62"/>
      <c r="AP36" s="62"/>
      <c r="AQ36" s="32"/>
    </row>
    <row r="37" spans="1:43">
      <c r="A37" s="62" t="s">
        <v>434</v>
      </c>
      <c r="B37" s="62"/>
      <c r="C37" s="62"/>
      <c r="D37" s="62"/>
      <c r="E37" s="62"/>
      <c r="F37" s="62"/>
      <c r="G37" s="62"/>
      <c r="H37" s="62"/>
      <c r="I37" s="62"/>
      <c r="J37" s="62"/>
      <c r="K37" s="62"/>
      <c r="L37" s="62"/>
      <c r="M37" s="62"/>
      <c r="N37" s="62"/>
      <c r="O37" s="106"/>
      <c r="P37" s="106"/>
      <c r="Q37" s="106"/>
      <c r="R37" s="106"/>
      <c r="S37" s="106"/>
      <c r="T37" s="106"/>
      <c r="U37" s="106">
        <v>31706</v>
      </c>
      <c r="V37" s="106">
        <v>31373</v>
      </c>
      <c r="W37" s="106">
        <v>28100</v>
      </c>
      <c r="X37" s="106">
        <v>24200</v>
      </c>
      <c r="Y37" s="106">
        <v>21500</v>
      </c>
      <c r="Z37" s="106">
        <v>20100</v>
      </c>
      <c r="AA37" s="106">
        <f t="shared" ref="AA37:AG37" si="60">AA38+AA40</f>
        <v>18900</v>
      </c>
      <c r="AB37" s="106">
        <f t="shared" si="60"/>
        <v>19100</v>
      </c>
      <c r="AC37" s="106">
        <f t="shared" si="60"/>
        <v>18400</v>
      </c>
      <c r="AD37" s="106">
        <f t="shared" si="60"/>
        <v>17600</v>
      </c>
      <c r="AE37" s="106">
        <f t="shared" si="60"/>
        <v>16100</v>
      </c>
      <c r="AF37" s="106">
        <f t="shared" si="60"/>
        <v>16700</v>
      </c>
      <c r="AG37" s="106">
        <f t="shared" si="60"/>
        <v>14800</v>
      </c>
      <c r="AH37" s="106">
        <f t="shared" ref="AH37:AN37" si="61">AH38+AH40</f>
        <v>13800</v>
      </c>
      <c r="AI37" s="106">
        <f t="shared" si="61"/>
        <v>11981.666666666666</v>
      </c>
      <c r="AJ37" s="106">
        <f t="shared" si="61"/>
        <v>11427.888888888889</v>
      </c>
      <c r="AK37" s="106">
        <f t="shared" si="61"/>
        <v>10911.029629629629</v>
      </c>
      <c r="AL37" s="106">
        <f t="shared" si="61"/>
        <v>10428.627654320988</v>
      </c>
      <c r="AM37" s="106">
        <f t="shared" si="61"/>
        <v>9978.3858106995885</v>
      </c>
      <c r="AN37" s="106">
        <f t="shared" si="61"/>
        <v>9558.1600899862824</v>
      </c>
      <c r="AO37" s="62"/>
      <c r="AP37" s="62"/>
      <c r="AQ37" s="32"/>
    </row>
    <row r="38" spans="1:43">
      <c r="A38" s="111" t="s">
        <v>432</v>
      </c>
      <c r="B38" s="32"/>
      <c r="C38" s="32"/>
      <c r="D38" s="32"/>
      <c r="E38" s="32"/>
      <c r="F38" s="32"/>
      <c r="G38" s="32"/>
      <c r="H38" s="32"/>
      <c r="I38" s="32"/>
      <c r="J38" s="32"/>
      <c r="K38" s="32"/>
      <c r="L38" s="31"/>
      <c r="M38" s="31"/>
      <c r="N38" s="31"/>
      <c r="O38" s="50"/>
      <c r="P38" s="50"/>
      <c r="Q38" s="50"/>
      <c r="R38" s="50"/>
      <c r="S38" s="50"/>
      <c r="T38" s="50"/>
      <c r="U38" s="50">
        <f t="shared" ref="U38:Z38" si="62">U37-U40</f>
        <v>12722.789808917198</v>
      </c>
      <c r="V38" s="50">
        <f t="shared" si="62"/>
        <v>13273</v>
      </c>
      <c r="W38" s="50">
        <f t="shared" si="62"/>
        <v>12300</v>
      </c>
      <c r="X38" s="50">
        <f t="shared" si="62"/>
        <v>11100</v>
      </c>
      <c r="Y38" s="50">
        <f t="shared" si="62"/>
        <v>11000</v>
      </c>
      <c r="Z38" s="50">
        <f t="shared" si="62"/>
        <v>10900</v>
      </c>
      <c r="AA38" s="50">
        <v>10900</v>
      </c>
      <c r="AB38" s="50">
        <v>10400</v>
      </c>
      <c r="AC38" s="17">
        <v>9900</v>
      </c>
      <c r="AD38" s="50">
        <v>9700</v>
      </c>
      <c r="AE38" s="50">
        <v>9100</v>
      </c>
      <c r="AF38" s="50">
        <v>9300</v>
      </c>
      <c r="AG38" s="50">
        <v>8900</v>
      </c>
      <c r="AH38" s="50">
        <v>8900</v>
      </c>
      <c r="AI38" s="148">
        <f t="shared" ref="AI38:AN38" si="63">AH38*(1+AI39)</f>
        <v>8306.6666666666661</v>
      </c>
      <c r="AJ38" s="148">
        <f>AI38*(1+AJ39)</f>
        <v>7752.8888888888887</v>
      </c>
      <c r="AK38" s="148">
        <f>AJ38*(1+AK39)</f>
        <v>7236.0296296296292</v>
      </c>
      <c r="AL38" s="148">
        <f>AK38*(1+AL39)</f>
        <v>6753.6276543209869</v>
      </c>
      <c r="AM38" s="148">
        <f t="shared" si="63"/>
        <v>6303.3858106995876</v>
      </c>
      <c r="AN38" s="148">
        <f t="shared" si="63"/>
        <v>5883.1600899862815</v>
      </c>
      <c r="AO38" s="32"/>
      <c r="AP38" s="32"/>
      <c r="AQ38" s="32"/>
    </row>
    <row r="39" spans="1:43">
      <c r="A39" s="118" t="s">
        <v>56</v>
      </c>
      <c r="B39" s="32"/>
      <c r="C39" s="32"/>
      <c r="D39" s="32"/>
      <c r="E39" s="32"/>
      <c r="F39" s="32"/>
      <c r="G39" s="32"/>
      <c r="H39" s="32"/>
      <c r="I39" s="32"/>
      <c r="J39" s="32"/>
      <c r="K39" s="32"/>
      <c r="L39" s="31"/>
      <c r="M39" s="31"/>
      <c r="N39" s="31"/>
      <c r="O39" s="50"/>
      <c r="P39" s="50"/>
      <c r="Q39" s="50"/>
      <c r="R39" s="50"/>
      <c r="S39" s="50"/>
      <c r="T39" s="50"/>
      <c r="U39" s="50"/>
      <c r="V39" s="128">
        <f t="shared" ref="V39:AH39" si="64">V38/U38-1</f>
        <v>4.3246033247925642E-2</v>
      </c>
      <c r="W39" s="128">
        <f t="shared" si="64"/>
        <v>-7.3306712875762847E-2</v>
      </c>
      <c r="X39" s="128">
        <f t="shared" si="64"/>
        <v>-9.7560975609756073E-2</v>
      </c>
      <c r="Y39" s="128">
        <f t="shared" si="64"/>
        <v>-9.009009009009028E-3</v>
      </c>
      <c r="Z39" s="128">
        <f t="shared" si="64"/>
        <v>-9.0909090909090384E-3</v>
      </c>
      <c r="AA39" s="128">
        <f t="shared" si="64"/>
        <v>0</v>
      </c>
      <c r="AB39" s="128">
        <f t="shared" si="64"/>
        <v>-4.587155963302747E-2</v>
      </c>
      <c r="AC39" s="459">
        <f t="shared" si="64"/>
        <v>-4.8076923076923128E-2</v>
      </c>
      <c r="AD39" s="459">
        <f t="shared" si="64"/>
        <v>-2.0202020202020221E-2</v>
      </c>
      <c r="AE39" s="459">
        <f t="shared" si="64"/>
        <v>-6.1855670103092786E-2</v>
      </c>
      <c r="AF39" s="459">
        <f t="shared" si="64"/>
        <v>2.19780219780219E-2</v>
      </c>
      <c r="AG39" s="459">
        <f t="shared" si="64"/>
        <v>-4.3010752688172005E-2</v>
      </c>
      <c r="AH39" s="459">
        <f t="shared" si="64"/>
        <v>0</v>
      </c>
      <c r="AI39" s="469">
        <f>4.2/4.5-1</f>
        <v>-6.6666666666666652E-2</v>
      </c>
      <c r="AJ39" s="469">
        <f>AI39</f>
        <v>-6.6666666666666652E-2</v>
      </c>
      <c r="AK39" s="469">
        <f>AJ39</f>
        <v>-6.6666666666666652E-2</v>
      </c>
      <c r="AL39" s="469">
        <f>AK39</f>
        <v>-6.6666666666666652E-2</v>
      </c>
      <c r="AM39" s="469">
        <f t="shared" ref="AM39:AN39" si="65">AL39</f>
        <v>-6.6666666666666652E-2</v>
      </c>
      <c r="AN39" s="469">
        <f t="shared" si="65"/>
        <v>-6.6666666666666652E-2</v>
      </c>
      <c r="AO39" s="32"/>
      <c r="AP39" s="32"/>
      <c r="AQ39" s="32"/>
    </row>
    <row r="40" spans="1:43">
      <c r="A40" s="111" t="s">
        <v>433</v>
      </c>
      <c r="B40" s="32"/>
      <c r="C40" s="32"/>
      <c r="D40" s="32"/>
      <c r="E40" s="32"/>
      <c r="F40" s="32"/>
      <c r="G40" s="32"/>
      <c r="H40" s="32"/>
      <c r="I40" s="32"/>
      <c r="J40" s="32"/>
      <c r="K40" s="32"/>
      <c r="L40" s="31"/>
      <c r="M40" s="31"/>
      <c r="N40" s="31"/>
      <c r="O40" s="50"/>
      <c r="P40" s="50"/>
      <c r="Q40" s="50"/>
      <c r="R40" s="50"/>
      <c r="S40" s="50"/>
      <c r="T40" s="50"/>
      <c r="U40" s="50">
        <v>18983.210191082802</v>
      </c>
      <c r="V40" s="50">
        <v>18100</v>
      </c>
      <c r="W40" s="50">
        <v>15800</v>
      </c>
      <c r="X40" s="50">
        <v>13100</v>
      </c>
      <c r="Y40" s="50">
        <v>10500</v>
      </c>
      <c r="Z40" s="50">
        <v>9200</v>
      </c>
      <c r="AA40" s="50">
        <v>8000</v>
      </c>
      <c r="AB40" s="50">
        <v>8700</v>
      </c>
      <c r="AC40" s="17">
        <v>8500</v>
      </c>
      <c r="AD40" s="50">
        <v>7900</v>
      </c>
      <c r="AE40" s="50">
        <v>7000</v>
      </c>
      <c r="AF40" s="50">
        <v>7400</v>
      </c>
      <c r="AG40" s="50">
        <v>5900</v>
      </c>
      <c r="AH40" s="50">
        <v>4900</v>
      </c>
      <c r="AI40" s="55">
        <f t="shared" ref="AI40:AN40" si="66">AH40*(1+AI41)</f>
        <v>3675.0000000000005</v>
      </c>
      <c r="AJ40" s="55">
        <f>AI40*(1+AJ41)</f>
        <v>3675.0000000000005</v>
      </c>
      <c r="AK40" s="55">
        <f>AJ40*(1+AK41)</f>
        <v>3675.0000000000005</v>
      </c>
      <c r="AL40" s="55">
        <f>AK40*(1+AL41)</f>
        <v>3675.0000000000005</v>
      </c>
      <c r="AM40" s="55">
        <f t="shared" si="66"/>
        <v>3675.0000000000005</v>
      </c>
      <c r="AN40" s="55">
        <f t="shared" si="66"/>
        <v>3675.0000000000005</v>
      </c>
      <c r="AO40" s="32"/>
      <c r="AP40" s="32"/>
      <c r="AQ40" s="32"/>
    </row>
    <row r="41" spans="1:43">
      <c r="A41" s="118" t="s">
        <v>56</v>
      </c>
      <c r="B41" s="32"/>
      <c r="C41" s="32"/>
      <c r="D41" s="32"/>
      <c r="E41" s="32"/>
      <c r="F41" s="32"/>
      <c r="G41" s="32"/>
      <c r="H41" s="32"/>
      <c r="I41" s="32"/>
      <c r="J41" s="32"/>
      <c r="K41" s="32"/>
      <c r="L41" s="31"/>
      <c r="M41" s="31"/>
      <c r="N41" s="31"/>
      <c r="O41" s="50"/>
      <c r="P41" s="50"/>
      <c r="Q41" s="50"/>
      <c r="R41" s="50"/>
      <c r="S41" s="50"/>
      <c r="T41" s="50"/>
      <c r="U41" s="50"/>
      <c r="V41" s="128">
        <f t="shared" ref="V41:AH41" si="67">V40/U40-1</f>
        <v>-4.6525860599577751E-2</v>
      </c>
      <c r="W41" s="128">
        <f t="shared" si="67"/>
        <v>-0.1270718232044199</v>
      </c>
      <c r="X41" s="128">
        <f t="shared" si="67"/>
        <v>-0.17088607594936711</v>
      </c>
      <c r="Y41" s="128">
        <f t="shared" si="67"/>
        <v>-0.19847328244274809</v>
      </c>
      <c r="Z41" s="128">
        <f t="shared" si="67"/>
        <v>-0.12380952380952381</v>
      </c>
      <c r="AA41" s="128">
        <f t="shared" si="67"/>
        <v>-0.13043478260869568</v>
      </c>
      <c r="AB41" s="128">
        <f t="shared" si="67"/>
        <v>8.7499999999999911E-2</v>
      </c>
      <c r="AC41" s="459">
        <f t="shared" si="67"/>
        <v>-2.2988505747126409E-2</v>
      </c>
      <c r="AD41" s="459">
        <f t="shared" si="67"/>
        <v>-7.0588235294117618E-2</v>
      </c>
      <c r="AE41" s="459">
        <f t="shared" si="67"/>
        <v>-0.11392405063291144</v>
      </c>
      <c r="AF41" s="459">
        <f t="shared" si="67"/>
        <v>5.7142857142857162E-2</v>
      </c>
      <c r="AG41" s="459">
        <f t="shared" si="67"/>
        <v>-0.20270270270270274</v>
      </c>
      <c r="AH41" s="459">
        <f t="shared" si="67"/>
        <v>-0.16949152542372881</v>
      </c>
      <c r="AI41" s="469">
        <f>2.1/2.8-1</f>
        <v>-0.24999999999999989</v>
      </c>
      <c r="AJ41" s="469">
        <v>0</v>
      </c>
      <c r="AK41" s="469">
        <f>AJ41</f>
        <v>0</v>
      </c>
      <c r="AL41" s="469">
        <f>AK41</f>
        <v>0</v>
      </c>
      <c r="AM41" s="469">
        <f t="shared" ref="AM41:AN41" si="68">AL41</f>
        <v>0</v>
      </c>
      <c r="AN41" s="469">
        <f t="shared" si="68"/>
        <v>0</v>
      </c>
      <c r="AO41" s="32"/>
      <c r="AP41" s="32"/>
      <c r="AQ41" s="32"/>
    </row>
    <row r="42" spans="1:43">
      <c r="A42" s="62" t="s">
        <v>114</v>
      </c>
      <c r="B42" s="32"/>
      <c r="C42" s="32"/>
      <c r="D42" s="32"/>
      <c r="E42" s="32"/>
      <c r="F42" s="32"/>
      <c r="G42" s="32"/>
      <c r="H42" s="32"/>
      <c r="I42" s="32"/>
      <c r="J42" s="32"/>
      <c r="K42" s="32"/>
      <c r="L42" s="31"/>
      <c r="M42" s="31"/>
      <c r="N42" s="31"/>
      <c r="O42" s="50"/>
      <c r="P42" s="50"/>
      <c r="Q42" s="50"/>
      <c r="R42" s="50"/>
      <c r="S42" s="50"/>
      <c r="T42" s="50"/>
      <c r="U42" s="106"/>
      <c r="V42" s="106"/>
      <c r="W42" s="106">
        <f>5905*W2</f>
        <v>43950.324500000002</v>
      </c>
      <c r="X42" s="106">
        <f>5006*X2</f>
        <v>34909.341</v>
      </c>
      <c r="Y42" s="106">
        <f>4254.6*Y2</f>
        <v>24632.973033707865</v>
      </c>
      <c r="Z42" s="106">
        <f>3891.8*Z2</f>
        <v>22422.6057</v>
      </c>
      <c r="AA42" s="106">
        <f>4202.5*AA2</f>
        <v>25197.3495</v>
      </c>
      <c r="AB42" s="106">
        <f>4482*AB2</f>
        <v>26164.123200000002</v>
      </c>
      <c r="AC42" s="106">
        <f>4187.6*AC2</f>
        <v>22815.245246730057</v>
      </c>
      <c r="AD42" s="106">
        <f>3933.9*AD2</f>
        <v>21094.260232500001</v>
      </c>
      <c r="AE42" s="106">
        <f>3430.5*AE2</f>
        <v>20031.375599999999</v>
      </c>
      <c r="AF42" s="106">
        <f>3607.1*AF2</f>
        <v>19582.519001085773</v>
      </c>
      <c r="AG42" s="106">
        <f>3832.6*AG2</f>
        <v>19919.958419958421</v>
      </c>
      <c r="AH42" s="106">
        <f>3882.1*AH2</f>
        <v>19979.927946474523</v>
      </c>
      <c r="AI42" s="20"/>
      <c r="AJ42" s="20"/>
      <c r="AK42" s="20"/>
      <c r="AL42" s="20"/>
      <c r="AM42" s="20"/>
      <c r="AN42" s="20"/>
      <c r="AO42" s="32"/>
      <c r="AP42" s="32"/>
      <c r="AQ42" s="32"/>
    </row>
    <row r="43" spans="1:43">
      <c r="B43" s="32"/>
      <c r="C43" s="32"/>
      <c r="D43" s="32"/>
      <c r="E43" s="32"/>
      <c r="F43" s="32"/>
      <c r="G43" s="32"/>
      <c r="H43" s="32"/>
      <c r="I43" s="32"/>
      <c r="J43" s="32"/>
      <c r="K43" s="32"/>
      <c r="L43" s="31"/>
      <c r="M43" s="31"/>
      <c r="N43" s="31"/>
      <c r="O43" s="50"/>
      <c r="P43" s="50"/>
      <c r="Q43" s="50"/>
      <c r="R43" s="50"/>
      <c r="S43" s="50"/>
      <c r="T43" s="50"/>
      <c r="U43" s="50"/>
      <c r="V43" s="50"/>
      <c r="AB43" s="50"/>
      <c r="AC43" s="50"/>
      <c r="AD43" s="119"/>
      <c r="AE43" s="115"/>
      <c r="AF43" s="115"/>
      <c r="AG43" s="115"/>
      <c r="AH43" s="115"/>
      <c r="AI43" s="115"/>
      <c r="AJ43" s="115"/>
      <c r="AK43" s="115"/>
      <c r="AL43" s="115"/>
      <c r="AM43" s="115"/>
      <c r="AN43" s="115"/>
      <c r="AO43" s="32"/>
      <c r="AP43" s="32"/>
      <c r="AQ43" s="32"/>
    </row>
    <row r="44" spans="1:43">
      <c r="A44" s="62" t="s">
        <v>373</v>
      </c>
      <c r="B44" s="32"/>
      <c r="C44" s="32"/>
      <c r="D44" s="32"/>
      <c r="E44" s="32"/>
      <c r="F44" s="32"/>
      <c r="G44" s="32"/>
      <c r="H44" s="32"/>
      <c r="I44" s="32"/>
      <c r="J44" s="32"/>
      <c r="K44" s="32"/>
      <c r="L44" s="31"/>
      <c r="M44" s="31"/>
      <c r="N44" s="31"/>
      <c r="O44" s="50"/>
      <c r="P44" s="50"/>
      <c r="Q44" s="50"/>
      <c r="R44" s="50"/>
      <c r="S44" s="50"/>
      <c r="T44" s="50"/>
      <c r="U44" s="50"/>
      <c r="V44" s="50"/>
      <c r="W44" s="50"/>
      <c r="X44" s="50"/>
      <c r="Y44" s="50"/>
      <c r="Z44" s="50"/>
      <c r="AA44" s="50"/>
      <c r="AB44" s="50"/>
      <c r="AC44" s="50"/>
      <c r="AD44" s="115"/>
      <c r="AE44" s="115"/>
      <c r="AF44" s="115"/>
      <c r="AG44" s="115"/>
      <c r="AH44" s="115"/>
      <c r="AI44" s="115"/>
      <c r="AJ44" s="115"/>
      <c r="AK44" s="115"/>
      <c r="AL44" s="115"/>
      <c r="AM44" s="115"/>
      <c r="AN44" s="115"/>
      <c r="AO44" s="32"/>
      <c r="AP44" s="32"/>
      <c r="AQ44" s="32"/>
    </row>
    <row r="45" spans="1:43">
      <c r="A45" s="62" t="s">
        <v>375</v>
      </c>
      <c r="B45" s="32"/>
      <c r="C45" s="32"/>
      <c r="D45" s="32"/>
      <c r="E45" s="32"/>
      <c r="F45" s="32"/>
      <c r="G45" s="32"/>
      <c r="H45" s="32"/>
      <c r="I45" s="32"/>
      <c r="J45" s="32"/>
      <c r="K45" s="32"/>
      <c r="L45" s="31"/>
      <c r="M45" s="31"/>
      <c r="N45" s="31"/>
      <c r="O45" s="31"/>
      <c r="P45" s="31"/>
      <c r="Q45" s="136"/>
      <c r="R45" s="115"/>
      <c r="S45" s="115"/>
      <c r="T45" s="115"/>
      <c r="U45" s="137">
        <v>77040</v>
      </c>
      <c r="V45" s="137">
        <v>75756</v>
      </c>
      <c r="W45" s="137">
        <v>79700</v>
      </c>
      <c r="X45" s="137">
        <v>70200</v>
      </c>
      <c r="Y45" s="137">
        <f>35700+35800</f>
        <v>71500</v>
      </c>
      <c r="Z45" s="137">
        <f>34600+31500</f>
        <v>66100</v>
      </c>
      <c r="AA45" s="137">
        <f>34700+23100</f>
        <v>57800</v>
      </c>
      <c r="AB45" s="138">
        <f>33300+10200</f>
        <v>43500</v>
      </c>
      <c r="AC45" s="138">
        <f>32500+12500</f>
        <v>45000</v>
      </c>
      <c r="AD45" s="138">
        <f>AD46+AD48</f>
        <v>42000</v>
      </c>
      <c r="AE45" s="138">
        <f>AE46+AE48</f>
        <v>37200</v>
      </c>
      <c r="AF45" s="138">
        <f>AF46+AF48</f>
        <v>37400</v>
      </c>
      <c r="AG45" s="138">
        <f>AG46+AG48</f>
        <v>30600</v>
      </c>
      <c r="AH45" s="138">
        <f>AH46+AH48</f>
        <v>30200</v>
      </c>
      <c r="AI45" s="138"/>
      <c r="AJ45" s="138"/>
      <c r="AK45" s="138"/>
      <c r="AL45" s="138"/>
      <c r="AM45" s="138"/>
      <c r="AN45" s="138"/>
      <c r="AO45" s="32"/>
      <c r="AP45" s="32"/>
      <c r="AQ45" s="32"/>
    </row>
    <row r="46" spans="1:43">
      <c r="A46" s="111" t="s">
        <v>432</v>
      </c>
      <c r="B46" s="32"/>
      <c r="C46" s="32"/>
      <c r="D46" s="32"/>
      <c r="E46" s="32"/>
      <c r="F46" s="32"/>
      <c r="G46" s="32"/>
      <c r="H46" s="32"/>
      <c r="I46" s="32"/>
      <c r="J46" s="32"/>
      <c r="K46" s="32"/>
      <c r="L46" s="31"/>
      <c r="M46" s="31"/>
      <c r="N46" s="31"/>
      <c r="O46" s="31"/>
      <c r="P46" s="31"/>
      <c r="Q46" s="136"/>
      <c r="R46" s="115"/>
      <c r="S46" s="115"/>
      <c r="T46" s="115"/>
      <c r="U46" s="115"/>
      <c r="V46" s="115"/>
      <c r="W46" s="115">
        <v>38400</v>
      </c>
      <c r="X46" s="115">
        <v>33300</v>
      </c>
      <c r="Y46" s="115">
        <v>35700</v>
      </c>
      <c r="Z46" s="115">
        <v>34600</v>
      </c>
      <c r="AA46" s="115">
        <v>34700</v>
      </c>
      <c r="AB46" s="50">
        <v>33300</v>
      </c>
      <c r="AC46" s="17">
        <v>32500</v>
      </c>
      <c r="AD46" s="50">
        <v>32200</v>
      </c>
      <c r="AE46" s="50">
        <v>33000</v>
      </c>
      <c r="AF46" s="50">
        <v>32900</v>
      </c>
      <c r="AG46" s="50">
        <v>28100</v>
      </c>
      <c r="AH46" s="50">
        <v>28600</v>
      </c>
      <c r="AI46" s="50"/>
      <c r="AJ46" s="50"/>
      <c r="AK46" s="50"/>
      <c r="AL46" s="50"/>
      <c r="AM46" s="50"/>
      <c r="AN46" s="50"/>
      <c r="AO46" s="32"/>
      <c r="AP46" s="32"/>
      <c r="AQ46" s="32"/>
    </row>
    <row r="47" spans="1:43">
      <c r="A47" s="118" t="s">
        <v>56</v>
      </c>
      <c r="B47" s="32"/>
      <c r="C47" s="32"/>
      <c r="D47" s="32"/>
      <c r="E47" s="32"/>
      <c r="F47" s="32"/>
      <c r="G47" s="32"/>
      <c r="H47" s="32"/>
      <c r="I47" s="32"/>
      <c r="J47" s="32"/>
      <c r="K47" s="32"/>
      <c r="L47" s="31"/>
      <c r="M47" s="31"/>
      <c r="N47" s="31"/>
      <c r="O47" s="50"/>
      <c r="P47" s="50"/>
      <c r="Q47" s="50"/>
      <c r="R47" s="50"/>
      <c r="S47" s="50"/>
      <c r="T47" s="50"/>
      <c r="U47" s="50"/>
      <c r="V47" s="128"/>
      <c r="W47" s="128"/>
      <c r="X47" s="128">
        <f t="shared" ref="X47:AH47" si="69">X46/W46-1</f>
        <v>-0.1328125</v>
      </c>
      <c r="Y47" s="128">
        <f t="shared" si="69"/>
        <v>7.2072072072072002E-2</v>
      </c>
      <c r="Z47" s="128">
        <f t="shared" si="69"/>
        <v>-3.081232492997199E-2</v>
      </c>
      <c r="AA47" s="128">
        <f t="shared" si="69"/>
        <v>2.8901734104045396E-3</v>
      </c>
      <c r="AB47" s="128">
        <f t="shared" si="69"/>
        <v>-4.0345821325648457E-2</v>
      </c>
      <c r="AC47" s="459">
        <f t="shared" si="69"/>
        <v>-2.4024024024024038E-2</v>
      </c>
      <c r="AD47" s="459">
        <f t="shared" si="69"/>
        <v>-9.2307692307692646E-3</v>
      </c>
      <c r="AE47" s="459">
        <f t="shared" si="69"/>
        <v>2.4844720496894457E-2</v>
      </c>
      <c r="AF47" s="459">
        <f t="shared" si="69"/>
        <v>-3.0303030303030498E-3</v>
      </c>
      <c r="AG47" s="459">
        <f t="shared" si="69"/>
        <v>-0.14589665653495443</v>
      </c>
      <c r="AH47" s="459">
        <f t="shared" si="69"/>
        <v>1.7793594306049876E-2</v>
      </c>
      <c r="AI47" s="135"/>
      <c r="AJ47" s="135"/>
      <c r="AK47" s="135"/>
      <c r="AL47" s="135"/>
      <c r="AM47" s="135"/>
      <c r="AN47" s="135"/>
      <c r="AO47" s="32"/>
      <c r="AP47" s="32"/>
      <c r="AQ47" s="32"/>
    </row>
    <row r="48" spans="1:43">
      <c r="A48" s="111" t="s">
        <v>433</v>
      </c>
      <c r="B48" s="32"/>
      <c r="C48" s="32"/>
      <c r="D48" s="32"/>
      <c r="E48" s="32"/>
      <c r="F48" s="32"/>
      <c r="G48" s="32"/>
      <c r="H48" s="32"/>
      <c r="I48" s="32"/>
      <c r="J48" s="32"/>
      <c r="K48" s="32"/>
      <c r="L48" s="31"/>
      <c r="M48" s="31"/>
      <c r="N48" s="31"/>
      <c r="O48" s="31"/>
      <c r="P48" s="31"/>
      <c r="Q48" s="136"/>
      <c r="R48" s="115"/>
      <c r="S48" s="115"/>
      <c r="T48" s="115"/>
      <c r="U48" s="115"/>
      <c r="V48" s="115"/>
      <c r="W48" s="115">
        <v>41300</v>
      </c>
      <c r="X48" s="115">
        <v>37000</v>
      </c>
      <c r="Y48" s="115">
        <v>35800</v>
      </c>
      <c r="Z48" s="115">
        <v>31500</v>
      </c>
      <c r="AA48" s="115">
        <v>23100</v>
      </c>
      <c r="AB48" s="50">
        <v>10200</v>
      </c>
      <c r="AC48" s="17">
        <v>12500</v>
      </c>
      <c r="AD48" s="50">
        <v>9800</v>
      </c>
      <c r="AE48" s="50">
        <v>4200</v>
      </c>
      <c r="AF48" s="50">
        <v>4500</v>
      </c>
      <c r="AG48" s="50">
        <v>2500</v>
      </c>
      <c r="AH48" s="50">
        <v>1600</v>
      </c>
      <c r="AI48" s="50"/>
      <c r="AJ48" s="50"/>
      <c r="AK48" s="50"/>
      <c r="AL48" s="50"/>
      <c r="AM48" s="50"/>
      <c r="AN48" s="50"/>
      <c r="AO48" s="32"/>
      <c r="AP48" s="32"/>
      <c r="AQ48" s="32"/>
    </row>
    <row r="49" spans="1:54">
      <c r="A49" s="118" t="s">
        <v>56</v>
      </c>
      <c r="B49" s="32"/>
      <c r="C49" s="32"/>
      <c r="D49" s="32"/>
      <c r="E49" s="32"/>
      <c r="F49" s="32"/>
      <c r="G49" s="32"/>
      <c r="H49" s="32"/>
      <c r="I49" s="32"/>
      <c r="J49" s="32"/>
      <c r="K49" s="32"/>
      <c r="L49" s="31"/>
      <c r="M49" s="31"/>
      <c r="N49" s="31"/>
      <c r="O49" s="50"/>
      <c r="P49" s="50"/>
      <c r="Q49" s="50"/>
      <c r="R49" s="50"/>
      <c r="S49" s="50"/>
      <c r="T49" s="50"/>
      <c r="U49" s="50"/>
      <c r="V49" s="128"/>
      <c r="W49" s="128"/>
      <c r="X49" s="128">
        <f t="shared" ref="X49:AH49" si="70">X48/W48-1</f>
        <v>-0.10411622276029053</v>
      </c>
      <c r="Y49" s="128">
        <f t="shared" si="70"/>
        <v>-3.2432432432432434E-2</v>
      </c>
      <c r="Z49" s="128">
        <f t="shared" si="70"/>
        <v>-0.12011173184357538</v>
      </c>
      <c r="AA49" s="128">
        <f t="shared" si="70"/>
        <v>-0.26666666666666672</v>
      </c>
      <c r="AB49" s="128">
        <f t="shared" si="70"/>
        <v>-0.55844155844155852</v>
      </c>
      <c r="AC49" s="459">
        <f t="shared" si="70"/>
        <v>0.22549019607843146</v>
      </c>
      <c r="AD49" s="459">
        <f t="shared" si="70"/>
        <v>-0.21599999999999997</v>
      </c>
      <c r="AE49" s="459">
        <f t="shared" si="70"/>
        <v>-0.5714285714285714</v>
      </c>
      <c r="AF49" s="459">
        <f t="shared" si="70"/>
        <v>7.1428571428571397E-2</v>
      </c>
      <c r="AG49" s="459">
        <f t="shared" si="70"/>
        <v>-0.44444444444444442</v>
      </c>
      <c r="AH49" s="459">
        <f t="shared" si="70"/>
        <v>-0.36</v>
      </c>
      <c r="AI49" s="135"/>
      <c r="AJ49" s="135"/>
      <c r="AK49" s="135"/>
      <c r="AL49" s="135"/>
      <c r="AM49" s="135"/>
      <c r="AN49" s="135"/>
      <c r="AO49" s="32"/>
      <c r="AP49" s="32"/>
      <c r="AQ49" s="32"/>
    </row>
    <row r="50" spans="1:54">
      <c r="A50" s="62" t="s">
        <v>114</v>
      </c>
      <c r="B50" s="32"/>
      <c r="C50" s="32"/>
      <c r="D50" s="32"/>
      <c r="E50" s="32"/>
      <c r="F50" s="32"/>
      <c r="G50" s="32"/>
      <c r="H50" s="32"/>
      <c r="I50" s="32"/>
      <c r="J50" s="32"/>
      <c r="K50" s="32"/>
      <c r="L50" s="31"/>
      <c r="M50" s="31"/>
      <c r="N50" s="31"/>
      <c r="O50" s="31"/>
      <c r="P50" s="31"/>
      <c r="Q50" s="136"/>
      <c r="R50" s="115"/>
      <c r="S50" s="115"/>
      <c r="T50" s="115"/>
      <c r="U50" s="138"/>
      <c r="V50" s="138"/>
      <c r="W50" s="138">
        <f>1043*W2</f>
        <v>7762.9447</v>
      </c>
      <c r="X50" s="138">
        <f>972*X2</f>
        <v>6778.2419999999993</v>
      </c>
      <c r="Y50" s="138">
        <f>1035.2*Y2</f>
        <v>5993.5255216693422</v>
      </c>
      <c r="Z50" s="138">
        <f>1020.6*Z2</f>
        <v>5880.1868999999997</v>
      </c>
      <c r="AA50" s="138">
        <f>1033.5*AA2</f>
        <v>6196.6593000000003</v>
      </c>
      <c r="AB50" s="138">
        <f>1008.5*AB2</f>
        <v>5887.2196000000004</v>
      </c>
      <c r="AC50" s="106">
        <f>1004.9*AC2</f>
        <v>5474.983271668505</v>
      </c>
      <c r="AD50" s="106">
        <f>947.3*AD2</f>
        <v>5079.5883774999993</v>
      </c>
      <c r="AE50" s="106">
        <f>886.8*AE2</f>
        <v>5178.2025599999997</v>
      </c>
      <c r="AF50" s="106">
        <f>943.3*AF2</f>
        <v>5121.0640608034737</v>
      </c>
      <c r="AG50" s="106">
        <f>1083.5*AG2</f>
        <v>5631.4968814968815</v>
      </c>
      <c r="AH50" s="106">
        <f>1091.1*AH2</f>
        <v>5615.5429747812659</v>
      </c>
      <c r="AI50" s="106"/>
      <c r="AJ50" s="106"/>
      <c r="AK50" s="106"/>
      <c r="AL50" s="106"/>
      <c r="AM50" s="106"/>
      <c r="AN50" s="106"/>
      <c r="AO50" s="32"/>
      <c r="AP50" s="32"/>
      <c r="AQ50" s="32"/>
    </row>
    <row r="51" spans="1:54">
      <c r="B51" s="32"/>
      <c r="C51" s="32"/>
      <c r="D51" s="32"/>
      <c r="E51" s="32"/>
      <c r="F51" s="32"/>
      <c r="G51" s="32"/>
      <c r="H51" s="32"/>
      <c r="I51" s="32"/>
      <c r="J51" s="32"/>
      <c r="K51" s="32"/>
      <c r="L51" s="31"/>
      <c r="M51" s="31"/>
      <c r="N51" s="31"/>
      <c r="O51" s="31"/>
      <c r="P51" s="31"/>
      <c r="Q51" s="136"/>
      <c r="R51" s="115"/>
      <c r="S51" s="115"/>
      <c r="T51" s="115"/>
      <c r="U51" s="138"/>
      <c r="V51" s="138"/>
      <c r="W51" s="139"/>
      <c r="X51" s="139"/>
      <c r="Y51" s="139"/>
      <c r="Z51" s="139"/>
      <c r="AA51" s="140"/>
      <c r="AB51" s="140"/>
      <c r="AC51" s="140"/>
      <c r="AD51" s="140"/>
      <c r="AE51" s="140"/>
      <c r="AF51" s="140"/>
      <c r="AG51" s="140"/>
      <c r="AH51" s="140"/>
      <c r="AI51" s="140"/>
      <c r="AJ51" s="140"/>
      <c r="AK51" s="140"/>
      <c r="AL51" s="140"/>
      <c r="AM51" s="140"/>
      <c r="AN51" s="140"/>
      <c r="AO51" s="32"/>
      <c r="AP51" s="32"/>
      <c r="AQ51" s="32"/>
      <c r="AU51" s="141">
        <f t="shared" ref="AU51:BB51" si="71">W1</f>
        <v>2013</v>
      </c>
      <c r="AV51" s="141">
        <f t="shared" si="71"/>
        <v>2014</v>
      </c>
      <c r="AW51" s="141">
        <f t="shared" si="71"/>
        <v>2015</v>
      </c>
      <c r="AX51" s="141">
        <f t="shared" si="71"/>
        <v>2016</v>
      </c>
      <c r="AY51" s="141">
        <f t="shared" si="71"/>
        <v>2017</v>
      </c>
      <c r="AZ51" s="141">
        <f t="shared" si="71"/>
        <v>2018</v>
      </c>
      <c r="BA51" s="141">
        <f t="shared" si="71"/>
        <v>2019</v>
      </c>
      <c r="BB51" s="141">
        <f t="shared" si="71"/>
        <v>2020</v>
      </c>
    </row>
    <row r="52" spans="1:54">
      <c r="A52" s="62" t="s">
        <v>440</v>
      </c>
      <c r="B52" s="32"/>
      <c r="C52" s="32"/>
      <c r="D52" s="32"/>
      <c r="E52" s="32"/>
      <c r="F52" s="32"/>
      <c r="G52" s="32"/>
      <c r="H52" s="32"/>
      <c r="I52" s="32"/>
      <c r="J52" s="32"/>
      <c r="K52" s="32"/>
      <c r="L52" s="31"/>
      <c r="M52" s="31"/>
      <c r="N52" s="31"/>
      <c r="O52" s="31"/>
      <c r="P52" s="31"/>
      <c r="Q52" s="136"/>
      <c r="R52" s="115"/>
      <c r="S52" s="115"/>
      <c r="T52" s="115"/>
      <c r="U52" s="138"/>
      <c r="V52" s="138"/>
      <c r="W52" s="138">
        <f t="shared" ref="W52:AC52" si="72">W17</f>
        <v>668</v>
      </c>
      <c r="X52" s="138">
        <f t="shared" si="72"/>
        <v>1279</v>
      </c>
      <c r="Y52" s="138">
        <f t="shared" si="72"/>
        <v>2658</v>
      </c>
      <c r="Z52" s="138">
        <f t="shared" si="72"/>
        <v>2937</v>
      </c>
      <c r="AA52" s="138">
        <f t="shared" si="72"/>
        <v>2990</v>
      </c>
      <c r="AB52" s="138">
        <f t="shared" si="72"/>
        <v>1539</v>
      </c>
      <c r="AC52" s="460">
        <f t="shared" si="72"/>
        <v>679</v>
      </c>
      <c r="AD52" s="138">
        <f>AD17</f>
        <v>264</v>
      </c>
      <c r="AE52" s="138">
        <f>AE17</f>
        <v>819</v>
      </c>
      <c r="AF52" s="138">
        <f>AF17</f>
        <v>1131</v>
      </c>
      <c r="AG52" s="138">
        <f t="shared" ref="AG52" si="73">AG17</f>
        <v>1491.2136824324325</v>
      </c>
      <c r="AH52" s="138">
        <f>AH17</f>
        <v>-278.04560810810807</v>
      </c>
      <c r="AI52" s="481">
        <f t="shared" ref="AI52:AN52" si="74">AI53*AI37</f>
        <v>-1448.3212334600714</v>
      </c>
      <c r="AJ52" s="481">
        <f t="shared" si="74"/>
        <v>-1402.8021365907266</v>
      </c>
      <c r="AK52" s="481">
        <f t="shared" si="74"/>
        <v>-1339.3563610625324</v>
      </c>
      <c r="AL52" s="481">
        <f t="shared" si="74"/>
        <v>-1280.1403039028846</v>
      </c>
      <c r="AM52" s="481">
        <f t="shared" si="74"/>
        <v>-1224.8719838872132</v>
      </c>
      <c r="AN52" s="481">
        <f t="shared" si="74"/>
        <v>-1173.2882185392532</v>
      </c>
      <c r="AO52" s="138"/>
      <c r="AP52" s="138"/>
      <c r="AQ52" s="32"/>
      <c r="AT52" s="62" t="s">
        <v>488</v>
      </c>
      <c r="AU52" s="144">
        <f t="shared" ref="AU52:BB52" si="75">W54</f>
        <v>3.1939488630617855E-3</v>
      </c>
      <c r="AV52" s="144">
        <f t="shared" si="75"/>
        <v>7.5788685264818944E-3</v>
      </c>
      <c r="AW52" s="144">
        <f t="shared" si="75"/>
        <v>2.1352976447605108E-2</v>
      </c>
      <c r="AX52" s="144">
        <f t="shared" si="75"/>
        <v>2.5361347389581641E-2</v>
      </c>
      <c r="AY52" s="144">
        <f t="shared" si="75"/>
        <v>2.6385312752436406E-2</v>
      </c>
      <c r="AZ52" s="144">
        <f t="shared" si="75"/>
        <v>1.3802918362060861E-2</v>
      </c>
      <c r="BA52" s="144">
        <f t="shared" si="75"/>
        <v>6.7731703870423559E-3</v>
      </c>
      <c r="BB52" s="144">
        <f t="shared" si="75"/>
        <v>2.797372334920065E-3</v>
      </c>
    </row>
    <row r="53" spans="1:54">
      <c r="A53" s="29" t="s">
        <v>441</v>
      </c>
      <c r="B53" s="32"/>
      <c r="C53" s="32"/>
      <c r="D53" s="32"/>
      <c r="E53" s="32"/>
      <c r="F53" s="32"/>
      <c r="G53" s="32"/>
      <c r="H53" s="32"/>
      <c r="I53" s="32"/>
      <c r="J53" s="32"/>
      <c r="K53" s="32"/>
      <c r="L53" s="31"/>
      <c r="M53" s="31"/>
      <c r="N53" s="31"/>
      <c r="O53" s="31"/>
      <c r="P53" s="31"/>
      <c r="Q53" s="136"/>
      <c r="R53" s="115"/>
      <c r="S53" s="115"/>
      <c r="T53" s="115"/>
      <c r="U53" s="138"/>
      <c r="V53" s="138"/>
      <c r="W53" s="139">
        <f t="shared" ref="W53:AF53" si="76">W52/W37</f>
        <v>2.3772241992882564E-2</v>
      </c>
      <c r="X53" s="139">
        <f t="shared" si="76"/>
        <v>5.2851239669421485E-2</v>
      </c>
      <c r="Y53" s="139">
        <f t="shared" si="76"/>
        <v>0.12362790697674418</v>
      </c>
      <c r="Z53" s="139">
        <f t="shared" si="76"/>
        <v>0.14611940298507461</v>
      </c>
      <c r="AA53" s="139">
        <f t="shared" si="76"/>
        <v>0.1582010582010582</v>
      </c>
      <c r="AB53" s="139">
        <f t="shared" si="76"/>
        <v>8.0575916230366487E-2</v>
      </c>
      <c r="AC53" s="461">
        <f t="shared" si="76"/>
        <v>3.6902173913043478E-2</v>
      </c>
      <c r="AD53" s="461">
        <f t="shared" si="76"/>
        <v>1.4999999999999999E-2</v>
      </c>
      <c r="AE53" s="461">
        <f t="shared" si="76"/>
        <v>5.0869565217391305E-2</v>
      </c>
      <c r="AF53" s="461">
        <f t="shared" si="76"/>
        <v>6.7724550898203589E-2</v>
      </c>
      <c r="AG53" s="461">
        <f t="shared" ref="AG53:AH53" si="77">AG52/AG37</f>
        <v>0.10075768124543463</v>
      </c>
      <c r="AH53" s="461">
        <f t="shared" si="77"/>
        <v>-2.0148232471602034E-2</v>
      </c>
      <c r="AI53" s="461">
        <f>AI54*AI2</f>
        <v>-0.12087811101349881</v>
      </c>
      <c r="AJ53" s="461">
        <f t="shared" ref="AJ53:AN53" si="78">AJ54*AJ2</f>
        <v>-0.12275251800484721</v>
      </c>
      <c r="AK53" s="461">
        <f t="shared" si="78"/>
        <v>-0.12275251800484721</v>
      </c>
      <c r="AL53" s="461">
        <f t="shared" si="78"/>
        <v>-0.12275251800484721</v>
      </c>
      <c r="AM53" s="461">
        <f t="shared" si="78"/>
        <v>-0.12275251800484721</v>
      </c>
      <c r="AN53" s="461">
        <f t="shared" si="78"/>
        <v>-0.12275251800484721</v>
      </c>
      <c r="AO53" s="32"/>
      <c r="AP53" s="32"/>
      <c r="AT53" s="62" t="s">
        <v>489</v>
      </c>
      <c r="AU53" s="145">
        <f t="shared" ref="AU53:BB53" si="79">W81</f>
        <v>2.5819995094516549E-2</v>
      </c>
      <c r="AV53" s="145">
        <f t="shared" si="79"/>
        <v>1.5649333772867442E-2</v>
      </c>
      <c r="AW53" s="145">
        <f t="shared" si="79"/>
        <v>9.3250854908885124E-3</v>
      </c>
      <c r="AX53" s="145">
        <f t="shared" si="79"/>
        <v>1.2977659850267437E-2</v>
      </c>
      <c r="AY53" s="145">
        <f t="shared" si="79"/>
        <v>2.4970133031802715E-2</v>
      </c>
      <c r="AZ53" s="145">
        <f t="shared" si="79"/>
        <v>4.826213520996616E-2</v>
      </c>
      <c r="BA53" s="145">
        <f t="shared" si="79"/>
        <v>4.1147387692039655E-2</v>
      </c>
      <c r="BB53" s="145">
        <f t="shared" si="79"/>
        <v>3.9933440531694259E-2</v>
      </c>
    </row>
    <row r="54" spans="1:54">
      <c r="A54" s="29" t="s">
        <v>442</v>
      </c>
      <c r="B54" s="32"/>
      <c r="C54" s="32"/>
      <c r="D54" s="32"/>
      <c r="E54" s="32"/>
      <c r="F54" s="32"/>
      <c r="G54" s="32"/>
      <c r="H54" s="32"/>
      <c r="I54" s="32"/>
      <c r="J54" s="32"/>
      <c r="K54" s="32"/>
      <c r="L54" s="31"/>
      <c r="M54" s="31"/>
      <c r="N54" s="31"/>
      <c r="O54" s="31"/>
      <c r="P54" s="31"/>
      <c r="Q54" s="136"/>
      <c r="R54" s="115"/>
      <c r="S54" s="115"/>
      <c r="T54" s="115"/>
      <c r="U54" s="138"/>
      <c r="V54" s="138"/>
      <c r="W54" s="142">
        <f t="shared" ref="W54:AB54" si="80">W53/W2</f>
        <v>3.1939488630617855E-3</v>
      </c>
      <c r="X54" s="142">
        <f t="shared" si="80"/>
        <v>7.5788685264818944E-3</v>
      </c>
      <c r="Y54" s="142">
        <f t="shared" si="80"/>
        <v>2.1352976447605108E-2</v>
      </c>
      <c r="Z54" s="142">
        <f t="shared" si="80"/>
        <v>2.5361347389581641E-2</v>
      </c>
      <c r="AA54" s="142">
        <f t="shared" si="80"/>
        <v>2.6385312752436406E-2</v>
      </c>
      <c r="AB54" s="142">
        <f t="shared" si="80"/>
        <v>1.3802918362060861E-2</v>
      </c>
      <c r="AC54" s="462">
        <f t="shared" ref="AC54:AF54" si="81">AC53/AC2</f>
        <v>6.7731703870423559E-3</v>
      </c>
      <c r="AD54" s="462">
        <f t="shared" si="81"/>
        <v>2.797372334920065E-3</v>
      </c>
      <c r="AE54" s="462">
        <f t="shared" si="81"/>
        <v>8.7117353776872356E-3</v>
      </c>
      <c r="AF54" s="462">
        <f t="shared" si="81"/>
        <v>1.2474862275449103E-2</v>
      </c>
      <c r="AG54" s="462">
        <f t="shared" ref="AG54:AH54" si="82">AG53/AG2</f>
        <v>1.9385777871621622E-2</v>
      </c>
      <c r="AH54" s="462">
        <f t="shared" si="82"/>
        <v>-3.9148015692322749E-3</v>
      </c>
      <c r="AI54" s="487">
        <f>AH54*6</f>
        <v>-2.3488809415393649E-2</v>
      </c>
      <c r="AJ54" s="487">
        <f t="shared" ref="AJ54:AN54" si="83">AI54</f>
        <v>-2.3488809415393649E-2</v>
      </c>
      <c r="AK54" s="487">
        <f t="shared" si="83"/>
        <v>-2.3488809415393649E-2</v>
      </c>
      <c r="AL54" s="487">
        <f t="shared" si="83"/>
        <v>-2.3488809415393649E-2</v>
      </c>
      <c r="AM54" s="487">
        <f t="shared" si="83"/>
        <v>-2.3488809415393649E-2</v>
      </c>
      <c r="AN54" s="487">
        <f t="shared" si="83"/>
        <v>-2.3488809415393649E-2</v>
      </c>
      <c r="AO54" s="32"/>
      <c r="AP54" s="32"/>
      <c r="AT54" s="62" t="s">
        <v>490</v>
      </c>
      <c r="AU54" s="131">
        <f t="shared" ref="AU54:BB54" si="84">W77</f>
        <v>0.40122906307866091</v>
      </c>
      <c r="AV54" s="131">
        <f t="shared" si="84"/>
        <v>0.6844897032575199</v>
      </c>
      <c r="AW54" s="131">
        <f t="shared" si="84"/>
        <v>0.57762109284541796</v>
      </c>
      <c r="AX54" s="131">
        <f t="shared" si="84"/>
        <v>0.53465902175823876</v>
      </c>
      <c r="AY54" s="131">
        <f t="shared" si="84"/>
        <v>0.49178635976902124</v>
      </c>
      <c r="AZ54" s="131">
        <f t="shared" si="84"/>
        <v>0.45224859846658533</v>
      </c>
      <c r="BA54" s="131">
        <f t="shared" si="84"/>
        <v>0.35383527469552029</v>
      </c>
      <c r="BB54" s="131">
        <f t="shared" si="84"/>
        <v>0.3387649597467518</v>
      </c>
    </row>
    <row r="56" spans="1:54">
      <c r="A56" s="88" t="s">
        <v>444</v>
      </c>
      <c r="B56" s="132"/>
      <c r="C56" s="132"/>
      <c r="D56" s="132"/>
      <c r="E56" s="132"/>
      <c r="F56" s="132"/>
      <c r="G56" s="132"/>
      <c r="H56" s="132"/>
      <c r="I56" s="132"/>
      <c r="J56" s="132"/>
      <c r="K56" s="132"/>
      <c r="L56" s="132"/>
      <c r="M56" s="132"/>
      <c r="N56" s="132"/>
      <c r="O56" s="132"/>
      <c r="P56" s="132"/>
      <c r="Q56" s="132"/>
      <c r="R56" s="133"/>
      <c r="S56" s="134"/>
      <c r="T56" s="134"/>
      <c r="U56" s="134"/>
      <c r="V56" s="134"/>
      <c r="W56" s="132"/>
      <c r="X56" s="132"/>
      <c r="Y56" s="132"/>
      <c r="Z56" s="132"/>
      <c r="AA56" s="132"/>
      <c r="AB56" s="132"/>
      <c r="AC56" s="132"/>
      <c r="AD56" s="132"/>
      <c r="AE56" s="132"/>
      <c r="AF56" s="132"/>
      <c r="AG56" s="132"/>
      <c r="AH56" s="132"/>
      <c r="AI56" s="132"/>
      <c r="AJ56" s="132"/>
      <c r="AK56" s="132"/>
      <c r="AL56" s="132"/>
      <c r="AM56" s="132"/>
      <c r="AN56" s="132"/>
    </row>
    <row r="57" spans="1:54" s="62" customFormat="1">
      <c r="A57" s="62" t="s">
        <v>723</v>
      </c>
      <c r="B57" s="29"/>
      <c r="C57" s="29"/>
      <c r="D57" s="29"/>
      <c r="E57" s="29"/>
      <c r="F57" s="29"/>
      <c r="G57" s="29"/>
      <c r="H57" s="29"/>
      <c r="I57" s="50"/>
      <c r="J57" s="50"/>
      <c r="K57" s="50"/>
      <c r="L57" s="50"/>
      <c r="M57" s="50"/>
      <c r="N57" s="50"/>
      <c r="O57" s="50"/>
      <c r="P57" s="50"/>
      <c r="Q57" s="50"/>
      <c r="R57" s="50"/>
      <c r="S57" s="50"/>
      <c r="T57" s="50"/>
      <c r="U57" s="50"/>
      <c r="V57" s="50"/>
      <c r="W57" s="50"/>
      <c r="X57" s="50"/>
      <c r="Y57" s="50"/>
      <c r="Z57" s="50"/>
      <c r="AA57" s="50"/>
      <c r="AB57" s="50"/>
      <c r="AC57" s="50"/>
      <c r="AD57" s="50"/>
      <c r="AE57" s="50"/>
      <c r="AF57" s="50"/>
      <c r="AG57" s="50"/>
      <c r="AH57" s="50"/>
      <c r="AI57" s="50"/>
      <c r="AJ57" s="50"/>
      <c r="AK57" s="50"/>
      <c r="AL57" s="50"/>
      <c r="AM57" s="50"/>
      <c r="AN57" s="50"/>
      <c r="AO57" s="29"/>
      <c r="AP57" s="29"/>
    </row>
    <row r="58" spans="1:54">
      <c r="A58" s="29" t="s">
        <v>467</v>
      </c>
      <c r="I58" s="50"/>
      <c r="J58" s="50"/>
      <c r="K58" s="50"/>
      <c r="L58" s="50"/>
      <c r="M58" s="50"/>
      <c r="N58" s="50"/>
      <c r="O58" s="50"/>
      <c r="P58" s="50"/>
      <c r="Q58" s="50"/>
      <c r="R58" s="50"/>
      <c r="S58" s="50"/>
      <c r="T58" s="115"/>
      <c r="U58" s="115"/>
      <c r="V58" s="115">
        <v>1480</v>
      </c>
      <c r="W58" s="115">
        <v>1480</v>
      </c>
      <c r="X58" s="115">
        <v>1480</v>
      </c>
      <c r="Y58" s="115">
        <v>1480</v>
      </c>
      <c r="Z58" s="115">
        <v>1480</v>
      </c>
      <c r="AA58" s="115">
        <v>1480</v>
      </c>
      <c r="AB58" s="115">
        <v>1480</v>
      </c>
      <c r="AC58" s="115">
        <v>1480</v>
      </c>
      <c r="AD58" s="115">
        <f t="shared" ref="AD58:AF64" si="85">AC58</f>
        <v>1480</v>
      </c>
      <c r="AE58" s="115">
        <f t="shared" si="85"/>
        <v>1480</v>
      </c>
      <c r="AF58" s="115">
        <f t="shared" si="85"/>
        <v>1480</v>
      </c>
      <c r="AG58" s="115">
        <f t="shared" ref="AG58:AI65" si="86">AF58</f>
        <v>1480</v>
      </c>
      <c r="AH58" s="115">
        <v>1480</v>
      </c>
      <c r="AI58" s="146">
        <f t="shared" si="86"/>
        <v>1480</v>
      </c>
      <c r="AJ58" s="146">
        <f t="shared" ref="AJ58:AK65" si="87">AI58</f>
        <v>1480</v>
      </c>
      <c r="AK58" s="146">
        <f t="shared" si="87"/>
        <v>1480</v>
      </c>
      <c r="AL58" s="146">
        <f t="shared" ref="AL58:AL65" si="88">AK58</f>
        <v>1480</v>
      </c>
      <c r="AM58" s="146">
        <f t="shared" ref="AM58:AM65" si="89">AL58</f>
        <v>1480</v>
      </c>
      <c r="AN58" s="146">
        <f t="shared" ref="AN58:AN65" si="90">AM58</f>
        <v>1480</v>
      </c>
    </row>
    <row r="59" spans="1:54">
      <c r="A59" s="29" t="s">
        <v>438</v>
      </c>
      <c r="I59" s="50"/>
      <c r="J59" s="50"/>
      <c r="K59" s="50"/>
      <c r="L59" s="50"/>
      <c r="M59" s="50"/>
      <c r="N59" s="50"/>
      <c r="O59" s="50"/>
      <c r="P59" s="50"/>
      <c r="Q59" s="50"/>
      <c r="R59" s="50"/>
      <c r="S59" s="50"/>
      <c r="T59" s="115"/>
      <c r="U59" s="115"/>
      <c r="V59" s="115">
        <v>1400</v>
      </c>
      <c r="W59" s="115">
        <v>1400</v>
      </c>
      <c r="X59" s="115">
        <v>1400</v>
      </c>
      <c r="Y59" s="115">
        <v>1400</v>
      </c>
      <c r="Z59" s="115">
        <v>1400</v>
      </c>
      <c r="AA59" s="115">
        <v>1400</v>
      </c>
      <c r="AB59" s="115">
        <v>1400</v>
      </c>
      <c r="AC59" s="115">
        <v>1400</v>
      </c>
      <c r="AD59" s="115">
        <f t="shared" si="85"/>
        <v>1400</v>
      </c>
      <c r="AE59" s="115">
        <v>1430</v>
      </c>
      <c r="AF59" s="115">
        <f t="shared" si="85"/>
        <v>1430</v>
      </c>
      <c r="AG59" s="115">
        <f t="shared" si="86"/>
        <v>1430</v>
      </c>
      <c r="AH59" s="115">
        <v>1430</v>
      </c>
      <c r="AI59" s="146">
        <f t="shared" si="86"/>
        <v>1430</v>
      </c>
      <c r="AJ59" s="146">
        <f t="shared" si="87"/>
        <v>1430</v>
      </c>
      <c r="AK59" s="146">
        <f t="shared" si="87"/>
        <v>1430</v>
      </c>
      <c r="AL59" s="146">
        <f t="shared" si="88"/>
        <v>1430</v>
      </c>
      <c r="AM59" s="146">
        <f t="shared" si="89"/>
        <v>1430</v>
      </c>
      <c r="AN59" s="146">
        <f t="shared" si="90"/>
        <v>1430</v>
      </c>
    </row>
    <row r="60" spans="1:54">
      <c r="A60" s="29" t="s">
        <v>439</v>
      </c>
      <c r="T60" s="115"/>
      <c r="U60" s="115"/>
      <c r="V60" s="115"/>
      <c r="W60" s="115"/>
      <c r="X60" s="115">
        <v>420</v>
      </c>
      <c r="Y60" s="115">
        <v>420</v>
      </c>
      <c r="Z60" s="115">
        <v>420</v>
      </c>
      <c r="AA60" s="115">
        <v>420</v>
      </c>
      <c r="AB60" s="115">
        <v>420</v>
      </c>
      <c r="AC60" s="115">
        <v>420</v>
      </c>
      <c r="AD60" s="115">
        <f t="shared" si="85"/>
        <v>420</v>
      </c>
      <c r="AE60" s="115">
        <f t="shared" si="85"/>
        <v>420</v>
      </c>
      <c r="AF60" s="115">
        <v>420</v>
      </c>
      <c r="AG60" s="115">
        <v>420</v>
      </c>
      <c r="AH60" s="115">
        <v>740</v>
      </c>
      <c r="AI60" s="146">
        <f t="shared" si="86"/>
        <v>740</v>
      </c>
      <c r="AJ60" s="146">
        <f t="shared" si="87"/>
        <v>740</v>
      </c>
      <c r="AK60" s="146">
        <f t="shared" si="87"/>
        <v>740</v>
      </c>
      <c r="AL60" s="146">
        <f t="shared" si="88"/>
        <v>740</v>
      </c>
      <c r="AM60" s="146">
        <f t="shared" si="89"/>
        <v>740</v>
      </c>
      <c r="AN60" s="146">
        <f t="shared" si="90"/>
        <v>740</v>
      </c>
    </row>
    <row r="61" spans="1:54">
      <c r="A61" s="29" t="s">
        <v>437</v>
      </c>
      <c r="T61" s="115"/>
      <c r="U61" s="115"/>
      <c r="V61" s="115">
        <v>203</v>
      </c>
      <c r="W61" s="115">
        <v>203</v>
      </c>
      <c r="X61" s="115">
        <v>203</v>
      </c>
      <c r="Y61" s="115">
        <v>203</v>
      </c>
      <c r="Z61" s="115">
        <v>203</v>
      </c>
      <c r="AA61" s="115">
        <v>203</v>
      </c>
      <c r="AB61" s="115">
        <v>203</v>
      </c>
      <c r="AC61" s="115">
        <v>203</v>
      </c>
      <c r="AD61" s="116">
        <v>235</v>
      </c>
      <c r="AE61" s="116">
        <v>235</v>
      </c>
      <c r="AF61" s="115">
        <f t="shared" si="85"/>
        <v>235</v>
      </c>
      <c r="AG61" s="115">
        <f t="shared" si="86"/>
        <v>235</v>
      </c>
      <c r="AH61" s="115">
        <v>235</v>
      </c>
      <c r="AI61" s="146">
        <f t="shared" si="86"/>
        <v>235</v>
      </c>
      <c r="AJ61" s="146">
        <f t="shared" si="87"/>
        <v>235</v>
      </c>
      <c r="AK61" s="146">
        <f t="shared" si="87"/>
        <v>235</v>
      </c>
      <c r="AL61" s="146">
        <f t="shared" si="88"/>
        <v>235</v>
      </c>
      <c r="AM61" s="146">
        <f t="shared" si="89"/>
        <v>235</v>
      </c>
      <c r="AN61" s="146">
        <f t="shared" si="90"/>
        <v>235</v>
      </c>
      <c r="AO61" s="62"/>
      <c r="AP61" s="62"/>
    </row>
    <row r="62" spans="1:54">
      <c r="A62" s="29" t="s">
        <v>722</v>
      </c>
      <c r="T62" s="115"/>
      <c r="U62" s="115"/>
      <c r="V62" s="115"/>
      <c r="W62" s="115"/>
      <c r="X62" s="115"/>
      <c r="Y62" s="115"/>
      <c r="Z62" s="115">
        <v>966</v>
      </c>
      <c r="AA62" s="115">
        <v>966</v>
      </c>
      <c r="AB62" s="115">
        <f t="shared" ref="AB62:AF62" si="91">500+440</f>
        <v>940</v>
      </c>
      <c r="AC62" s="115">
        <f t="shared" si="91"/>
        <v>940</v>
      </c>
      <c r="AD62" s="115">
        <f t="shared" si="91"/>
        <v>940</v>
      </c>
      <c r="AE62" s="115">
        <f t="shared" si="91"/>
        <v>940</v>
      </c>
      <c r="AF62" s="115">
        <f t="shared" si="91"/>
        <v>940</v>
      </c>
      <c r="AG62" s="115">
        <f>AF62</f>
        <v>940</v>
      </c>
      <c r="AH62" s="115">
        <v>940</v>
      </c>
      <c r="AI62" s="146">
        <f t="shared" si="86"/>
        <v>940</v>
      </c>
      <c r="AJ62" s="146">
        <f t="shared" si="87"/>
        <v>940</v>
      </c>
      <c r="AK62" s="146">
        <f t="shared" si="87"/>
        <v>940</v>
      </c>
      <c r="AL62" s="146">
        <f t="shared" si="88"/>
        <v>940</v>
      </c>
      <c r="AM62" s="146">
        <f t="shared" si="89"/>
        <v>940</v>
      </c>
      <c r="AN62" s="146">
        <f t="shared" si="90"/>
        <v>940</v>
      </c>
      <c r="AO62" s="62"/>
      <c r="AP62" s="62"/>
    </row>
    <row r="63" spans="1:54">
      <c r="A63" s="29" t="s">
        <v>737</v>
      </c>
      <c r="T63" s="115"/>
      <c r="U63" s="115"/>
      <c r="V63" s="115">
        <v>66</v>
      </c>
      <c r="W63" s="115">
        <v>66</v>
      </c>
      <c r="X63" s="115">
        <v>66</v>
      </c>
      <c r="Y63" s="115">
        <v>66</v>
      </c>
      <c r="Z63" s="115">
        <v>66</v>
      </c>
      <c r="AA63" s="115">
        <v>66</v>
      </c>
      <c r="AB63" s="115">
        <v>493</v>
      </c>
      <c r="AC63" s="115">
        <v>560</v>
      </c>
      <c r="AD63" s="115">
        <v>693</v>
      </c>
      <c r="AE63" s="115">
        <v>693</v>
      </c>
      <c r="AF63" s="115">
        <f t="shared" si="85"/>
        <v>693</v>
      </c>
      <c r="AG63" s="115">
        <v>595</v>
      </c>
      <c r="AH63" s="115">
        <v>430</v>
      </c>
      <c r="AI63" s="146">
        <f t="shared" si="86"/>
        <v>430</v>
      </c>
      <c r="AJ63" s="146">
        <f t="shared" si="87"/>
        <v>430</v>
      </c>
      <c r="AK63" s="146">
        <f t="shared" si="87"/>
        <v>430</v>
      </c>
      <c r="AL63" s="146">
        <f t="shared" si="88"/>
        <v>430</v>
      </c>
      <c r="AM63" s="146">
        <f t="shared" si="89"/>
        <v>430</v>
      </c>
      <c r="AN63" s="146">
        <f t="shared" si="90"/>
        <v>430</v>
      </c>
    </row>
    <row r="64" spans="1:54">
      <c r="A64" s="29" t="s">
        <v>562</v>
      </c>
      <c r="T64" s="115"/>
      <c r="U64" s="115"/>
      <c r="V64" s="115"/>
      <c r="W64" s="115"/>
      <c r="X64" s="115"/>
      <c r="Y64" s="115"/>
      <c r="Z64" s="115"/>
      <c r="AA64" s="115">
        <v>0</v>
      </c>
      <c r="AB64" s="115">
        <v>189</v>
      </c>
      <c r="AC64" s="115">
        <v>294</v>
      </c>
      <c r="AD64" s="116">
        <v>362</v>
      </c>
      <c r="AE64" s="116">
        <v>362</v>
      </c>
      <c r="AF64" s="115">
        <f t="shared" si="85"/>
        <v>362</v>
      </c>
      <c r="AG64" s="115">
        <v>294</v>
      </c>
      <c r="AH64" s="115">
        <v>294</v>
      </c>
      <c r="AI64" s="146">
        <f t="shared" si="86"/>
        <v>294</v>
      </c>
      <c r="AJ64" s="146">
        <f t="shared" si="87"/>
        <v>294</v>
      </c>
      <c r="AK64" s="146">
        <f t="shared" si="87"/>
        <v>294</v>
      </c>
      <c r="AL64" s="146">
        <f t="shared" si="88"/>
        <v>294</v>
      </c>
      <c r="AM64" s="146">
        <f t="shared" si="89"/>
        <v>294</v>
      </c>
      <c r="AN64" s="146">
        <f t="shared" si="90"/>
        <v>294</v>
      </c>
    </row>
    <row r="65" spans="1:47">
      <c r="A65" s="29" t="s">
        <v>761</v>
      </c>
      <c r="T65" s="115"/>
      <c r="U65" s="115"/>
      <c r="V65" s="115"/>
      <c r="W65" s="115"/>
      <c r="X65" s="115"/>
      <c r="Y65" s="115"/>
      <c r="Z65" s="115"/>
      <c r="AA65" s="115"/>
      <c r="AB65" s="115"/>
      <c r="AC65" s="115"/>
      <c r="AD65" s="116"/>
      <c r="AE65" s="116"/>
      <c r="AF65" s="115"/>
      <c r="AG65" s="115">
        <v>145</v>
      </c>
      <c r="AH65" s="115">
        <v>145</v>
      </c>
      <c r="AI65" s="146">
        <f t="shared" si="86"/>
        <v>145</v>
      </c>
      <c r="AJ65" s="146">
        <f t="shared" si="87"/>
        <v>145</v>
      </c>
      <c r="AK65" s="146">
        <f t="shared" si="87"/>
        <v>145</v>
      </c>
      <c r="AL65" s="146">
        <f t="shared" si="88"/>
        <v>145</v>
      </c>
      <c r="AM65" s="146">
        <f t="shared" si="89"/>
        <v>145</v>
      </c>
      <c r="AN65" s="146">
        <f t="shared" si="90"/>
        <v>145</v>
      </c>
    </row>
    <row r="66" spans="1:47">
      <c r="A66" s="62" t="s">
        <v>77</v>
      </c>
      <c r="B66" s="62"/>
      <c r="C66" s="62"/>
      <c r="D66" s="62"/>
      <c r="E66" s="62"/>
      <c r="F66" s="62"/>
      <c r="G66" s="62"/>
      <c r="H66" s="62"/>
      <c r="I66" s="62"/>
      <c r="J66" s="62"/>
      <c r="K66" s="62"/>
      <c r="L66" s="62"/>
      <c r="M66" s="62"/>
      <c r="N66" s="62"/>
      <c r="O66" s="62"/>
      <c r="P66" s="62"/>
      <c r="Q66" s="62"/>
      <c r="R66" s="62"/>
      <c r="S66" s="62"/>
      <c r="T66" s="138"/>
      <c r="U66" s="138"/>
      <c r="V66" s="138">
        <f>SUM(V58:V63)</f>
        <v>3149</v>
      </c>
      <c r="W66" s="138">
        <f>SUM(W58:W63)</f>
        <v>3149</v>
      </c>
      <c r="X66" s="138">
        <f>SUM(X58:X63)</f>
        <v>3569</v>
      </c>
      <c r="Y66" s="138">
        <f>SUM(Y58:Y63)</f>
        <v>3569</v>
      </c>
      <c r="Z66" s="138">
        <f>SUM(Z58:Z63)</f>
        <v>4535</v>
      </c>
      <c r="AA66" s="138">
        <f t="shared" ref="AA66:AF66" si="92">SUM(AA58:AA64)</f>
        <v>4535</v>
      </c>
      <c r="AB66" s="138">
        <f t="shared" si="92"/>
        <v>5125</v>
      </c>
      <c r="AC66" s="138">
        <f t="shared" si="92"/>
        <v>5297</v>
      </c>
      <c r="AD66" s="138">
        <f>SUM(AD58:AD64)</f>
        <v>5530</v>
      </c>
      <c r="AE66" s="138">
        <f t="shared" si="92"/>
        <v>5560</v>
      </c>
      <c r="AF66" s="138">
        <f t="shared" si="92"/>
        <v>5560</v>
      </c>
      <c r="AG66" s="138">
        <f>SUM(AG58:AG65)</f>
        <v>5539</v>
      </c>
      <c r="AH66" s="138">
        <f t="shared" ref="AH66:AN66" si="93">SUM(AH58:AH65)</f>
        <v>5694</v>
      </c>
      <c r="AI66" s="138">
        <f t="shared" si="93"/>
        <v>5694</v>
      </c>
      <c r="AJ66" s="138">
        <f t="shared" si="93"/>
        <v>5694</v>
      </c>
      <c r="AK66" s="138">
        <f t="shared" si="93"/>
        <v>5694</v>
      </c>
      <c r="AL66" s="138">
        <f t="shared" si="93"/>
        <v>5694</v>
      </c>
      <c r="AM66" s="138">
        <f t="shared" si="93"/>
        <v>5694</v>
      </c>
      <c r="AN66" s="138">
        <f t="shared" si="93"/>
        <v>5694</v>
      </c>
    </row>
    <row r="67" spans="1:47">
      <c r="AF67" s="207"/>
      <c r="AQ67" s="131"/>
      <c r="AR67" s="131"/>
      <c r="AS67" s="131"/>
      <c r="AT67" s="131"/>
      <c r="AU67" s="131"/>
    </row>
    <row r="68" spans="1:47" s="62" customFormat="1">
      <c r="A68" s="62" t="s">
        <v>443</v>
      </c>
      <c r="B68" s="29"/>
      <c r="C68" s="29"/>
      <c r="D68" s="29"/>
      <c r="E68" s="29"/>
      <c r="F68" s="29"/>
      <c r="G68" s="29"/>
      <c r="H68" s="29"/>
      <c r="I68" s="29"/>
      <c r="J68" s="29"/>
      <c r="K68" s="29"/>
      <c r="L68" s="29"/>
      <c r="M68" s="29"/>
      <c r="N68" s="29"/>
      <c r="O68" s="29"/>
      <c r="P68" s="29"/>
      <c r="Q68" s="29"/>
      <c r="R68" s="29"/>
      <c r="S68" s="29"/>
      <c r="T68" s="29"/>
      <c r="U68" s="29"/>
      <c r="V68" s="29"/>
      <c r="W68" s="29"/>
      <c r="X68" s="29"/>
      <c r="Y68" s="29"/>
      <c r="Z68" s="29"/>
      <c r="AA68" s="29"/>
      <c r="AB68" s="29"/>
      <c r="AC68" s="29"/>
      <c r="AD68" s="29"/>
      <c r="AE68" s="29"/>
      <c r="AF68" s="29"/>
      <c r="AG68" s="29"/>
      <c r="AH68" s="29"/>
      <c r="AI68" s="29"/>
      <c r="AJ68" s="29"/>
      <c r="AK68" s="29"/>
      <c r="AL68" s="29"/>
      <c r="AM68" s="29"/>
      <c r="AN68" s="29"/>
      <c r="AO68" s="29"/>
      <c r="AP68" s="29"/>
      <c r="AQ68" s="131"/>
      <c r="AR68" s="131"/>
      <c r="AS68" s="131"/>
      <c r="AT68" s="131"/>
      <c r="AU68" s="131"/>
    </row>
    <row r="69" spans="1:47" s="62" customFormat="1">
      <c r="A69" s="29" t="s">
        <v>468</v>
      </c>
      <c r="B69" s="29"/>
      <c r="C69" s="29"/>
      <c r="D69" s="29"/>
      <c r="E69" s="29"/>
      <c r="F69" s="29"/>
      <c r="G69" s="29"/>
      <c r="H69" s="29"/>
      <c r="I69" s="29"/>
      <c r="J69" s="29"/>
      <c r="K69" s="29"/>
      <c r="L69" s="29"/>
      <c r="M69" s="29"/>
      <c r="N69" s="29"/>
      <c r="O69" s="29"/>
      <c r="P69" s="29"/>
      <c r="Q69" s="29"/>
      <c r="R69" s="29"/>
      <c r="S69" s="29"/>
      <c r="T69" s="115"/>
      <c r="U69" s="115"/>
      <c r="V69" s="115">
        <v>8184</v>
      </c>
      <c r="W69" s="115">
        <v>7744</v>
      </c>
      <c r="X69" s="115">
        <v>9806</v>
      </c>
      <c r="Y69" s="115">
        <v>10256</v>
      </c>
      <c r="Z69" s="115">
        <v>10483</v>
      </c>
      <c r="AA69" s="115">
        <v>9946</v>
      </c>
      <c r="AB69" s="115">
        <v>9371</v>
      </c>
      <c r="AC69" s="115">
        <v>8954</v>
      </c>
      <c r="AD69" s="115">
        <v>8378</v>
      </c>
      <c r="AE69" s="115">
        <v>7969</v>
      </c>
      <c r="AF69" s="115">
        <v>7691</v>
      </c>
      <c r="AG69" s="115">
        <v>7687</v>
      </c>
      <c r="AH69" s="115">
        <v>7598</v>
      </c>
      <c r="AI69" s="115"/>
      <c r="AJ69" s="115"/>
      <c r="AK69" s="115"/>
      <c r="AL69" s="115"/>
      <c r="AM69" s="115"/>
      <c r="AN69" s="115"/>
      <c r="AO69" s="29"/>
      <c r="AP69" s="29"/>
      <c r="AQ69" s="131"/>
      <c r="AR69" s="131"/>
      <c r="AS69" s="131"/>
      <c r="AT69" s="131"/>
      <c r="AU69" s="131"/>
    </row>
    <row r="70" spans="1:47">
      <c r="A70" s="29" t="s">
        <v>469</v>
      </c>
      <c r="T70" s="115"/>
      <c r="U70" s="115"/>
      <c r="V70" s="115"/>
      <c r="W70" s="115"/>
      <c r="X70" s="115">
        <v>7694</v>
      </c>
      <c r="Y70" s="115">
        <v>5109</v>
      </c>
      <c r="Z70" s="115">
        <v>7264</v>
      </c>
      <c r="AA70" s="115">
        <v>6880</v>
      </c>
      <c r="AB70" s="115">
        <v>8193</v>
      </c>
      <c r="AC70" s="115">
        <v>4355</v>
      </c>
      <c r="AD70" s="115">
        <v>6346</v>
      </c>
      <c r="AE70" s="115">
        <v>6737</v>
      </c>
      <c r="AF70" s="115">
        <v>5697</v>
      </c>
      <c r="AG70" s="115">
        <v>5360</v>
      </c>
      <c r="AH70" s="115">
        <v>7010</v>
      </c>
      <c r="AI70" s="115"/>
      <c r="AJ70" s="115"/>
      <c r="AK70" s="115"/>
      <c r="AL70" s="115"/>
      <c r="AM70" s="115"/>
      <c r="AN70" s="115"/>
      <c r="AQ70" s="131"/>
      <c r="AR70" s="131"/>
      <c r="AS70" s="131"/>
      <c r="AT70" s="131"/>
      <c r="AU70" s="131"/>
    </row>
    <row r="71" spans="1:47">
      <c r="A71" s="29" t="s">
        <v>464</v>
      </c>
      <c r="T71" s="115"/>
      <c r="U71" s="115"/>
      <c r="V71" s="115">
        <v>2702</v>
      </c>
      <c r="W71" s="115">
        <v>3062</v>
      </c>
      <c r="X71" s="115">
        <v>2435</v>
      </c>
      <c r="Y71" s="115">
        <v>2496</v>
      </c>
      <c r="Z71" s="115">
        <v>858</v>
      </c>
      <c r="AA71" s="115">
        <v>1644</v>
      </c>
      <c r="AB71" s="115">
        <v>855</v>
      </c>
      <c r="AC71" s="115">
        <v>1322</v>
      </c>
      <c r="AD71" s="115">
        <v>856</v>
      </c>
      <c r="AE71" s="115">
        <v>636</v>
      </c>
      <c r="AF71" s="115">
        <v>1721</v>
      </c>
      <c r="AG71" s="488">
        <v>1721</v>
      </c>
      <c r="AH71" s="488">
        <v>1721</v>
      </c>
      <c r="AI71" s="115"/>
      <c r="AJ71" s="115"/>
      <c r="AK71" s="115"/>
      <c r="AL71" s="115"/>
      <c r="AM71" s="115"/>
      <c r="AN71" s="115"/>
      <c r="AQ71" s="131"/>
      <c r="AR71" s="131"/>
      <c r="AS71" s="131"/>
      <c r="AT71" s="131"/>
      <c r="AU71" s="131"/>
    </row>
    <row r="72" spans="1:47">
      <c r="A72" s="29" t="s">
        <v>465</v>
      </c>
      <c r="T72" s="115"/>
      <c r="U72" s="115"/>
      <c r="V72" s="115">
        <v>5</v>
      </c>
      <c r="W72" s="115">
        <v>71</v>
      </c>
      <c r="X72" s="115">
        <v>29</v>
      </c>
      <c r="Y72" s="115">
        <v>30</v>
      </c>
      <c r="Z72" s="115">
        <v>39</v>
      </c>
      <c r="AA72" s="115">
        <v>20</v>
      </c>
      <c r="AB72" s="115">
        <v>23</v>
      </c>
      <c r="AC72" s="115">
        <v>33</v>
      </c>
      <c r="AD72" s="115">
        <v>27</v>
      </c>
      <c r="AE72" s="115">
        <v>45</v>
      </c>
      <c r="AF72" s="115">
        <v>88</v>
      </c>
      <c r="AG72" s="488">
        <v>88</v>
      </c>
      <c r="AH72" s="488">
        <v>88</v>
      </c>
      <c r="AI72" s="115"/>
      <c r="AJ72" s="115"/>
      <c r="AK72" s="115"/>
      <c r="AL72" s="115"/>
      <c r="AM72" s="115"/>
      <c r="AN72" s="115"/>
      <c r="AO72" s="62"/>
      <c r="AP72" s="62"/>
      <c r="AQ72" s="32"/>
    </row>
    <row r="73" spans="1:47">
      <c r="A73" s="29" t="str">
        <f>A62</f>
        <v>Ecogen (gas)</v>
      </c>
      <c r="T73" s="115"/>
      <c r="U73" s="115"/>
      <c r="V73" s="115"/>
      <c r="W73" s="115"/>
      <c r="X73" s="115"/>
      <c r="Y73" s="115"/>
      <c r="Z73" s="115">
        <v>256</v>
      </c>
      <c r="AA73" s="115">
        <v>966</v>
      </c>
      <c r="AB73" s="115">
        <f>502+107</f>
        <v>609</v>
      </c>
      <c r="AC73" s="115">
        <f>1176+227</f>
        <v>1403</v>
      </c>
      <c r="AD73" s="115">
        <f>310+75</f>
        <v>385</v>
      </c>
      <c r="AE73" s="115">
        <f>256+99</f>
        <v>355</v>
      </c>
      <c r="AF73" s="115">
        <f>680+111</f>
        <v>791</v>
      </c>
      <c r="AG73" s="488">
        <f>680+111</f>
        <v>791</v>
      </c>
      <c r="AH73" s="488">
        <v>791</v>
      </c>
      <c r="AI73" s="115"/>
      <c r="AJ73" s="115"/>
      <c r="AK73" s="115"/>
      <c r="AL73" s="115"/>
      <c r="AM73" s="115"/>
      <c r="AN73" s="115"/>
      <c r="AO73" s="62"/>
      <c r="AP73" s="62"/>
      <c r="AQ73" s="32"/>
    </row>
    <row r="74" spans="1:47">
      <c r="A74" s="29" t="s">
        <v>466</v>
      </c>
      <c r="T74" s="115"/>
      <c r="U74" s="115"/>
      <c r="V74" s="115">
        <v>176</v>
      </c>
      <c r="W74" s="115">
        <v>191</v>
      </c>
      <c r="X74" s="115">
        <v>177</v>
      </c>
      <c r="Y74" s="115">
        <v>168</v>
      </c>
      <c r="Z74" s="115">
        <v>78</v>
      </c>
      <c r="AA74" s="115">
        <v>81</v>
      </c>
      <c r="AB74" s="115">
        <v>84</v>
      </c>
      <c r="AC74" s="115">
        <v>85</v>
      </c>
      <c r="AD74" s="115">
        <v>73</v>
      </c>
      <c r="AE74" s="115">
        <v>64.3</v>
      </c>
      <c r="AF74" s="115">
        <v>74</v>
      </c>
      <c r="AG74" s="488">
        <v>74</v>
      </c>
      <c r="AH74" s="488">
        <v>74</v>
      </c>
      <c r="AI74" s="115"/>
      <c r="AJ74" s="115"/>
      <c r="AK74" s="115"/>
      <c r="AL74" s="115"/>
      <c r="AM74" s="115"/>
      <c r="AN74" s="115"/>
      <c r="AO74" s="62"/>
      <c r="AP74" s="62"/>
      <c r="AQ74" s="32"/>
    </row>
    <row r="75" spans="1:47">
      <c r="T75" s="115"/>
      <c r="U75" s="115"/>
      <c r="V75" s="115"/>
      <c r="W75" s="115"/>
      <c r="X75" s="115"/>
      <c r="Y75" s="115"/>
      <c r="Z75" s="115"/>
      <c r="AA75" s="115"/>
      <c r="AB75" s="119"/>
      <c r="AC75" s="463"/>
      <c r="AD75" s="463"/>
      <c r="AE75" s="119"/>
      <c r="AF75" s="115"/>
      <c r="AG75" s="115"/>
      <c r="AH75" s="115"/>
      <c r="AI75" s="115"/>
      <c r="AJ75" s="115"/>
      <c r="AK75" s="115"/>
      <c r="AL75" s="115"/>
      <c r="AM75" s="115"/>
      <c r="AN75" s="115"/>
      <c r="AO75" s="62"/>
      <c r="AP75" s="62"/>
      <c r="AQ75" s="32"/>
    </row>
    <row r="76" spans="1:47">
      <c r="A76" s="62" t="s">
        <v>77</v>
      </c>
      <c r="B76" s="62"/>
      <c r="C76" s="62"/>
      <c r="D76" s="62"/>
      <c r="E76" s="62"/>
      <c r="F76" s="62"/>
      <c r="G76" s="62"/>
      <c r="H76" s="62"/>
      <c r="I76" s="62"/>
      <c r="J76" s="62"/>
      <c r="K76" s="62"/>
      <c r="L76" s="62"/>
      <c r="M76" s="62"/>
      <c r="N76" s="62"/>
      <c r="O76" s="62"/>
      <c r="P76" s="62"/>
      <c r="Q76" s="62"/>
      <c r="R76" s="62"/>
      <c r="S76" s="62"/>
      <c r="T76" s="138"/>
      <c r="U76" s="138"/>
      <c r="V76" s="138">
        <f t="shared" ref="V76:AD76" si="94">SUM(V69:V74)</f>
        <v>11067</v>
      </c>
      <c r="W76" s="138">
        <f t="shared" si="94"/>
        <v>11068</v>
      </c>
      <c r="X76" s="138">
        <f t="shared" si="94"/>
        <v>20141</v>
      </c>
      <c r="Y76" s="138">
        <f t="shared" si="94"/>
        <v>18059</v>
      </c>
      <c r="Z76" s="138">
        <f t="shared" si="94"/>
        <v>18978</v>
      </c>
      <c r="AA76" s="138">
        <f t="shared" si="94"/>
        <v>19537</v>
      </c>
      <c r="AB76" s="138">
        <f t="shared" si="94"/>
        <v>19135</v>
      </c>
      <c r="AC76" s="138">
        <f t="shared" si="94"/>
        <v>16152</v>
      </c>
      <c r="AD76" s="138">
        <f t="shared" si="94"/>
        <v>16065</v>
      </c>
      <c r="AE76" s="138">
        <f>SUM(AE69:AE74)</f>
        <v>15806.3</v>
      </c>
      <c r="AF76" s="138">
        <f>SUM(AF69:AF74)</f>
        <v>16062</v>
      </c>
      <c r="AG76" s="138">
        <f>SUM(AG69:AG74)</f>
        <v>15721</v>
      </c>
      <c r="AH76" s="138">
        <f>SUM(AH69:AH74)</f>
        <v>17282</v>
      </c>
      <c r="AI76" s="138">
        <f>AVERAGE(AH66:AI66)*8760*AI77/1000</f>
        <v>17520.467907059559</v>
      </c>
      <c r="AJ76" s="138">
        <f>AVERAGE(AI66:AJ66)*8760*AJ77/1000</f>
        <v>17520.467907059559</v>
      </c>
      <c r="AK76" s="138">
        <f>AVERAGE(AJ66:AK66)*8760*AK77/1000</f>
        <v>17520.467907059559</v>
      </c>
      <c r="AL76" s="138">
        <f>AVERAGE(AK66:AL66)*8760*AL77/1000</f>
        <v>17520.467907059559</v>
      </c>
      <c r="AM76" s="138">
        <f t="shared" ref="AM76:AN76" si="95">AVERAGE(AL66:AM66)*8760*AM77/1000</f>
        <v>17520.467907059559</v>
      </c>
      <c r="AN76" s="138">
        <f t="shared" si="95"/>
        <v>17520.467907059559</v>
      </c>
      <c r="AQ76" s="32"/>
    </row>
    <row r="77" spans="1:47">
      <c r="A77" s="29" t="s">
        <v>446</v>
      </c>
      <c r="B77" s="62"/>
      <c r="C77" s="62"/>
      <c r="D77" s="62"/>
      <c r="E77" s="62"/>
      <c r="F77" s="62"/>
      <c r="G77" s="62"/>
      <c r="H77" s="62"/>
      <c r="I77" s="62"/>
      <c r="J77" s="62"/>
      <c r="K77" s="62"/>
      <c r="L77" s="62"/>
      <c r="M77" s="62"/>
      <c r="N77" s="62"/>
      <c r="O77" s="62"/>
      <c r="P77" s="62"/>
      <c r="Q77" s="62"/>
      <c r="R77" s="62"/>
      <c r="S77" s="62"/>
      <c r="T77" s="138"/>
      <c r="U77" s="138"/>
      <c r="V77" s="138"/>
      <c r="W77" s="119">
        <f t="shared" ref="W77:AH77" si="96">W76/(AVERAGE(V66:W66)*8760)*1000</f>
        <v>0.40122906307866091</v>
      </c>
      <c r="X77" s="119">
        <f t="shared" si="96"/>
        <v>0.6844897032575199</v>
      </c>
      <c r="Y77" s="119">
        <f t="shared" si="96"/>
        <v>0.57762109284541796</v>
      </c>
      <c r="Z77" s="119">
        <f t="shared" si="96"/>
        <v>0.53465902175823876</v>
      </c>
      <c r="AA77" s="119">
        <f t="shared" si="96"/>
        <v>0.49178635976902124</v>
      </c>
      <c r="AB77" s="119">
        <f t="shared" si="96"/>
        <v>0.45224859846658533</v>
      </c>
      <c r="AC77" s="119">
        <f t="shared" si="96"/>
        <v>0.35383527469552029</v>
      </c>
      <c r="AD77" s="119">
        <f t="shared" si="96"/>
        <v>0.3387649597467518</v>
      </c>
      <c r="AE77" s="119">
        <f t="shared" si="96"/>
        <v>0.32540525628831762</v>
      </c>
      <c r="AF77" s="119">
        <f t="shared" si="96"/>
        <v>0.32977727407115404</v>
      </c>
      <c r="AG77" s="119">
        <f t="shared" si="96"/>
        <v>0.32338673811989316</v>
      </c>
      <c r="AH77" s="119">
        <f t="shared" si="96"/>
        <v>0.35125630734947222</v>
      </c>
      <c r="AI77" s="135">
        <f t="shared" ref="AI77:AN77" si="97">AH77</f>
        <v>0.35125630734947222</v>
      </c>
      <c r="AJ77" s="135">
        <f t="shared" si="97"/>
        <v>0.35125630734947222</v>
      </c>
      <c r="AK77" s="135">
        <f t="shared" si="97"/>
        <v>0.35125630734947222</v>
      </c>
      <c r="AL77" s="135">
        <f t="shared" si="97"/>
        <v>0.35125630734947222</v>
      </c>
      <c r="AM77" s="135">
        <f t="shared" si="97"/>
        <v>0.35125630734947222</v>
      </c>
      <c r="AN77" s="135">
        <f t="shared" si="97"/>
        <v>0.35125630734947222</v>
      </c>
      <c r="AO77" s="32"/>
      <c r="AP77" s="32"/>
      <c r="AQ77" s="32"/>
    </row>
    <row r="78" spans="1:47">
      <c r="T78" s="115"/>
      <c r="U78" s="115"/>
      <c r="V78" s="115"/>
      <c r="W78" s="115"/>
      <c r="X78" s="115"/>
      <c r="Y78" s="115"/>
      <c r="Z78" s="115"/>
      <c r="AA78" s="115"/>
      <c r="AB78" s="115"/>
      <c r="AC78" s="115"/>
      <c r="AD78" s="119"/>
      <c r="AE78" s="115"/>
      <c r="AF78" s="115"/>
      <c r="AG78" s="115"/>
      <c r="AH78" s="115"/>
      <c r="AI78" s="115"/>
      <c r="AJ78" s="115"/>
      <c r="AK78" s="115"/>
      <c r="AL78" s="115"/>
      <c r="AM78" s="115"/>
      <c r="AN78" s="115"/>
      <c r="AO78" s="32"/>
      <c r="AP78" s="32"/>
    </row>
    <row r="79" spans="1:47">
      <c r="A79" s="62" t="s">
        <v>445</v>
      </c>
      <c r="B79" s="32"/>
      <c r="C79" s="32"/>
      <c r="D79" s="32"/>
      <c r="E79" s="32"/>
      <c r="F79" s="32"/>
      <c r="G79" s="32"/>
      <c r="H79" s="32"/>
      <c r="I79" s="32"/>
      <c r="J79" s="32"/>
      <c r="K79" s="32"/>
      <c r="L79" s="31"/>
      <c r="M79" s="31"/>
      <c r="N79" s="31"/>
      <c r="O79" s="31"/>
      <c r="P79" s="31"/>
      <c r="Q79" s="136"/>
      <c r="R79" s="115"/>
      <c r="S79" s="115"/>
      <c r="T79" s="115"/>
      <c r="U79" s="138"/>
      <c r="V79" s="138"/>
      <c r="W79" s="138">
        <f t="shared" ref="W79:AF79" si="98">W19</f>
        <v>2127</v>
      </c>
      <c r="X79" s="138">
        <f t="shared" si="98"/>
        <v>2198</v>
      </c>
      <c r="Y79" s="138">
        <f t="shared" si="98"/>
        <v>975</v>
      </c>
      <c r="Z79" s="138">
        <f t="shared" si="98"/>
        <v>1419</v>
      </c>
      <c r="AA79" s="138">
        <f t="shared" si="98"/>
        <v>2925</v>
      </c>
      <c r="AB79" s="138">
        <f t="shared" si="98"/>
        <v>5391</v>
      </c>
      <c r="AC79" s="138">
        <f t="shared" si="98"/>
        <v>3621</v>
      </c>
      <c r="AD79" s="138">
        <f t="shared" si="98"/>
        <v>3440</v>
      </c>
      <c r="AE79" s="138">
        <f t="shared" si="98"/>
        <v>1445</v>
      </c>
      <c r="AF79" s="138">
        <f t="shared" si="98"/>
        <v>-2879</v>
      </c>
      <c r="AG79" s="138">
        <f t="shared" ref="AG79:AH79" si="99">AG19</f>
        <v>64.561233108108127</v>
      </c>
      <c r="AH79" s="138">
        <f t="shared" si="99"/>
        <v>2947.1292229729729</v>
      </c>
      <c r="AI79" s="481">
        <f t="shared" ref="AI79:AN79" si="100">AI76*AI80</f>
        <v>3077.6805169572558</v>
      </c>
      <c r="AJ79" s="481">
        <f t="shared" si="100"/>
        <v>3216.9668041184477</v>
      </c>
      <c r="AK79" s="481">
        <f t="shared" si="100"/>
        <v>3308.5287694007411</v>
      </c>
      <c r="AL79" s="481">
        <f t="shared" si="100"/>
        <v>3308.5287694007411</v>
      </c>
      <c r="AM79" s="481">
        <f t="shared" si="100"/>
        <v>3308.5287694007411</v>
      </c>
      <c r="AN79" s="481">
        <f t="shared" si="100"/>
        <v>3308.5287694007411</v>
      </c>
      <c r="AO79" s="32"/>
      <c r="AP79" s="32"/>
      <c r="AQ79" s="50"/>
    </row>
    <row r="80" spans="1:47">
      <c r="A80" s="29" t="s">
        <v>461</v>
      </c>
      <c r="B80" s="32"/>
      <c r="C80" s="32"/>
      <c r="D80" s="32"/>
      <c r="E80" s="32"/>
      <c r="F80" s="32"/>
      <c r="G80" s="32"/>
      <c r="H80" s="32"/>
      <c r="I80" s="32"/>
      <c r="J80" s="32"/>
      <c r="K80" s="32"/>
      <c r="L80" s="31"/>
      <c r="M80" s="31"/>
      <c r="N80" s="31"/>
      <c r="O80" s="31"/>
      <c r="P80" s="31"/>
      <c r="Q80" s="136"/>
      <c r="R80" s="115"/>
      <c r="S80" s="115"/>
      <c r="T80" s="115"/>
      <c r="U80" s="138"/>
      <c r="V80" s="138"/>
      <c r="W80" s="142">
        <f t="shared" ref="W80:AE80" si="101">W79/W76</f>
        <v>0.19217564148897723</v>
      </c>
      <c r="X80" s="142">
        <f t="shared" si="101"/>
        <v>0.10913062906509111</v>
      </c>
      <c r="Y80" s="142">
        <f t="shared" si="101"/>
        <v>5.3989700426380197E-2</v>
      </c>
      <c r="Z80" s="142">
        <f t="shared" si="101"/>
        <v>7.4770787227315838E-2</v>
      </c>
      <c r="AA80" s="142">
        <f t="shared" si="101"/>
        <v>0.14971592363208272</v>
      </c>
      <c r="AB80" s="142">
        <f t="shared" si="101"/>
        <v>0.28173504050169845</v>
      </c>
      <c r="AC80" s="142">
        <f t="shared" si="101"/>
        <v>0.22418276374442794</v>
      </c>
      <c r="AD80" s="142">
        <f t="shared" si="101"/>
        <v>0.21413009648303766</v>
      </c>
      <c r="AE80" s="142">
        <f t="shared" si="101"/>
        <v>9.1419244225403803E-2</v>
      </c>
      <c r="AF80" s="142">
        <f>AF79/AF76</f>
        <v>-0.17924293363217533</v>
      </c>
      <c r="AG80" s="142">
        <f t="shared" ref="AG80:AH80" si="102">AG79/AG76</f>
        <v>4.1066874313407621E-3</v>
      </c>
      <c r="AH80" s="142">
        <f t="shared" si="102"/>
        <v>0.17053172219494114</v>
      </c>
      <c r="AI80" s="482">
        <f t="shared" ref="AI80:AN80" si="103">AI81*AI2</f>
        <v>0.17566200476399146</v>
      </c>
      <c r="AJ80" s="482">
        <f t="shared" si="103"/>
        <v>0.18361192299106513</v>
      </c>
      <c r="AK80" s="482">
        <f t="shared" si="103"/>
        <v>0.18883792299106514</v>
      </c>
      <c r="AL80" s="482">
        <f t="shared" si="103"/>
        <v>0.18883792299106514</v>
      </c>
      <c r="AM80" s="482">
        <f t="shared" si="103"/>
        <v>0.18883792299106514</v>
      </c>
      <c r="AN80" s="482">
        <f t="shared" si="103"/>
        <v>0.18883792299106514</v>
      </c>
      <c r="AO80" s="32"/>
      <c r="AP80" s="32"/>
      <c r="AQ80" s="50"/>
    </row>
    <row r="81" spans="1:43">
      <c r="A81" s="29" t="s">
        <v>462</v>
      </c>
      <c r="B81" s="32"/>
      <c r="C81" s="32"/>
      <c r="D81" s="32"/>
      <c r="E81" s="32"/>
      <c r="F81" s="32"/>
      <c r="G81" s="32"/>
      <c r="H81" s="32"/>
      <c r="I81" s="32"/>
      <c r="J81" s="32"/>
      <c r="K81" s="32"/>
      <c r="L81" s="31"/>
      <c r="M81" s="31"/>
      <c r="N81" s="31"/>
      <c r="O81" s="31"/>
      <c r="P81" s="31"/>
      <c r="Q81" s="136"/>
      <c r="R81" s="115"/>
      <c r="S81" s="115"/>
      <c r="T81" s="115"/>
      <c r="U81" s="138"/>
      <c r="V81" s="138"/>
      <c r="W81" s="142">
        <f t="shared" ref="W81:AF81" si="104">W80/W2</f>
        <v>2.5819995094516549E-2</v>
      </c>
      <c r="X81" s="142">
        <f t="shared" si="104"/>
        <v>1.5649333772867442E-2</v>
      </c>
      <c r="Y81" s="142">
        <f t="shared" si="104"/>
        <v>9.3250854908885124E-3</v>
      </c>
      <c r="Z81" s="142">
        <f t="shared" si="104"/>
        <v>1.2977659850267437E-2</v>
      </c>
      <c r="AA81" s="142">
        <f t="shared" si="104"/>
        <v>2.4970133031802715E-2</v>
      </c>
      <c r="AB81" s="142">
        <f t="shared" si="104"/>
        <v>4.826213520996616E-2</v>
      </c>
      <c r="AC81" s="142">
        <f t="shared" si="104"/>
        <v>4.1147387692039655E-2</v>
      </c>
      <c r="AD81" s="142">
        <f t="shared" si="104"/>
        <v>3.9933440531694259E-2</v>
      </c>
      <c r="AE81" s="142">
        <f t="shared" si="104"/>
        <v>1.565612485021986E-2</v>
      </c>
      <c r="AF81" s="142">
        <f t="shared" si="104"/>
        <v>-3.3016548375046695E-2</v>
      </c>
      <c r="AG81" s="142">
        <f t="shared" ref="AG81:AH81" si="105">AG80/AG2</f>
        <v>7.9012666178996261E-4</v>
      </c>
      <c r="AH81" s="142">
        <f t="shared" si="105"/>
        <v>3.3134313622477062E-2</v>
      </c>
      <c r="AI81" s="143">
        <f>AH81+0.001</f>
        <v>3.4134313622477062E-2</v>
      </c>
      <c r="AJ81" s="143">
        <f t="shared" ref="AJ81:AK81" si="106">AI81+0.001</f>
        <v>3.5134313622477063E-2</v>
      </c>
      <c r="AK81" s="143">
        <f t="shared" si="106"/>
        <v>3.6134313622477064E-2</v>
      </c>
      <c r="AL81" s="143">
        <f t="shared" ref="AL81:AN81" si="107">AK81</f>
        <v>3.6134313622477064E-2</v>
      </c>
      <c r="AM81" s="143">
        <f t="shared" si="107"/>
        <v>3.6134313622477064E-2</v>
      </c>
      <c r="AN81" s="143">
        <f t="shared" si="107"/>
        <v>3.6134313622477064E-2</v>
      </c>
      <c r="AO81" s="32"/>
      <c r="AP81" s="32"/>
      <c r="AQ81" s="32"/>
    </row>
    <row r="82" spans="1:43">
      <c r="B82" s="32"/>
      <c r="C82" s="32"/>
      <c r="D82" s="32"/>
      <c r="E82" s="32"/>
      <c r="F82" s="32"/>
      <c r="G82" s="32"/>
      <c r="H82" s="32"/>
      <c r="I82" s="32"/>
      <c r="J82" s="32"/>
      <c r="K82" s="32"/>
      <c r="L82" s="31"/>
      <c r="M82" s="31"/>
      <c r="N82" s="31"/>
      <c r="O82" s="31"/>
      <c r="P82" s="31"/>
      <c r="Q82" s="136"/>
      <c r="R82" s="115"/>
      <c r="S82" s="115"/>
      <c r="T82" s="115"/>
      <c r="U82" s="138"/>
      <c r="V82" s="138"/>
      <c r="W82" s="142"/>
      <c r="X82" s="142"/>
      <c r="Y82" s="142"/>
      <c r="Z82" s="142"/>
      <c r="AA82" s="147"/>
      <c r="AB82" s="147"/>
      <c r="AC82" s="147"/>
      <c r="AD82" s="147"/>
      <c r="AE82" s="147"/>
      <c r="AF82" s="147"/>
      <c r="AG82" s="147"/>
      <c r="AH82" s="147"/>
      <c r="AI82" s="147"/>
      <c r="AJ82" s="147"/>
      <c r="AK82" s="147"/>
      <c r="AL82" s="147"/>
      <c r="AM82" s="147"/>
      <c r="AN82" s="147"/>
      <c r="AQ82" s="32"/>
    </row>
    <row r="83" spans="1:43">
      <c r="A83" s="88" t="s">
        <v>168</v>
      </c>
      <c r="B83" s="132"/>
      <c r="C83" s="132"/>
      <c r="D83" s="132"/>
      <c r="E83" s="132"/>
      <c r="F83" s="132"/>
      <c r="G83" s="132"/>
      <c r="H83" s="132"/>
      <c r="I83" s="132"/>
      <c r="J83" s="132"/>
      <c r="K83" s="132"/>
      <c r="L83" s="132"/>
      <c r="M83" s="132"/>
      <c r="N83" s="132"/>
      <c r="O83" s="132"/>
      <c r="P83" s="132"/>
      <c r="Q83" s="132"/>
      <c r="R83" s="133"/>
      <c r="S83" s="134"/>
      <c r="T83" s="134"/>
      <c r="U83" s="134"/>
      <c r="V83" s="134"/>
      <c r="W83" s="132"/>
      <c r="X83" s="132"/>
      <c r="Y83" s="132"/>
      <c r="Z83" s="132"/>
      <c r="AA83" s="132"/>
      <c r="AB83" s="132"/>
      <c r="AC83" s="132"/>
      <c r="AD83" s="132"/>
      <c r="AE83" s="132"/>
      <c r="AF83" s="132"/>
      <c r="AG83" s="132"/>
      <c r="AH83" s="132"/>
      <c r="AI83" s="132"/>
      <c r="AJ83" s="132"/>
      <c r="AK83" s="132"/>
      <c r="AL83" s="132"/>
      <c r="AM83" s="132"/>
      <c r="AN83" s="132"/>
      <c r="AO83" s="50"/>
      <c r="AP83" s="50"/>
      <c r="AQ83" s="32"/>
    </row>
    <row r="84" spans="1:43">
      <c r="A84" s="29" t="s">
        <v>101</v>
      </c>
      <c r="B84" s="32"/>
      <c r="C84" s="32"/>
      <c r="D84" s="32"/>
      <c r="E84" s="32"/>
      <c r="F84" s="32"/>
      <c r="G84" s="32"/>
      <c r="H84" s="32"/>
      <c r="I84" s="32"/>
      <c r="J84" s="32"/>
      <c r="K84" s="32"/>
      <c r="L84" s="31"/>
      <c r="M84" s="50">
        <v>6444</v>
      </c>
      <c r="N84" s="50">
        <v>6106</v>
      </c>
      <c r="O84" s="50">
        <v>11108</v>
      </c>
      <c r="P84" s="50">
        <v>10954</v>
      </c>
      <c r="Q84" s="50">
        <v>13375</v>
      </c>
      <c r="R84" s="50">
        <v>9087</v>
      </c>
      <c r="S84" s="50">
        <v>11155</v>
      </c>
      <c r="T84" s="50">
        <v>10815</v>
      </c>
      <c r="U84" s="50">
        <v>19127</v>
      </c>
      <c r="V84" s="50">
        <v>16618</v>
      </c>
      <c r="W84" s="50">
        <v>14406</v>
      </c>
      <c r="X84" s="50">
        <v>14619</v>
      </c>
      <c r="Y84" s="50">
        <v>964</v>
      </c>
      <c r="Z84" s="50">
        <v>1268</v>
      </c>
      <c r="AA84" s="17">
        <v>234</v>
      </c>
      <c r="AB84" s="472">
        <v>0</v>
      </c>
      <c r="AC84" s="55">
        <v>0</v>
      </c>
      <c r="AD84" s="55">
        <f t="shared" ref="AD84:AE84" si="108">AC84/AC2*AD2</f>
        <v>0</v>
      </c>
      <c r="AE84" s="55">
        <f t="shared" si="108"/>
        <v>0</v>
      </c>
      <c r="AF84" s="55">
        <v>5127</v>
      </c>
      <c r="AG84" s="55">
        <v>4655</v>
      </c>
      <c r="AH84" s="55">
        <v>3558</v>
      </c>
      <c r="AI84" s="148">
        <f>AH84/AH2*AI2</f>
        <v>3557.6678962800001</v>
      </c>
      <c r="AJ84" s="148">
        <f t="shared" ref="AJ84:AN84" si="109">AI84/AI2*AJ2</f>
        <v>3612.8351843999999</v>
      </c>
      <c r="AK84" s="148">
        <f t="shared" si="109"/>
        <v>3612.8351843999999</v>
      </c>
      <c r="AL84" s="148">
        <f t="shared" si="109"/>
        <v>3612.8351843999999</v>
      </c>
      <c r="AM84" s="148">
        <f t="shared" si="109"/>
        <v>3612.8351843999999</v>
      </c>
      <c r="AN84" s="148">
        <f t="shared" si="109"/>
        <v>3612.8351843999999</v>
      </c>
    </row>
    <row r="85" spans="1:43">
      <c r="A85" s="29" t="s">
        <v>236</v>
      </c>
      <c r="B85" s="34"/>
      <c r="C85" s="34"/>
      <c r="D85" s="34"/>
      <c r="E85" s="34"/>
      <c r="F85" s="34"/>
      <c r="G85" s="34"/>
      <c r="H85" s="34"/>
      <c r="I85" s="34"/>
      <c r="J85" s="34"/>
      <c r="K85" s="34"/>
      <c r="L85" s="136"/>
      <c r="M85" s="50"/>
      <c r="N85" s="50"/>
      <c r="O85" s="128"/>
      <c r="P85" s="128"/>
      <c r="Q85" s="128"/>
      <c r="R85" s="128"/>
      <c r="S85" s="128"/>
      <c r="T85" s="128"/>
      <c r="U85" s="128">
        <f>-U25/(T84*2/12+U84*10/12)</f>
        <v>0.10872710192578677</v>
      </c>
      <c r="V85" s="128">
        <f t="shared" ref="V85:Z85" si="110">-V25/AVERAGE(U84:V84)</f>
        <v>0.10317526926842915</v>
      </c>
      <c r="W85" s="128">
        <f t="shared" si="110"/>
        <v>0.10443527591542032</v>
      </c>
      <c r="X85" s="128">
        <f t="shared" si="110"/>
        <v>7.0215331610680443E-2</v>
      </c>
      <c r="Y85" s="128">
        <f t="shared" si="110"/>
        <v>9.0098183918372585E-2</v>
      </c>
      <c r="Z85" s="128">
        <f t="shared" si="110"/>
        <v>0.19265232974910393</v>
      </c>
      <c r="AA85" s="128"/>
      <c r="AB85" s="128"/>
      <c r="AC85" s="128"/>
      <c r="AD85" s="128"/>
      <c r="AE85" s="128"/>
      <c r="AF85" s="128">
        <f t="shared" ref="AF85" si="111">-AF25/AVERAGE(AE84:AF84)</f>
        <v>0.13458162668227033</v>
      </c>
      <c r="AG85" s="128">
        <f t="shared" ref="AG85" si="112">-AG25/AVERAGE(AF84:AG84)</f>
        <v>9.7526068288693521E-2</v>
      </c>
      <c r="AH85" s="128">
        <f>-AH25/AVERAGE(AG84:AH84)</f>
        <v>0.1146962133203458</v>
      </c>
      <c r="AI85" s="135">
        <f>AH85-1%</f>
        <v>0.1046962133203458</v>
      </c>
      <c r="AJ85" s="135">
        <f>AI85</f>
        <v>0.1046962133203458</v>
      </c>
      <c r="AK85" s="135">
        <f>AJ85</f>
        <v>0.1046962133203458</v>
      </c>
      <c r="AL85" s="135">
        <f>AK85</f>
        <v>0.1046962133203458</v>
      </c>
      <c r="AM85" s="135">
        <f>AL85</f>
        <v>0.1046962133203458</v>
      </c>
      <c r="AN85" s="135">
        <f>AM85</f>
        <v>0.1046962133203458</v>
      </c>
      <c r="AO85" s="32"/>
      <c r="AP85" s="32"/>
    </row>
    <row r="86" spans="1:43">
      <c r="M86" s="50"/>
      <c r="N86" s="50"/>
      <c r="O86" s="50"/>
      <c r="P86" s="50"/>
      <c r="Q86" s="50"/>
      <c r="R86" s="50"/>
      <c r="S86" s="50"/>
      <c r="T86" s="50"/>
      <c r="U86" s="50"/>
      <c r="V86" s="50"/>
      <c r="W86" s="50"/>
      <c r="X86" s="50"/>
      <c r="Y86" s="50"/>
      <c r="Z86" s="50"/>
      <c r="AA86" s="50"/>
      <c r="AB86" s="50"/>
      <c r="AC86" s="50"/>
      <c r="AD86" s="50"/>
      <c r="AE86" s="50"/>
      <c r="AF86" s="50"/>
      <c r="AG86" s="50"/>
      <c r="AH86" s="50"/>
      <c r="AI86" s="50"/>
      <c r="AJ86" s="50"/>
      <c r="AK86" s="50"/>
      <c r="AL86" s="50"/>
      <c r="AM86" s="50"/>
      <c r="AN86" s="50"/>
      <c r="AO86" s="32"/>
      <c r="AP86" s="32"/>
      <c r="AQ86" s="32"/>
    </row>
    <row r="87" spans="1:43">
      <c r="A87" s="88" t="s">
        <v>169</v>
      </c>
      <c r="B87" s="132"/>
      <c r="C87" s="132"/>
      <c r="D87" s="132"/>
      <c r="E87" s="132"/>
      <c r="F87" s="132"/>
      <c r="G87" s="132"/>
      <c r="H87" s="132"/>
      <c r="I87" s="132"/>
      <c r="J87" s="132"/>
      <c r="K87" s="132"/>
      <c r="L87" s="132"/>
      <c r="M87" s="132"/>
      <c r="N87" s="132"/>
      <c r="O87" s="132"/>
      <c r="P87" s="132"/>
      <c r="Q87" s="132"/>
      <c r="R87" s="133"/>
      <c r="S87" s="134"/>
      <c r="T87" s="134"/>
      <c r="U87" s="134"/>
      <c r="V87" s="134"/>
      <c r="W87" s="132"/>
      <c r="X87" s="132"/>
      <c r="Y87" s="132"/>
      <c r="Z87" s="132"/>
      <c r="AA87" s="132"/>
      <c r="AB87" s="132"/>
      <c r="AC87" s="132"/>
      <c r="AD87" s="132"/>
      <c r="AE87" s="132"/>
      <c r="AF87" s="132"/>
      <c r="AG87" s="132"/>
      <c r="AH87" s="132"/>
      <c r="AI87" s="132"/>
      <c r="AJ87" s="132"/>
      <c r="AK87" s="132"/>
      <c r="AL87" s="132"/>
      <c r="AM87" s="132"/>
      <c r="AN87" s="132"/>
      <c r="AO87" s="128"/>
      <c r="AP87" s="128"/>
    </row>
    <row r="88" spans="1:43">
      <c r="A88" s="29" t="s">
        <v>377</v>
      </c>
      <c r="B88" s="32"/>
      <c r="C88" s="32"/>
      <c r="D88" s="32"/>
      <c r="E88" s="32"/>
      <c r="F88" s="32"/>
      <c r="G88" s="32"/>
      <c r="H88" s="32"/>
      <c r="I88" s="32"/>
      <c r="J88" s="32"/>
      <c r="K88" s="32"/>
      <c r="L88" s="31"/>
      <c r="M88" s="31"/>
      <c r="N88" s="31"/>
      <c r="O88" s="31"/>
      <c r="P88" s="31"/>
      <c r="Q88" s="136"/>
      <c r="R88" s="136"/>
      <c r="S88" s="50"/>
      <c r="T88" s="50">
        <v>20093</v>
      </c>
      <c r="U88" s="50">
        <v>25511</v>
      </c>
      <c r="V88" s="50">
        <v>25659</v>
      </c>
      <c r="W88" s="50">
        <v>15889</v>
      </c>
      <c r="X88" s="50">
        <v>13982</v>
      </c>
      <c r="Y88" s="50">
        <v>9139</v>
      </c>
      <c r="Z88" s="50">
        <v>8746</v>
      </c>
      <c r="AA88" s="50">
        <v>11138</v>
      </c>
      <c r="AB88" s="50">
        <v>11922</v>
      </c>
      <c r="AC88" s="17">
        <v>11873</v>
      </c>
      <c r="AD88" s="50">
        <v>14917</v>
      </c>
      <c r="AE88" s="50">
        <v>14551</v>
      </c>
      <c r="AF88" s="50">
        <v>13628</v>
      </c>
      <c r="AG88" s="50">
        <v>14523</v>
      </c>
      <c r="AH88" s="50">
        <v>12693</v>
      </c>
      <c r="AI88" s="148">
        <f t="shared" ref="AI88:AN88" si="113">AH88+AI91+AI89</f>
        <v>12286.146604938273</v>
      </c>
      <c r="AJ88" s="148">
        <f>AI88+AJ91+AJ89</f>
        <v>11610.855675424224</v>
      </c>
      <c r="AK88" s="148">
        <f>AJ88+AK91+AK89</f>
        <v>10778.216374775906</v>
      </c>
      <c r="AL88" s="148">
        <f>AK88+AL91+AL89</f>
        <v>9867.6807289150438</v>
      </c>
      <c r="AM88" s="148">
        <f t="shared" si="113"/>
        <v>8934.936711361599</v>
      </c>
      <c r="AN88" s="148">
        <f t="shared" si="113"/>
        <v>8017.9530771001018</v>
      </c>
    </row>
    <row r="89" spans="1:43">
      <c r="A89" s="29" t="s">
        <v>169</v>
      </c>
      <c r="B89" s="32"/>
      <c r="C89" s="32"/>
      <c r="D89" s="32"/>
      <c r="E89" s="32"/>
      <c r="F89" s="32"/>
      <c r="G89" s="32"/>
      <c r="H89" s="32"/>
      <c r="I89" s="32"/>
      <c r="J89" s="32"/>
      <c r="K89" s="32"/>
      <c r="L89" s="31"/>
      <c r="M89" s="115"/>
      <c r="N89" s="115"/>
      <c r="O89" s="115"/>
      <c r="P89" s="115"/>
      <c r="Q89" s="115"/>
      <c r="R89" s="115"/>
      <c r="S89" s="115"/>
      <c r="T89" s="50">
        <f t="shared" ref="T89:AF89" si="114">T15</f>
        <v>-1240</v>
      </c>
      <c r="U89" s="50">
        <f t="shared" si="114"/>
        <v>-1709</v>
      </c>
      <c r="V89" s="50">
        <f t="shared" si="114"/>
        <v>-1895</v>
      </c>
      <c r="W89" s="50">
        <f t="shared" si="114"/>
        <v>-1639</v>
      </c>
      <c r="X89" s="50">
        <f t="shared" si="114"/>
        <v>-1122</v>
      </c>
      <c r="Y89" s="50">
        <f t="shared" si="114"/>
        <v>-986</v>
      </c>
      <c r="Z89" s="50">
        <f t="shared" si="114"/>
        <v>-831</v>
      </c>
      <c r="AA89" s="50">
        <f t="shared" si="114"/>
        <v>-931</v>
      </c>
      <c r="AB89" s="50">
        <f t="shared" si="114"/>
        <v>-1006</v>
      </c>
      <c r="AC89" s="50">
        <f t="shared" si="114"/>
        <v>-1168</v>
      </c>
      <c r="AD89" s="50">
        <f t="shared" si="114"/>
        <v>-1348</v>
      </c>
      <c r="AE89" s="50">
        <f t="shared" si="114"/>
        <v>-1783</v>
      </c>
      <c r="AF89" s="50">
        <f t="shared" si="114"/>
        <v>-1943</v>
      </c>
      <c r="AG89" s="50">
        <f t="shared" ref="AG89:AH89" si="115">AG15</f>
        <v>-1856</v>
      </c>
      <c r="AH89" s="50">
        <f t="shared" si="115"/>
        <v>-2233</v>
      </c>
      <c r="AI89" s="148">
        <f t="shared" ref="AI89:AN89" si="116">-AH88*AI90</f>
        <v>-2082.8533950617284</v>
      </c>
      <c r="AJ89" s="148">
        <f>-AI88*AJ90</f>
        <v>-2016.0909295140477</v>
      </c>
      <c r="AK89" s="148">
        <f>-AJ88*AK90</f>
        <v>-1905.2793006483164</v>
      </c>
      <c r="AL89" s="148">
        <f>-AK88*AL90</f>
        <v>-1768.6476458608611</v>
      </c>
      <c r="AM89" s="148">
        <f t="shared" si="116"/>
        <v>-1619.2336175534458</v>
      </c>
      <c r="AN89" s="148">
        <f t="shared" si="116"/>
        <v>-1466.1753142614969</v>
      </c>
    </row>
    <row r="90" spans="1:43">
      <c r="A90" s="118" t="s">
        <v>436</v>
      </c>
      <c r="B90" s="32"/>
      <c r="C90" s="32"/>
      <c r="D90" s="32"/>
      <c r="E90" s="32"/>
      <c r="F90" s="32"/>
      <c r="G90" s="32"/>
      <c r="H90" s="32"/>
      <c r="I90" s="32"/>
      <c r="J90" s="32"/>
      <c r="K90" s="32"/>
      <c r="L90" s="31"/>
      <c r="M90" s="115"/>
      <c r="N90" s="115"/>
      <c r="O90" s="115"/>
      <c r="P90" s="115"/>
      <c r="Q90" s="115"/>
      <c r="R90" s="115"/>
      <c r="S90" s="115"/>
      <c r="T90" s="128"/>
      <c r="U90" s="128">
        <f>-U89/AVERAGE(T88:U88)</f>
        <v>7.4949565827558989E-2</v>
      </c>
      <c r="V90" s="128">
        <f>-V89/AVERAGE(U88:V88)</f>
        <v>7.4066836036740274E-2</v>
      </c>
      <c r="W90" s="128">
        <f>-W89/AVERAGE(V88)</f>
        <v>6.3876222767839747E-2</v>
      </c>
      <c r="X90" s="128">
        <f t="shared" ref="X90:AH90" si="117">-X89/AVERAGE(W88:X88)</f>
        <v>7.5123029024806665E-2</v>
      </c>
      <c r="Y90" s="128">
        <f t="shared" si="117"/>
        <v>8.5290428614679295E-2</v>
      </c>
      <c r="Z90" s="128">
        <f t="shared" si="117"/>
        <v>9.2927033827229527E-2</v>
      </c>
      <c r="AA90" s="128">
        <f t="shared" si="117"/>
        <v>9.3643130154898405E-2</v>
      </c>
      <c r="AB90" s="128">
        <f t="shared" si="117"/>
        <v>8.7250650477016481E-2</v>
      </c>
      <c r="AC90" s="128">
        <f t="shared" si="117"/>
        <v>9.8171884849758348E-2</v>
      </c>
      <c r="AD90" s="128">
        <f t="shared" si="117"/>
        <v>0.10063456513624487</v>
      </c>
      <c r="AE90" s="128">
        <f t="shared" si="117"/>
        <v>0.12101262386317362</v>
      </c>
      <c r="AF90" s="128">
        <f t="shared" si="117"/>
        <v>0.13790411299194436</v>
      </c>
      <c r="AG90" s="128">
        <f t="shared" si="117"/>
        <v>0.13186032467763134</v>
      </c>
      <c r="AH90" s="128">
        <f t="shared" si="117"/>
        <v>0.16409465020576131</v>
      </c>
      <c r="AI90" s="135">
        <f t="shared" ref="AI90:AN90" si="118">+AH90</f>
        <v>0.16409465020576131</v>
      </c>
      <c r="AJ90" s="135">
        <f>+AI90</f>
        <v>0.16409465020576131</v>
      </c>
      <c r="AK90" s="135">
        <f>+AJ90</f>
        <v>0.16409465020576131</v>
      </c>
      <c r="AL90" s="135">
        <f>+AK90</f>
        <v>0.16409465020576131</v>
      </c>
      <c r="AM90" s="135">
        <f t="shared" si="118"/>
        <v>0.16409465020576131</v>
      </c>
      <c r="AN90" s="135">
        <f t="shared" si="118"/>
        <v>0.16409465020576131</v>
      </c>
      <c r="AO90" s="32"/>
      <c r="AP90" s="32"/>
    </row>
    <row r="91" spans="1:43">
      <c r="A91" s="29" t="s">
        <v>538</v>
      </c>
      <c r="B91" s="32"/>
      <c r="C91" s="32"/>
      <c r="D91" s="32"/>
      <c r="E91" s="115"/>
      <c r="F91" s="115"/>
      <c r="G91" s="115"/>
      <c r="H91" s="115"/>
      <c r="I91" s="115"/>
      <c r="J91" s="115"/>
      <c r="K91" s="115">
        <v>86</v>
      </c>
      <c r="L91" s="115">
        <v>186</v>
      </c>
      <c r="M91" s="115">
        <v>464</v>
      </c>
      <c r="N91" s="115">
        <v>511</v>
      </c>
      <c r="O91" s="115">
        <v>750</v>
      </c>
      <c r="P91" s="115">
        <v>1101</v>
      </c>
      <c r="Q91" s="115">
        <v>2878</v>
      </c>
      <c r="R91" s="115">
        <v>1757</v>
      </c>
      <c r="S91" s="115">
        <v>1349</v>
      </c>
      <c r="T91" s="115">
        <v>1880</v>
      </c>
      <c r="U91" s="115">
        <v>4563</v>
      </c>
      <c r="V91" s="115">
        <v>2582</v>
      </c>
      <c r="W91" s="115">
        <v>2139</v>
      </c>
      <c r="X91" s="115">
        <v>1777</v>
      </c>
      <c r="Y91" s="115">
        <v>825</v>
      </c>
      <c r="Z91" s="115">
        <v>943</v>
      </c>
      <c r="AA91" s="116">
        <v>3062</v>
      </c>
      <c r="AB91" s="116">
        <v>2221</v>
      </c>
      <c r="AC91" s="116">
        <v>1894</v>
      </c>
      <c r="AD91" s="116">
        <v>3649</v>
      </c>
      <c r="AE91" s="116">
        <v>2666</v>
      </c>
      <c r="AF91" s="116">
        <v>2335</v>
      </c>
      <c r="AG91" s="116">
        <v>3062</v>
      </c>
      <c r="AH91" s="116">
        <v>2095</v>
      </c>
      <c r="AI91" s="405">
        <f>AH91*0.8</f>
        <v>1676</v>
      </c>
      <c r="AJ91" s="405">
        <f t="shared" ref="AJ91:AN91" si="119">AI91*0.8</f>
        <v>1340.8000000000002</v>
      </c>
      <c r="AK91" s="405">
        <f t="shared" si="119"/>
        <v>1072.6400000000001</v>
      </c>
      <c r="AL91" s="405">
        <f t="shared" si="119"/>
        <v>858.11200000000008</v>
      </c>
      <c r="AM91" s="405">
        <f t="shared" si="119"/>
        <v>686.48960000000011</v>
      </c>
      <c r="AN91" s="405">
        <f t="shared" si="119"/>
        <v>549.19168000000013</v>
      </c>
      <c r="AO91" s="32"/>
      <c r="AP91" s="32"/>
    </row>
    <row r="92" spans="1:43">
      <c r="A92" s="113"/>
      <c r="B92" s="32"/>
      <c r="C92" s="32"/>
      <c r="D92" s="32"/>
      <c r="E92" s="32"/>
      <c r="F92" s="32"/>
      <c r="G92" s="32"/>
      <c r="H92" s="32"/>
      <c r="I92" s="32"/>
      <c r="J92" s="32"/>
      <c r="K92" s="32"/>
      <c r="L92" s="31"/>
      <c r="M92" s="115"/>
      <c r="N92" s="115"/>
      <c r="O92" s="115"/>
      <c r="P92" s="115"/>
      <c r="Q92" s="115"/>
      <c r="R92" s="115"/>
      <c r="S92" s="115"/>
      <c r="T92" s="115"/>
      <c r="U92" s="115"/>
      <c r="V92" s="115"/>
      <c r="W92" s="115"/>
      <c r="X92" s="115"/>
      <c r="Y92" s="115"/>
      <c r="Z92" s="115"/>
      <c r="AA92" s="135"/>
      <c r="AB92" s="135"/>
      <c r="AC92" s="135"/>
      <c r="AD92" s="135"/>
      <c r="AE92" s="135"/>
      <c r="AF92" s="135"/>
      <c r="AG92" s="135"/>
      <c r="AH92" s="135"/>
      <c r="AI92" s="135"/>
      <c r="AJ92" s="135"/>
      <c r="AK92" s="135"/>
      <c r="AL92" s="135"/>
      <c r="AM92" s="135"/>
      <c r="AN92" s="135"/>
      <c r="AO92" s="32"/>
      <c r="AP92" s="32"/>
    </row>
    <row r="93" spans="1:43">
      <c r="A93" s="29" t="s">
        <v>479</v>
      </c>
      <c r="B93" s="32"/>
      <c r="C93" s="32"/>
      <c r="D93" s="32"/>
      <c r="E93" s="32"/>
      <c r="F93" s="32"/>
      <c r="G93" s="32"/>
      <c r="H93" s="32"/>
      <c r="I93" s="32"/>
      <c r="J93" s="32"/>
      <c r="K93" s="32"/>
      <c r="L93" s="31"/>
      <c r="M93" s="31"/>
      <c r="N93" s="31"/>
      <c r="O93" s="31"/>
      <c r="P93" s="31"/>
      <c r="Q93" s="136"/>
      <c r="R93" s="136"/>
      <c r="S93" s="136"/>
      <c r="T93" s="50"/>
      <c r="U93" s="50">
        <v>27295</v>
      </c>
      <c r="V93" s="50">
        <v>28408</v>
      </c>
      <c r="W93" s="50">
        <v>23778</v>
      </c>
      <c r="X93" s="50">
        <v>20084</v>
      </c>
      <c r="Y93" s="50">
        <v>17476</v>
      </c>
      <c r="Z93" s="50">
        <v>17135</v>
      </c>
      <c r="AA93" s="50">
        <v>18815</v>
      </c>
      <c r="AB93" s="50">
        <v>16885</v>
      </c>
      <c r="AC93" s="50">
        <v>10340</v>
      </c>
      <c r="AD93" s="50">
        <v>11064</v>
      </c>
      <c r="AE93" s="50">
        <v>10476</v>
      </c>
      <c r="AF93" s="50">
        <v>9510</v>
      </c>
      <c r="AG93" s="50">
        <v>3688</v>
      </c>
      <c r="AH93" s="50">
        <v>3128</v>
      </c>
      <c r="AI93" s="148">
        <f t="shared" ref="AI93:AN93" si="120">AH93</f>
        <v>3128</v>
      </c>
      <c r="AJ93" s="148">
        <f>AI93</f>
        <v>3128</v>
      </c>
      <c r="AK93" s="148">
        <f>AJ93</f>
        <v>3128</v>
      </c>
      <c r="AL93" s="148">
        <f>AK93</f>
        <v>3128</v>
      </c>
      <c r="AM93" s="148">
        <f t="shared" si="120"/>
        <v>3128</v>
      </c>
      <c r="AN93" s="148">
        <f t="shared" si="120"/>
        <v>3128</v>
      </c>
      <c r="AO93" s="32"/>
      <c r="AP93" s="32"/>
    </row>
    <row r="94" spans="1:43">
      <c r="A94" s="29" t="s">
        <v>391</v>
      </c>
      <c r="T94" s="131"/>
      <c r="U94" s="124">
        <f t="shared" ref="U94:AN94" si="121">U29/(U88+U93)</f>
        <v>5.5126311404007124E-2</v>
      </c>
      <c r="V94" s="124">
        <f t="shared" si="121"/>
        <v>3.1165035973884255E-2</v>
      </c>
      <c r="W94" s="124">
        <f t="shared" si="121"/>
        <v>3.1764438954294504E-3</v>
      </c>
      <c r="X94" s="124">
        <f t="shared" si="121"/>
        <v>2.2192215111841718E-2</v>
      </c>
      <c r="Y94" s="124">
        <f t="shared" si="121"/>
        <v>3.1410858538418185E-2</v>
      </c>
      <c r="Z94" s="124">
        <f t="shared" si="121"/>
        <v>7.1442370851203585E-2</v>
      </c>
      <c r="AA94" s="124">
        <f t="shared" si="121"/>
        <v>9.140987547157213E-2</v>
      </c>
      <c r="AB94" s="124">
        <f t="shared" si="121"/>
        <v>0.11462491755476099</v>
      </c>
      <c r="AC94" s="124">
        <f t="shared" si="121"/>
        <v>7.0499257191734568E-2</v>
      </c>
      <c r="AD94" s="124">
        <f t="shared" si="121"/>
        <v>6.5047534736923138E-2</v>
      </c>
      <c r="AE94" s="124">
        <f t="shared" si="121"/>
        <v>-3.3164182682702682E-3</v>
      </c>
      <c r="AF94" s="124">
        <f t="shared" si="121"/>
        <v>-0.22763419483101391</v>
      </c>
      <c r="AG94" s="124">
        <f t="shared" ref="AG94:AH94" si="122">AG29/(AG88+AG93)</f>
        <v>0.10740761078469058</v>
      </c>
      <c r="AH94" s="124">
        <f t="shared" si="122"/>
        <v>8.3749446937614561E-2</v>
      </c>
      <c r="AI94" s="124">
        <f t="shared" si="121"/>
        <v>2.8505477143809445E-2</v>
      </c>
      <c r="AJ94" s="124">
        <f t="shared" si="121"/>
        <v>4.0075729718382053E-2</v>
      </c>
      <c r="AK94" s="124">
        <f t="shared" si="121"/>
        <v>5.2573989817406838E-2</v>
      </c>
      <c r="AL94" s="124">
        <f t="shared" si="121"/>
        <v>6.0545548354116463E-2</v>
      </c>
      <c r="AM94" s="124">
        <f t="shared" si="121"/>
        <v>6.9538699521881048E-2</v>
      </c>
      <c r="AN94" s="124">
        <f t="shared" si="121"/>
        <v>7.9614895754821363E-2</v>
      </c>
    </row>
    <row r="95" spans="1:43">
      <c r="A95" s="88" t="s">
        <v>244</v>
      </c>
      <c r="B95" s="132"/>
      <c r="C95" s="132"/>
      <c r="D95" s="132"/>
      <c r="E95" s="132"/>
      <c r="F95" s="132"/>
      <c r="G95" s="132"/>
      <c r="H95" s="132"/>
      <c r="I95" s="132"/>
      <c r="J95" s="132"/>
      <c r="K95" s="132"/>
      <c r="L95" s="132"/>
      <c r="M95" s="132"/>
      <c r="N95" s="132"/>
      <c r="O95" s="132"/>
      <c r="P95" s="132"/>
      <c r="Q95" s="132"/>
      <c r="R95" s="133"/>
      <c r="S95" s="134"/>
      <c r="T95" s="134"/>
      <c r="U95" s="134"/>
      <c r="V95" s="134"/>
      <c r="W95" s="149"/>
      <c r="X95" s="149"/>
      <c r="Y95" s="149"/>
      <c r="Z95" s="149"/>
      <c r="AA95" s="149"/>
      <c r="AB95" s="149"/>
      <c r="AC95" s="149"/>
      <c r="AD95" s="149"/>
      <c r="AE95" s="149"/>
      <c r="AF95" s="149"/>
      <c r="AG95" s="149"/>
      <c r="AH95" s="149"/>
      <c r="AI95" s="149"/>
      <c r="AJ95" s="149"/>
      <c r="AK95" s="149"/>
      <c r="AL95" s="149"/>
      <c r="AM95" s="149"/>
      <c r="AN95" s="149"/>
    </row>
    <row r="96" spans="1:43">
      <c r="I96" s="50"/>
      <c r="J96" s="50"/>
      <c r="K96" s="50"/>
      <c r="L96" s="50"/>
      <c r="M96" s="50"/>
      <c r="N96" s="50"/>
      <c r="O96" s="50"/>
      <c r="P96" s="50"/>
      <c r="Q96" s="50"/>
      <c r="R96" s="50"/>
      <c r="S96" s="50"/>
      <c r="T96" s="50"/>
      <c r="U96" s="50"/>
      <c r="V96" s="50"/>
      <c r="W96" s="50"/>
      <c r="X96" s="50"/>
      <c r="Y96" s="50"/>
      <c r="Z96" s="50"/>
      <c r="AA96" s="103"/>
      <c r="AB96" s="50"/>
      <c r="AC96" s="50"/>
      <c r="AD96" s="50"/>
      <c r="AE96" s="50"/>
      <c r="AF96" s="50"/>
      <c r="AG96" s="50"/>
      <c r="AH96" s="50"/>
      <c r="AI96" s="50"/>
      <c r="AJ96" s="50"/>
      <c r="AK96" s="50"/>
      <c r="AL96" s="50"/>
      <c r="AM96" s="50"/>
      <c r="AN96" s="50"/>
    </row>
    <row r="97" spans="1:43">
      <c r="A97" s="62" t="s">
        <v>456</v>
      </c>
      <c r="T97" s="115"/>
      <c r="U97" s="115"/>
      <c r="V97" s="150"/>
      <c r="W97" s="150">
        <f t="shared" ref="W97:AC97" si="123">(W7/W2)/W76*1000</f>
        <v>160.99842228297769</v>
      </c>
      <c r="X97" s="150">
        <f t="shared" si="123"/>
        <v>65.555023575511314</v>
      </c>
      <c r="Y97" s="150">
        <f t="shared" si="123"/>
        <v>48.590882366861692</v>
      </c>
      <c r="Z97" s="150">
        <f t="shared" si="123"/>
        <v>74.429096143854366</v>
      </c>
      <c r="AA97" s="150">
        <f t="shared" si="123"/>
        <v>123.79202713059846</v>
      </c>
      <c r="AB97" s="150">
        <f t="shared" si="123"/>
        <v>98.13262509955463</v>
      </c>
      <c r="AC97" s="150">
        <f t="shared" si="123"/>
        <v>118.88278572189408</v>
      </c>
      <c r="AD97" s="150">
        <f>(AD7/AD2)/AD76*1000</f>
        <v>71.777473352042918</v>
      </c>
      <c r="AE97" s="150">
        <f>(AE7/AE2)/AE76*1000</f>
        <v>76.508305845750357</v>
      </c>
      <c r="AF97" s="150">
        <f>(AF7/AF2)/AF76*1000</f>
        <v>196.51001120657457</v>
      </c>
      <c r="AG97" s="150">
        <f>(AG7/AG2)/AG76*1000</f>
        <v>93.483620634819658</v>
      </c>
      <c r="AH97" s="150">
        <f>(AH7/AH2)/AH76*1000</f>
        <v>129.31067584770281</v>
      </c>
      <c r="AI97" s="150"/>
      <c r="AJ97" s="150"/>
      <c r="AK97" s="150"/>
      <c r="AL97" s="150"/>
      <c r="AM97" s="150"/>
      <c r="AN97" s="150"/>
    </row>
    <row r="98" spans="1:43">
      <c r="A98" s="62"/>
      <c r="T98" s="115"/>
      <c r="U98" s="115"/>
      <c r="V98" s="150"/>
      <c r="W98" s="150"/>
      <c r="X98" s="150"/>
      <c r="Y98" s="150"/>
      <c r="Z98" s="150"/>
      <c r="AA98" s="150"/>
      <c r="AB98" s="150"/>
      <c r="AC98" s="150"/>
      <c r="AD98" s="150"/>
      <c r="AE98" s="150"/>
      <c r="AF98" s="150"/>
      <c r="AG98" s="150"/>
      <c r="AH98" s="150"/>
      <c r="AI98" s="150"/>
      <c r="AJ98" s="150"/>
      <c r="AK98" s="150"/>
      <c r="AL98" s="150"/>
      <c r="AM98" s="150"/>
      <c r="AN98" s="150"/>
    </row>
    <row r="99" spans="1:43">
      <c r="A99" s="62" t="s">
        <v>463</v>
      </c>
      <c r="T99" s="115"/>
      <c r="U99" s="115"/>
      <c r="V99" s="150"/>
      <c r="W99" s="150"/>
      <c r="X99" s="150"/>
      <c r="Y99" s="150"/>
      <c r="Z99" s="150"/>
      <c r="AA99" s="150"/>
      <c r="AB99" s="150"/>
      <c r="AC99" s="150"/>
      <c r="AD99" s="150"/>
      <c r="AE99" s="150"/>
      <c r="AF99" s="150"/>
      <c r="AG99" s="150"/>
      <c r="AH99" s="150"/>
      <c r="AI99" s="150"/>
      <c r="AJ99" s="150"/>
      <c r="AK99" s="150"/>
      <c r="AL99" s="150"/>
      <c r="AM99" s="150"/>
      <c r="AN99" s="150"/>
      <c r="AQ99" s="50"/>
    </row>
    <row r="100" spans="1:43">
      <c r="A100" s="62" t="s">
        <v>473</v>
      </c>
      <c r="T100" s="115"/>
      <c r="U100" s="115"/>
      <c r="V100" s="150"/>
      <c r="W100" s="150"/>
      <c r="X100" s="150"/>
      <c r="Y100" s="150"/>
      <c r="Z100" s="150"/>
      <c r="AA100" s="150"/>
      <c r="AB100" s="150"/>
      <c r="AC100" s="150"/>
      <c r="AD100" s="150"/>
      <c r="AE100" s="150"/>
      <c r="AF100" s="150"/>
      <c r="AG100" s="150"/>
      <c r="AH100" s="150"/>
      <c r="AI100" s="150"/>
      <c r="AJ100" s="150"/>
      <c r="AK100" s="150"/>
      <c r="AL100" s="150"/>
      <c r="AM100" s="150"/>
      <c r="AN100" s="150"/>
    </row>
    <row r="101" spans="1:43">
      <c r="A101" s="111" t="s">
        <v>474</v>
      </c>
      <c r="B101" s="32"/>
      <c r="C101" s="32"/>
      <c r="D101" s="32"/>
      <c r="E101" s="32"/>
      <c r="F101" s="32"/>
      <c r="G101" s="32"/>
      <c r="H101" s="32"/>
      <c r="I101" s="32"/>
      <c r="J101" s="32"/>
      <c r="K101" s="32"/>
      <c r="L101" s="31"/>
      <c r="M101" s="31"/>
      <c r="N101" s="31"/>
      <c r="O101" s="31"/>
      <c r="P101" s="31"/>
      <c r="Q101" s="136"/>
      <c r="R101" s="115"/>
      <c r="S101" s="115"/>
      <c r="T101" s="115"/>
      <c r="U101" s="115"/>
      <c r="V101" s="151">
        <v>38</v>
      </c>
      <c r="W101" s="151">
        <v>51</v>
      </c>
      <c r="X101" s="151">
        <v>39</v>
      </c>
      <c r="Y101" s="115">
        <v>38</v>
      </c>
      <c r="Z101" s="115">
        <v>54</v>
      </c>
      <c r="AA101" s="115">
        <v>76</v>
      </c>
      <c r="AB101" s="115">
        <v>80</v>
      </c>
      <c r="AC101" s="115">
        <v>80</v>
      </c>
      <c r="AD101" s="115">
        <v>80</v>
      </c>
      <c r="AE101" s="115">
        <f t="shared" ref="AE101:AF103" si="124">AD101</f>
        <v>80</v>
      </c>
      <c r="AF101" s="115">
        <f t="shared" si="124"/>
        <v>80</v>
      </c>
      <c r="AG101" s="115">
        <f t="shared" ref="AG101:AI103" si="125">AF101</f>
        <v>80</v>
      </c>
      <c r="AH101" s="115">
        <f t="shared" si="125"/>
        <v>80</v>
      </c>
      <c r="AI101" s="115">
        <f t="shared" si="125"/>
        <v>80</v>
      </c>
      <c r="AJ101" s="115">
        <f t="shared" ref="AJ101:AK103" si="126">AI101</f>
        <v>80</v>
      </c>
      <c r="AK101" s="115">
        <f t="shared" si="126"/>
        <v>80</v>
      </c>
      <c r="AL101" s="115">
        <f>AK101</f>
        <v>80</v>
      </c>
      <c r="AM101" s="115">
        <f t="shared" ref="AM101:AN103" si="127">AL101</f>
        <v>80</v>
      </c>
      <c r="AN101" s="115">
        <f t="shared" si="127"/>
        <v>80</v>
      </c>
      <c r="AO101" s="50"/>
      <c r="AP101" s="50"/>
    </row>
    <row r="102" spans="1:43">
      <c r="A102" s="111" t="s">
        <v>475</v>
      </c>
      <c r="T102" s="115"/>
      <c r="U102" s="115"/>
      <c r="V102" s="115"/>
      <c r="W102" s="115"/>
      <c r="X102" s="115"/>
      <c r="Y102" s="115">
        <v>142</v>
      </c>
      <c r="Z102" s="115">
        <v>128</v>
      </c>
      <c r="AA102" s="115">
        <v>138</v>
      </c>
      <c r="AB102" s="115">
        <v>161</v>
      </c>
      <c r="AC102" s="115">
        <v>187</v>
      </c>
      <c r="AD102" s="115">
        <v>188</v>
      </c>
      <c r="AE102" s="115">
        <f t="shared" si="124"/>
        <v>188</v>
      </c>
      <c r="AF102" s="115">
        <f t="shared" si="124"/>
        <v>188</v>
      </c>
      <c r="AG102" s="115">
        <f t="shared" si="125"/>
        <v>188</v>
      </c>
      <c r="AH102" s="115">
        <f t="shared" si="125"/>
        <v>188</v>
      </c>
      <c r="AI102" s="115">
        <f t="shared" si="125"/>
        <v>188</v>
      </c>
      <c r="AJ102" s="115">
        <f t="shared" si="126"/>
        <v>188</v>
      </c>
      <c r="AK102" s="115">
        <f t="shared" si="126"/>
        <v>188</v>
      </c>
      <c r="AL102" s="115">
        <f>AK102</f>
        <v>188</v>
      </c>
      <c r="AM102" s="115">
        <f t="shared" si="127"/>
        <v>188</v>
      </c>
      <c r="AN102" s="115">
        <f t="shared" si="127"/>
        <v>188</v>
      </c>
    </row>
    <row r="103" spans="1:43">
      <c r="A103" s="111" t="s">
        <v>476</v>
      </c>
      <c r="T103" s="115"/>
      <c r="U103" s="115"/>
      <c r="V103" s="115"/>
      <c r="W103" s="115"/>
      <c r="X103" s="115"/>
      <c r="Y103" s="115">
        <v>284</v>
      </c>
      <c r="Z103" s="115">
        <v>261</v>
      </c>
      <c r="AA103" s="115">
        <v>275</v>
      </c>
      <c r="AB103" s="115">
        <v>302</v>
      </c>
      <c r="AC103" s="115">
        <v>330</v>
      </c>
      <c r="AD103" s="115">
        <v>361</v>
      </c>
      <c r="AE103" s="115">
        <f t="shared" si="124"/>
        <v>361</v>
      </c>
      <c r="AF103" s="115">
        <f t="shared" si="124"/>
        <v>361</v>
      </c>
      <c r="AG103" s="115">
        <f t="shared" si="125"/>
        <v>361</v>
      </c>
      <c r="AH103" s="115">
        <f t="shared" si="125"/>
        <v>361</v>
      </c>
      <c r="AI103" s="115">
        <f t="shared" si="125"/>
        <v>361</v>
      </c>
      <c r="AJ103" s="115">
        <f t="shared" si="126"/>
        <v>361</v>
      </c>
      <c r="AK103" s="115">
        <f t="shared" si="126"/>
        <v>361</v>
      </c>
      <c r="AL103" s="115">
        <f>AK103</f>
        <v>361</v>
      </c>
      <c r="AM103" s="115">
        <f t="shared" si="127"/>
        <v>361</v>
      </c>
      <c r="AN103" s="115">
        <f t="shared" si="127"/>
        <v>361</v>
      </c>
    </row>
    <row r="104" spans="1:43">
      <c r="A104" s="111" t="s">
        <v>470</v>
      </c>
      <c r="Y104" s="115">
        <f>Y102-Y101</f>
        <v>104</v>
      </c>
      <c r="Z104" s="115">
        <f t="shared" ref="Z104:AF104" si="128">Z102-Z101</f>
        <v>74</v>
      </c>
      <c r="AA104" s="115">
        <f t="shared" si="128"/>
        <v>62</v>
      </c>
      <c r="AB104" s="115">
        <f t="shared" si="128"/>
        <v>81</v>
      </c>
      <c r="AC104" s="115">
        <f t="shared" si="128"/>
        <v>107</v>
      </c>
      <c r="AD104" s="115">
        <f t="shared" si="128"/>
        <v>108</v>
      </c>
      <c r="AE104" s="115">
        <f t="shared" si="128"/>
        <v>108</v>
      </c>
      <c r="AF104" s="115">
        <f t="shared" si="128"/>
        <v>108</v>
      </c>
      <c r="AG104" s="115">
        <f t="shared" ref="AG104:AN104" si="129">AG102-AG101</f>
        <v>108</v>
      </c>
      <c r="AH104" s="115">
        <f t="shared" si="129"/>
        <v>108</v>
      </c>
      <c r="AI104" s="115">
        <f t="shared" si="129"/>
        <v>108</v>
      </c>
      <c r="AJ104" s="115">
        <f t="shared" si="129"/>
        <v>108</v>
      </c>
      <c r="AK104" s="115">
        <f t="shared" si="129"/>
        <v>108</v>
      </c>
      <c r="AL104" s="115">
        <f t="shared" si="129"/>
        <v>108</v>
      </c>
      <c r="AM104" s="115">
        <f t="shared" si="129"/>
        <v>108</v>
      </c>
      <c r="AN104" s="115">
        <f t="shared" si="129"/>
        <v>108</v>
      </c>
    </row>
    <row r="105" spans="1:43">
      <c r="A105" s="111" t="s">
        <v>471</v>
      </c>
      <c r="Y105" s="115">
        <f>Y103-Y101</f>
        <v>246</v>
      </c>
      <c r="Z105" s="115">
        <f t="shared" ref="Z105:AF105" si="130">Z103-Z101</f>
        <v>207</v>
      </c>
      <c r="AA105" s="115">
        <f t="shared" si="130"/>
        <v>199</v>
      </c>
      <c r="AB105" s="115">
        <f t="shared" si="130"/>
        <v>222</v>
      </c>
      <c r="AC105" s="115">
        <f t="shared" si="130"/>
        <v>250</v>
      </c>
      <c r="AD105" s="115">
        <f t="shared" si="130"/>
        <v>281</v>
      </c>
      <c r="AE105" s="115">
        <f t="shared" si="130"/>
        <v>281</v>
      </c>
      <c r="AF105" s="115">
        <f t="shared" si="130"/>
        <v>281</v>
      </c>
      <c r="AG105" s="115">
        <f t="shared" ref="AG105:AN105" si="131">AG103-AG101</f>
        <v>281</v>
      </c>
      <c r="AH105" s="115">
        <f t="shared" si="131"/>
        <v>281</v>
      </c>
      <c r="AI105" s="115">
        <f t="shared" si="131"/>
        <v>281</v>
      </c>
      <c r="AJ105" s="115">
        <f t="shared" si="131"/>
        <v>281</v>
      </c>
      <c r="AK105" s="115">
        <f t="shared" si="131"/>
        <v>281</v>
      </c>
      <c r="AL105" s="115">
        <f t="shared" si="131"/>
        <v>281</v>
      </c>
      <c r="AM105" s="115">
        <f t="shared" si="131"/>
        <v>281</v>
      </c>
      <c r="AN105" s="115">
        <f t="shared" si="131"/>
        <v>281</v>
      </c>
    </row>
    <row r="106" spans="1:43">
      <c r="A106" s="62" t="s">
        <v>478</v>
      </c>
      <c r="Y106" s="115"/>
      <c r="Z106" s="115"/>
      <c r="AA106" s="115"/>
      <c r="AB106" s="115"/>
      <c r="AC106" s="115"/>
      <c r="AD106" s="115"/>
      <c r="AE106" s="115"/>
      <c r="AF106" s="115"/>
      <c r="AG106" s="115"/>
      <c r="AH106" s="115"/>
      <c r="AI106" s="115"/>
      <c r="AJ106" s="115"/>
      <c r="AK106" s="115"/>
      <c r="AL106" s="115"/>
      <c r="AM106" s="115"/>
      <c r="AN106" s="115"/>
    </row>
    <row r="107" spans="1:43">
      <c r="A107" s="111" t="s">
        <v>477</v>
      </c>
      <c r="Y107" s="115">
        <v>5</v>
      </c>
      <c r="Z107" s="115">
        <v>6</v>
      </c>
      <c r="AA107" s="115">
        <v>7</v>
      </c>
      <c r="AB107" s="115">
        <v>8</v>
      </c>
      <c r="AC107" s="115">
        <v>9</v>
      </c>
      <c r="AD107" s="115">
        <v>10</v>
      </c>
      <c r="AE107" s="115">
        <f t="shared" ref="AE107:AF109" si="132">AD107</f>
        <v>10</v>
      </c>
      <c r="AF107" s="115">
        <f t="shared" si="132"/>
        <v>10</v>
      </c>
      <c r="AG107" s="115">
        <f t="shared" ref="AG107:AI109" si="133">AF107</f>
        <v>10</v>
      </c>
      <c r="AH107" s="115">
        <f t="shared" si="133"/>
        <v>10</v>
      </c>
      <c r="AI107" s="115">
        <f t="shared" si="133"/>
        <v>10</v>
      </c>
      <c r="AJ107" s="115">
        <f t="shared" ref="AJ107:AK109" si="134">AI107</f>
        <v>10</v>
      </c>
      <c r="AK107" s="115">
        <f t="shared" si="134"/>
        <v>10</v>
      </c>
      <c r="AL107" s="115">
        <f>AK107</f>
        <v>10</v>
      </c>
      <c r="AM107" s="115">
        <f t="shared" ref="AM107:AN109" si="135">AL107</f>
        <v>10</v>
      </c>
      <c r="AN107" s="115">
        <f t="shared" si="135"/>
        <v>10</v>
      </c>
    </row>
    <row r="108" spans="1:43">
      <c r="A108" s="111" t="s">
        <v>475</v>
      </c>
      <c r="Y108" s="115">
        <v>7</v>
      </c>
      <c r="Z108" s="115">
        <v>7</v>
      </c>
      <c r="AA108" s="115">
        <v>7</v>
      </c>
      <c r="AB108" s="115">
        <v>9</v>
      </c>
      <c r="AC108" s="115">
        <v>10</v>
      </c>
      <c r="AD108" s="115">
        <v>12</v>
      </c>
      <c r="AE108" s="115">
        <f t="shared" si="132"/>
        <v>12</v>
      </c>
      <c r="AF108" s="115">
        <f t="shared" si="132"/>
        <v>12</v>
      </c>
      <c r="AG108" s="115">
        <f t="shared" si="133"/>
        <v>12</v>
      </c>
      <c r="AH108" s="115">
        <f t="shared" si="133"/>
        <v>12</v>
      </c>
      <c r="AI108" s="115">
        <f t="shared" si="133"/>
        <v>12</v>
      </c>
      <c r="AJ108" s="115">
        <f t="shared" si="134"/>
        <v>12</v>
      </c>
      <c r="AK108" s="115">
        <f t="shared" si="134"/>
        <v>12</v>
      </c>
      <c r="AL108" s="115">
        <f>AK108</f>
        <v>12</v>
      </c>
      <c r="AM108" s="115">
        <f t="shared" si="135"/>
        <v>12</v>
      </c>
      <c r="AN108" s="115">
        <f t="shared" si="135"/>
        <v>12</v>
      </c>
    </row>
    <row r="109" spans="1:43">
      <c r="A109" s="111" t="s">
        <v>476</v>
      </c>
      <c r="Y109" s="115">
        <v>24</v>
      </c>
      <c r="Z109" s="115">
        <v>24</v>
      </c>
      <c r="AA109" s="115">
        <v>24</v>
      </c>
      <c r="AB109" s="115">
        <v>25</v>
      </c>
      <c r="AC109" s="115">
        <v>27</v>
      </c>
      <c r="AD109" s="115">
        <v>29</v>
      </c>
      <c r="AE109" s="115">
        <f t="shared" si="132"/>
        <v>29</v>
      </c>
      <c r="AF109" s="115">
        <f t="shared" si="132"/>
        <v>29</v>
      </c>
      <c r="AG109" s="115">
        <f t="shared" si="133"/>
        <v>29</v>
      </c>
      <c r="AH109" s="115">
        <f t="shared" si="133"/>
        <v>29</v>
      </c>
      <c r="AI109" s="115">
        <f t="shared" si="133"/>
        <v>29</v>
      </c>
      <c r="AJ109" s="115">
        <f t="shared" si="134"/>
        <v>29</v>
      </c>
      <c r="AK109" s="115">
        <f t="shared" si="134"/>
        <v>29</v>
      </c>
      <c r="AL109" s="115">
        <f>AK109</f>
        <v>29</v>
      </c>
      <c r="AM109" s="115">
        <f t="shared" si="135"/>
        <v>29</v>
      </c>
      <c r="AN109" s="115">
        <f t="shared" si="135"/>
        <v>29</v>
      </c>
    </row>
    <row r="110" spans="1:43">
      <c r="Y110" s="115"/>
      <c r="Z110" s="115"/>
      <c r="AA110" s="115"/>
      <c r="AB110" s="115"/>
      <c r="AC110" s="115"/>
      <c r="AD110" s="115"/>
      <c r="AE110" s="115"/>
      <c r="AF110" s="115"/>
      <c r="AG110" s="115"/>
      <c r="AH110" s="115"/>
      <c r="AI110" s="115"/>
      <c r="AJ110" s="115"/>
      <c r="AK110" s="115"/>
      <c r="AL110" s="115"/>
      <c r="AM110" s="115"/>
      <c r="AN110" s="115"/>
    </row>
  </sheetData>
  <mergeCells count="3">
    <mergeCell ref="AX15:AZ15"/>
    <mergeCell ref="AR15:AT15"/>
    <mergeCell ref="AU15:AW15"/>
  </mergeCells>
  <phoneticPr fontId="0" type="noConversion"/>
  <printOptions headings="1" gridLines="1"/>
  <pageMargins left="0.74803149606299213" right="0.74803149606299213" top="0.51181102362204722" bottom="0.70866141732283472" header="0.51181102362204722" footer="0.51181102362204722"/>
  <pageSetup paperSize="9" scale="22" orientation="portrait" r:id="rId1"/>
  <headerFooter alignWithMargins="0"/>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Q60"/>
  <sheetViews>
    <sheetView showOutlineSymbols="0" zoomScale="160" zoomScaleNormal="160" workbookViewId="0">
      <pane xSplit="14" ySplit="1" topLeftCell="AC2" activePane="bottomRight" state="frozen"/>
      <selection pane="topRight" activeCell="O1" sqref="O1"/>
      <selection pane="bottomLeft" activeCell="A2" sqref="A2"/>
      <selection pane="bottomRight" activeCell="AI25" sqref="AI25"/>
    </sheetView>
  </sheetViews>
  <sheetFormatPr defaultColWidth="9.140625" defaultRowHeight="12.75" outlineLevelCol="1"/>
  <cols>
    <col min="1" max="1" width="23.42578125" style="43" customWidth="1"/>
    <col min="2" max="14" width="9.140625" style="7" hidden="1" customWidth="1" outlineLevel="1"/>
    <col min="15" max="15" width="0" style="7" hidden="1" customWidth="1" collapsed="1"/>
    <col min="16" max="23" width="0" style="7" hidden="1" customWidth="1"/>
    <col min="24" max="24" width="9.28515625" style="7" hidden="1" customWidth="1"/>
    <col min="25" max="28" width="0" style="7" hidden="1" customWidth="1"/>
    <col min="29" max="34" width="9.140625" style="7"/>
    <col min="35" max="40" width="7" style="7" bestFit="1" customWidth="1"/>
    <col min="41" max="41" width="9.140625" style="7"/>
    <col min="42" max="42" width="10.42578125" style="7" bestFit="1" customWidth="1"/>
    <col min="43" max="16384" width="9.140625" style="7"/>
  </cols>
  <sheetData>
    <row r="1" spans="1:43" s="43" customFormat="1">
      <c r="A1" s="42" t="s">
        <v>355</v>
      </c>
      <c r="B1" s="84">
        <f>Final!B2</f>
        <v>1992</v>
      </c>
      <c r="C1" s="84">
        <f>Final!C2</f>
        <v>1993</v>
      </c>
      <c r="D1" s="84">
        <f>Final!D2</f>
        <v>1994</v>
      </c>
      <c r="E1" s="84">
        <f>Final!E2</f>
        <v>1995</v>
      </c>
      <c r="F1" s="84">
        <f>Final!F2</f>
        <v>1996</v>
      </c>
      <c r="G1" s="84">
        <f>Final!G2</f>
        <v>1997</v>
      </c>
      <c r="H1" s="84">
        <f>Final!H2</f>
        <v>1998</v>
      </c>
      <c r="I1" s="84" t="str">
        <f>Final!I2</f>
        <v>1999*</v>
      </c>
      <c r="J1" s="84">
        <f>Final!J2</f>
        <v>2000</v>
      </c>
      <c r="K1" s="84">
        <f>Final!K2</f>
        <v>2001</v>
      </c>
      <c r="L1" s="84">
        <f>Final!L2</f>
        <v>2002</v>
      </c>
      <c r="M1" s="84">
        <f>Final!M2</f>
        <v>2003</v>
      </c>
      <c r="N1" s="84">
        <f>Final!N2</f>
        <v>2004</v>
      </c>
      <c r="O1" s="84">
        <f>Final!O2</f>
        <v>2005</v>
      </c>
      <c r="P1" s="84">
        <f>Final!P2</f>
        <v>2006</v>
      </c>
      <c r="Q1" s="84">
        <f>Final!Q2</f>
        <v>2007</v>
      </c>
      <c r="R1" s="84">
        <f>Final!R2</f>
        <v>2008</v>
      </c>
      <c r="S1" s="84">
        <f>Final!S2</f>
        <v>2009</v>
      </c>
      <c r="T1" s="84">
        <f>Final!T2</f>
        <v>2010</v>
      </c>
      <c r="U1" s="84">
        <f>Final!U2</f>
        <v>2011</v>
      </c>
      <c r="V1" s="84">
        <f>Final!V2</f>
        <v>2012</v>
      </c>
      <c r="W1" s="84">
        <f>Final!W2</f>
        <v>2013</v>
      </c>
      <c r="X1" s="84">
        <f>Final!X2</f>
        <v>2014</v>
      </c>
      <c r="Y1" s="84">
        <f>Final!Y2</f>
        <v>2015</v>
      </c>
      <c r="Z1" s="84">
        <f>Final!Z2</f>
        <v>2016</v>
      </c>
      <c r="AA1" s="84">
        <f>Final!AA2</f>
        <v>2017</v>
      </c>
      <c r="AB1" s="84">
        <f>Final!AB2</f>
        <v>2018</v>
      </c>
      <c r="AC1" s="84">
        <f>Final!AC2</f>
        <v>2019</v>
      </c>
      <c r="AD1" s="84">
        <f>Final!AD2</f>
        <v>2020</v>
      </c>
      <c r="AE1" s="84">
        <f>Final!AE2</f>
        <v>2021</v>
      </c>
      <c r="AF1" s="84">
        <f>Final!AF2</f>
        <v>2022</v>
      </c>
      <c r="AG1" s="84">
        <f>Final!AG2</f>
        <v>2023</v>
      </c>
      <c r="AH1" s="84">
        <f>Final!AH2</f>
        <v>2024</v>
      </c>
      <c r="AI1" s="84" t="str">
        <f>Final!AI2</f>
        <v>2025E</v>
      </c>
      <c r="AJ1" s="84" t="str">
        <f>Final!AJ2</f>
        <v>2026E</v>
      </c>
      <c r="AK1" s="84" t="str">
        <f>Final!AK2</f>
        <v>2027E</v>
      </c>
      <c r="AL1" s="84" t="str">
        <f>Final!AL2</f>
        <v>2028E</v>
      </c>
      <c r="AM1" s="84" t="str">
        <f>Final!AM2</f>
        <v>2029E</v>
      </c>
      <c r="AN1" s="84" t="str">
        <f>Final!AN2</f>
        <v>2030E</v>
      </c>
    </row>
    <row r="2" spans="1:43" s="43" customFormat="1">
      <c r="A2" s="43" t="s">
        <v>535</v>
      </c>
      <c r="B2" s="84"/>
      <c r="C2" s="84"/>
      <c r="D2" s="84"/>
      <c r="E2" s="84"/>
      <c r="F2" s="84"/>
      <c r="G2" s="84"/>
      <c r="H2" s="84"/>
      <c r="I2" s="84"/>
      <c r="J2" s="84"/>
      <c r="K2" s="84"/>
      <c r="L2" s="84"/>
      <c r="M2" s="84"/>
      <c r="N2" s="84"/>
      <c r="O2" s="87">
        <v>0.17248720800889877</v>
      </c>
      <c r="P2" s="87">
        <v>0.17631149399229201</v>
      </c>
      <c r="Q2" s="87">
        <v>0.19787871098705914</v>
      </c>
      <c r="R2" s="87">
        <v>0.15952861259777687</v>
      </c>
      <c r="S2" s="87">
        <v>0.16710344827586207</v>
      </c>
      <c r="T2" s="87">
        <v>0.17368303571428573</v>
      </c>
      <c r="U2" s="87">
        <v>0.14650631956234675</v>
      </c>
      <c r="V2" s="87">
        <v>0.1412814436748086</v>
      </c>
      <c r="W2" s="87">
        <v>0.12109375</v>
      </c>
      <c r="X2" s="87">
        <v>0.12634146341463415</v>
      </c>
      <c r="Y2" s="87">
        <v>0.12031007751937985</v>
      </c>
      <c r="Z2" s="87">
        <v>0.11386861313868613</v>
      </c>
      <c r="AA2" s="87">
        <v>0.12233033268101762</v>
      </c>
      <c r="AB2" s="87">
        <v>0.1122450734503762</v>
      </c>
      <c r="AC2" s="87">
        <f>0.109188185</f>
        <v>0.10918818499999999</v>
      </c>
      <c r="AD2" s="87">
        <v>0.1047151264994646</v>
      </c>
      <c r="AE2" s="87">
        <f>1/9.5579</f>
        <v>0.10462549304763599</v>
      </c>
      <c r="AF2" s="87">
        <f>0.0944</f>
        <v>9.4399999999999998E-2</v>
      </c>
      <c r="AG2" s="87">
        <v>9.4033000000000005E-2</v>
      </c>
      <c r="AH2" s="87">
        <v>9.1499999999999998E-2</v>
      </c>
      <c r="AI2" s="93">
        <v>9.4009999999999996E-2</v>
      </c>
      <c r="AJ2" s="93">
        <f t="shared" ref="AJ2:AN2" si="0">AJ3</f>
        <v>8.7640449438202248E-2</v>
      </c>
      <c r="AK2" s="93">
        <f t="shared" si="0"/>
        <v>8.7640449438202248E-2</v>
      </c>
      <c r="AL2" s="93">
        <f t="shared" si="0"/>
        <v>8.7640449438202248E-2</v>
      </c>
      <c r="AM2" s="93">
        <f t="shared" si="0"/>
        <v>8.7640449438202248E-2</v>
      </c>
      <c r="AN2" s="93">
        <f t="shared" si="0"/>
        <v>8.7640449438202248E-2</v>
      </c>
    </row>
    <row r="3" spans="1:43" s="43" customFormat="1">
      <c r="A3" s="43" t="s">
        <v>536</v>
      </c>
      <c r="B3" s="84"/>
      <c r="C3" s="84"/>
      <c r="D3" s="84"/>
      <c r="E3" s="84"/>
      <c r="F3" s="84"/>
      <c r="G3" s="84"/>
      <c r="H3" s="84"/>
      <c r="I3" s="84"/>
      <c r="J3" s="84"/>
      <c r="K3" s="84"/>
      <c r="L3" s="84"/>
      <c r="M3" s="84"/>
      <c r="N3" s="84"/>
      <c r="O3" s="87">
        <v>0.17658184646181194</v>
      </c>
      <c r="P3" s="87">
        <v>0.17193445393120912</v>
      </c>
      <c r="Q3" s="87">
        <v>0.18970293125408519</v>
      </c>
      <c r="R3" s="87">
        <v>0.1805425464315126</v>
      </c>
      <c r="S3" s="87">
        <v>0.16055273164894671</v>
      </c>
      <c r="T3" s="87">
        <v>0.17007894353895833</v>
      </c>
      <c r="U3" s="87">
        <v>0.16743540396030984</v>
      </c>
      <c r="V3" s="87">
        <v>0.14556994221129696</v>
      </c>
      <c r="W3" s="87">
        <v>0.12629000000000001</v>
      </c>
      <c r="X3" s="87">
        <v>0.12573000000000001</v>
      </c>
      <c r="Y3" s="87">
        <v>0.1206</v>
      </c>
      <c r="Z3" s="87">
        <v>0.1152</v>
      </c>
      <c r="AA3" s="87">
        <v>0.12001000000000001</v>
      </c>
      <c r="AB3" s="87">
        <v>0.11464000000000001</v>
      </c>
      <c r="AC3" s="87">
        <v>0.11126999999999999</v>
      </c>
      <c r="AD3" s="87">
        <f t="shared" ref="AD3:AF3" si="1">AVERAGE(AC2:AD2)</f>
        <v>0.1069516557497323</v>
      </c>
      <c r="AE3" s="87">
        <f t="shared" si="1"/>
        <v>0.1046703097735503</v>
      </c>
      <c r="AF3" s="87">
        <f t="shared" si="1"/>
        <v>9.9512746523818002E-2</v>
      </c>
      <c r="AG3" s="87">
        <f>AVERAGE(AF2:AG2)</f>
        <v>9.4216500000000009E-2</v>
      </c>
      <c r="AH3" s="87">
        <v>9.325E-2</v>
      </c>
      <c r="AI3" s="87">
        <f>1/85.58*7.8</f>
        <v>9.1142790371582141E-2</v>
      </c>
      <c r="AJ3" s="87">
        <f>1/89*7.8</f>
        <v>8.7640449438202248E-2</v>
      </c>
      <c r="AK3" s="87">
        <f>AJ3</f>
        <v>8.7640449438202248E-2</v>
      </c>
      <c r="AL3" s="87">
        <f t="shared" ref="AL3:AN3" si="2">AK3</f>
        <v>8.7640449438202248E-2</v>
      </c>
      <c r="AM3" s="87">
        <f t="shared" si="2"/>
        <v>8.7640449438202248E-2</v>
      </c>
      <c r="AN3" s="87">
        <f t="shared" si="2"/>
        <v>8.7640449438202248E-2</v>
      </c>
      <c r="AP3" s="443"/>
    </row>
    <row r="4" spans="1:43" s="43" customFormat="1">
      <c r="A4" s="6" t="s">
        <v>523</v>
      </c>
      <c r="B4" s="85"/>
      <c r="C4" s="85"/>
      <c r="D4" s="85"/>
      <c r="E4" s="85"/>
      <c r="F4" s="85"/>
      <c r="G4" s="85"/>
      <c r="H4" s="85"/>
      <c r="I4" s="85"/>
      <c r="J4" s="85"/>
      <c r="K4" s="85"/>
      <c r="L4" s="85"/>
      <c r="M4" s="85"/>
      <c r="N4" s="85"/>
      <c r="O4" s="85"/>
      <c r="P4" s="85"/>
      <c r="Q4" s="85"/>
      <c r="R4" s="85"/>
      <c r="S4" s="85"/>
      <c r="T4" s="85"/>
      <c r="U4" s="85"/>
      <c r="V4" s="85"/>
      <c r="W4" s="85"/>
      <c r="X4" s="85"/>
      <c r="Y4" s="85"/>
      <c r="Z4" s="85"/>
      <c r="AA4" s="85"/>
      <c r="AB4" s="85"/>
      <c r="AC4" s="85"/>
      <c r="AD4" s="85"/>
      <c r="AE4" s="85"/>
      <c r="AF4" s="85"/>
      <c r="AG4" s="85"/>
      <c r="AH4" s="85"/>
      <c r="AI4" s="85"/>
      <c r="AJ4" s="85"/>
      <c r="AK4" s="85"/>
      <c r="AL4" s="85"/>
      <c r="AM4" s="85"/>
      <c r="AN4" s="85"/>
    </row>
    <row r="5" spans="1:43">
      <c r="A5" s="42" t="s">
        <v>114</v>
      </c>
      <c r="B5" s="79"/>
      <c r="C5" s="79"/>
      <c r="D5" s="79"/>
      <c r="E5" s="79"/>
      <c r="F5" s="79"/>
      <c r="G5" s="79"/>
      <c r="H5" s="79"/>
      <c r="I5" s="79"/>
      <c r="J5" s="79"/>
      <c r="K5" s="79"/>
      <c r="L5" s="79"/>
      <c r="M5" s="79"/>
      <c r="N5" s="79"/>
      <c r="O5" s="79">
        <v>1876</v>
      </c>
      <c r="P5" s="79">
        <v>2196</v>
      </c>
      <c r="Q5" s="79">
        <v>2687</v>
      </c>
      <c r="R5" s="79">
        <v>4197</v>
      </c>
      <c r="S5" s="79">
        <v>2786</v>
      </c>
      <c r="T5" s="79">
        <v>2578</v>
      </c>
      <c r="U5" s="79">
        <v>2923</v>
      </c>
      <c r="V5" s="79">
        <v>3178</v>
      </c>
      <c r="W5" s="79">
        <v>4371</v>
      </c>
      <c r="X5" s="79">
        <v>4821</v>
      </c>
      <c r="Y5" s="79">
        <v>5104</v>
      </c>
      <c r="Z5" s="79">
        <v>3808</v>
      </c>
      <c r="AA5" s="79">
        <v>4887</v>
      </c>
      <c r="AB5" s="79">
        <v>5269</v>
      </c>
      <c r="AC5" s="79">
        <v>4651</v>
      </c>
      <c r="AD5" s="79">
        <v>3616</v>
      </c>
      <c r="AE5" s="79">
        <v>4866</v>
      </c>
      <c r="AF5" s="79">
        <v>5153</v>
      </c>
      <c r="AG5" s="79">
        <v>0</v>
      </c>
      <c r="AH5" s="79">
        <v>0</v>
      </c>
      <c r="AI5" s="100">
        <f>AH5</f>
        <v>0</v>
      </c>
      <c r="AJ5" s="100">
        <f t="shared" ref="AJ5:AN5" si="3">AI5</f>
        <v>0</v>
      </c>
      <c r="AK5" s="100">
        <f t="shared" si="3"/>
        <v>0</v>
      </c>
      <c r="AL5" s="100">
        <f t="shared" si="3"/>
        <v>0</v>
      </c>
      <c r="AM5" s="100">
        <f t="shared" si="3"/>
        <v>0</v>
      </c>
      <c r="AN5" s="100">
        <f t="shared" si="3"/>
        <v>0</v>
      </c>
      <c r="AQ5" s="90"/>
    </row>
    <row r="6" spans="1:43">
      <c r="A6" s="43" t="s">
        <v>520</v>
      </c>
      <c r="O6" s="7">
        <f>O7-O5</f>
        <v>-1179</v>
      </c>
      <c r="P6" s="7">
        <f>P7-P5</f>
        <v>-1232</v>
      </c>
      <c r="Q6" s="7">
        <f>Q7-Q5</f>
        <v>-2334</v>
      </c>
      <c r="R6" s="7">
        <f>R7-R5</f>
        <v>-3660</v>
      </c>
      <c r="S6" s="7">
        <f t="shared" ref="S6:AF6" si="4">S7-S5</f>
        <v>-2177</v>
      </c>
      <c r="T6" s="7">
        <f t="shared" si="4"/>
        <v>-1994</v>
      </c>
      <c r="U6" s="7">
        <f t="shared" si="4"/>
        <v>-1984</v>
      </c>
      <c r="V6" s="7">
        <f t="shared" si="4"/>
        <v>-2290</v>
      </c>
      <c r="W6" s="7">
        <f t="shared" si="4"/>
        <v>-2743</v>
      </c>
      <c r="X6" s="7">
        <f t="shared" si="4"/>
        <v>-2887</v>
      </c>
      <c r="Y6" s="7">
        <f t="shared" si="4"/>
        <v>-3119</v>
      </c>
      <c r="Z6" s="7">
        <f t="shared" si="4"/>
        <v>-1854</v>
      </c>
      <c r="AA6" s="7">
        <f t="shared" si="4"/>
        <v>-2777</v>
      </c>
      <c r="AB6" s="7">
        <f t="shared" si="4"/>
        <v>-3276</v>
      </c>
      <c r="AC6" s="7">
        <f t="shared" si="4"/>
        <v>-2994</v>
      </c>
      <c r="AD6" s="7">
        <f t="shared" si="4"/>
        <v>-2135</v>
      </c>
      <c r="AE6" s="7">
        <f t="shared" si="4"/>
        <v>-3677</v>
      </c>
      <c r="AF6" s="7">
        <f t="shared" si="4"/>
        <v>-8040</v>
      </c>
      <c r="AG6" s="7">
        <v>0</v>
      </c>
      <c r="AH6" s="7">
        <v>0</v>
      </c>
      <c r="AI6" s="81">
        <v>0</v>
      </c>
      <c r="AJ6" s="81">
        <v>0</v>
      </c>
      <c r="AK6" s="81">
        <v>0</v>
      </c>
      <c r="AL6" s="81">
        <v>0</v>
      </c>
      <c r="AM6" s="81">
        <v>0</v>
      </c>
      <c r="AN6" s="81">
        <v>0</v>
      </c>
      <c r="AQ6" s="90"/>
    </row>
    <row r="7" spans="1:43">
      <c r="A7" s="80" t="s">
        <v>57</v>
      </c>
      <c r="B7" s="9"/>
      <c r="C7" s="9"/>
      <c r="D7" s="9"/>
      <c r="E7" s="9"/>
      <c r="F7" s="9"/>
      <c r="G7" s="9"/>
      <c r="H7" s="9"/>
      <c r="I7" s="9"/>
      <c r="J7" s="9"/>
      <c r="K7" s="9"/>
      <c r="L7" s="9"/>
      <c r="M7" s="9"/>
      <c r="N7" s="9"/>
      <c r="O7" s="9">
        <f>O9-O8</f>
        <v>697</v>
      </c>
      <c r="P7" s="9">
        <f>P9-P8</f>
        <v>964</v>
      </c>
      <c r="Q7" s="9">
        <f>Q9-Q8</f>
        <v>353</v>
      </c>
      <c r="R7" s="9">
        <f>R9-R8</f>
        <v>537</v>
      </c>
      <c r="S7" s="9">
        <f t="shared" ref="S7:AA7" si="5">S9-S8</f>
        <v>609</v>
      </c>
      <c r="T7" s="9">
        <f t="shared" si="5"/>
        <v>584</v>
      </c>
      <c r="U7" s="9">
        <f t="shared" si="5"/>
        <v>939</v>
      </c>
      <c r="V7" s="9">
        <f t="shared" si="5"/>
        <v>888</v>
      </c>
      <c r="W7" s="9">
        <f t="shared" si="5"/>
        <v>1628</v>
      </c>
      <c r="X7" s="9">
        <f t="shared" si="5"/>
        <v>1934</v>
      </c>
      <c r="Y7" s="9">
        <f t="shared" si="5"/>
        <v>1985</v>
      </c>
      <c r="Z7" s="9">
        <f t="shared" si="5"/>
        <v>1954</v>
      </c>
      <c r="AA7" s="9">
        <f t="shared" si="5"/>
        <v>2110</v>
      </c>
      <c r="AB7" s="9">
        <f t="shared" ref="AB7:AI7" si="6">AB9-AB8</f>
        <v>1993</v>
      </c>
      <c r="AC7" s="9">
        <f t="shared" si="6"/>
        <v>1657</v>
      </c>
      <c r="AD7" s="9">
        <f t="shared" si="6"/>
        <v>1481</v>
      </c>
      <c r="AE7" s="9">
        <v>1189</v>
      </c>
      <c r="AF7" s="9">
        <v>-2887</v>
      </c>
      <c r="AG7" s="9">
        <v>605</v>
      </c>
      <c r="AH7" s="9">
        <v>448</v>
      </c>
      <c r="AI7" s="476">
        <f t="shared" si="6"/>
        <v>0</v>
      </c>
      <c r="AJ7" s="476">
        <f>AJ9-AJ8</f>
        <v>0</v>
      </c>
      <c r="AK7" s="476">
        <f>AK9-AK8</f>
        <v>0</v>
      </c>
      <c r="AL7" s="476">
        <f>AL9-AL8</f>
        <v>0</v>
      </c>
      <c r="AM7" s="476">
        <f>AM9-AM8</f>
        <v>0</v>
      </c>
      <c r="AN7" s="476">
        <f>AN9-AN8</f>
        <v>0</v>
      </c>
      <c r="AQ7" s="90"/>
    </row>
    <row r="8" spans="1:43">
      <c r="A8" s="43" t="s">
        <v>349</v>
      </c>
      <c r="O8" s="7">
        <v>-2</v>
      </c>
      <c r="P8" s="7">
        <v>-2</v>
      </c>
      <c r="Q8" s="7">
        <v>-1</v>
      </c>
      <c r="R8" s="7">
        <v>-9</v>
      </c>
      <c r="S8" s="7">
        <v>-35</v>
      </c>
      <c r="T8" s="7">
        <v>-112</v>
      </c>
      <c r="U8" s="7">
        <v>-182</v>
      </c>
      <c r="V8" s="7">
        <v>-355</v>
      </c>
      <c r="W8" s="7">
        <v>-424</v>
      </c>
      <c r="X8" s="7">
        <v>-567</v>
      </c>
      <c r="Y8" s="7">
        <v>-556</v>
      </c>
      <c r="Z8" s="7">
        <v>-571</v>
      </c>
      <c r="AA8" s="7">
        <v>-599</v>
      </c>
      <c r="AB8" s="7">
        <v>-608</v>
      </c>
      <c r="AC8" s="7">
        <v>-626</v>
      </c>
      <c r="AD8" s="7">
        <v>-597</v>
      </c>
      <c r="AE8" s="7">
        <f>AE9-AE7</f>
        <v>-287</v>
      </c>
      <c r="AF8" s="7">
        <f>AF9-AF7</f>
        <v>3751</v>
      </c>
      <c r="AG8" s="7">
        <v>0</v>
      </c>
      <c r="AH8" s="7">
        <v>0</v>
      </c>
      <c r="AI8" s="81">
        <f t="shared" ref="AI8:AN8" si="7">AI51</f>
        <v>0</v>
      </c>
      <c r="AJ8" s="81">
        <f t="shared" si="7"/>
        <v>0</v>
      </c>
      <c r="AK8" s="81">
        <f t="shared" si="7"/>
        <v>0</v>
      </c>
      <c r="AL8" s="81">
        <f t="shared" si="7"/>
        <v>0</v>
      </c>
      <c r="AM8" s="81">
        <f t="shared" si="7"/>
        <v>0</v>
      </c>
      <c r="AN8" s="81">
        <f t="shared" si="7"/>
        <v>0</v>
      </c>
      <c r="AQ8" s="90"/>
    </row>
    <row r="9" spans="1:43" hidden="1">
      <c r="A9" s="80" t="s">
        <v>521</v>
      </c>
      <c r="B9" s="9"/>
      <c r="C9" s="9"/>
      <c r="D9" s="9"/>
      <c r="E9" s="9"/>
      <c r="F9" s="9"/>
      <c r="G9" s="9"/>
      <c r="H9" s="9"/>
      <c r="I9" s="9"/>
      <c r="J9" s="9"/>
      <c r="K9" s="9"/>
      <c r="L9" s="9"/>
      <c r="M9" s="9"/>
      <c r="N9" s="9"/>
      <c r="O9" s="9">
        <v>695</v>
      </c>
      <c r="P9" s="9">
        <v>962</v>
      </c>
      <c r="Q9" s="9">
        <v>352</v>
      </c>
      <c r="R9" s="9">
        <v>528</v>
      </c>
      <c r="S9" s="9">
        <f>S16-S15</f>
        <v>574</v>
      </c>
      <c r="T9" s="9">
        <f>T16-T15</f>
        <v>472</v>
      </c>
      <c r="U9" s="9">
        <f>U16-U15</f>
        <v>757</v>
      </c>
      <c r="V9" s="9">
        <f>V16-V15</f>
        <v>533</v>
      </c>
      <c r="W9" s="9">
        <v>1204</v>
      </c>
      <c r="X9" s="9">
        <v>1367</v>
      </c>
      <c r="Y9" s="9">
        <v>1429</v>
      </c>
      <c r="Z9" s="9">
        <v>1383</v>
      </c>
      <c r="AA9" s="9">
        <v>1511</v>
      </c>
      <c r="AB9" s="9">
        <v>1385</v>
      </c>
      <c r="AC9" s="112">
        <v>1031</v>
      </c>
      <c r="AD9" s="9">
        <v>884</v>
      </c>
      <c r="AE9" s="9">
        <f>902</f>
        <v>902</v>
      </c>
      <c r="AF9" s="9">
        <v>864</v>
      </c>
      <c r="AG9" s="483"/>
      <c r="AH9" s="483"/>
      <c r="AI9" s="476"/>
      <c r="AJ9" s="476"/>
      <c r="AK9" s="476"/>
      <c r="AL9" s="476"/>
      <c r="AM9" s="476"/>
      <c r="AN9" s="476"/>
      <c r="AQ9" s="90"/>
    </row>
    <row r="10" spans="1:43" hidden="1">
      <c r="A10" s="86" t="s">
        <v>526</v>
      </c>
      <c r="W10" s="7">
        <v>391</v>
      </c>
      <c r="X10" s="7">
        <v>579</v>
      </c>
      <c r="Y10" s="7">
        <v>658</v>
      </c>
      <c r="Z10" s="7">
        <v>492</v>
      </c>
      <c r="AA10" s="7">
        <v>676</v>
      </c>
      <c r="AB10" s="7">
        <v>474</v>
      </c>
      <c r="AC10" s="30">
        <v>507</v>
      </c>
      <c r="AD10" s="7">
        <v>496</v>
      </c>
      <c r="AE10" s="7">
        <v>406</v>
      </c>
      <c r="AF10" s="7">
        <v>281</v>
      </c>
      <c r="AG10" s="153"/>
      <c r="AH10" s="153"/>
      <c r="AI10" s="81"/>
      <c r="AJ10" s="81"/>
      <c r="AK10" s="81"/>
      <c r="AL10" s="81"/>
      <c r="AM10" s="81"/>
      <c r="AN10" s="81"/>
      <c r="AQ10" s="90"/>
    </row>
    <row r="11" spans="1:43" hidden="1">
      <c r="A11" s="86" t="s">
        <v>527</v>
      </c>
      <c r="W11" s="7">
        <v>411</v>
      </c>
      <c r="X11" s="7">
        <v>247</v>
      </c>
      <c r="Y11" s="7">
        <v>279</v>
      </c>
      <c r="Z11" s="7">
        <v>266</v>
      </c>
      <c r="AA11" s="7">
        <v>273</v>
      </c>
      <c r="AB11" s="7">
        <v>234</v>
      </c>
      <c r="AC11" s="30">
        <v>-168</v>
      </c>
      <c r="AD11" s="7">
        <v>-144</v>
      </c>
      <c r="AE11" s="7">
        <v>-152</v>
      </c>
      <c r="AF11" s="7">
        <v>-102</v>
      </c>
      <c r="AG11" s="153"/>
      <c r="AH11" s="153"/>
      <c r="AI11" s="81"/>
      <c r="AJ11" s="81"/>
      <c r="AK11" s="81"/>
      <c r="AL11" s="81"/>
      <c r="AM11" s="81"/>
      <c r="AN11" s="81"/>
      <c r="AQ11" s="90"/>
    </row>
    <row r="12" spans="1:43" hidden="1">
      <c r="A12" s="86" t="s">
        <v>522</v>
      </c>
      <c r="W12" s="7">
        <v>402</v>
      </c>
      <c r="X12" s="7">
        <v>541</v>
      </c>
      <c r="Y12" s="7">
        <v>492</v>
      </c>
      <c r="Z12" s="7">
        <v>625</v>
      </c>
      <c r="AA12" s="7">
        <v>562</v>
      </c>
      <c r="AB12" s="7">
        <v>677</v>
      </c>
      <c r="AC12" s="30">
        <v>687</v>
      </c>
      <c r="AD12" s="7">
        <v>506</v>
      </c>
      <c r="AE12" s="7">
        <v>606</v>
      </c>
      <c r="AF12" s="7">
        <v>477</v>
      </c>
      <c r="AG12" s="153"/>
      <c r="AH12" s="153"/>
      <c r="AI12" s="81"/>
      <c r="AJ12" s="81"/>
      <c r="AK12" s="81"/>
      <c r="AL12" s="81"/>
      <c r="AM12" s="81"/>
      <c r="AN12" s="81"/>
      <c r="AQ12" s="90"/>
    </row>
    <row r="13" spans="1:43" hidden="1">
      <c r="A13" s="86" t="s">
        <v>746</v>
      </c>
      <c r="AC13" s="30">
        <v>5</v>
      </c>
      <c r="AD13" s="7">
        <v>26</v>
      </c>
      <c r="AE13" s="7">
        <v>42</v>
      </c>
      <c r="AF13" s="7">
        <v>208</v>
      </c>
      <c r="AG13" s="153"/>
      <c r="AH13" s="153"/>
      <c r="AI13" s="3"/>
      <c r="AJ13" s="3"/>
      <c r="AK13" s="3"/>
      <c r="AL13" s="3"/>
      <c r="AM13" s="3"/>
      <c r="AN13" s="3"/>
    </row>
    <row r="14" spans="1:43">
      <c r="A14" s="43" t="s">
        <v>484</v>
      </c>
      <c r="Q14" s="7">
        <v>0</v>
      </c>
      <c r="R14" s="7">
        <v>0</v>
      </c>
      <c r="S14" s="7">
        <v>0</v>
      </c>
      <c r="T14" s="7">
        <v>0</v>
      </c>
      <c r="U14" s="7">
        <v>0</v>
      </c>
      <c r="V14" s="7">
        <v>0</v>
      </c>
      <c r="W14" s="7">
        <v>5</v>
      </c>
      <c r="X14" s="7">
        <v>0</v>
      </c>
      <c r="Y14" s="7">
        <v>0</v>
      </c>
      <c r="Z14" s="7">
        <v>0</v>
      </c>
      <c r="AA14" s="81">
        <f t="shared" ref="AA14:AD14" si="8">Z14</f>
        <v>0</v>
      </c>
      <c r="AB14" s="81">
        <f t="shared" si="8"/>
        <v>0</v>
      </c>
      <c r="AC14" s="81">
        <f t="shared" si="8"/>
        <v>0</v>
      </c>
      <c r="AD14" s="81">
        <f t="shared" si="8"/>
        <v>0</v>
      </c>
      <c r="AE14" s="7">
        <f>AE16-AE15-AE9</f>
        <v>-330</v>
      </c>
      <c r="AF14" s="7">
        <f>AF16-AF15-AF9</f>
        <v>-4034</v>
      </c>
      <c r="AG14" s="7">
        <v>0</v>
      </c>
      <c r="AH14" s="7">
        <v>0</v>
      </c>
      <c r="AI14" s="81">
        <f t="shared" ref="AI14:AN14" si="9">AH14</f>
        <v>0</v>
      </c>
      <c r="AJ14" s="81">
        <f>AI14</f>
        <v>0</v>
      </c>
      <c r="AK14" s="81">
        <f>AJ14</f>
        <v>0</v>
      </c>
      <c r="AL14" s="81">
        <f>AK14</f>
        <v>0</v>
      </c>
      <c r="AM14" s="81">
        <f t="shared" si="9"/>
        <v>0</v>
      </c>
      <c r="AN14" s="81">
        <f t="shared" si="9"/>
        <v>0</v>
      </c>
      <c r="AQ14" s="90"/>
    </row>
    <row r="15" spans="1:43">
      <c r="A15" s="43" t="s">
        <v>485</v>
      </c>
      <c r="Q15" s="7">
        <f>Q16-Q9</f>
        <v>103</v>
      </c>
      <c r="R15" s="7">
        <f>52-45</f>
        <v>7</v>
      </c>
      <c r="S15" s="7">
        <f>-82+23</f>
        <v>-59</v>
      </c>
      <c r="T15" s="7">
        <f>-198+46</f>
        <v>-152</v>
      </c>
      <c r="U15" s="7">
        <f>63-382</f>
        <v>-319</v>
      </c>
      <c r="V15" s="7">
        <f>77-709</f>
        <v>-632</v>
      </c>
      <c r="W15" s="7">
        <v>-877</v>
      </c>
      <c r="X15" s="7">
        <v>-878</v>
      </c>
      <c r="Y15" s="7">
        <v>-792</v>
      </c>
      <c r="Z15" s="7">
        <v>-777</v>
      </c>
      <c r="AA15" s="7">
        <f>-713+57</f>
        <v>-656</v>
      </c>
      <c r="AB15" s="7">
        <f>-582+48</f>
        <v>-534</v>
      </c>
      <c r="AC15" s="30">
        <f>-520+62</f>
        <v>-458</v>
      </c>
      <c r="AD15" s="7">
        <f>-486+46</f>
        <v>-440</v>
      </c>
      <c r="AE15" s="7">
        <f>-436+42</f>
        <v>-394</v>
      </c>
      <c r="AF15" s="7">
        <f>-498+46</f>
        <v>-452</v>
      </c>
      <c r="AG15" s="7">
        <v>6</v>
      </c>
      <c r="AH15" s="7">
        <v>4</v>
      </c>
      <c r="AI15" s="81">
        <f t="shared" ref="AI15:AN15" si="10">-AI60*AH59</f>
        <v>0</v>
      </c>
      <c r="AJ15" s="81">
        <f>-AJ60*AI59</f>
        <v>0</v>
      </c>
      <c r="AK15" s="81">
        <f>-AK60*AJ59</f>
        <v>0</v>
      </c>
      <c r="AL15" s="81">
        <f>-AL60*AK59</f>
        <v>0</v>
      </c>
      <c r="AM15" s="81">
        <f t="shared" si="10"/>
        <v>0</v>
      </c>
      <c r="AN15" s="81">
        <f t="shared" si="10"/>
        <v>0</v>
      </c>
      <c r="AQ15" s="90"/>
    </row>
    <row r="16" spans="1:43">
      <c r="A16" s="80" t="s">
        <v>524</v>
      </c>
      <c r="B16" s="9"/>
      <c r="C16" s="9"/>
      <c r="D16" s="9"/>
      <c r="E16" s="9"/>
      <c r="F16" s="9"/>
      <c r="G16" s="9"/>
      <c r="H16" s="9"/>
      <c r="I16" s="9"/>
      <c r="J16" s="9"/>
      <c r="K16" s="9"/>
      <c r="L16" s="9"/>
      <c r="M16" s="9"/>
      <c r="N16" s="9"/>
      <c r="O16" s="9"/>
      <c r="P16" s="9"/>
      <c r="Q16" s="9">
        <f>Q19-Q17</f>
        <v>455</v>
      </c>
      <c r="R16" s="9">
        <f>R9+R15</f>
        <v>535</v>
      </c>
      <c r="S16" s="9">
        <f>S19-S17</f>
        <v>515</v>
      </c>
      <c r="T16" s="9">
        <f>T19-T17</f>
        <v>320</v>
      </c>
      <c r="U16" s="9">
        <f>U19-U17</f>
        <v>438</v>
      </c>
      <c r="V16" s="9">
        <f>V19-V17</f>
        <v>-99</v>
      </c>
      <c r="W16" s="9">
        <f t="shared" ref="W16:AC16" si="11">W9+W15+W14</f>
        <v>332</v>
      </c>
      <c r="X16" s="9">
        <f t="shared" si="11"/>
        <v>489</v>
      </c>
      <c r="Y16" s="9">
        <f t="shared" si="11"/>
        <v>637</v>
      </c>
      <c r="Z16" s="9">
        <f t="shared" si="11"/>
        <v>606</v>
      </c>
      <c r="AA16" s="9">
        <f t="shared" si="11"/>
        <v>855</v>
      </c>
      <c r="AB16" s="9">
        <f t="shared" si="11"/>
        <v>851</v>
      </c>
      <c r="AC16" s="9">
        <f t="shared" si="11"/>
        <v>573</v>
      </c>
      <c r="AD16" s="9">
        <f>AD9+AD15+AD14</f>
        <v>444</v>
      </c>
      <c r="AE16" s="9">
        <v>178</v>
      </c>
      <c r="AF16" s="9">
        <v>-3622</v>
      </c>
      <c r="AG16" s="9">
        <f>AG15+AG7-AG24</f>
        <v>312</v>
      </c>
      <c r="AH16" s="9">
        <f>AH15+AH7-AH24</f>
        <v>347</v>
      </c>
      <c r="AI16" s="476">
        <f t="shared" ref="AI16:AN16" si="12">AI9+AI15</f>
        <v>0</v>
      </c>
      <c r="AJ16" s="476">
        <f t="shared" si="12"/>
        <v>0</v>
      </c>
      <c r="AK16" s="476">
        <f t="shared" si="12"/>
        <v>0</v>
      </c>
      <c r="AL16" s="476">
        <f t="shared" si="12"/>
        <v>0</v>
      </c>
      <c r="AM16" s="476">
        <f t="shared" si="12"/>
        <v>0</v>
      </c>
      <c r="AN16" s="476">
        <f t="shared" si="12"/>
        <v>0</v>
      </c>
      <c r="AQ16" s="90"/>
    </row>
    <row r="17" spans="1:43">
      <c r="A17" s="43" t="s">
        <v>100</v>
      </c>
      <c r="Q17" s="7">
        <v>-46</v>
      </c>
      <c r="R17" s="7">
        <f>R19-R16</f>
        <v>-215</v>
      </c>
      <c r="S17" s="7">
        <v>-251</v>
      </c>
      <c r="T17" s="7">
        <v>-81</v>
      </c>
      <c r="U17" s="7">
        <v>-198</v>
      </c>
      <c r="V17" s="7">
        <v>-165</v>
      </c>
      <c r="W17" s="7">
        <v>-148</v>
      </c>
      <c r="X17" s="7">
        <v>-219</v>
      </c>
      <c r="Y17" s="7">
        <v>-23</v>
      </c>
      <c r="Z17" s="7">
        <v>-137</v>
      </c>
      <c r="AA17" s="7">
        <v>-209</v>
      </c>
      <c r="AB17" s="7">
        <v>-267</v>
      </c>
      <c r="AC17" s="30">
        <v>-150</v>
      </c>
      <c r="AD17" s="7">
        <v>-106</v>
      </c>
      <c r="AE17" s="7">
        <v>-52</v>
      </c>
      <c r="AF17" s="7">
        <v>-155</v>
      </c>
      <c r="AG17" s="7">
        <v>-11</v>
      </c>
      <c r="AH17" s="7">
        <v>-18</v>
      </c>
      <c r="AI17" s="81">
        <v>0</v>
      </c>
      <c r="AJ17" s="81">
        <v>0</v>
      </c>
      <c r="AK17" s="81">
        <v>0</v>
      </c>
      <c r="AL17" s="81">
        <v>0</v>
      </c>
      <c r="AM17" s="81">
        <v>0</v>
      </c>
      <c r="AN17" s="81">
        <v>0</v>
      </c>
      <c r="AQ17" s="90"/>
    </row>
    <row r="18" spans="1:43">
      <c r="A18" s="43" t="s">
        <v>560</v>
      </c>
      <c r="AA18" s="7">
        <v>1</v>
      </c>
      <c r="AB18" s="7">
        <v>-12</v>
      </c>
      <c r="AC18" s="30">
        <v>-160</v>
      </c>
      <c r="AD18" s="30">
        <v>-163</v>
      </c>
      <c r="AE18" s="30">
        <v>-53</v>
      </c>
      <c r="AF18" s="30">
        <v>433</v>
      </c>
      <c r="AG18" s="30">
        <v>0</v>
      </c>
      <c r="AH18" s="30">
        <v>0</v>
      </c>
      <c r="AI18" s="3">
        <f>AH18</f>
        <v>0</v>
      </c>
      <c r="AJ18" s="3">
        <f t="shared" ref="AJ18:AN18" si="13">AI18</f>
        <v>0</v>
      </c>
      <c r="AK18" s="3">
        <f t="shared" si="13"/>
        <v>0</v>
      </c>
      <c r="AL18" s="3">
        <f t="shared" si="13"/>
        <v>0</v>
      </c>
      <c r="AM18" s="3">
        <f t="shared" si="13"/>
        <v>0</v>
      </c>
      <c r="AN18" s="3">
        <f t="shared" si="13"/>
        <v>0</v>
      </c>
      <c r="AQ18" s="90"/>
    </row>
    <row r="19" spans="1:43">
      <c r="A19" s="80" t="s">
        <v>487</v>
      </c>
      <c r="B19" s="9"/>
      <c r="C19" s="9"/>
      <c r="D19" s="9"/>
      <c r="E19" s="9"/>
      <c r="F19" s="9"/>
      <c r="G19" s="9"/>
      <c r="H19" s="9"/>
      <c r="I19" s="9"/>
      <c r="J19" s="9"/>
      <c r="K19" s="9"/>
      <c r="L19" s="9"/>
      <c r="M19" s="9"/>
      <c r="N19" s="9"/>
      <c r="O19" s="9">
        <v>603</v>
      </c>
      <c r="P19" s="9">
        <v>931</v>
      </c>
      <c r="Q19" s="9">
        <v>409</v>
      </c>
      <c r="R19" s="9">
        <f>SUM(R20:R22)</f>
        <v>320</v>
      </c>
      <c r="S19" s="9">
        <f>SUM(S20:S22)</f>
        <v>264</v>
      </c>
      <c r="T19" s="9">
        <f>SUM(T20:T22)</f>
        <v>239</v>
      </c>
      <c r="U19" s="9">
        <f>SUM(U20:U22)</f>
        <v>240</v>
      </c>
      <c r="V19" s="9">
        <f>SUM(V20:V22)</f>
        <v>-264</v>
      </c>
      <c r="W19" s="9">
        <f>W16+W17</f>
        <v>184</v>
      </c>
      <c r="X19" s="9">
        <f>X16+X17</f>
        <v>270</v>
      </c>
      <c r="Y19" s="9">
        <f>Y16+Y17</f>
        <v>614</v>
      </c>
      <c r="Z19" s="9">
        <f>Z16+Z17</f>
        <v>469</v>
      </c>
      <c r="AA19" s="9">
        <f>AA16+AA17+AA18</f>
        <v>647</v>
      </c>
      <c r="AB19" s="9">
        <f>AB16+AB17+AB18</f>
        <v>572</v>
      </c>
      <c r="AC19" s="9">
        <f>AC16+AC17+AC18</f>
        <v>263</v>
      </c>
      <c r="AD19" s="9">
        <f>AD16+AD17+AD18</f>
        <v>175</v>
      </c>
      <c r="AE19" s="9">
        <f>AE25-AE24</f>
        <v>221</v>
      </c>
      <c r="AF19" s="9">
        <f>AF25-AF24</f>
        <v>193</v>
      </c>
      <c r="AG19" s="9">
        <f>SUM(AG16:AG18)</f>
        <v>301</v>
      </c>
      <c r="AH19" s="9">
        <f>SUM(AH16:AH18)</f>
        <v>329</v>
      </c>
      <c r="AI19" s="476">
        <f>SUM(AI20:AI23)</f>
        <v>246.30544958325683</v>
      </c>
      <c r="AJ19" s="476">
        <f t="shared" ref="AJ19:AN19" si="14">SUM(AJ20:AJ23)</f>
        <v>236.84067837455194</v>
      </c>
      <c r="AK19" s="476">
        <f t="shared" si="14"/>
        <v>236.84067837455194</v>
      </c>
      <c r="AL19" s="476">
        <f t="shared" si="14"/>
        <v>236.84067837455194</v>
      </c>
      <c r="AM19" s="476">
        <f t="shared" si="14"/>
        <v>236.84067837455194</v>
      </c>
      <c r="AN19" s="476">
        <f t="shared" si="14"/>
        <v>236.84067837455194</v>
      </c>
      <c r="AQ19" s="90"/>
    </row>
    <row r="20" spans="1:43">
      <c r="A20" s="86" t="s">
        <v>526</v>
      </c>
      <c r="O20" s="7">
        <v>0</v>
      </c>
      <c r="P20" s="7">
        <v>0</v>
      </c>
      <c r="Q20" s="7">
        <v>0</v>
      </c>
      <c r="R20" s="7">
        <v>0</v>
      </c>
      <c r="S20" s="7">
        <v>-35</v>
      </c>
      <c r="T20" s="7">
        <v>-40</v>
      </c>
      <c r="U20" s="7">
        <v>-115</v>
      </c>
      <c r="V20" s="7">
        <f>-554-26</f>
        <v>-580</v>
      </c>
      <c r="W20" s="7">
        <v>-232</v>
      </c>
      <c r="X20" s="7">
        <v>-94</v>
      </c>
      <c r="Y20" s="7">
        <v>148</v>
      </c>
      <c r="Z20" s="7">
        <v>117</v>
      </c>
      <c r="AA20" s="7">
        <v>315</v>
      </c>
      <c r="AB20" s="7">
        <v>102</v>
      </c>
      <c r="AC20" s="7">
        <f>86-156*86/(357+86-26+2)</f>
        <v>53.980906921241051</v>
      </c>
      <c r="AD20" s="30">
        <v>121</v>
      </c>
      <c r="AE20" s="7">
        <v>98</v>
      </c>
      <c r="AF20" s="7">
        <v>46</v>
      </c>
      <c r="AG20" s="7">
        <v>82</v>
      </c>
      <c r="AH20" s="7">
        <v>120</v>
      </c>
      <c r="AI20" s="81">
        <f>AI29*AVERAGE(AH35:AI35)*AI$3</f>
        <v>117.2883093253604</v>
      </c>
      <c r="AJ20" s="81">
        <f t="shared" ref="AJ20:AN20" si="15">AJ29*AVERAGE(AI35:AJ35)*AJ$3</f>
        <v>112.78127541645331</v>
      </c>
      <c r="AK20" s="81">
        <f t="shared" si="15"/>
        <v>112.78127541645331</v>
      </c>
      <c r="AL20" s="81">
        <f t="shared" si="15"/>
        <v>112.78127541645331</v>
      </c>
      <c r="AM20" s="81">
        <f t="shared" si="15"/>
        <v>112.78127541645331</v>
      </c>
      <c r="AN20" s="81">
        <f t="shared" si="15"/>
        <v>112.78127541645331</v>
      </c>
      <c r="AQ20" s="90"/>
    </row>
    <row r="21" spans="1:43">
      <c r="A21" s="86" t="s">
        <v>527</v>
      </c>
      <c r="O21" s="7">
        <f>O19</f>
        <v>603</v>
      </c>
      <c r="P21" s="7">
        <f>P19</f>
        <v>931</v>
      </c>
      <c r="Q21" s="7">
        <f>Q19</f>
        <v>409</v>
      </c>
      <c r="R21" s="7">
        <f>325-4+52-50</f>
        <v>323</v>
      </c>
      <c r="S21" s="7">
        <f>350+22-52</f>
        <v>320</v>
      </c>
      <c r="T21" s="7">
        <f>277+33-33</f>
        <v>277</v>
      </c>
      <c r="U21" s="7">
        <f>343+47-48</f>
        <v>342</v>
      </c>
      <c r="V21" s="7">
        <f>269+50-50</f>
        <v>269</v>
      </c>
      <c r="W21" s="7">
        <v>281</v>
      </c>
      <c r="X21" s="7">
        <v>229</v>
      </c>
      <c r="Y21" s="7">
        <v>332</v>
      </c>
      <c r="Z21" s="7">
        <v>217</v>
      </c>
      <c r="AA21" s="7">
        <v>222</v>
      </c>
      <c r="AB21" s="7">
        <v>226</v>
      </c>
      <c r="AC21" s="7">
        <f>-26-156*(-26)/(357+86-26+2)</f>
        <v>-16.319809069212411</v>
      </c>
      <c r="AD21" s="30">
        <v>-55</v>
      </c>
      <c r="AE21" s="7">
        <v>-70</v>
      </c>
      <c r="AF21" s="7">
        <v>-49</v>
      </c>
      <c r="AG21" s="7">
        <v>28</v>
      </c>
      <c r="AH21" s="7">
        <v>47</v>
      </c>
      <c r="AI21" s="81">
        <f>AI30*AVERAGE(AH36:AI36)*AI$3</f>
        <v>45.937921152432821</v>
      </c>
      <c r="AJ21" s="81">
        <f t="shared" ref="AJ21:AN21" si="16">AJ30*AVERAGE(AI36:AJ36)*AJ$3</f>
        <v>44.172666204777542</v>
      </c>
      <c r="AK21" s="81">
        <f t="shared" si="16"/>
        <v>44.172666204777542</v>
      </c>
      <c r="AL21" s="81">
        <f t="shared" si="16"/>
        <v>44.172666204777542</v>
      </c>
      <c r="AM21" s="81">
        <f t="shared" si="16"/>
        <v>44.172666204777542</v>
      </c>
      <c r="AN21" s="81">
        <f t="shared" si="16"/>
        <v>44.172666204777542</v>
      </c>
      <c r="AQ21" s="90"/>
    </row>
    <row r="22" spans="1:43">
      <c r="A22" s="86" t="s">
        <v>522</v>
      </c>
      <c r="O22" s="7">
        <v>0</v>
      </c>
      <c r="P22" s="7">
        <v>0</v>
      </c>
      <c r="Q22" s="7">
        <v>0</v>
      </c>
      <c r="R22" s="7">
        <f>1-4</f>
        <v>-3</v>
      </c>
      <c r="S22" s="7">
        <v>-21</v>
      </c>
      <c r="T22" s="7">
        <v>2</v>
      </c>
      <c r="U22" s="7">
        <f>21-8</f>
        <v>13</v>
      </c>
      <c r="V22" s="7">
        <f>59-12</f>
        <v>47</v>
      </c>
      <c r="W22" s="7">
        <v>135</v>
      </c>
      <c r="X22" s="7">
        <v>135</v>
      </c>
      <c r="Y22" s="7">
        <v>134</v>
      </c>
      <c r="Z22" s="7">
        <v>135</v>
      </c>
      <c r="AA22" s="7">
        <v>110</v>
      </c>
      <c r="AB22" s="7">
        <v>244</v>
      </c>
      <c r="AC22" s="7">
        <f>357-156*357/(357+86-26+2)</f>
        <v>224.0835322195704</v>
      </c>
      <c r="AD22" s="30">
        <v>104</v>
      </c>
      <c r="AE22" s="7">
        <v>186</v>
      </c>
      <c r="AF22" s="7">
        <v>158</v>
      </c>
      <c r="AG22" s="7">
        <v>150</v>
      </c>
      <c r="AH22" s="7">
        <v>85</v>
      </c>
      <c r="AI22" s="81">
        <f>AI31*AVERAGE(AH37:AI37)*AI$3</f>
        <v>83.079219105463608</v>
      </c>
      <c r="AJ22" s="81">
        <f t="shared" ref="AJ22:AN22" si="17">AJ31*AVERAGE(AI37:AJ37)*AJ$3</f>
        <v>79.886736753321088</v>
      </c>
      <c r="AK22" s="81">
        <f t="shared" si="17"/>
        <v>79.886736753321088</v>
      </c>
      <c r="AL22" s="81">
        <f t="shared" si="17"/>
        <v>79.886736753321088</v>
      </c>
      <c r="AM22" s="81">
        <f t="shared" si="17"/>
        <v>79.886736753321088</v>
      </c>
      <c r="AN22" s="81">
        <f t="shared" si="17"/>
        <v>79.886736753321088</v>
      </c>
      <c r="AQ22" s="90"/>
    </row>
    <row r="23" spans="1:43" s="30" customFormat="1">
      <c r="A23" s="111" t="s">
        <v>744</v>
      </c>
      <c r="AC23" s="30">
        <f>2-156*2/(357+86-26+2)</f>
        <v>1.2553699284009547</v>
      </c>
      <c r="AD23" s="30">
        <v>5</v>
      </c>
      <c r="AE23" s="30">
        <v>7</v>
      </c>
      <c r="AF23" s="30">
        <v>38</v>
      </c>
      <c r="AG23" s="30">
        <f>44-3</f>
        <v>41</v>
      </c>
      <c r="AH23" s="30">
        <f>81-4</f>
        <v>77</v>
      </c>
      <c r="AI23" s="3">
        <v>0</v>
      </c>
      <c r="AJ23" s="3">
        <v>0</v>
      </c>
      <c r="AK23" s="3">
        <f t="shared" ref="AK23:AN23" si="18">AJ23</f>
        <v>0</v>
      </c>
      <c r="AL23" s="3">
        <f t="shared" si="18"/>
        <v>0</v>
      </c>
      <c r="AM23" s="3">
        <f t="shared" si="18"/>
        <v>0</v>
      </c>
      <c r="AN23" s="3">
        <f t="shared" si="18"/>
        <v>0</v>
      </c>
      <c r="AQ23" s="131"/>
    </row>
    <row r="24" spans="1:43">
      <c r="A24" s="43" t="s">
        <v>525</v>
      </c>
      <c r="O24" s="7">
        <v>0</v>
      </c>
      <c r="P24" s="7">
        <v>0</v>
      </c>
      <c r="Q24" s="7">
        <v>0</v>
      </c>
      <c r="R24" s="7">
        <v>0</v>
      </c>
      <c r="S24" s="7">
        <f>11+171</f>
        <v>182</v>
      </c>
      <c r="T24" s="7">
        <f>-30-68</f>
        <v>-98</v>
      </c>
      <c r="U24" s="7">
        <f>49-27-108</f>
        <v>-86</v>
      </c>
      <c r="V24" s="7">
        <f>-315+18-37+101</f>
        <v>-233</v>
      </c>
      <c r="W24" s="7">
        <v>-293</v>
      </c>
      <c r="X24" s="7">
        <v>0</v>
      </c>
      <c r="Y24" s="7">
        <v>0</v>
      </c>
      <c r="Z24" s="7">
        <v>0</v>
      </c>
      <c r="AA24" s="7">
        <v>0</v>
      </c>
      <c r="AB24" s="7">
        <v>-450</v>
      </c>
      <c r="AC24" s="81">
        <v>0</v>
      </c>
      <c r="AD24" s="81">
        <v>0</v>
      </c>
      <c r="AE24" s="7">
        <v>-148</v>
      </c>
      <c r="AF24" s="7">
        <v>-3537</v>
      </c>
      <c r="AG24" s="7">
        <v>299</v>
      </c>
      <c r="AH24" s="7">
        <v>105</v>
      </c>
      <c r="AI24" s="81">
        <v>0</v>
      </c>
      <c r="AJ24" s="81">
        <v>0</v>
      </c>
      <c r="AK24" s="81">
        <v>0</v>
      </c>
      <c r="AL24" s="81">
        <v>0</v>
      </c>
      <c r="AM24" s="81">
        <v>0</v>
      </c>
      <c r="AN24" s="81">
        <v>0</v>
      </c>
      <c r="AQ24" s="90"/>
    </row>
    <row r="25" spans="1:43">
      <c r="A25" s="80" t="s">
        <v>543</v>
      </c>
      <c r="B25" s="9"/>
      <c r="C25" s="9"/>
      <c r="D25" s="9"/>
      <c r="E25" s="9"/>
      <c r="F25" s="9"/>
      <c r="G25" s="9"/>
      <c r="H25" s="9"/>
      <c r="I25" s="9"/>
      <c r="J25" s="9"/>
      <c r="K25" s="9"/>
      <c r="L25" s="9"/>
      <c r="M25" s="9"/>
      <c r="N25" s="9"/>
      <c r="O25" s="9">
        <f t="shared" ref="O25:AD25" si="19">O19+O24</f>
        <v>603</v>
      </c>
      <c r="P25" s="9">
        <f t="shared" si="19"/>
        <v>931</v>
      </c>
      <c r="Q25" s="9">
        <f t="shared" si="19"/>
        <v>409</v>
      </c>
      <c r="R25" s="9">
        <f t="shared" si="19"/>
        <v>320</v>
      </c>
      <c r="S25" s="9">
        <f t="shared" si="19"/>
        <v>446</v>
      </c>
      <c r="T25" s="9">
        <f t="shared" si="19"/>
        <v>141</v>
      </c>
      <c r="U25" s="9">
        <f t="shared" si="19"/>
        <v>154</v>
      </c>
      <c r="V25" s="9">
        <f t="shared" si="19"/>
        <v>-497</v>
      </c>
      <c r="W25" s="9">
        <f t="shared" si="19"/>
        <v>-109</v>
      </c>
      <c r="X25" s="9">
        <f t="shared" si="19"/>
        <v>270</v>
      </c>
      <c r="Y25" s="9">
        <f t="shared" si="19"/>
        <v>614</v>
      </c>
      <c r="Z25" s="9">
        <f t="shared" si="19"/>
        <v>469</v>
      </c>
      <c r="AA25" s="9">
        <f t="shared" si="19"/>
        <v>647</v>
      </c>
      <c r="AB25" s="9">
        <f t="shared" si="19"/>
        <v>122</v>
      </c>
      <c r="AC25" s="9">
        <f t="shared" si="19"/>
        <v>263</v>
      </c>
      <c r="AD25" s="9">
        <f t="shared" si="19"/>
        <v>175</v>
      </c>
      <c r="AE25" s="9">
        <f>AE16+AE17+AE18</f>
        <v>73</v>
      </c>
      <c r="AF25" s="9">
        <f>AF16+AF17+AF18</f>
        <v>-3344</v>
      </c>
      <c r="AG25" s="9">
        <f t="shared" ref="AG25:AN25" si="20">AG19+AG24</f>
        <v>600</v>
      </c>
      <c r="AH25" s="9">
        <f t="shared" si="20"/>
        <v>434</v>
      </c>
      <c r="AI25" s="476">
        <f t="shared" si="20"/>
        <v>246.30544958325683</v>
      </c>
      <c r="AJ25" s="476">
        <f t="shared" si="20"/>
        <v>236.84067837455194</v>
      </c>
      <c r="AK25" s="476">
        <f t="shared" si="20"/>
        <v>236.84067837455194</v>
      </c>
      <c r="AL25" s="476">
        <f t="shared" si="20"/>
        <v>236.84067837455194</v>
      </c>
      <c r="AM25" s="476">
        <f t="shared" si="20"/>
        <v>236.84067837455194</v>
      </c>
      <c r="AN25" s="476">
        <f t="shared" si="20"/>
        <v>236.84067837455194</v>
      </c>
      <c r="AQ25" s="90"/>
    </row>
    <row r="26" spans="1:43">
      <c r="AA26" s="90"/>
      <c r="AB26" s="442"/>
      <c r="AC26" s="442"/>
      <c r="AI26" s="90"/>
    </row>
    <row r="27" spans="1:43">
      <c r="A27" s="6" t="s">
        <v>447</v>
      </c>
      <c r="B27" s="85"/>
      <c r="C27" s="85"/>
      <c r="D27" s="85"/>
      <c r="E27" s="85"/>
      <c r="F27" s="85"/>
      <c r="G27" s="85"/>
      <c r="H27" s="85"/>
      <c r="I27" s="85"/>
      <c r="J27" s="85"/>
      <c r="K27" s="85"/>
      <c r="L27" s="85"/>
      <c r="M27" s="85"/>
      <c r="N27" s="85"/>
      <c r="O27" s="85"/>
      <c r="P27" s="85"/>
      <c r="Q27" s="85"/>
      <c r="R27" s="85"/>
      <c r="S27" s="85"/>
      <c r="T27" s="85"/>
      <c r="U27" s="85"/>
      <c r="V27" s="85"/>
      <c r="W27" s="85"/>
      <c r="X27" s="85"/>
      <c r="Y27" s="85"/>
      <c r="Z27" s="85"/>
      <c r="AA27" s="85"/>
      <c r="AB27" s="85"/>
      <c r="AC27" s="85"/>
      <c r="AD27" s="85"/>
      <c r="AE27" s="85"/>
      <c r="AF27" s="85"/>
      <c r="AG27" s="85"/>
      <c r="AH27" s="85"/>
      <c r="AI27" s="85"/>
      <c r="AJ27" s="85"/>
      <c r="AK27" s="85"/>
      <c r="AL27" s="85"/>
      <c r="AM27" s="85"/>
      <c r="AN27" s="85"/>
    </row>
    <row r="28" spans="1:43">
      <c r="A28" s="88" t="s">
        <v>537</v>
      </c>
      <c r="B28" s="89"/>
      <c r="C28" s="89"/>
      <c r="D28" s="89"/>
      <c r="E28" s="89"/>
      <c r="F28" s="89"/>
      <c r="G28" s="89"/>
      <c r="H28" s="89"/>
      <c r="I28" s="89"/>
      <c r="J28" s="89"/>
      <c r="K28" s="89"/>
      <c r="L28" s="89"/>
      <c r="M28" s="89"/>
      <c r="N28" s="89"/>
      <c r="O28" s="89"/>
      <c r="P28" s="89"/>
      <c r="Q28" s="89"/>
      <c r="R28" s="89"/>
      <c r="S28" s="89"/>
      <c r="T28" s="89"/>
      <c r="U28" s="89"/>
      <c r="V28" s="89"/>
      <c r="W28" s="89"/>
      <c r="X28" s="89"/>
      <c r="Y28" s="89"/>
      <c r="Z28" s="89"/>
      <c r="AA28" s="89"/>
      <c r="AB28" s="89"/>
      <c r="AC28" s="89"/>
      <c r="AD28" s="89"/>
      <c r="AE28" s="89"/>
      <c r="AF28" s="89"/>
      <c r="AG28" s="89"/>
      <c r="AH28" s="89"/>
      <c r="AI28" s="89"/>
      <c r="AJ28" s="89"/>
      <c r="AK28" s="89"/>
      <c r="AL28" s="89"/>
      <c r="AM28" s="89"/>
      <c r="AN28" s="89"/>
    </row>
    <row r="29" spans="1:43">
      <c r="A29" s="86" t="s">
        <v>526</v>
      </c>
      <c r="W29" s="91"/>
      <c r="X29" s="91"/>
      <c r="Y29" s="91"/>
      <c r="Z29" s="91"/>
      <c r="AA29" s="91"/>
      <c r="AB29"/>
      <c r="AC29"/>
      <c r="AD29"/>
      <c r="AE29"/>
      <c r="AF29"/>
      <c r="AG29" s="91">
        <f>AG20/AG$3/AVERAGE(AF35:AG35)</f>
        <v>0.65934536011433365</v>
      </c>
      <c r="AH29" s="91">
        <f>AH20/AH$3/AVERAGE(AG35:AH35)</f>
        <v>0.97489641725566667</v>
      </c>
      <c r="AI29" s="92">
        <f>AH29</f>
        <v>0.97489641725566667</v>
      </c>
      <c r="AJ29" s="92">
        <f>+AI29</f>
        <v>0.97489641725566667</v>
      </c>
      <c r="AK29" s="92">
        <f>+AJ29</f>
        <v>0.97489641725566667</v>
      </c>
      <c r="AL29" s="92">
        <f>+AK29</f>
        <v>0.97489641725566667</v>
      </c>
      <c r="AM29" s="92">
        <f t="shared" ref="AM29:AN29" si="21">+AL29</f>
        <v>0.97489641725566667</v>
      </c>
      <c r="AN29" s="92">
        <f t="shared" si="21"/>
        <v>0.97489641725566667</v>
      </c>
      <c r="AQ29" s="90"/>
    </row>
    <row r="30" spans="1:43">
      <c r="A30" s="86" t="s">
        <v>527</v>
      </c>
      <c r="W30" s="91"/>
      <c r="X30" s="91"/>
      <c r="Y30" s="91"/>
      <c r="Z30" s="91"/>
      <c r="AA30" s="91"/>
      <c r="AB30"/>
      <c r="AC30"/>
      <c r="AD30"/>
      <c r="AE30"/>
      <c r="AF30"/>
      <c r="AG30" s="91">
        <f t="shared" ref="AG30:AH30" si="22">AG21/AG$3/AVERAGE(AF36:AG36)</f>
        <v>0.4537219234746932</v>
      </c>
      <c r="AH30" s="91">
        <f t="shared" si="22"/>
        <v>0.76949839346744986</v>
      </c>
      <c r="AI30" s="92">
        <f>AH30</f>
        <v>0.76949839346744986</v>
      </c>
      <c r="AJ30" s="92">
        <f t="shared" ref="AJ30:AL31" si="23">AI30</f>
        <v>0.76949839346744986</v>
      </c>
      <c r="AK30" s="92">
        <f t="shared" si="23"/>
        <v>0.76949839346744986</v>
      </c>
      <c r="AL30" s="92">
        <f t="shared" si="23"/>
        <v>0.76949839346744986</v>
      </c>
      <c r="AM30" s="92">
        <f t="shared" ref="AM30:AN31" si="24">AL30</f>
        <v>0.76949839346744986</v>
      </c>
      <c r="AN30" s="92">
        <f t="shared" si="24"/>
        <v>0.76949839346744986</v>
      </c>
      <c r="AQ30" s="90"/>
    </row>
    <row r="31" spans="1:43">
      <c r="A31" s="86" t="s">
        <v>522</v>
      </c>
      <c r="W31" s="91"/>
      <c r="X31" s="91"/>
      <c r="Y31" s="91"/>
      <c r="Z31" s="91"/>
      <c r="AA31" s="91"/>
      <c r="AB31"/>
      <c r="AC31"/>
      <c r="AD31"/>
      <c r="AE31"/>
      <c r="AF31"/>
      <c r="AG31" s="91">
        <f t="shared" ref="AG31:AH31" si="25">AG22/AG$3/AVERAGE(AF37:AG37)</f>
        <v>1.3566917944302335</v>
      </c>
      <c r="AH31" s="91">
        <f t="shared" si="25"/>
        <v>0.77709134708785021</v>
      </c>
      <c r="AI31" s="92">
        <f>AH31</f>
        <v>0.77709134708785021</v>
      </c>
      <c r="AJ31" s="92">
        <f t="shared" si="23"/>
        <v>0.77709134708785021</v>
      </c>
      <c r="AK31" s="92">
        <f t="shared" si="23"/>
        <v>0.77709134708785021</v>
      </c>
      <c r="AL31" s="92">
        <f t="shared" si="23"/>
        <v>0.77709134708785021</v>
      </c>
      <c r="AM31" s="92">
        <f t="shared" si="24"/>
        <v>0.77709134708785021</v>
      </c>
      <c r="AN31" s="92">
        <f t="shared" si="24"/>
        <v>0.77709134708785021</v>
      </c>
      <c r="AQ31" s="90"/>
    </row>
    <row r="33" spans="1:43">
      <c r="A33" s="88" t="s">
        <v>529</v>
      </c>
      <c r="B33" s="89"/>
      <c r="C33" s="89"/>
      <c r="D33" s="89"/>
      <c r="E33" s="89"/>
      <c r="F33" s="89"/>
      <c r="G33" s="89"/>
      <c r="H33" s="89"/>
      <c r="I33" s="89"/>
      <c r="J33" s="89"/>
      <c r="K33" s="89"/>
      <c r="L33" s="89"/>
      <c r="M33" s="89"/>
      <c r="N33" s="89"/>
      <c r="O33" s="89"/>
      <c r="P33" s="89"/>
      <c r="Q33" s="89"/>
      <c r="R33" s="89"/>
      <c r="S33" s="89"/>
      <c r="T33" s="89"/>
      <c r="U33" s="89"/>
      <c r="V33" s="89"/>
      <c r="W33" s="448"/>
      <c r="X33" s="448"/>
      <c r="Y33" s="448"/>
      <c r="Z33" s="448"/>
      <c r="AA33" s="448"/>
      <c r="AB33" s="448"/>
      <c r="AC33" s="89"/>
      <c r="AD33" s="89"/>
      <c r="AE33" s="89"/>
      <c r="AF33" s="89"/>
      <c r="AG33" s="89"/>
      <c r="AH33" s="89"/>
      <c r="AI33" s="89"/>
      <c r="AJ33" s="89"/>
      <c r="AK33" s="89"/>
      <c r="AL33" s="89"/>
      <c r="AM33" s="89"/>
      <c r="AN33" s="89"/>
    </row>
    <row r="34" spans="1:43">
      <c r="A34" s="42" t="s">
        <v>530</v>
      </c>
      <c r="Q34" s="90"/>
      <c r="R34" s="90"/>
      <c r="W34" s="446"/>
      <c r="X34" s="446"/>
      <c r="Y34" s="446"/>
      <c r="Z34" s="446"/>
      <c r="AA34" s="446"/>
      <c r="AB34" s="446"/>
    </row>
    <row r="35" spans="1:43">
      <c r="A35" s="86" t="s">
        <v>526</v>
      </c>
      <c r="O35" s="7">
        <v>0</v>
      </c>
      <c r="P35" s="7">
        <v>0</v>
      </c>
      <c r="Q35" s="7">
        <v>0</v>
      </c>
      <c r="R35" s="7">
        <v>0</v>
      </c>
      <c r="S35" s="7">
        <v>0</v>
      </c>
      <c r="T35" s="7">
        <v>0</v>
      </c>
      <c r="U35" s="7">
        <v>0</v>
      </c>
      <c r="V35" s="7">
        <v>1320</v>
      </c>
      <c r="W35" s="7">
        <v>1320</v>
      </c>
      <c r="X35" s="7">
        <v>1320</v>
      </c>
      <c r="Y35" s="7">
        <v>1320</v>
      </c>
      <c r="Z35" s="7">
        <v>1320</v>
      </c>
      <c r="AA35" s="7">
        <v>1320</v>
      </c>
      <c r="AB35" s="7">
        <v>1320</v>
      </c>
      <c r="AC35" s="7">
        <v>1320</v>
      </c>
      <c r="AD35" s="7">
        <v>1320</v>
      </c>
      <c r="AE35" s="7">
        <f>AD35</f>
        <v>1320</v>
      </c>
      <c r="AF35" s="7">
        <v>1320</v>
      </c>
      <c r="AG35" s="7">
        <v>1320</v>
      </c>
      <c r="AH35" s="7">
        <f t="shared" ref="AH35:AI36" si="26">AG35</f>
        <v>1320</v>
      </c>
      <c r="AI35" s="81">
        <f t="shared" si="26"/>
        <v>1320</v>
      </c>
      <c r="AJ35" s="81">
        <f t="shared" ref="AJ35:AL36" si="27">AI35</f>
        <v>1320</v>
      </c>
      <c r="AK35" s="81">
        <f t="shared" si="27"/>
        <v>1320</v>
      </c>
      <c r="AL35" s="81">
        <f t="shared" si="27"/>
        <v>1320</v>
      </c>
      <c r="AM35" s="81">
        <f t="shared" ref="AM35:AN36" si="28">AL35</f>
        <v>1320</v>
      </c>
      <c r="AN35" s="81">
        <f t="shared" si="28"/>
        <v>1320</v>
      </c>
      <c r="AQ35" s="90"/>
    </row>
    <row r="36" spans="1:43">
      <c r="A36" s="86" t="s">
        <v>527</v>
      </c>
      <c r="L36" s="7">
        <v>655</v>
      </c>
      <c r="M36" s="7">
        <v>655</v>
      </c>
      <c r="N36" s="7">
        <v>655</v>
      </c>
      <c r="O36" s="7">
        <v>655</v>
      </c>
      <c r="P36" s="7">
        <v>655</v>
      </c>
      <c r="Q36" s="7">
        <v>655</v>
      </c>
      <c r="R36" s="7">
        <v>655</v>
      </c>
      <c r="S36" s="7">
        <v>655</v>
      </c>
      <c r="T36" s="7">
        <v>655</v>
      </c>
      <c r="U36" s="7">
        <v>655</v>
      </c>
      <c r="V36" s="7">
        <v>655</v>
      </c>
      <c r="W36" s="7">
        <v>655</v>
      </c>
      <c r="X36" s="7">
        <v>655</v>
      </c>
      <c r="Y36" s="7">
        <v>655</v>
      </c>
      <c r="Z36" s="7">
        <v>655</v>
      </c>
      <c r="AA36" s="7">
        <v>655</v>
      </c>
      <c r="AB36" s="7">
        <v>655</v>
      </c>
      <c r="AC36" s="7">
        <v>655</v>
      </c>
      <c r="AD36" s="7">
        <v>655</v>
      </c>
      <c r="AE36" s="7">
        <f>AD36</f>
        <v>655</v>
      </c>
      <c r="AF36" s="7">
        <v>655</v>
      </c>
      <c r="AG36" s="7">
        <v>655</v>
      </c>
      <c r="AH36" s="7">
        <f t="shared" si="26"/>
        <v>655</v>
      </c>
      <c r="AI36" s="81">
        <f t="shared" si="26"/>
        <v>655</v>
      </c>
      <c r="AJ36" s="81">
        <f t="shared" si="27"/>
        <v>655</v>
      </c>
      <c r="AK36" s="81">
        <f t="shared" si="27"/>
        <v>655</v>
      </c>
      <c r="AL36" s="81">
        <f t="shared" si="27"/>
        <v>655</v>
      </c>
      <c r="AM36" s="81">
        <f t="shared" si="28"/>
        <v>655</v>
      </c>
      <c r="AN36" s="81">
        <f t="shared" si="28"/>
        <v>655</v>
      </c>
      <c r="AQ36" s="90"/>
    </row>
    <row r="37" spans="1:43">
      <c r="A37" s="86" t="s">
        <v>522</v>
      </c>
      <c r="O37" s="7">
        <v>0</v>
      </c>
      <c r="P37" s="7">
        <v>0</v>
      </c>
      <c r="Q37" s="7">
        <v>0</v>
      </c>
      <c r="R37" s="7">
        <v>80</v>
      </c>
      <c r="S37" s="7">
        <v>101</v>
      </c>
      <c r="T37" s="7">
        <v>314</v>
      </c>
      <c r="U37" s="7">
        <v>443</v>
      </c>
      <c r="V37" s="7">
        <v>521</v>
      </c>
      <c r="W37" s="7">
        <v>628</v>
      </c>
      <c r="X37" s="7">
        <v>730</v>
      </c>
      <c r="Y37" s="7">
        <v>924</v>
      </c>
      <c r="Z37" s="7">
        <v>924</v>
      </c>
      <c r="AA37" s="7">
        <f>924+94</f>
        <v>1018</v>
      </c>
      <c r="AB37" s="7">
        <f>924+170</f>
        <v>1094</v>
      </c>
      <c r="AC37" s="7">
        <v>1094</v>
      </c>
      <c r="AD37" s="7">
        <f>924+250</f>
        <v>1174</v>
      </c>
      <c r="AE37" s="7">
        <f>924+250</f>
        <v>1174</v>
      </c>
      <c r="AF37" s="7">
        <f>924+250</f>
        <v>1174</v>
      </c>
      <c r="AG37" s="7">
        <f>923+250</f>
        <v>1173</v>
      </c>
      <c r="AH37" s="7">
        <f>923+250</f>
        <v>1173</v>
      </c>
      <c r="AI37" s="81">
        <f t="shared" ref="AI37:AN37" si="29">AH37+AI55/6</f>
        <v>1173</v>
      </c>
      <c r="AJ37" s="81">
        <f>AI37+AJ55/6</f>
        <v>1173</v>
      </c>
      <c r="AK37" s="81">
        <f>AJ37+AK55/6</f>
        <v>1173</v>
      </c>
      <c r="AL37" s="81">
        <f>AK37+AL55/6</f>
        <v>1173</v>
      </c>
      <c r="AM37" s="81">
        <f t="shared" si="29"/>
        <v>1173</v>
      </c>
      <c r="AN37" s="81">
        <f t="shared" si="29"/>
        <v>1173</v>
      </c>
      <c r="AQ37" s="90"/>
    </row>
    <row r="38" spans="1:43">
      <c r="A38" s="80" t="s">
        <v>531</v>
      </c>
      <c r="B38" s="9"/>
      <c r="C38" s="9"/>
      <c r="D38" s="9"/>
      <c r="E38" s="9"/>
      <c r="F38" s="9"/>
      <c r="G38" s="9"/>
      <c r="H38" s="9"/>
      <c r="I38" s="9"/>
      <c r="J38" s="9"/>
      <c r="K38" s="9"/>
      <c r="L38" s="9"/>
      <c r="M38" s="9"/>
      <c r="N38" s="9"/>
      <c r="O38" s="9">
        <f>SUM(O35:O37)</f>
        <v>655</v>
      </c>
      <c r="P38" s="9">
        <f>SUM(P35:P37)</f>
        <v>655</v>
      </c>
      <c r="Q38" s="9">
        <f t="shared" ref="Q38:AF38" si="30">SUM(Q35:Q37)</f>
        <v>655</v>
      </c>
      <c r="R38" s="9">
        <f t="shared" si="30"/>
        <v>735</v>
      </c>
      <c r="S38" s="9">
        <f t="shared" si="30"/>
        <v>756</v>
      </c>
      <c r="T38" s="9">
        <f t="shared" si="30"/>
        <v>969</v>
      </c>
      <c r="U38" s="9">
        <f t="shared" si="30"/>
        <v>1098</v>
      </c>
      <c r="V38" s="9">
        <f t="shared" si="30"/>
        <v>2496</v>
      </c>
      <c r="W38" s="9">
        <f t="shared" si="30"/>
        <v>2603</v>
      </c>
      <c r="X38" s="9">
        <f t="shared" si="30"/>
        <v>2705</v>
      </c>
      <c r="Y38" s="9">
        <f t="shared" si="30"/>
        <v>2899</v>
      </c>
      <c r="Z38" s="9">
        <f t="shared" si="30"/>
        <v>2899</v>
      </c>
      <c r="AA38" s="9">
        <f t="shared" si="30"/>
        <v>2993</v>
      </c>
      <c r="AB38" s="9">
        <f t="shared" si="30"/>
        <v>3069</v>
      </c>
      <c r="AC38" s="9">
        <f t="shared" si="30"/>
        <v>3069</v>
      </c>
      <c r="AD38" s="9">
        <f t="shared" si="30"/>
        <v>3149</v>
      </c>
      <c r="AE38" s="9">
        <f t="shared" si="30"/>
        <v>3149</v>
      </c>
      <c r="AF38" s="9">
        <f t="shared" si="30"/>
        <v>3149</v>
      </c>
      <c r="AG38" s="9">
        <f t="shared" ref="AG38:AN38" si="31">SUM(AG35:AG37)</f>
        <v>3148</v>
      </c>
      <c r="AH38" s="9">
        <f t="shared" si="31"/>
        <v>3148</v>
      </c>
      <c r="AI38" s="9">
        <f t="shared" si="31"/>
        <v>3148</v>
      </c>
      <c r="AJ38" s="9">
        <f t="shared" si="31"/>
        <v>3148</v>
      </c>
      <c r="AK38" s="9">
        <f t="shared" si="31"/>
        <v>3148</v>
      </c>
      <c r="AL38" s="9">
        <f t="shared" si="31"/>
        <v>3148</v>
      </c>
      <c r="AM38" s="9">
        <f t="shared" si="31"/>
        <v>3148</v>
      </c>
      <c r="AN38" s="9">
        <f t="shared" si="31"/>
        <v>3148</v>
      </c>
      <c r="AQ38" s="90"/>
    </row>
    <row r="39" spans="1:43">
      <c r="A39" s="86"/>
      <c r="AE39" s="446"/>
    </row>
    <row r="40" spans="1:43">
      <c r="A40" s="42" t="s">
        <v>533</v>
      </c>
    </row>
    <row r="41" spans="1:43">
      <c r="A41" s="86" t="s">
        <v>526</v>
      </c>
      <c r="O41" s="7">
        <v>0</v>
      </c>
      <c r="P41" s="7">
        <v>0</v>
      </c>
      <c r="Q41" s="7">
        <v>0</v>
      </c>
      <c r="R41" s="7">
        <v>1320</v>
      </c>
      <c r="S41" s="7">
        <v>1320</v>
      </c>
      <c r="T41" s="7">
        <v>1320</v>
      </c>
      <c r="U41" s="7">
        <v>1320</v>
      </c>
      <c r="V41" s="7">
        <v>0</v>
      </c>
      <c r="W41" s="7">
        <v>0</v>
      </c>
      <c r="X41" s="7">
        <v>0</v>
      </c>
      <c r="Y41" s="7">
        <v>0</v>
      </c>
      <c r="Z41" s="7">
        <v>0</v>
      </c>
      <c r="AA41" s="7">
        <v>0</v>
      </c>
      <c r="AB41" s="7">
        <f t="shared" ref="AB41:AI41" si="32">AA41</f>
        <v>0</v>
      </c>
      <c r="AC41" s="81">
        <f t="shared" si="32"/>
        <v>0</v>
      </c>
      <c r="AD41" s="81">
        <f t="shared" si="32"/>
        <v>0</v>
      </c>
      <c r="AE41" s="81">
        <f t="shared" si="32"/>
        <v>0</v>
      </c>
      <c r="AF41" s="81">
        <f t="shared" si="32"/>
        <v>0</v>
      </c>
      <c r="AG41" s="81">
        <f t="shared" si="32"/>
        <v>0</v>
      </c>
      <c r="AH41" s="81">
        <f t="shared" si="32"/>
        <v>0</v>
      </c>
      <c r="AI41" s="81">
        <f t="shared" si="32"/>
        <v>0</v>
      </c>
      <c r="AJ41" s="81">
        <f t="shared" ref="AJ41:AL42" si="33">AI41</f>
        <v>0</v>
      </c>
      <c r="AK41" s="81">
        <f t="shared" si="33"/>
        <v>0</v>
      </c>
      <c r="AL41" s="81">
        <f t="shared" si="33"/>
        <v>0</v>
      </c>
      <c r="AM41" s="81">
        <f t="shared" ref="AM41:AN42" si="34">AL41</f>
        <v>0</v>
      </c>
      <c r="AN41" s="81">
        <f t="shared" si="34"/>
        <v>0</v>
      </c>
      <c r="AQ41" s="90"/>
    </row>
    <row r="42" spans="1:43">
      <c r="A42" s="86" t="s">
        <v>527</v>
      </c>
      <c r="O42" s="7">
        <v>0</v>
      </c>
      <c r="P42" s="7">
        <v>0</v>
      </c>
      <c r="Q42" s="7">
        <v>0</v>
      </c>
      <c r="R42" s="7">
        <v>0</v>
      </c>
      <c r="S42" s="7">
        <v>0</v>
      </c>
      <c r="T42" s="7">
        <v>0</v>
      </c>
      <c r="U42" s="7">
        <v>0</v>
      </c>
      <c r="V42" s="7">
        <v>0</v>
      </c>
      <c r="W42" s="7">
        <v>0</v>
      </c>
      <c r="X42" s="7">
        <v>0</v>
      </c>
      <c r="Y42" s="7">
        <v>0</v>
      </c>
      <c r="Z42" s="7">
        <v>0</v>
      </c>
      <c r="AA42" s="7">
        <v>0</v>
      </c>
      <c r="AB42" s="7">
        <f t="shared" ref="AB42:AF43" si="35">AA42</f>
        <v>0</v>
      </c>
      <c r="AC42" s="81">
        <f t="shared" si="35"/>
        <v>0</v>
      </c>
      <c r="AD42" s="81">
        <f t="shared" si="35"/>
        <v>0</v>
      </c>
      <c r="AE42" s="81">
        <f t="shared" si="35"/>
        <v>0</v>
      </c>
      <c r="AF42" s="81">
        <f t="shared" si="35"/>
        <v>0</v>
      </c>
      <c r="AG42" s="81">
        <f>AF42</f>
        <v>0</v>
      </c>
      <c r="AH42" s="81">
        <f>AG42</f>
        <v>0</v>
      </c>
      <c r="AI42" s="81">
        <f>AH42</f>
        <v>0</v>
      </c>
      <c r="AJ42" s="81">
        <f t="shared" si="33"/>
        <v>0</v>
      </c>
      <c r="AK42" s="81">
        <f t="shared" si="33"/>
        <v>0</v>
      </c>
      <c r="AL42" s="81">
        <f t="shared" si="33"/>
        <v>0</v>
      </c>
      <c r="AM42" s="81">
        <f t="shared" si="34"/>
        <v>0</v>
      </c>
      <c r="AN42" s="81">
        <f t="shared" si="34"/>
        <v>0</v>
      </c>
      <c r="AQ42" s="90"/>
    </row>
    <row r="43" spans="1:43">
      <c r="A43" s="86" t="s">
        <v>522</v>
      </c>
      <c r="O43" s="7">
        <v>0</v>
      </c>
      <c r="P43" s="7">
        <v>0</v>
      </c>
      <c r="Q43" s="7">
        <v>50</v>
      </c>
      <c r="R43" s="7">
        <v>267</v>
      </c>
      <c r="S43" s="7">
        <v>345</v>
      </c>
      <c r="T43" s="7">
        <v>172</v>
      </c>
      <c r="U43" s="7">
        <v>176</v>
      </c>
      <c r="V43" s="7">
        <v>451</v>
      </c>
      <c r="W43" s="7">
        <v>423</v>
      </c>
      <c r="X43" s="7">
        <v>351</v>
      </c>
      <c r="Y43" s="7">
        <v>149</v>
      </c>
      <c r="Z43" s="7">
        <f>30+100</f>
        <v>130</v>
      </c>
      <c r="AA43" s="7">
        <v>6</v>
      </c>
      <c r="AB43" s="7">
        <v>0</v>
      </c>
      <c r="AC43" s="81">
        <f t="shared" si="35"/>
        <v>0</v>
      </c>
      <c r="AD43" s="81">
        <f t="shared" si="35"/>
        <v>0</v>
      </c>
      <c r="AE43" s="81">
        <f t="shared" si="35"/>
        <v>0</v>
      </c>
      <c r="AF43" s="81">
        <f>AF37-AE37</f>
        <v>0</v>
      </c>
      <c r="AG43" s="81">
        <f>AG37-AF37</f>
        <v>-1</v>
      </c>
      <c r="AH43" s="81">
        <f t="shared" ref="AH43:AN43" si="36">AH37-AG37</f>
        <v>0</v>
      </c>
      <c r="AI43" s="81">
        <f t="shared" si="36"/>
        <v>0</v>
      </c>
      <c r="AJ43" s="81">
        <f>AJ37-AI37</f>
        <v>0</v>
      </c>
      <c r="AK43" s="81">
        <f>AK37-AJ37</f>
        <v>0</v>
      </c>
      <c r="AL43" s="81">
        <f>AL37-AK37</f>
        <v>0</v>
      </c>
      <c r="AM43" s="81">
        <f t="shared" si="36"/>
        <v>0</v>
      </c>
      <c r="AN43" s="81">
        <f t="shared" si="36"/>
        <v>0</v>
      </c>
      <c r="AQ43" s="90"/>
    </row>
    <row r="44" spans="1:43">
      <c r="A44" s="80" t="s">
        <v>532</v>
      </c>
      <c r="B44" s="9"/>
      <c r="C44" s="9"/>
      <c r="D44" s="9"/>
      <c r="E44" s="9"/>
      <c r="F44" s="9"/>
      <c r="G44" s="9"/>
      <c r="H44" s="9"/>
      <c r="I44" s="9"/>
      <c r="J44" s="9"/>
      <c r="K44" s="9"/>
      <c r="L44" s="9"/>
      <c r="M44" s="9"/>
      <c r="N44" s="9"/>
      <c r="O44" s="9">
        <f>SUM(O41:O43)</f>
        <v>0</v>
      </c>
      <c r="P44" s="9">
        <f>SUM(P41:P43)</f>
        <v>0</v>
      </c>
      <c r="Q44" s="9">
        <f t="shared" ref="Q44:AF44" si="37">SUM(Q41:Q43)</f>
        <v>50</v>
      </c>
      <c r="R44" s="9">
        <f t="shared" si="37"/>
        <v>1587</v>
      </c>
      <c r="S44" s="9">
        <f t="shared" si="37"/>
        <v>1665</v>
      </c>
      <c r="T44" s="9">
        <f t="shared" si="37"/>
        <v>1492</v>
      </c>
      <c r="U44" s="9">
        <f t="shared" si="37"/>
        <v>1496</v>
      </c>
      <c r="V44" s="9">
        <f t="shared" si="37"/>
        <v>451</v>
      </c>
      <c r="W44" s="9">
        <f t="shared" si="37"/>
        <v>423</v>
      </c>
      <c r="X44" s="9">
        <f t="shared" si="37"/>
        <v>351</v>
      </c>
      <c r="Y44" s="9">
        <f t="shared" si="37"/>
        <v>149</v>
      </c>
      <c r="Z44" s="9">
        <f t="shared" si="37"/>
        <v>130</v>
      </c>
      <c r="AA44" s="9">
        <f t="shared" si="37"/>
        <v>6</v>
      </c>
      <c r="AB44" s="9">
        <f t="shared" si="37"/>
        <v>0</v>
      </c>
      <c r="AC44" s="9">
        <f t="shared" si="37"/>
        <v>0</v>
      </c>
      <c r="AD44" s="9">
        <f t="shared" si="37"/>
        <v>0</v>
      </c>
      <c r="AE44" s="9">
        <f t="shared" si="37"/>
        <v>0</v>
      </c>
      <c r="AF44" s="9">
        <f t="shared" si="37"/>
        <v>0</v>
      </c>
      <c r="AG44" s="9">
        <f t="shared" ref="AG44:AN44" si="38">SUM(AG41:AG43)</f>
        <v>-1</v>
      </c>
      <c r="AH44" s="9">
        <f t="shared" si="38"/>
        <v>0</v>
      </c>
      <c r="AI44" s="9">
        <f t="shared" si="38"/>
        <v>0</v>
      </c>
      <c r="AJ44" s="9">
        <f t="shared" si="38"/>
        <v>0</v>
      </c>
      <c r="AK44" s="9">
        <f t="shared" si="38"/>
        <v>0</v>
      </c>
      <c r="AL44" s="9">
        <f t="shared" si="38"/>
        <v>0</v>
      </c>
      <c r="AM44" s="9">
        <f t="shared" si="38"/>
        <v>0</v>
      </c>
      <c r="AN44" s="9">
        <f t="shared" si="38"/>
        <v>0</v>
      </c>
      <c r="AQ44" s="90"/>
    </row>
    <row r="46" spans="1:43">
      <c r="A46" s="80" t="s">
        <v>534</v>
      </c>
      <c r="B46" s="9"/>
      <c r="C46" s="9"/>
      <c r="D46" s="9"/>
      <c r="E46" s="9"/>
      <c r="F46" s="9"/>
      <c r="G46" s="9"/>
      <c r="H46" s="9"/>
      <c r="I46" s="9"/>
      <c r="J46" s="9"/>
      <c r="K46" s="9"/>
      <c r="L46" s="9"/>
      <c r="M46" s="9"/>
      <c r="N46" s="9"/>
      <c r="O46" s="9">
        <f>O38+O44</f>
        <v>655</v>
      </c>
      <c r="P46" s="9">
        <f t="shared" ref="P46:AF46" si="39">P38+P44</f>
        <v>655</v>
      </c>
      <c r="Q46" s="9">
        <f t="shared" si="39"/>
        <v>705</v>
      </c>
      <c r="R46" s="9">
        <f t="shared" si="39"/>
        <v>2322</v>
      </c>
      <c r="S46" s="9">
        <f t="shared" si="39"/>
        <v>2421</v>
      </c>
      <c r="T46" s="9">
        <f t="shared" si="39"/>
        <v>2461</v>
      </c>
      <c r="U46" s="9">
        <f t="shared" si="39"/>
        <v>2594</v>
      </c>
      <c r="V46" s="9">
        <f t="shared" si="39"/>
        <v>2947</v>
      </c>
      <c r="W46" s="9">
        <f t="shared" si="39"/>
        <v>3026</v>
      </c>
      <c r="X46" s="9">
        <f t="shared" si="39"/>
        <v>3056</v>
      </c>
      <c r="Y46" s="9">
        <f t="shared" si="39"/>
        <v>3048</v>
      </c>
      <c r="Z46" s="9">
        <f t="shared" si="39"/>
        <v>3029</v>
      </c>
      <c r="AA46" s="9">
        <f t="shared" si="39"/>
        <v>2999</v>
      </c>
      <c r="AB46" s="9">
        <f t="shared" si="39"/>
        <v>3069</v>
      </c>
      <c r="AC46" s="9">
        <f t="shared" si="39"/>
        <v>3069</v>
      </c>
      <c r="AD46" s="9">
        <f t="shared" si="39"/>
        <v>3149</v>
      </c>
      <c r="AE46" s="9">
        <f t="shared" si="39"/>
        <v>3149</v>
      </c>
      <c r="AF46" s="9">
        <f t="shared" si="39"/>
        <v>3149</v>
      </c>
      <c r="AG46" s="9">
        <f t="shared" ref="AG46:AN46" si="40">AG38+AG44</f>
        <v>3147</v>
      </c>
      <c r="AH46" s="9">
        <f t="shared" si="40"/>
        <v>3148</v>
      </c>
      <c r="AI46" s="9">
        <f t="shared" si="40"/>
        <v>3148</v>
      </c>
      <c r="AJ46" s="9">
        <f t="shared" si="40"/>
        <v>3148</v>
      </c>
      <c r="AK46" s="9">
        <f t="shared" si="40"/>
        <v>3148</v>
      </c>
      <c r="AL46" s="9">
        <f t="shared" si="40"/>
        <v>3148</v>
      </c>
      <c r="AM46" s="9">
        <f t="shared" si="40"/>
        <v>3148</v>
      </c>
      <c r="AN46" s="9">
        <f t="shared" si="40"/>
        <v>3148</v>
      </c>
      <c r="AQ46" s="90"/>
    </row>
    <row r="47" spans="1:43">
      <c r="A47" s="43" t="s">
        <v>528</v>
      </c>
      <c r="O47" s="7">
        <v>655</v>
      </c>
      <c r="P47" s="7">
        <v>655</v>
      </c>
      <c r="Q47" s="7">
        <v>680</v>
      </c>
      <c r="R47" s="7">
        <v>2183</v>
      </c>
      <c r="S47" s="7">
        <v>2421</v>
      </c>
      <c r="T47" s="7">
        <v>2461</v>
      </c>
      <c r="U47" s="7">
        <v>2594</v>
      </c>
      <c r="V47" s="7">
        <v>2947</v>
      </c>
      <c r="W47" s="7">
        <v>3026</v>
      </c>
      <c r="X47" s="7">
        <v>3056</v>
      </c>
      <c r="Y47" s="7">
        <v>3048</v>
      </c>
      <c r="Z47" s="7">
        <v>2978</v>
      </c>
      <c r="AA47" s="7">
        <v>2948</v>
      </c>
      <c r="AB47" s="7">
        <v>1796</v>
      </c>
    </row>
    <row r="49" spans="1:43">
      <c r="A49" s="88" t="s">
        <v>539</v>
      </c>
      <c r="B49" s="89"/>
      <c r="C49" s="89"/>
      <c r="D49" s="89"/>
      <c r="E49" s="89"/>
      <c r="F49" s="89"/>
      <c r="G49" s="89"/>
      <c r="H49" s="89"/>
      <c r="I49" s="89"/>
      <c r="J49" s="89"/>
      <c r="K49" s="89"/>
      <c r="L49" s="89"/>
      <c r="M49" s="89"/>
      <c r="N49" s="89"/>
      <c r="O49" s="89"/>
      <c r="P49" s="89"/>
      <c r="Q49" s="89"/>
      <c r="R49" s="89"/>
      <c r="S49" s="89"/>
      <c r="T49" s="89"/>
      <c r="U49" s="89"/>
      <c r="V49" s="89"/>
      <c r="W49" s="89"/>
      <c r="X49" s="89"/>
      <c r="Y49" s="89"/>
      <c r="Z49" s="89"/>
      <c r="AA49" s="89"/>
      <c r="AB49" s="89"/>
      <c r="AC49" s="89"/>
      <c r="AD49" s="89"/>
      <c r="AE49" s="89"/>
      <c r="AF49" s="89"/>
      <c r="AG49" s="89"/>
      <c r="AH49" s="89"/>
      <c r="AI49" s="89"/>
      <c r="AJ49" s="89"/>
      <c r="AK49" s="89"/>
      <c r="AL49" s="89"/>
      <c r="AM49" s="89"/>
      <c r="AN49" s="89"/>
    </row>
    <row r="50" spans="1:43">
      <c r="A50" s="43" t="s">
        <v>128</v>
      </c>
      <c r="T50" s="7">
        <v>8814</v>
      </c>
      <c r="U50" s="7">
        <v>11360</v>
      </c>
      <c r="V50" s="7">
        <v>12239</v>
      </c>
      <c r="W50" s="7">
        <v>11628</v>
      </c>
      <c r="X50" s="7">
        <v>11259</v>
      </c>
      <c r="Y50" s="7">
        <v>11572</v>
      </c>
      <c r="Z50" s="7">
        <v>10854</v>
      </c>
      <c r="AA50" s="7">
        <v>11698</v>
      </c>
      <c r="AB50" s="7">
        <v>11287</v>
      </c>
      <c r="AC50" s="7">
        <v>10454</v>
      </c>
      <c r="AD50" s="7">
        <v>10118</v>
      </c>
      <c r="AE50" s="7">
        <v>11175</v>
      </c>
      <c r="AF50" s="7">
        <f t="shared" ref="AF50" si="41">AE50+AF53+AF51</f>
        <v>11512</v>
      </c>
      <c r="AG50" s="7">
        <v>0</v>
      </c>
      <c r="AH50" s="7">
        <v>0</v>
      </c>
      <c r="AI50" s="81">
        <f>AH50</f>
        <v>0</v>
      </c>
      <c r="AJ50" s="81">
        <f t="shared" ref="AJ50:AN51" si="42">AI50</f>
        <v>0</v>
      </c>
      <c r="AK50" s="81">
        <f t="shared" si="42"/>
        <v>0</v>
      </c>
      <c r="AL50" s="81">
        <f t="shared" si="42"/>
        <v>0</v>
      </c>
      <c r="AM50" s="81">
        <f t="shared" si="42"/>
        <v>0</v>
      </c>
      <c r="AN50" s="81">
        <f t="shared" si="42"/>
        <v>0</v>
      </c>
      <c r="AQ50" s="90"/>
    </row>
    <row r="51" spans="1:43">
      <c r="A51" s="43" t="s">
        <v>169</v>
      </c>
      <c r="T51" s="7">
        <f t="shared" ref="T51:AD51" si="43">T8</f>
        <v>-112</v>
      </c>
      <c r="U51" s="7">
        <f t="shared" si="43"/>
        <v>-182</v>
      </c>
      <c r="V51" s="7">
        <f t="shared" si="43"/>
        <v>-355</v>
      </c>
      <c r="W51" s="7">
        <f t="shared" si="43"/>
        <v>-424</v>
      </c>
      <c r="X51" s="7">
        <f t="shared" si="43"/>
        <v>-567</v>
      </c>
      <c r="Y51" s="7">
        <f t="shared" si="43"/>
        <v>-556</v>
      </c>
      <c r="Z51" s="7">
        <f t="shared" si="43"/>
        <v>-571</v>
      </c>
      <c r="AA51" s="7">
        <f t="shared" si="43"/>
        <v>-599</v>
      </c>
      <c r="AB51" s="7">
        <f t="shared" si="43"/>
        <v>-608</v>
      </c>
      <c r="AC51" s="7">
        <f t="shared" si="43"/>
        <v>-626</v>
      </c>
      <c r="AD51" s="7">
        <f t="shared" si="43"/>
        <v>-597</v>
      </c>
      <c r="AE51" s="7">
        <v>-617</v>
      </c>
      <c r="AF51" s="7">
        <v>-283</v>
      </c>
      <c r="AG51" s="7">
        <v>0</v>
      </c>
      <c r="AH51" s="7">
        <v>0</v>
      </c>
      <c r="AI51" s="81">
        <f>AH51</f>
        <v>0</v>
      </c>
      <c r="AJ51" s="81">
        <f t="shared" si="42"/>
        <v>0</v>
      </c>
      <c r="AK51" s="81">
        <f t="shared" si="42"/>
        <v>0</v>
      </c>
      <c r="AL51" s="81">
        <f t="shared" si="42"/>
        <v>0</v>
      </c>
      <c r="AM51" s="81">
        <f t="shared" si="42"/>
        <v>0</v>
      </c>
      <c r="AN51" s="81">
        <f t="shared" si="42"/>
        <v>0</v>
      </c>
      <c r="AQ51" s="90"/>
    </row>
    <row r="52" spans="1:43">
      <c r="A52" s="86" t="s">
        <v>540</v>
      </c>
      <c r="T52" s="94">
        <f>-T51/T50</f>
        <v>1.2707056954844566E-2</v>
      </c>
      <c r="U52" s="94">
        <f t="shared" ref="U52:AF52" si="44">-U51/AVERAGE(T50:U50)</f>
        <v>1.8043025676613464E-2</v>
      </c>
      <c r="V52" s="94">
        <f t="shared" si="44"/>
        <v>3.0086020594092971E-2</v>
      </c>
      <c r="W52" s="94">
        <f t="shared" si="44"/>
        <v>3.5530230024720326E-2</v>
      </c>
      <c r="X52" s="94">
        <f t="shared" si="44"/>
        <v>4.9547778214707038E-2</v>
      </c>
      <c r="Y52" s="94">
        <f t="shared" si="44"/>
        <v>4.8705707152555733E-2</v>
      </c>
      <c r="Z52" s="94">
        <f t="shared" si="44"/>
        <v>5.0923035762061891E-2</v>
      </c>
      <c r="AA52" s="94">
        <f t="shared" si="44"/>
        <v>5.3121674352607305E-2</v>
      </c>
      <c r="AB52" s="94">
        <f t="shared" si="44"/>
        <v>5.2904067870350228E-2</v>
      </c>
      <c r="AC52" s="94">
        <f t="shared" si="44"/>
        <v>5.7587047513913803E-2</v>
      </c>
      <c r="AD52" s="94">
        <f t="shared" si="44"/>
        <v>5.8040054442932143E-2</v>
      </c>
      <c r="AE52" s="94">
        <f t="shared" si="44"/>
        <v>5.7953317991828297E-2</v>
      </c>
      <c r="AF52" s="94">
        <f t="shared" si="44"/>
        <v>2.4948208224974656E-2</v>
      </c>
      <c r="AG52" s="94">
        <v>0</v>
      </c>
      <c r="AH52" s="94">
        <v>0</v>
      </c>
      <c r="AI52" s="95">
        <v>0</v>
      </c>
      <c r="AJ52" s="95">
        <v>0</v>
      </c>
      <c r="AK52" s="95">
        <v>0</v>
      </c>
      <c r="AL52" s="95">
        <v>0</v>
      </c>
      <c r="AM52" s="95">
        <v>0</v>
      </c>
      <c r="AN52" s="95">
        <v>0</v>
      </c>
      <c r="AQ52" s="90"/>
    </row>
    <row r="53" spans="1:43">
      <c r="A53" s="43" t="s">
        <v>538</v>
      </c>
      <c r="N53" s="7">
        <v>0</v>
      </c>
      <c r="O53" s="7">
        <v>2</v>
      </c>
      <c r="P53" s="7">
        <v>2</v>
      </c>
      <c r="Q53" s="7">
        <v>1</v>
      </c>
      <c r="R53" s="7">
        <v>424</v>
      </c>
      <c r="S53" s="7">
        <v>2111</v>
      </c>
      <c r="T53" s="7">
        <v>5763</v>
      </c>
      <c r="U53" s="7">
        <v>4710</v>
      </c>
      <c r="V53" s="7">
        <v>1935</v>
      </c>
      <c r="W53" s="7">
        <v>1243</v>
      </c>
      <c r="X53" s="7">
        <v>461</v>
      </c>
      <c r="Y53" s="7">
        <v>1396</v>
      </c>
      <c r="Z53" s="7">
        <v>115</v>
      </c>
      <c r="AA53" s="7">
        <v>868</v>
      </c>
      <c r="AB53" s="7">
        <v>48</v>
      </c>
      <c r="AC53" s="7">
        <v>52</v>
      </c>
      <c r="AD53" s="7">
        <v>42</v>
      </c>
      <c r="AE53" s="7">
        <v>174</v>
      </c>
      <c r="AF53" s="7">
        <v>620</v>
      </c>
      <c r="AG53" s="7">
        <v>0</v>
      </c>
      <c r="AH53" s="7">
        <v>0</v>
      </c>
      <c r="AI53" s="81">
        <f>AH53</f>
        <v>0</v>
      </c>
      <c r="AJ53" s="81">
        <f t="shared" ref="AJ53:AN53" si="45">AI53</f>
        <v>0</v>
      </c>
      <c r="AK53" s="81">
        <f t="shared" si="45"/>
        <v>0</v>
      </c>
      <c r="AL53" s="81">
        <f t="shared" si="45"/>
        <v>0</v>
      </c>
      <c r="AM53" s="81">
        <f t="shared" si="45"/>
        <v>0</v>
      </c>
      <c r="AN53" s="81">
        <f t="shared" si="45"/>
        <v>0</v>
      </c>
      <c r="AQ53" s="90"/>
    </row>
    <row r="54" spans="1:43">
      <c r="A54" s="43" t="s">
        <v>743</v>
      </c>
      <c r="AC54" s="96"/>
      <c r="AD54" s="96"/>
      <c r="AE54" s="96">
        <f>AE53-AE55</f>
        <v>174</v>
      </c>
      <c r="AF54" s="96">
        <f>AF53-AF55</f>
        <v>620</v>
      </c>
      <c r="AG54" s="96"/>
      <c r="AH54" s="96"/>
      <c r="AI54" s="96"/>
      <c r="AJ54" s="96"/>
      <c r="AK54" s="96"/>
      <c r="AL54" s="96"/>
      <c r="AM54" s="96"/>
      <c r="AN54" s="96"/>
      <c r="AQ54" s="90"/>
    </row>
    <row r="55" spans="1:43">
      <c r="A55" s="43" t="s">
        <v>745</v>
      </c>
      <c r="AC55" s="96"/>
      <c r="AD55" s="96"/>
      <c r="AE55" s="96">
        <v>0</v>
      </c>
      <c r="AF55" s="96">
        <v>0</v>
      </c>
      <c r="AG55" s="96"/>
      <c r="AH55" s="96"/>
      <c r="AI55" s="96"/>
      <c r="AJ55" s="96"/>
      <c r="AK55" s="96"/>
      <c r="AL55" s="96"/>
      <c r="AM55" s="96"/>
      <c r="AN55" s="96"/>
      <c r="AQ55" s="90"/>
    </row>
    <row r="56" spans="1:43">
      <c r="AC56" s="96"/>
      <c r="AD56" s="96"/>
      <c r="AE56" s="96"/>
      <c r="AF56" s="96"/>
      <c r="AG56" s="96"/>
      <c r="AH56" s="96"/>
      <c r="AI56" s="96"/>
      <c r="AJ56" s="96"/>
      <c r="AK56" s="96"/>
      <c r="AL56" s="96"/>
      <c r="AM56" s="96"/>
      <c r="AN56" s="96"/>
      <c r="AQ56" s="90"/>
    </row>
    <row r="58" spans="1:43">
      <c r="A58" s="88" t="s">
        <v>101</v>
      </c>
      <c r="B58" s="89"/>
      <c r="C58" s="89"/>
      <c r="D58" s="89"/>
      <c r="E58" s="89"/>
      <c r="F58" s="89"/>
      <c r="G58" s="89"/>
      <c r="H58" s="89"/>
      <c r="I58" s="89"/>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row>
    <row r="59" spans="1:43">
      <c r="A59" s="43" t="s">
        <v>541</v>
      </c>
      <c r="M59" s="7">
        <f>8051-Driver!M95</f>
        <v>1607</v>
      </c>
      <c r="N59" s="7">
        <f>7503-Driver!N95</f>
        <v>1397</v>
      </c>
      <c r="O59" s="7">
        <v>1236</v>
      </c>
      <c r="P59" s="7">
        <v>1224</v>
      </c>
      <c r="Q59" s="7">
        <v>968</v>
      </c>
      <c r="R59" s="7">
        <v>1271</v>
      </c>
      <c r="S59" s="7">
        <v>3063</v>
      </c>
      <c r="T59" s="7">
        <v>5917</v>
      </c>
      <c r="U59" s="7">
        <v>8054</v>
      </c>
      <c r="V59" s="7">
        <v>9878</v>
      </c>
      <c r="W59" s="7">
        <v>8479</v>
      </c>
      <c r="X59" s="7">
        <v>8656</v>
      </c>
      <c r="Y59" s="7">
        <v>8835</v>
      </c>
      <c r="Z59" s="7">
        <v>7591</v>
      </c>
      <c r="AA59" s="7">
        <v>6785</v>
      </c>
      <c r="AB59" s="7">
        <v>6182</v>
      </c>
      <c r="AC59" s="30">
        <v>5401</v>
      </c>
      <c r="AD59" s="7">
        <v>5322</v>
      </c>
      <c r="AE59" s="7">
        <v>6008</v>
      </c>
      <c r="AF59" s="7">
        <v>0</v>
      </c>
      <c r="AG59" s="7">
        <v>0</v>
      </c>
      <c r="AH59" s="7">
        <v>0</v>
      </c>
      <c r="AI59" s="7">
        <f t="shared" ref="AI59:AN59" si="46">AH59</f>
        <v>0</v>
      </c>
      <c r="AJ59" s="7">
        <f t="shared" ref="AJ59:AL60" si="47">AI59</f>
        <v>0</v>
      </c>
      <c r="AK59" s="7">
        <f t="shared" si="47"/>
        <v>0</v>
      </c>
      <c r="AL59" s="7">
        <f t="shared" si="47"/>
        <v>0</v>
      </c>
      <c r="AM59" s="7">
        <f t="shared" si="46"/>
        <v>0</v>
      </c>
      <c r="AN59" s="7">
        <f t="shared" si="46"/>
        <v>0</v>
      </c>
      <c r="AQ59" s="90"/>
    </row>
    <row r="60" spans="1:43">
      <c r="A60" s="43" t="s">
        <v>542</v>
      </c>
      <c r="Q60" s="94">
        <f t="shared" ref="Q60:AF60" si="48">-Q15/AVERAGE(P59:Q59)</f>
        <v>-9.3978102189781018E-2</v>
      </c>
      <c r="R60" s="94">
        <f t="shared" si="48"/>
        <v>-6.2527914247431891E-3</v>
      </c>
      <c r="S60" s="94">
        <f t="shared" si="48"/>
        <v>2.7226580526072911E-2</v>
      </c>
      <c r="T60" s="94">
        <f t="shared" si="48"/>
        <v>3.3853006681514475E-2</v>
      </c>
      <c r="U60" s="94">
        <f t="shared" si="48"/>
        <v>4.5666022475127049E-2</v>
      </c>
      <c r="V60" s="94">
        <f t="shared" si="48"/>
        <v>7.0488512157037692E-2</v>
      </c>
      <c r="W60" s="94">
        <f t="shared" si="48"/>
        <v>9.5549381707250636E-2</v>
      </c>
      <c r="X60" s="94">
        <f t="shared" si="48"/>
        <v>0.10248030347242486</v>
      </c>
      <c r="Y60" s="94">
        <f t="shared" si="48"/>
        <v>9.0560859870790697E-2</v>
      </c>
      <c r="Z60" s="94">
        <f t="shared" si="48"/>
        <v>9.4606112261049549E-2</v>
      </c>
      <c r="AA60" s="94">
        <f t="shared" si="48"/>
        <v>9.1263216471897612E-2</v>
      </c>
      <c r="AB60" s="94">
        <f t="shared" si="48"/>
        <v>8.2362921261664224E-2</v>
      </c>
      <c r="AC60" s="124">
        <f t="shared" si="48"/>
        <v>7.9081412414745741E-2</v>
      </c>
      <c r="AD60" s="124">
        <f t="shared" si="48"/>
        <v>8.2066585843513937E-2</v>
      </c>
      <c r="AE60" s="124">
        <f t="shared" si="48"/>
        <v>6.9549867608120042E-2</v>
      </c>
      <c r="AF60" s="124">
        <f t="shared" si="48"/>
        <v>0.15046604527296936</v>
      </c>
      <c r="AG60" s="124">
        <f>AE60</f>
        <v>6.9549867608120042E-2</v>
      </c>
      <c r="AH60" s="124">
        <f>AE60</f>
        <v>6.9549867608120042E-2</v>
      </c>
      <c r="AI60" s="95">
        <f t="shared" ref="AI60:AN60" si="49">AH60</f>
        <v>6.9549867608120042E-2</v>
      </c>
      <c r="AJ60" s="95">
        <f t="shared" si="47"/>
        <v>6.9549867608120042E-2</v>
      </c>
      <c r="AK60" s="95">
        <f t="shared" si="47"/>
        <v>6.9549867608120042E-2</v>
      </c>
      <c r="AL60" s="95">
        <f t="shared" si="47"/>
        <v>6.9549867608120042E-2</v>
      </c>
      <c r="AM60" s="95">
        <f t="shared" si="49"/>
        <v>6.9549867608120042E-2</v>
      </c>
      <c r="AN60" s="95">
        <f t="shared" si="49"/>
        <v>6.9549867608120042E-2</v>
      </c>
      <c r="AQ60" s="90"/>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Q62"/>
  <sheetViews>
    <sheetView showOutlineSymbols="0" zoomScale="115" zoomScaleNormal="115" workbookViewId="0">
      <pane xSplit="29" ySplit="1" topLeftCell="AD2" activePane="bottomRight" state="frozen"/>
      <selection pane="topRight" activeCell="AD1" sqref="AD1"/>
      <selection pane="bottomLeft" activeCell="A2" sqref="A2"/>
      <selection pane="bottomRight" activeCell="AJ43" sqref="AJ43"/>
    </sheetView>
  </sheetViews>
  <sheetFormatPr defaultColWidth="9.140625" defaultRowHeight="12.75" outlineLevelRow="1" outlineLevelCol="1"/>
  <cols>
    <col min="1" max="1" width="30.42578125" style="43" customWidth="1"/>
    <col min="2" max="9" width="9.140625" style="43" hidden="1" customWidth="1" outlineLevel="1"/>
    <col min="10" max="14" width="9.140625" style="7" hidden="1" customWidth="1" outlineLevel="1"/>
    <col min="15" max="19" width="0" style="7" hidden="1" customWidth="1" outlineLevel="1"/>
    <col min="20" max="20" width="0" style="7" hidden="1" customWidth="1" collapsed="1"/>
    <col min="21" max="29" width="0" style="7" hidden="1" customWidth="1"/>
    <col min="30" max="16384" width="9.140625" style="7"/>
  </cols>
  <sheetData>
    <row r="1" spans="1:43" s="43" customFormat="1">
      <c r="A1" s="42" t="s">
        <v>508</v>
      </c>
      <c r="B1" s="84">
        <f>Final!B2</f>
        <v>1992</v>
      </c>
      <c r="C1" s="84">
        <f>Final!C2</f>
        <v>1993</v>
      </c>
      <c r="D1" s="84">
        <f>Final!D2</f>
        <v>1994</v>
      </c>
      <c r="E1" s="84">
        <f>Final!E2</f>
        <v>1995</v>
      </c>
      <c r="F1" s="84">
        <f>Final!F2</f>
        <v>1996</v>
      </c>
      <c r="G1" s="84">
        <f>Final!G2</f>
        <v>1997</v>
      </c>
      <c r="H1" s="84">
        <f>Final!H2</f>
        <v>1998</v>
      </c>
      <c r="I1" s="84" t="str">
        <f>Final!I2</f>
        <v>1999*</v>
      </c>
      <c r="J1" s="84">
        <f>Final!J2</f>
        <v>2000</v>
      </c>
      <c r="K1" s="84">
        <f>Final!K2</f>
        <v>2001</v>
      </c>
      <c r="L1" s="84">
        <f>Final!L2</f>
        <v>2002</v>
      </c>
      <c r="M1" s="84">
        <f>Final!M2</f>
        <v>2003</v>
      </c>
      <c r="N1" s="84">
        <f>Final!N2</f>
        <v>2004</v>
      </c>
      <c r="O1" s="84">
        <f>Final!O2</f>
        <v>2005</v>
      </c>
      <c r="P1" s="84">
        <f>Final!P2</f>
        <v>2006</v>
      </c>
      <c r="Q1" s="84">
        <f>Final!Q2</f>
        <v>2007</v>
      </c>
      <c r="R1" s="84">
        <f>Final!R2</f>
        <v>2008</v>
      </c>
      <c r="S1" s="84">
        <f>Final!S2</f>
        <v>2009</v>
      </c>
      <c r="T1" s="84">
        <f>Final!T2</f>
        <v>2010</v>
      </c>
      <c r="U1" s="84">
        <f>Final!U2</f>
        <v>2011</v>
      </c>
      <c r="V1" s="84">
        <f>Final!V2</f>
        <v>2012</v>
      </c>
      <c r="W1" s="84">
        <f>Final!W2</f>
        <v>2013</v>
      </c>
      <c r="X1" s="84">
        <f>Final!X2</f>
        <v>2014</v>
      </c>
      <c r="Y1" s="84">
        <f>Final!Y2</f>
        <v>2015</v>
      </c>
      <c r="Z1" s="84">
        <f>Final!Z2</f>
        <v>2016</v>
      </c>
      <c r="AA1" s="84">
        <f>Final!AA2</f>
        <v>2017</v>
      </c>
      <c r="AB1" s="84">
        <f>Final!AB2</f>
        <v>2018</v>
      </c>
      <c r="AC1" s="84">
        <f>Final!AC2</f>
        <v>2019</v>
      </c>
      <c r="AD1" s="84">
        <f>Final!AD2</f>
        <v>2020</v>
      </c>
      <c r="AE1" s="84">
        <f>Final!AE2</f>
        <v>2021</v>
      </c>
      <c r="AF1" s="84">
        <f>Final!AF2</f>
        <v>2022</v>
      </c>
      <c r="AG1" s="84">
        <f>Final!AG2</f>
        <v>2023</v>
      </c>
      <c r="AH1" s="84">
        <f>Final!AH2</f>
        <v>2024</v>
      </c>
      <c r="AI1" s="84" t="str">
        <f>Final!AI2</f>
        <v>2025E</v>
      </c>
      <c r="AJ1" s="84" t="str">
        <f>Final!AJ2</f>
        <v>2026E</v>
      </c>
      <c r="AK1" s="84" t="str">
        <f>Final!AK2</f>
        <v>2027E</v>
      </c>
      <c r="AL1" s="84" t="str">
        <f>Final!AL2</f>
        <v>2028E</v>
      </c>
      <c r="AM1" s="84" t="str">
        <f>Final!AM2</f>
        <v>2029E</v>
      </c>
      <c r="AN1" s="84" t="str">
        <f>Final!AN2</f>
        <v>2030E</v>
      </c>
    </row>
    <row r="2" spans="1:43" s="98" customFormat="1">
      <c r="A2" s="43" t="s">
        <v>545</v>
      </c>
      <c r="B2" s="84"/>
      <c r="C2" s="84"/>
      <c r="D2" s="84"/>
      <c r="E2" s="84"/>
      <c r="F2" s="84"/>
      <c r="G2" s="84"/>
      <c r="H2" s="84"/>
      <c r="I2" s="84"/>
      <c r="J2" s="97"/>
      <c r="K2" s="97"/>
      <c r="L2" s="97"/>
      <c r="M2" s="97"/>
      <c r="N2" s="97"/>
      <c r="O2" s="87">
        <v>0.24219750859242825</v>
      </c>
      <c r="P2" s="87">
        <v>0.23887797827456625</v>
      </c>
      <c r="Q2" s="87">
        <v>0.23750675876757066</v>
      </c>
      <c r="R2" s="87">
        <v>0.24725793626916473</v>
      </c>
      <c r="S2" s="87">
        <v>0.23474400556967348</v>
      </c>
      <c r="T2" s="87">
        <v>0.2466913986966752</v>
      </c>
      <c r="U2" s="87">
        <v>0.26489337343390457</v>
      </c>
      <c r="V2" s="87">
        <v>0.26235193225520581</v>
      </c>
      <c r="W2" s="87">
        <v>0.2611</v>
      </c>
      <c r="X2" s="87">
        <v>0.25540000000000002</v>
      </c>
      <c r="Y2" s="87">
        <v>0.2442</v>
      </c>
      <c r="Z2" s="87">
        <v>0.24060000000000001</v>
      </c>
      <c r="AA2" s="87">
        <v>0.2571</v>
      </c>
      <c r="AB2" s="87">
        <v>0.26</v>
      </c>
      <c r="AC2" s="453">
        <v>0.25356894629991716</v>
      </c>
      <c r="AD2" s="453">
        <v>0.2636</v>
      </c>
      <c r="AE2" s="453">
        <v>0.25950133013389071</v>
      </c>
      <c r="AF2" s="453">
        <v>0.25290000000000001</v>
      </c>
      <c r="AG2" s="93">
        <f>0.2515</f>
        <v>0.2515</v>
      </c>
      <c r="AH2" s="93">
        <f t="shared" ref="AH2:AH3" si="0">AG2</f>
        <v>0.2515</v>
      </c>
      <c r="AI2" s="93">
        <v>0.24410000000000001</v>
      </c>
      <c r="AJ2" s="93">
        <f t="shared" ref="AJ2:AL3" si="1">AI2</f>
        <v>0.24410000000000001</v>
      </c>
      <c r="AK2" s="93">
        <f t="shared" si="1"/>
        <v>0.24410000000000001</v>
      </c>
      <c r="AL2" s="93">
        <f t="shared" si="1"/>
        <v>0.24410000000000001</v>
      </c>
      <c r="AM2" s="93">
        <f t="shared" ref="AM2:AN3" si="2">AL2</f>
        <v>0.24410000000000001</v>
      </c>
      <c r="AN2" s="93">
        <f t="shared" si="2"/>
        <v>0.24410000000000001</v>
      </c>
    </row>
    <row r="3" spans="1:43" s="98" customFormat="1">
      <c r="A3" s="43" t="s">
        <v>546</v>
      </c>
      <c r="B3" s="84"/>
      <c r="C3" s="84"/>
      <c r="D3" s="84"/>
      <c r="E3" s="84"/>
      <c r="F3" s="84"/>
      <c r="G3" s="84"/>
      <c r="H3" s="84"/>
      <c r="I3" s="84"/>
      <c r="J3" s="97"/>
      <c r="K3" s="97"/>
      <c r="L3" s="97"/>
      <c r="M3" s="97"/>
      <c r="N3" s="97"/>
      <c r="O3" s="87">
        <v>0.19331819065348244</v>
      </c>
      <c r="P3" s="87">
        <v>0.20507768809756843</v>
      </c>
      <c r="Q3" s="87">
        <v>0.24172856375150556</v>
      </c>
      <c r="R3" s="87">
        <v>0.23637619817047448</v>
      </c>
      <c r="S3" s="87">
        <v>0.22590614570409071</v>
      </c>
      <c r="T3" s="87">
        <v>0.24523326365597597</v>
      </c>
      <c r="U3" s="87">
        <v>0.25536319871326046</v>
      </c>
      <c r="V3" s="87">
        <v>0.24968001410623378</v>
      </c>
      <c r="W3" s="87">
        <v>0.25209999999999999</v>
      </c>
      <c r="X3" s="87">
        <v>0.2387</v>
      </c>
      <c r="Y3" s="87">
        <v>0.22589999999999999</v>
      </c>
      <c r="Z3" s="87">
        <v>0.22009999999999999</v>
      </c>
      <c r="AA3" s="87">
        <v>0.23069999999999999</v>
      </c>
      <c r="AB3" s="87">
        <v>0.2424</v>
      </c>
      <c r="AC3" s="453">
        <v>0.25246432985083034</v>
      </c>
      <c r="AD3" s="453">
        <v>0.25779999999999997</v>
      </c>
      <c r="AE3" s="453">
        <v>0.2474506957363419</v>
      </c>
      <c r="AF3" s="453">
        <v>0.224</v>
      </c>
      <c r="AG3" s="93">
        <f>0.2253</f>
        <v>0.2253</v>
      </c>
      <c r="AH3" s="93">
        <f t="shared" si="0"/>
        <v>0.2253</v>
      </c>
      <c r="AI3" s="93">
        <v>0.245</v>
      </c>
      <c r="AJ3" s="93">
        <f t="shared" si="1"/>
        <v>0.245</v>
      </c>
      <c r="AK3" s="93">
        <f t="shared" si="1"/>
        <v>0.245</v>
      </c>
      <c r="AL3" s="93">
        <f t="shared" si="1"/>
        <v>0.245</v>
      </c>
      <c r="AM3" s="93">
        <f t="shared" si="2"/>
        <v>0.245</v>
      </c>
      <c r="AN3" s="93">
        <f t="shared" si="2"/>
        <v>0.245</v>
      </c>
    </row>
    <row r="4" spans="1:43">
      <c r="A4" s="6" t="s">
        <v>523</v>
      </c>
      <c r="B4" s="85"/>
      <c r="C4" s="85"/>
      <c r="D4" s="85"/>
      <c r="E4" s="85"/>
      <c r="F4" s="85"/>
      <c r="G4" s="85"/>
      <c r="H4" s="85"/>
      <c r="I4" s="85"/>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row>
    <row r="5" spans="1:43">
      <c r="A5" s="42" t="s">
        <v>114</v>
      </c>
      <c r="B5" s="42"/>
      <c r="C5" s="42"/>
      <c r="D5" s="42"/>
      <c r="E5" s="42"/>
      <c r="F5" s="42"/>
      <c r="G5" s="42"/>
      <c r="H5" s="42"/>
      <c r="I5" s="42"/>
      <c r="J5" s="100"/>
      <c r="K5" s="100"/>
      <c r="L5" s="100"/>
      <c r="M5" s="100"/>
      <c r="N5" s="100"/>
      <c r="O5" s="79">
        <v>35</v>
      </c>
      <c r="P5" s="79">
        <v>46</v>
      </c>
      <c r="Q5" s="79">
        <v>50</v>
      </c>
      <c r="R5" s="79">
        <v>24</v>
      </c>
      <c r="S5" s="79">
        <v>43</v>
      </c>
      <c r="T5" s="79">
        <v>59</v>
      </c>
      <c r="U5" s="79">
        <v>33</v>
      </c>
      <c r="V5" s="79">
        <v>19</v>
      </c>
      <c r="W5" s="79">
        <v>14</v>
      </c>
      <c r="X5" s="79">
        <v>8</v>
      </c>
      <c r="Y5" s="79">
        <v>9</v>
      </c>
      <c r="Z5" s="79">
        <v>13</v>
      </c>
      <c r="AA5" s="79">
        <v>14</v>
      </c>
      <c r="AB5" s="79">
        <v>16</v>
      </c>
      <c r="AC5" s="79">
        <v>11</v>
      </c>
      <c r="AD5" s="79">
        <v>6</v>
      </c>
      <c r="AE5" s="79">
        <v>4</v>
      </c>
      <c r="AF5" s="79">
        <v>4</v>
      </c>
      <c r="AG5" s="79">
        <v>3</v>
      </c>
      <c r="AH5" s="79">
        <f t="shared" ref="AH5:AI6" si="3">AG5</f>
        <v>3</v>
      </c>
      <c r="AI5" s="100">
        <f t="shared" si="3"/>
        <v>3</v>
      </c>
      <c r="AJ5" s="100">
        <f t="shared" ref="AJ5:AL6" si="4">AI5</f>
        <v>3</v>
      </c>
      <c r="AK5" s="100">
        <f t="shared" si="4"/>
        <v>3</v>
      </c>
      <c r="AL5" s="100">
        <f t="shared" si="4"/>
        <v>3</v>
      </c>
      <c r="AM5" s="100">
        <f t="shared" ref="AM5:AN6" si="5">AL5</f>
        <v>3</v>
      </c>
      <c r="AN5" s="100">
        <f t="shared" si="5"/>
        <v>3</v>
      </c>
      <c r="AQ5" s="90"/>
    </row>
    <row r="6" spans="1:43">
      <c r="A6" s="43" t="s">
        <v>549</v>
      </c>
      <c r="J6" s="81"/>
      <c r="K6" s="81"/>
      <c r="L6" s="81"/>
      <c r="M6" s="81"/>
      <c r="N6" s="81"/>
      <c r="O6" s="7">
        <f>-35-O5</f>
        <v>-70</v>
      </c>
      <c r="P6" s="7">
        <f>1233-P5-P24</f>
        <v>-37</v>
      </c>
      <c r="Q6" s="7">
        <f>1062-Q5-Q24</f>
        <v>-59</v>
      </c>
      <c r="R6" s="7">
        <f>-13-R5</f>
        <v>-37</v>
      </c>
      <c r="S6" s="7">
        <f>S8-S5-S7</f>
        <v>-93</v>
      </c>
      <c r="T6" s="7">
        <f>5-T5</f>
        <v>-54</v>
      </c>
      <c r="U6" s="7">
        <f>U8-U5-U7</f>
        <v>-98</v>
      </c>
      <c r="V6" s="7">
        <f>-24-V5</f>
        <v>-43</v>
      </c>
      <c r="W6" s="7">
        <f>-26-W5</f>
        <v>-40</v>
      </c>
      <c r="X6" s="7">
        <f>-27-X5</f>
        <v>-35</v>
      </c>
      <c r="Y6" s="7">
        <f>-12-Y5</f>
        <v>-21</v>
      </c>
      <c r="Z6" s="7">
        <f>-12-Z5</f>
        <v>-25</v>
      </c>
      <c r="AA6" s="7">
        <f>-15-AA5</f>
        <v>-29</v>
      </c>
      <c r="AB6" s="7">
        <f>-9-AB5</f>
        <v>-25</v>
      </c>
      <c r="AC6" s="7">
        <f>6-AC5</f>
        <v>-5</v>
      </c>
      <c r="AD6" s="7">
        <f>-13-AD5</f>
        <v>-19</v>
      </c>
      <c r="AE6" s="7">
        <f>296-AE5-AE24</f>
        <v>43</v>
      </c>
      <c r="AF6" s="7">
        <f>-6-AF5-AF24</f>
        <v>-10</v>
      </c>
      <c r="AG6" s="7">
        <f>-6-AG5-AG24</f>
        <v>-9</v>
      </c>
      <c r="AH6" s="7">
        <v>-12</v>
      </c>
      <c r="AI6" s="81">
        <f t="shared" si="3"/>
        <v>-12</v>
      </c>
      <c r="AJ6" s="81">
        <f t="shared" si="4"/>
        <v>-12</v>
      </c>
      <c r="AK6" s="81">
        <f t="shared" si="4"/>
        <v>-12</v>
      </c>
      <c r="AL6" s="81">
        <f t="shared" si="4"/>
        <v>-12</v>
      </c>
      <c r="AM6" s="81">
        <f t="shared" si="5"/>
        <v>-12</v>
      </c>
      <c r="AN6" s="81">
        <f t="shared" si="5"/>
        <v>-12</v>
      </c>
      <c r="AQ6" s="90"/>
    </row>
    <row r="7" spans="1:43">
      <c r="A7" s="43" t="s">
        <v>419</v>
      </c>
      <c r="O7" s="7">
        <f>282+127</f>
        <v>409</v>
      </c>
      <c r="P7" s="7">
        <f>322+112</f>
        <v>434</v>
      </c>
      <c r="Q7" s="7">
        <v>393</v>
      </c>
      <c r="R7" s="7">
        <v>133</v>
      </c>
      <c r="S7" s="81">
        <f>394+187</f>
        <v>581</v>
      </c>
      <c r="T7" s="7">
        <v>392</v>
      </c>
      <c r="U7" s="81">
        <f>151-4+5</f>
        <v>152</v>
      </c>
      <c r="V7" s="7">
        <v>262</v>
      </c>
      <c r="W7" s="7">
        <v>262</v>
      </c>
      <c r="X7" s="7">
        <v>321</v>
      </c>
      <c r="Y7" s="7">
        <v>322</v>
      </c>
      <c r="Z7" s="7">
        <v>283</v>
      </c>
      <c r="AA7" s="7">
        <v>171</v>
      </c>
      <c r="AB7" s="7">
        <v>170</v>
      </c>
      <c r="AC7" s="7">
        <v>329</v>
      </c>
      <c r="AD7" s="7">
        <v>399</v>
      </c>
      <c r="AE7" s="7">
        <v>194</v>
      </c>
      <c r="AF7" s="7">
        <v>19</v>
      </c>
      <c r="AG7" s="7">
        <v>315</v>
      </c>
      <c r="AH7" s="7">
        <v>270</v>
      </c>
      <c r="AI7" s="81">
        <f t="shared" ref="AI7:AN7" si="6">AI8-AI5-AI6</f>
        <v>136.53462827120723</v>
      </c>
      <c r="AJ7" s="81">
        <f t="shared" si="6"/>
        <v>136.53462827120723</v>
      </c>
      <c r="AK7" s="81">
        <f t="shared" si="6"/>
        <v>136.53462827120723</v>
      </c>
      <c r="AL7" s="81">
        <f t="shared" si="6"/>
        <v>136.53462827120723</v>
      </c>
      <c r="AM7" s="81">
        <f t="shared" si="6"/>
        <v>136.53462827120723</v>
      </c>
      <c r="AN7" s="81">
        <f t="shared" si="6"/>
        <v>136.53462827120723</v>
      </c>
      <c r="AQ7" s="90"/>
    </row>
    <row r="8" spans="1:43">
      <c r="A8" s="80" t="s">
        <v>57</v>
      </c>
      <c r="B8" s="80"/>
      <c r="C8" s="80"/>
      <c r="D8" s="80"/>
      <c r="E8" s="80"/>
      <c r="F8" s="80"/>
      <c r="G8" s="80"/>
      <c r="H8" s="80"/>
      <c r="I8" s="80"/>
      <c r="J8" s="9"/>
      <c r="K8" s="9"/>
      <c r="L8" s="9"/>
      <c r="M8" s="9"/>
      <c r="N8" s="9"/>
      <c r="O8" s="9">
        <f t="shared" ref="O8:X8" si="7">O5+O6+O7</f>
        <v>374</v>
      </c>
      <c r="P8" s="9">
        <f t="shared" si="7"/>
        <v>443</v>
      </c>
      <c r="Q8" s="9">
        <f t="shared" si="7"/>
        <v>384</v>
      </c>
      <c r="R8" s="9">
        <f t="shared" si="7"/>
        <v>120</v>
      </c>
      <c r="S8" s="9">
        <f>S10-S9</f>
        <v>531</v>
      </c>
      <c r="T8" s="9">
        <f t="shared" si="7"/>
        <v>397</v>
      </c>
      <c r="U8" s="9">
        <f>U10-U9</f>
        <v>87</v>
      </c>
      <c r="V8" s="9">
        <f t="shared" si="7"/>
        <v>238</v>
      </c>
      <c r="W8" s="9">
        <f t="shared" si="7"/>
        <v>236</v>
      </c>
      <c r="X8" s="9">
        <f t="shared" si="7"/>
        <v>294</v>
      </c>
      <c r="Y8" s="9">
        <f t="shared" ref="Y8:AF8" si="8">Y5+Y6+Y7</f>
        <v>310</v>
      </c>
      <c r="Z8" s="9">
        <f t="shared" si="8"/>
        <v>271</v>
      </c>
      <c r="AA8" s="9">
        <f t="shared" si="8"/>
        <v>156</v>
      </c>
      <c r="AB8" s="9">
        <f t="shared" si="8"/>
        <v>161</v>
      </c>
      <c r="AC8" s="9">
        <f t="shared" si="8"/>
        <v>335</v>
      </c>
      <c r="AD8" s="9">
        <f t="shared" si="8"/>
        <v>386</v>
      </c>
      <c r="AE8" s="9">
        <f t="shared" si="8"/>
        <v>241</v>
      </c>
      <c r="AF8" s="9">
        <f t="shared" si="8"/>
        <v>13</v>
      </c>
      <c r="AG8" s="9">
        <f t="shared" ref="AG8:AH8" si="9">AG5+AG6+AG7</f>
        <v>309</v>
      </c>
      <c r="AH8" s="9">
        <f t="shared" si="9"/>
        <v>261</v>
      </c>
      <c r="AI8" s="476">
        <f t="shared" ref="AI8:AN8" si="10">AI10-AI9</f>
        <v>127.53462827120723</v>
      </c>
      <c r="AJ8" s="476">
        <f t="shared" si="10"/>
        <v>127.53462827120723</v>
      </c>
      <c r="AK8" s="476">
        <f t="shared" si="10"/>
        <v>127.53462827120723</v>
      </c>
      <c r="AL8" s="476">
        <f t="shared" si="10"/>
        <v>127.53462827120723</v>
      </c>
      <c r="AM8" s="476">
        <f t="shared" si="10"/>
        <v>127.53462827120723</v>
      </c>
      <c r="AN8" s="476">
        <f t="shared" si="10"/>
        <v>127.53462827120723</v>
      </c>
      <c r="AQ8" s="90"/>
    </row>
    <row r="9" spans="1:43">
      <c r="A9" s="43" t="s">
        <v>349</v>
      </c>
      <c r="J9" s="81"/>
      <c r="K9" s="81"/>
      <c r="L9" s="81"/>
      <c r="M9" s="81"/>
      <c r="N9" s="81"/>
      <c r="O9" s="7">
        <v>-1</v>
      </c>
      <c r="P9" s="7">
        <v>-1</v>
      </c>
      <c r="Q9" s="7">
        <v>0</v>
      </c>
      <c r="R9" s="7">
        <v>0</v>
      </c>
      <c r="S9" s="7">
        <v>0</v>
      </c>
      <c r="T9" s="7">
        <v>0</v>
      </c>
      <c r="U9" s="7">
        <v>0</v>
      </c>
      <c r="V9" s="7">
        <v>0</v>
      </c>
      <c r="W9" s="7">
        <v>0</v>
      </c>
      <c r="X9" s="7">
        <v>0</v>
      </c>
      <c r="Y9" s="7">
        <v>0</v>
      </c>
      <c r="Z9" s="7">
        <v>0</v>
      </c>
      <c r="AA9" s="7">
        <v>0</v>
      </c>
      <c r="AB9" s="7">
        <f t="shared" ref="AB9:AI9" si="11">AA9</f>
        <v>0</v>
      </c>
      <c r="AC9" s="7">
        <f t="shared" si="11"/>
        <v>0</v>
      </c>
      <c r="AD9" s="7">
        <f t="shared" si="11"/>
        <v>0</v>
      </c>
      <c r="AE9" s="7">
        <f t="shared" si="11"/>
        <v>0</v>
      </c>
      <c r="AF9" s="81">
        <f t="shared" si="11"/>
        <v>0</v>
      </c>
      <c r="AG9" s="81">
        <f t="shared" si="11"/>
        <v>0</v>
      </c>
      <c r="AH9" s="81">
        <f t="shared" si="11"/>
        <v>0</v>
      </c>
      <c r="AI9" s="81">
        <f t="shared" si="11"/>
        <v>0</v>
      </c>
      <c r="AJ9" s="81">
        <f>AI9</f>
        <v>0</v>
      </c>
      <c r="AK9" s="81">
        <f>AJ9</f>
        <v>0</v>
      </c>
      <c r="AL9" s="81">
        <f>AK9</f>
        <v>0</v>
      </c>
      <c r="AM9" s="81">
        <f>AL9</f>
        <v>0</v>
      </c>
      <c r="AN9" s="81">
        <f>AM9</f>
        <v>0</v>
      </c>
      <c r="AQ9" s="90"/>
    </row>
    <row r="10" spans="1:43">
      <c r="A10" s="80" t="s">
        <v>521</v>
      </c>
      <c r="B10" s="80"/>
      <c r="C10" s="80"/>
      <c r="D10" s="80"/>
      <c r="E10" s="80"/>
      <c r="F10" s="80"/>
      <c r="G10" s="80"/>
      <c r="H10" s="80"/>
      <c r="I10" s="80"/>
      <c r="J10" s="9"/>
      <c r="K10" s="9"/>
      <c r="L10" s="9"/>
      <c r="M10" s="9"/>
      <c r="N10" s="9"/>
      <c r="O10" s="9">
        <f t="shared" ref="O10:Y10" si="12">O8+O9</f>
        <v>373</v>
      </c>
      <c r="P10" s="9">
        <f t="shared" si="12"/>
        <v>442</v>
      </c>
      <c r="Q10" s="9">
        <f t="shared" si="12"/>
        <v>384</v>
      </c>
      <c r="R10" s="9">
        <f t="shared" si="12"/>
        <v>120</v>
      </c>
      <c r="S10" s="9">
        <f>S16-S15</f>
        <v>531</v>
      </c>
      <c r="T10" s="9">
        <f t="shared" si="12"/>
        <v>397</v>
      </c>
      <c r="U10" s="9">
        <f>U16-U15</f>
        <v>87</v>
      </c>
      <c r="V10" s="9">
        <f t="shared" si="12"/>
        <v>238</v>
      </c>
      <c r="W10" s="9">
        <f t="shared" si="12"/>
        <v>236</v>
      </c>
      <c r="X10" s="9">
        <f t="shared" si="12"/>
        <v>294</v>
      </c>
      <c r="Y10" s="9">
        <f t="shared" si="12"/>
        <v>310</v>
      </c>
      <c r="Z10" s="9">
        <f t="shared" ref="Z10:AF10" si="13">Z8+Z9</f>
        <v>271</v>
      </c>
      <c r="AA10" s="9">
        <f t="shared" si="13"/>
        <v>156</v>
      </c>
      <c r="AB10" s="9">
        <f t="shared" si="13"/>
        <v>161</v>
      </c>
      <c r="AC10" s="9">
        <f t="shared" si="13"/>
        <v>335</v>
      </c>
      <c r="AD10" s="9">
        <f t="shared" si="13"/>
        <v>386</v>
      </c>
      <c r="AE10" s="9">
        <f t="shared" si="13"/>
        <v>241</v>
      </c>
      <c r="AF10" s="9">
        <f t="shared" si="13"/>
        <v>13</v>
      </c>
      <c r="AG10" s="9">
        <f t="shared" ref="AG10" si="14">AG8+AG9</f>
        <v>309</v>
      </c>
      <c r="AH10" s="9">
        <f t="shared" ref="AH10:AN10" si="15">SUM(AH11:AH14)</f>
        <v>261</v>
      </c>
      <c r="AI10" s="476">
        <f t="shared" si="15"/>
        <v>127.53462827120723</v>
      </c>
      <c r="AJ10" s="476">
        <f t="shared" si="15"/>
        <v>127.53462827120723</v>
      </c>
      <c r="AK10" s="476">
        <f t="shared" si="15"/>
        <v>127.53462827120723</v>
      </c>
      <c r="AL10" s="476">
        <f t="shared" si="15"/>
        <v>127.53462827120723</v>
      </c>
      <c r="AM10" s="476">
        <f t="shared" si="15"/>
        <v>127.53462827120723</v>
      </c>
      <c r="AN10" s="476">
        <f t="shared" si="15"/>
        <v>127.53462827120723</v>
      </c>
      <c r="AQ10" s="90"/>
    </row>
    <row r="11" spans="1:43">
      <c r="A11" s="86" t="s">
        <v>547</v>
      </c>
      <c r="W11" s="7">
        <v>223</v>
      </c>
      <c r="X11" s="7">
        <v>265</v>
      </c>
      <c r="Y11" s="7">
        <v>274</v>
      </c>
      <c r="Z11" s="7">
        <v>249</v>
      </c>
      <c r="AA11" s="7">
        <v>142</v>
      </c>
      <c r="AB11" s="7">
        <v>131</v>
      </c>
      <c r="AC11" s="30">
        <v>272</v>
      </c>
      <c r="AD11" s="7">
        <v>366</v>
      </c>
      <c r="AE11" s="7">
        <v>126</v>
      </c>
      <c r="AF11" s="7">
        <v>3</v>
      </c>
      <c r="AG11" s="30">
        <v>297</v>
      </c>
      <c r="AH11" s="30">
        <v>261</v>
      </c>
      <c r="AI11" s="81">
        <f>AI31*AI51*AI2</f>
        <v>126.66023856858848</v>
      </c>
      <c r="AJ11" s="81">
        <f t="shared" ref="AJ11:AN12" si="16">AJ31*AJ51*AJ2</f>
        <v>126.66023856858848</v>
      </c>
      <c r="AK11" s="81">
        <f t="shared" si="16"/>
        <v>126.66023856858848</v>
      </c>
      <c r="AL11" s="81">
        <f t="shared" si="16"/>
        <v>126.66023856858848</v>
      </c>
      <c r="AM11" s="81">
        <f t="shared" si="16"/>
        <v>126.66023856858848</v>
      </c>
      <c r="AN11" s="81">
        <f t="shared" si="16"/>
        <v>126.66023856858848</v>
      </c>
      <c r="AQ11" s="90"/>
    </row>
    <row r="12" spans="1:43">
      <c r="A12" s="86" t="s">
        <v>548</v>
      </c>
      <c r="W12" s="7">
        <v>56</v>
      </c>
      <c r="X12" s="7">
        <v>74</v>
      </c>
      <c r="Y12" s="7">
        <v>65</v>
      </c>
      <c r="Z12" s="7">
        <v>60</v>
      </c>
      <c r="AA12" s="7">
        <v>65</v>
      </c>
      <c r="AB12" s="7">
        <v>69</v>
      </c>
      <c r="AC12" s="30">
        <v>80</v>
      </c>
      <c r="AD12" s="7">
        <v>63</v>
      </c>
      <c r="AE12" s="7">
        <v>61</v>
      </c>
      <c r="AF12" s="7">
        <v>18</v>
      </c>
      <c r="AG12" s="30">
        <v>17</v>
      </c>
      <c r="AH12" s="30">
        <v>10</v>
      </c>
      <c r="AI12" s="81">
        <f t="shared" ref="AI12" si="17">AI32*AI52*AI3</f>
        <v>10.87438970261873</v>
      </c>
      <c r="AJ12" s="81">
        <f t="shared" si="16"/>
        <v>10.87438970261873</v>
      </c>
      <c r="AK12" s="81">
        <f t="shared" si="16"/>
        <v>10.87438970261873</v>
      </c>
      <c r="AL12" s="81">
        <f t="shared" si="16"/>
        <v>10.87438970261873</v>
      </c>
      <c r="AM12" s="81">
        <f t="shared" si="16"/>
        <v>10.87438970261873</v>
      </c>
      <c r="AN12" s="81">
        <f t="shared" si="16"/>
        <v>10.87438970261873</v>
      </c>
      <c r="AQ12" s="90"/>
    </row>
    <row r="13" spans="1:43">
      <c r="A13" s="86" t="s">
        <v>345</v>
      </c>
      <c r="W13" s="7">
        <v>-29</v>
      </c>
      <c r="X13" s="7">
        <v>-27</v>
      </c>
      <c r="Y13" s="7">
        <v>-12</v>
      </c>
      <c r="Z13" s="7">
        <v>-13</v>
      </c>
      <c r="AA13" s="7">
        <v>-13</v>
      </c>
      <c r="AB13" s="7">
        <v>-11</v>
      </c>
      <c r="AC13" s="30">
        <v>-16</v>
      </c>
      <c r="AD13" s="7">
        <v>0</v>
      </c>
      <c r="AE13" s="7">
        <f t="shared" ref="AE13:AG15" si="18">AD13</f>
        <v>0</v>
      </c>
      <c r="AF13" s="7">
        <f t="shared" si="18"/>
        <v>0</v>
      </c>
      <c r="AG13" s="30">
        <f t="shared" si="18"/>
        <v>0</v>
      </c>
      <c r="AH13" s="30">
        <f t="shared" ref="AH13:AI15" si="19">AG13</f>
        <v>0</v>
      </c>
      <c r="AI13" s="81">
        <f t="shared" si="19"/>
        <v>0</v>
      </c>
      <c r="AJ13" s="81">
        <f t="shared" ref="AJ13:AK15" si="20">AI13</f>
        <v>0</v>
      </c>
      <c r="AK13" s="81">
        <f t="shared" si="20"/>
        <v>0</v>
      </c>
      <c r="AL13" s="81">
        <f>AK13</f>
        <v>0</v>
      </c>
      <c r="AM13" s="81">
        <f t="shared" ref="AM13:AN15" si="21">AL13</f>
        <v>0</v>
      </c>
      <c r="AN13" s="81">
        <f t="shared" si="21"/>
        <v>0</v>
      </c>
      <c r="AQ13" s="90"/>
    </row>
    <row r="14" spans="1:43">
      <c r="A14" s="86" t="s">
        <v>343</v>
      </c>
      <c r="W14" s="7">
        <f>W10-SUM(W11:W13)</f>
        <v>-14</v>
      </c>
      <c r="X14" s="7">
        <v>-18</v>
      </c>
      <c r="Y14" s="7">
        <v>-17</v>
      </c>
      <c r="Z14" s="7">
        <v>-25</v>
      </c>
      <c r="AA14" s="7">
        <v>-38</v>
      </c>
      <c r="AB14" s="7">
        <v>-28</v>
      </c>
      <c r="AC14" s="30">
        <v>-1</v>
      </c>
      <c r="AD14" s="7">
        <v>-43</v>
      </c>
      <c r="AE14" s="7">
        <v>-14</v>
      </c>
      <c r="AF14" s="7">
        <v>-8</v>
      </c>
      <c r="AG14" s="30">
        <v>-5</v>
      </c>
      <c r="AH14" s="30">
        <v>-10</v>
      </c>
      <c r="AI14" s="81">
        <f t="shared" si="19"/>
        <v>-10</v>
      </c>
      <c r="AJ14" s="81">
        <f t="shared" si="20"/>
        <v>-10</v>
      </c>
      <c r="AK14" s="81">
        <f t="shared" si="20"/>
        <v>-10</v>
      </c>
      <c r="AL14" s="81">
        <f>AK14</f>
        <v>-10</v>
      </c>
      <c r="AM14" s="81">
        <f t="shared" si="21"/>
        <v>-10</v>
      </c>
      <c r="AN14" s="81">
        <f t="shared" si="21"/>
        <v>-10</v>
      </c>
      <c r="AQ14" s="90"/>
    </row>
    <row r="15" spans="1:43">
      <c r="A15" s="43" t="s">
        <v>485</v>
      </c>
      <c r="O15" s="7">
        <v>0</v>
      </c>
      <c r="P15" s="7">
        <v>0</v>
      </c>
      <c r="Q15" s="7">
        <v>25</v>
      </c>
      <c r="R15" s="7">
        <v>5</v>
      </c>
      <c r="S15" s="7">
        <v>0</v>
      </c>
      <c r="T15" s="7">
        <v>0</v>
      </c>
      <c r="U15" s="7">
        <v>4</v>
      </c>
      <c r="V15" s="7">
        <v>5</v>
      </c>
      <c r="W15" s="7">
        <v>5</v>
      </c>
      <c r="X15" s="7">
        <v>3</v>
      </c>
      <c r="Y15" s="7">
        <v>2</v>
      </c>
      <c r="Z15" s="7">
        <v>3</v>
      </c>
      <c r="AA15" s="7">
        <f>4</f>
        <v>4</v>
      </c>
      <c r="AB15" s="7">
        <v>1</v>
      </c>
      <c r="AC15" s="30">
        <v>0</v>
      </c>
      <c r="AD15" s="30">
        <v>0</v>
      </c>
      <c r="AE15" s="7">
        <v>0</v>
      </c>
      <c r="AF15" s="7">
        <f t="shared" si="18"/>
        <v>0</v>
      </c>
      <c r="AG15" s="30">
        <f t="shared" si="18"/>
        <v>0</v>
      </c>
      <c r="AH15" s="30">
        <f t="shared" si="19"/>
        <v>0</v>
      </c>
      <c r="AI15" s="81">
        <f t="shared" si="19"/>
        <v>0</v>
      </c>
      <c r="AJ15" s="81">
        <f t="shared" si="20"/>
        <v>0</v>
      </c>
      <c r="AK15" s="81">
        <f t="shared" si="20"/>
        <v>0</v>
      </c>
      <c r="AL15" s="81">
        <f>AK15</f>
        <v>0</v>
      </c>
      <c r="AM15" s="81">
        <f t="shared" si="21"/>
        <v>0</v>
      </c>
      <c r="AN15" s="81">
        <f t="shared" si="21"/>
        <v>0</v>
      </c>
      <c r="AQ15" s="90"/>
    </row>
    <row r="16" spans="1:43">
      <c r="A16" s="80" t="s">
        <v>524</v>
      </c>
      <c r="B16" s="9"/>
      <c r="C16" s="9"/>
      <c r="D16" s="9"/>
      <c r="E16" s="9"/>
      <c r="F16" s="9"/>
      <c r="G16" s="9"/>
      <c r="H16" s="9"/>
      <c r="I16" s="9"/>
      <c r="J16" s="9"/>
      <c r="K16" s="9"/>
      <c r="L16" s="9"/>
      <c r="M16" s="9"/>
      <c r="N16" s="9"/>
      <c r="O16" s="9">
        <f t="shared" ref="O16:X16" si="22">O10+O15</f>
        <v>373</v>
      </c>
      <c r="P16" s="9">
        <f t="shared" si="22"/>
        <v>442</v>
      </c>
      <c r="Q16" s="9">
        <f t="shared" si="22"/>
        <v>409</v>
      </c>
      <c r="R16" s="9">
        <f t="shared" si="22"/>
        <v>125</v>
      </c>
      <c r="S16" s="9">
        <f>S18-S17</f>
        <v>531</v>
      </c>
      <c r="T16" s="9">
        <f t="shared" si="22"/>
        <v>397</v>
      </c>
      <c r="U16" s="9">
        <f>U18-U17</f>
        <v>91</v>
      </c>
      <c r="V16" s="9">
        <f t="shared" si="22"/>
        <v>243</v>
      </c>
      <c r="W16" s="9">
        <f t="shared" si="22"/>
        <v>241</v>
      </c>
      <c r="X16" s="9">
        <f t="shared" si="22"/>
        <v>297</v>
      </c>
      <c r="Y16" s="9">
        <f t="shared" ref="Y16:AF16" si="23">Y10+Y15</f>
        <v>312</v>
      </c>
      <c r="Z16" s="9">
        <f t="shared" si="23"/>
        <v>274</v>
      </c>
      <c r="AA16" s="9">
        <f t="shared" si="23"/>
        <v>160</v>
      </c>
      <c r="AB16" s="9">
        <f t="shared" si="23"/>
        <v>162</v>
      </c>
      <c r="AC16" s="9">
        <f t="shared" si="23"/>
        <v>335</v>
      </c>
      <c r="AD16" s="9">
        <f t="shared" si="23"/>
        <v>386</v>
      </c>
      <c r="AE16" s="9">
        <f t="shared" si="23"/>
        <v>241</v>
      </c>
      <c r="AF16" s="9">
        <f t="shared" si="23"/>
        <v>13</v>
      </c>
      <c r="AG16" s="9">
        <f t="shared" ref="AG16" si="24">AG10+AG15</f>
        <v>309</v>
      </c>
      <c r="AH16" s="9">
        <f t="shared" ref="AH16:AN16" si="25">AH10+AH15</f>
        <v>261</v>
      </c>
      <c r="AI16" s="9">
        <f t="shared" si="25"/>
        <v>127.53462827120723</v>
      </c>
      <c r="AJ16" s="9">
        <f t="shared" si="25"/>
        <v>127.53462827120723</v>
      </c>
      <c r="AK16" s="9">
        <f t="shared" si="25"/>
        <v>127.53462827120723</v>
      </c>
      <c r="AL16" s="9">
        <f t="shared" si="25"/>
        <v>127.53462827120723</v>
      </c>
      <c r="AM16" s="9">
        <f t="shared" si="25"/>
        <v>127.53462827120723</v>
      </c>
      <c r="AN16" s="9">
        <f t="shared" si="25"/>
        <v>127.53462827120723</v>
      </c>
      <c r="AQ16" s="90"/>
    </row>
    <row r="17" spans="1:43">
      <c r="A17" s="43" t="s">
        <v>100</v>
      </c>
      <c r="B17" s="7"/>
      <c r="C17" s="7"/>
      <c r="D17" s="7"/>
      <c r="E17" s="7"/>
      <c r="F17" s="7"/>
      <c r="G17" s="7"/>
      <c r="H17" s="7"/>
      <c r="I17" s="7"/>
      <c r="O17" s="7">
        <v>0</v>
      </c>
      <c r="P17" s="7">
        <v>0</v>
      </c>
      <c r="Q17" s="7">
        <v>0</v>
      </c>
      <c r="R17" s="7">
        <f>R18-R16</f>
        <v>-9</v>
      </c>
      <c r="S17" s="7">
        <v>-6</v>
      </c>
      <c r="T17" s="7">
        <v>-7</v>
      </c>
      <c r="U17" s="7">
        <v>-5</v>
      </c>
      <c r="V17" s="7">
        <v>0</v>
      </c>
      <c r="W17" s="7">
        <v>0</v>
      </c>
      <c r="X17" s="7">
        <v>0</v>
      </c>
      <c r="Y17" s="7">
        <v>0</v>
      </c>
      <c r="Z17" s="7">
        <v>0</v>
      </c>
      <c r="AA17" s="7">
        <v>0</v>
      </c>
      <c r="AB17" s="7">
        <f t="shared" ref="AB17:AI17" si="26">AA17</f>
        <v>0</v>
      </c>
      <c r="AC17" s="7">
        <f t="shared" si="26"/>
        <v>0</v>
      </c>
      <c r="AD17" s="7">
        <f t="shared" si="26"/>
        <v>0</v>
      </c>
      <c r="AE17" s="7">
        <v>-68</v>
      </c>
      <c r="AF17" s="7">
        <v>-2</v>
      </c>
      <c r="AG17" s="7">
        <v>-2</v>
      </c>
      <c r="AH17" s="7">
        <v>-1</v>
      </c>
      <c r="AI17" s="81">
        <f t="shared" si="26"/>
        <v>-1</v>
      </c>
      <c r="AJ17" s="81">
        <f>AI17</f>
        <v>-1</v>
      </c>
      <c r="AK17" s="81">
        <f>AJ17</f>
        <v>-1</v>
      </c>
      <c r="AL17" s="81">
        <f>AK17</f>
        <v>-1</v>
      </c>
      <c r="AM17" s="81">
        <f>AL17</f>
        <v>-1</v>
      </c>
      <c r="AN17" s="81">
        <f>AM17</f>
        <v>-1</v>
      </c>
      <c r="AQ17" s="90"/>
    </row>
    <row r="18" spans="1:43">
      <c r="A18" s="80" t="s">
        <v>487</v>
      </c>
      <c r="B18" s="9"/>
      <c r="C18" s="9"/>
      <c r="D18" s="9"/>
      <c r="E18" s="9"/>
      <c r="F18" s="9"/>
      <c r="G18" s="9"/>
      <c r="H18" s="9"/>
      <c r="I18" s="9"/>
      <c r="J18" s="9"/>
      <c r="K18" s="9"/>
      <c r="L18" s="9"/>
      <c r="M18" s="9"/>
      <c r="N18" s="9"/>
      <c r="O18" s="9">
        <f t="shared" ref="O18:X18" si="27">O16+O17</f>
        <v>373</v>
      </c>
      <c r="P18" s="9">
        <f>SUM(P19:P23)</f>
        <v>444</v>
      </c>
      <c r="Q18" s="9">
        <f>SUM(Q19:Q23)</f>
        <v>409</v>
      </c>
      <c r="R18" s="9">
        <v>116</v>
      </c>
      <c r="S18" s="9">
        <f>S25-S24</f>
        <v>525</v>
      </c>
      <c r="T18" s="9">
        <f t="shared" si="27"/>
        <v>390</v>
      </c>
      <c r="U18" s="9">
        <f>U25-U24</f>
        <v>86</v>
      </c>
      <c r="V18" s="9">
        <f t="shared" si="27"/>
        <v>243</v>
      </c>
      <c r="W18" s="9">
        <f t="shared" si="27"/>
        <v>241</v>
      </c>
      <c r="X18" s="9">
        <f t="shared" si="27"/>
        <v>297</v>
      </c>
      <c r="Y18" s="9">
        <f>Y16+Y17</f>
        <v>312</v>
      </c>
      <c r="Z18" s="9">
        <f>Z16+Z17</f>
        <v>274</v>
      </c>
      <c r="AA18" s="9">
        <f t="shared" ref="AA18:AF18" si="28">AA16+AA17</f>
        <v>160</v>
      </c>
      <c r="AB18" s="9">
        <f t="shared" si="28"/>
        <v>162</v>
      </c>
      <c r="AC18" s="9">
        <f t="shared" si="28"/>
        <v>335</v>
      </c>
      <c r="AD18" s="9">
        <f t="shared" si="28"/>
        <v>386</v>
      </c>
      <c r="AE18" s="9">
        <f t="shared" si="28"/>
        <v>173</v>
      </c>
      <c r="AF18" s="9">
        <f t="shared" si="28"/>
        <v>11</v>
      </c>
      <c r="AG18" s="9">
        <f t="shared" ref="AG18" si="29">AG16+AG17</f>
        <v>307</v>
      </c>
      <c r="AH18" s="9">
        <f t="shared" ref="AH18:AN18" si="30">AH16+AH17</f>
        <v>260</v>
      </c>
      <c r="AI18" s="9">
        <f t="shared" si="30"/>
        <v>126.53462827120723</v>
      </c>
      <c r="AJ18" s="9">
        <f t="shared" si="30"/>
        <v>126.53462827120723</v>
      </c>
      <c r="AK18" s="9">
        <f t="shared" si="30"/>
        <v>126.53462827120723</v>
      </c>
      <c r="AL18" s="9">
        <f t="shared" si="30"/>
        <v>126.53462827120723</v>
      </c>
      <c r="AM18" s="9">
        <f t="shared" si="30"/>
        <v>126.53462827120723</v>
      </c>
      <c r="AN18" s="9">
        <f t="shared" si="30"/>
        <v>126.53462827120723</v>
      </c>
      <c r="AQ18" s="90"/>
    </row>
    <row r="19" spans="1:43">
      <c r="A19" s="86" t="s">
        <v>547</v>
      </c>
      <c r="P19" s="7">
        <v>340</v>
      </c>
      <c r="Q19" s="7">
        <v>242</v>
      </c>
      <c r="R19" s="7">
        <v>72</v>
      </c>
      <c r="S19" s="7">
        <v>394</v>
      </c>
      <c r="T19" s="7">
        <v>272</v>
      </c>
      <c r="U19" s="7">
        <v>151</v>
      </c>
      <c r="V19" s="7">
        <v>251</v>
      </c>
      <c r="W19" s="7">
        <v>223</v>
      </c>
      <c r="X19" s="7">
        <v>265</v>
      </c>
      <c r="Y19" s="7">
        <v>274</v>
      </c>
      <c r="Z19" s="7">
        <v>249</v>
      </c>
      <c r="AA19" s="7">
        <v>142</v>
      </c>
      <c r="AB19" s="7">
        <v>131</v>
      </c>
      <c r="AC19" s="7">
        <v>272</v>
      </c>
      <c r="AD19" s="7">
        <v>366</v>
      </c>
      <c r="AE19" s="7">
        <v>126</v>
      </c>
      <c r="AF19" s="7">
        <v>3</v>
      </c>
      <c r="AG19" s="7">
        <v>297</v>
      </c>
      <c r="AH19" s="7">
        <v>261</v>
      </c>
    </row>
    <row r="20" spans="1:43">
      <c r="A20" s="86" t="s">
        <v>553</v>
      </c>
      <c r="P20" s="7">
        <v>0</v>
      </c>
      <c r="Q20" s="7">
        <v>0</v>
      </c>
      <c r="R20" s="7">
        <v>0</v>
      </c>
      <c r="S20" s="7">
        <v>0</v>
      </c>
      <c r="T20" s="7">
        <v>-3</v>
      </c>
      <c r="U20" s="7">
        <v>-4</v>
      </c>
      <c r="V20" s="7">
        <v>38</v>
      </c>
      <c r="W20" s="7">
        <v>56</v>
      </c>
      <c r="X20" s="7">
        <v>74</v>
      </c>
      <c r="Y20" s="7">
        <v>65</v>
      </c>
      <c r="Z20" s="7">
        <v>60</v>
      </c>
      <c r="AA20" s="7">
        <v>65</v>
      </c>
      <c r="AB20" s="7">
        <v>69</v>
      </c>
      <c r="AC20" s="7">
        <v>80</v>
      </c>
      <c r="AD20" s="7">
        <v>-60</v>
      </c>
      <c r="AE20" s="7">
        <v>61</v>
      </c>
      <c r="AF20" s="7">
        <v>16</v>
      </c>
      <c r="AG20" s="7">
        <v>15</v>
      </c>
      <c r="AH20" s="7">
        <v>9</v>
      </c>
    </row>
    <row r="21" spans="1:43">
      <c r="A21" s="86" t="s">
        <v>551</v>
      </c>
      <c r="P21" s="7">
        <v>58</v>
      </c>
      <c r="Q21" s="7">
        <v>164</v>
      </c>
      <c r="R21" s="7">
        <v>119</v>
      </c>
      <c r="S21" s="7">
        <v>187</v>
      </c>
      <c r="T21" s="7">
        <v>173</v>
      </c>
      <c r="U21" s="7">
        <v>5</v>
      </c>
      <c r="V21" s="7">
        <v>0</v>
      </c>
      <c r="W21" s="7">
        <v>0</v>
      </c>
      <c r="X21" s="7">
        <v>0</v>
      </c>
      <c r="Y21" s="7">
        <v>0</v>
      </c>
      <c r="Z21" s="7">
        <v>0</v>
      </c>
      <c r="AA21" s="7">
        <v>0</v>
      </c>
      <c r="AB21" s="7">
        <v>0</v>
      </c>
      <c r="AC21" s="7">
        <v>0</v>
      </c>
      <c r="AD21" s="7">
        <v>0</v>
      </c>
      <c r="AE21" s="7">
        <v>0</v>
      </c>
      <c r="AF21" s="7">
        <v>0</v>
      </c>
      <c r="AG21" s="7">
        <v>0</v>
      </c>
      <c r="AH21" s="7">
        <v>0</v>
      </c>
    </row>
    <row r="22" spans="1:43">
      <c r="A22" s="86" t="s">
        <v>345</v>
      </c>
      <c r="P22" s="81">
        <f>46-P23</f>
        <v>60</v>
      </c>
      <c r="Q22" s="7">
        <f>-8+25</f>
        <v>17</v>
      </c>
      <c r="R22" s="7">
        <f>-33+5</f>
        <v>-28</v>
      </c>
      <c r="S22" s="7">
        <v>-14</v>
      </c>
      <c r="T22" s="7">
        <v>-18</v>
      </c>
      <c r="U22" s="7">
        <v>-47</v>
      </c>
      <c r="V22" s="7">
        <v>-24</v>
      </c>
      <c r="W22" s="7">
        <v>-26</v>
      </c>
      <c r="X22" s="7">
        <v>-26</v>
      </c>
      <c r="Y22" s="7">
        <v>-12</v>
      </c>
      <c r="Z22" s="7">
        <v>-13</v>
      </c>
      <c r="AA22" s="7">
        <v>-13</v>
      </c>
      <c r="AB22" s="7">
        <v>-11</v>
      </c>
      <c r="AC22" s="7">
        <v>-16</v>
      </c>
      <c r="AD22" s="7">
        <v>-14</v>
      </c>
      <c r="AE22" s="7">
        <v>-14</v>
      </c>
      <c r="AF22" s="7">
        <v>-8</v>
      </c>
      <c r="AG22" s="7">
        <v>-5</v>
      </c>
      <c r="AH22" s="7">
        <v>-10</v>
      </c>
    </row>
    <row r="23" spans="1:43">
      <c r="A23" s="86" t="s">
        <v>343</v>
      </c>
      <c r="P23" s="81">
        <f>Q23</f>
        <v>-14</v>
      </c>
      <c r="Q23" s="7">
        <v>-14</v>
      </c>
      <c r="R23" s="7">
        <v>-47</v>
      </c>
      <c r="S23" s="7">
        <v>-42</v>
      </c>
      <c r="T23" s="7">
        <v>-34</v>
      </c>
      <c r="U23" s="7">
        <v>-19</v>
      </c>
      <c r="V23" s="7">
        <v>-22</v>
      </c>
      <c r="W23" s="7">
        <f>W18-SUM(W19:W22)</f>
        <v>-12</v>
      </c>
      <c r="X23" s="7">
        <v>-16</v>
      </c>
      <c r="Y23" s="7">
        <v>-15</v>
      </c>
      <c r="Z23" s="7">
        <v>-22</v>
      </c>
      <c r="AA23" s="7">
        <v>-34</v>
      </c>
      <c r="AB23" s="7">
        <v>-27</v>
      </c>
      <c r="AC23" s="7">
        <v>-1</v>
      </c>
      <c r="AD23" s="7">
        <v>94</v>
      </c>
      <c r="AE23" s="7">
        <v>0</v>
      </c>
      <c r="AF23" s="7">
        <v>0</v>
      </c>
      <c r="AG23" s="7">
        <v>0</v>
      </c>
      <c r="AH23" s="7">
        <v>0</v>
      </c>
    </row>
    <row r="24" spans="1:43">
      <c r="A24" s="43" t="s">
        <v>550</v>
      </c>
      <c r="O24" s="7">
        <v>0</v>
      </c>
      <c r="P24" s="7">
        <f>P25-P18</f>
        <v>1224</v>
      </c>
      <c r="Q24" s="7">
        <f>Q25-Q18</f>
        <v>1071</v>
      </c>
      <c r="R24" s="7">
        <v>0</v>
      </c>
      <c r="S24" s="7">
        <f>153-131</f>
        <v>22</v>
      </c>
      <c r="T24" s="7">
        <v>0</v>
      </c>
      <c r="U24" s="7">
        <v>876</v>
      </c>
      <c r="V24" s="7">
        <v>0</v>
      </c>
      <c r="W24" s="7">
        <v>0</v>
      </c>
      <c r="X24" s="7">
        <v>0</v>
      </c>
      <c r="Y24" s="7">
        <v>0</v>
      </c>
      <c r="Z24" s="7">
        <v>0</v>
      </c>
      <c r="AA24" s="7">
        <v>0</v>
      </c>
      <c r="AB24" s="7">
        <v>0</v>
      </c>
      <c r="AC24" s="7">
        <f t="shared" ref="AC24:AI24" si="31">AB24</f>
        <v>0</v>
      </c>
      <c r="AD24" s="7">
        <f t="shared" si="31"/>
        <v>0</v>
      </c>
      <c r="AE24" s="7">
        <v>249</v>
      </c>
      <c r="AF24" s="7">
        <v>0</v>
      </c>
      <c r="AG24" s="7">
        <v>0</v>
      </c>
      <c r="AH24" s="7">
        <f t="shared" si="31"/>
        <v>0</v>
      </c>
      <c r="AI24" s="81">
        <f t="shared" si="31"/>
        <v>0</v>
      </c>
      <c r="AJ24" s="81">
        <f>AI24</f>
        <v>0</v>
      </c>
      <c r="AK24" s="81">
        <f>AJ24</f>
        <v>0</v>
      </c>
      <c r="AL24" s="81">
        <f>AK24</f>
        <v>0</v>
      </c>
      <c r="AM24" s="81">
        <f>AL24</f>
        <v>0</v>
      </c>
      <c r="AN24" s="81">
        <f>AM24</f>
        <v>0</v>
      </c>
    </row>
    <row r="25" spans="1:43">
      <c r="A25" s="80" t="s">
        <v>543</v>
      </c>
      <c r="B25" s="9"/>
      <c r="C25" s="9"/>
      <c r="D25" s="9"/>
      <c r="E25" s="9"/>
      <c r="F25" s="9"/>
      <c r="G25" s="9"/>
      <c r="H25" s="9"/>
      <c r="I25" s="9"/>
      <c r="J25" s="9"/>
      <c r="K25" s="9"/>
      <c r="L25" s="9"/>
      <c r="M25" s="9"/>
      <c r="N25" s="9"/>
      <c r="O25" s="9">
        <f>O18+O24</f>
        <v>373</v>
      </c>
      <c r="P25" s="9">
        <v>1668</v>
      </c>
      <c r="Q25" s="9">
        <v>1480</v>
      </c>
      <c r="R25" s="9">
        <f>R18+R24</f>
        <v>116</v>
      </c>
      <c r="S25" s="9">
        <v>547</v>
      </c>
      <c r="T25" s="9">
        <f>T18+T24</f>
        <v>390</v>
      </c>
      <c r="U25" s="9">
        <v>962</v>
      </c>
      <c r="V25" s="9">
        <f t="shared" ref="V25:AF25" si="32">V18+V24</f>
        <v>243</v>
      </c>
      <c r="W25" s="9">
        <f t="shared" si="32"/>
        <v>241</v>
      </c>
      <c r="X25" s="9">
        <f t="shared" si="32"/>
        <v>297</v>
      </c>
      <c r="Y25" s="9">
        <f t="shared" si="32"/>
        <v>312</v>
      </c>
      <c r="Z25" s="9">
        <f t="shared" si="32"/>
        <v>274</v>
      </c>
      <c r="AA25" s="9">
        <f t="shared" si="32"/>
        <v>160</v>
      </c>
      <c r="AB25" s="9">
        <f t="shared" si="32"/>
        <v>162</v>
      </c>
      <c r="AC25" s="9">
        <f t="shared" si="32"/>
        <v>335</v>
      </c>
      <c r="AD25" s="9">
        <f t="shared" si="32"/>
        <v>386</v>
      </c>
      <c r="AE25" s="9">
        <f t="shared" si="32"/>
        <v>422</v>
      </c>
      <c r="AF25" s="9">
        <f t="shared" si="32"/>
        <v>11</v>
      </c>
      <c r="AG25" s="9">
        <f t="shared" ref="AG25:AN25" si="33">AG18+AG24</f>
        <v>307</v>
      </c>
      <c r="AH25" s="9">
        <f t="shared" si="33"/>
        <v>260</v>
      </c>
      <c r="AI25" s="9">
        <f t="shared" si="33"/>
        <v>126.53462827120723</v>
      </c>
      <c r="AJ25" s="9">
        <f t="shared" si="33"/>
        <v>126.53462827120723</v>
      </c>
      <c r="AK25" s="9">
        <f t="shared" si="33"/>
        <v>126.53462827120723</v>
      </c>
      <c r="AL25" s="9">
        <f t="shared" si="33"/>
        <v>126.53462827120723</v>
      </c>
      <c r="AM25" s="9">
        <f t="shared" si="33"/>
        <v>126.53462827120723</v>
      </c>
      <c r="AN25" s="9">
        <f t="shared" si="33"/>
        <v>126.53462827120723</v>
      </c>
      <c r="AQ25" s="90"/>
    </row>
    <row r="27" spans="1:43">
      <c r="A27" s="6" t="s">
        <v>447</v>
      </c>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row>
    <row r="28" spans="1:43">
      <c r="A28" s="88" t="s">
        <v>556</v>
      </c>
      <c r="B28" s="89"/>
      <c r="C28" s="89"/>
      <c r="D28" s="89"/>
      <c r="E28" s="89"/>
      <c r="F28" s="89"/>
      <c r="G28" s="89"/>
      <c r="H28" s="89"/>
      <c r="I28" s="89"/>
      <c r="J28" s="89"/>
      <c r="K28" s="89"/>
      <c r="L28" s="89"/>
      <c r="M28" s="89"/>
      <c r="N28" s="89"/>
      <c r="O28" s="89"/>
      <c r="P28" s="89"/>
      <c r="Q28" s="89"/>
      <c r="R28" s="89"/>
      <c r="S28" s="89"/>
      <c r="T28" s="89"/>
      <c r="U28" s="89"/>
      <c r="V28" s="89"/>
      <c r="W28" s="89"/>
      <c r="X28" s="89"/>
      <c r="Y28" s="89"/>
      <c r="Z28" s="89"/>
      <c r="AA28" s="89"/>
      <c r="AB28" s="89"/>
      <c r="AC28" s="89"/>
      <c r="AD28" s="89"/>
      <c r="AE28" s="89"/>
      <c r="AF28" s="89"/>
      <c r="AG28" s="89"/>
      <c r="AH28" s="89"/>
      <c r="AI28" s="89"/>
      <c r="AJ28" s="89"/>
      <c r="AK28" s="89"/>
      <c r="AL28" s="89"/>
      <c r="AM28" s="89"/>
      <c r="AN28" s="89"/>
    </row>
    <row r="29" spans="1:43">
      <c r="A29" s="43" t="s">
        <v>554</v>
      </c>
      <c r="P29" s="90">
        <f t="shared" ref="P29:AB29" si="34">P51/P36</f>
        <v>0.4</v>
      </c>
      <c r="Q29" s="90">
        <f t="shared" si="34"/>
        <v>0.2</v>
      </c>
      <c r="R29" s="90">
        <f t="shared" si="34"/>
        <v>0.2</v>
      </c>
      <c r="S29" s="90">
        <f t="shared" si="34"/>
        <v>0.2</v>
      </c>
      <c r="T29" s="90">
        <f t="shared" si="34"/>
        <v>0.2</v>
      </c>
      <c r="U29" s="90">
        <f t="shared" si="34"/>
        <v>0.2</v>
      </c>
      <c r="V29" s="90">
        <f t="shared" si="34"/>
        <v>0.2</v>
      </c>
      <c r="W29" s="90">
        <f t="shared" si="34"/>
        <v>0.2</v>
      </c>
      <c r="X29" s="90">
        <f t="shared" si="34"/>
        <v>0.2</v>
      </c>
      <c r="Y29" s="90">
        <f t="shared" si="34"/>
        <v>0.2</v>
      </c>
      <c r="Z29" s="90">
        <f t="shared" si="34"/>
        <v>0.2</v>
      </c>
      <c r="AA29" s="90">
        <f t="shared" si="34"/>
        <v>0.2</v>
      </c>
      <c r="AB29" s="90">
        <f t="shared" si="34"/>
        <v>0.2</v>
      </c>
      <c r="AC29" s="90">
        <f t="shared" ref="AC29:AF30" si="35">AC51/AC36</f>
        <v>0.2</v>
      </c>
      <c r="AD29" s="90">
        <f t="shared" si="35"/>
        <v>0.2</v>
      </c>
      <c r="AE29" s="90">
        <f t="shared" si="35"/>
        <v>0.2</v>
      </c>
      <c r="AF29" s="90">
        <f t="shared" si="35"/>
        <v>0.2</v>
      </c>
      <c r="AG29" s="90">
        <f t="shared" ref="AG29" si="36">AG51/AG36</f>
        <v>0.2</v>
      </c>
      <c r="AH29" s="90">
        <f t="shared" ref="AH29" si="37">AH51/AH36</f>
        <v>0.2</v>
      </c>
      <c r="AI29" s="101">
        <f t="shared" ref="AI29:AI30" si="38">AH29</f>
        <v>0.2</v>
      </c>
      <c r="AJ29" s="101">
        <f t="shared" ref="AJ29:AK32" si="39">AI29</f>
        <v>0.2</v>
      </c>
      <c r="AK29" s="101">
        <f t="shared" si="39"/>
        <v>0.2</v>
      </c>
      <c r="AL29" s="101">
        <f>AK29</f>
        <v>0.2</v>
      </c>
      <c r="AM29" s="101">
        <f t="shared" ref="AM29:AN31" si="40">AL29</f>
        <v>0.2</v>
      </c>
      <c r="AN29" s="101">
        <f t="shared" si="40"/>
        <v>0.2</v>
      </c>
    </row>
    <row r="30" spans="1:43">
      <c r="A30" s="43" t="s">
        <v>555</v>
      </c>
      <c r="U30" s="90">
        <f t="shared" ref="U30:AB30" si="41">U52/U37</f>
        <v>0.375</v>
      </c>
      <c r="V30" s="90">
        <f t="shared" si="41"/>
        <v>0.32727272727272727</v>
      </c>
      <c r="W30" s="90">
        <f t="shared" si="41"/>
        <v>0.33333333333333331</v>
      </c>
      <c r="X30" s="90">
        <f t="shared" si="41"/>
        <v>0.33333333333333331</v>
      </c>
      <c r="Y30" s="90">
        <f t="shared" si="41"/>
        <v>0.33333333333333331</v>
      </c>
      <c r="Z30" s="90">
        <f t="shared" si="41"/>
        <v>0.33333333333333331</v>
      </c>
      <c r="AA30" s="90">
        <f t="shared" si="41"/>
        <v>0.33333333333333331</v>
      </c>
      <c r="AB30" s="90">
        <f t="shared" si="41"/>
        <v>0.33333333333333331</v>
      </c>
      <c r="AC30" s="90">
        <f t="shared" si="35"/>
        <v>0.33333333333333331</v>
      </c>
      <c r="AD30" s="90">
        <f t="shared" si="35"/>
        <v>0.33333333333333331</v>
      </c>
      <c r="AE30" s="90">
        <f t="shared" si="35"/>
        <v>0.33333333333333331</v>
      </c>
      <c r="AF30" s="90">
        <f>AF52/AF37</f>
        <v>0.33333333333333331</v>
      </c>
      <c r="AG30" s="90">
        <f>AG52/AG37</f>
        <v>0.33333333333333331</v>
      </c>
      <c r="AH30" s="90">
        <f>AH52/AH37</f>
        <v>0.33333333333333331</v>
      </c>
      <c r="AI30" s="101">
        <f t="shared" si="38"/>
        <v>0.33333333333333331</v>
      </c>
      <c r="AJ30" s="101">
        <f t="shared" si="39"/>
        <v>0.33333333333333331</v>
      </c>
      <c r="AK30" s="101">
        <f t="shared" si="39"/>
        <v>0.33333333333333331</v>
      </c>
      <c r="AL30" s="101">
        <f>AK30</f>
        <v>0.33333333333333331</v>
      </c>
      <c r="AM30" s="101">
        <f t="shared" si="40"/>
        <v>0.33333333333333331</v>
      </c>
      <c r="AN30" s="101">
        <f t="shared" si="40"/>
        <v>0.33333333333333331</v>
      </c>
    </row>
    <row r="31" spans="1:43">
      <c r="A31" s="86" t="s">
        <v>557</v>
      </c>
      <c r="P31" s="91"/>
      <c r="Q31" s="91"/>
      <c r="R31" s="91"/>
      <c r="S31" s="91"/>
      <c r="T31" s="91"/>
      <c r="U31" s="91"/>
      <c r="V31" s="91"/>
      <c r="W31" s="91">
        <f t="shared" ref="W31:AB32" si="42">W11/W2/W51</f>
        <v>3.2351473370240127</v>
      </c>
      <c r="X31" s="91">
        <f t="shared" si="42"/>
        <v>3.9302579435703939</v>
      </c>
      <c r="Y31" s="91">
        <f t="shared" si="42"/>
        <v>4.2501178864815232</v>
      </c>
      <c r="Z31" s="91">
        <f t="shared" si="42"/>
        <v>3.9201239325927606</v>
      </c>
      <c r="AA31" s="91">
        <f t="shared" si="42"/>
        <v>2.0920995250050094</v>
      </c>
      <c r="AB31" s="91">
        <f t="shared" si="42"/>
        <v>1.9085081585081585</v>
      </c>
      <c r="AC31" s="91">
        <f t="shared" ref="AC31:AF32" si="43">AC11/AC2/AC51</f>
        <v>4.0632066557724498</v>
      </c>
      <c r="AD31" s="91">
        <f t="shared" si="43"/>
        <v>5.2593461167057525</v>
      </c>
      <c r="AE31" s="91">
        <f t="shared" si="43"/>
        <v>1.8391918339165221</v>
      </c>
      <c r="AF31" s="91">
        <f t="shared" si="43"/>
        <v>4.4933318954671266E-2</v>
      </c>
      <c r="AG31" s="91">
        <f t="shared" ref="AG31" si="44">AG11/AG2/AG51</f>
        <v>4.4731610337972167</v>
      </c>
      <c r="AH31" s="91">
        <f t="shared" ref="AH31" si="45">AH11/AH2/AH51</f>
        <v>3.9309596963672511</v>
      </c>
      <c r="AI31" s="92">
        <f>AH31*0.5</f>
        <v>1.9654798481836255</v>
      </c>
      <c r="AJ31" s="92">
        <f t="shared" si="39"/>
        <v>1.9654798481836255</v>
      </c>
      <c r="AK31" s="92">
        <f t="shared" si="39"/>
        <v>1.9654798481836255</v>
      </c>
      <c r="AL31" s="92">
        <f>AK31</f>
        <v>1.9654798481836255</v>
      </c>
      <c r="AM31" s="92">
        <f t="shared" si="40"/>
        <v>1.9654798481836255</v>
      </c>
      <c r="AN31" s="92">
        <f t="shared" si="40"/>
        <v>1.9654798481836255</v>
      </c>
      <c r="AQ31" s="90"/>
    </row>
    <row r="32" spans="1:43">
      <c r="A32" s="86" t="s">
        <v>558</v>
      </c>
      <c r="P32" s="91"/>
      <c r="Q32" s="91"/>
      <c r="R32" s="91"/>
      <c r="S32" s="91"/>
      <c r="T32" s="91"/>
      <c r="U32" s="91"/>
      <c r="V32" s="91"/>
      <c r="W32" s="91">
        <f t="shared" si="42"/>
        <v>10.57781303715457</v>
      </c>
      <c r="X32" s="91">
        <f t="shared" si="42"/>
        <v>14.762503241765915</v>
      </c>
      <c r="Y32" s="91">
        <f t="shared" si="42"/>
        <v>13.701806530491789</v>
      </c>
      <c r="Z32" s="91">
        <f t="shared" si="42"/>
        <v>12.98111248133965</v>
      </c>
      <c r="AA32" s="91">
        <f t="shared" si="42"/>
        <v>13.416723429727332</v>
      </c>
      <c r="AB32" s="91">
        <f t="shared" si="42"/>
        <v>13.554926921263554</v>
      </c>
      <c r="AC32" s="91">
        <f t="shared" si="43"/>
        <v>15.089354649722926</v>
      </c>
      <c r="AD32" s="91">
        <f t="shared" si="43"/>
        <v>11.636927851047325</v>
      </c>
      <c r="AE32" s="91">
        <f t="shared" si="43"/>
        <v>11.738750202815842</v>
      </c>
      <c r="AF32" s="91">
        <f t="shared" si="43"/>
        <v>3.8265306122448983</v>
      </c>
      <c r="AG32" s="91">
        <f t="shared" ref="AG32" si="46">AG12/AG3/AG52</f>
        <v>3.5930928074736332</v>
      </c>
      <c r="AH32" s="91">
        <f t="shared" ref="AH32" si="47">AH12/AH3/AH52</f>
        <v>2.1135840043962548</v>
      </c>
      <c r="AI32" s="92">
        <f t="shared" ref="AI32:AN32" si="48">AH32</f>
        <v>2.1135840043962548</v>
      </c>
      <c r="AJ32" s="92">
        <f t="shared" si="39"/>
        <v>2.1135840043962548</v>
      </c>
      <c r="AK32" s="92">
        <f t="shared" si="39"/>
        <v>2.1135840043962548</v>
      </c>
      <c r="AL32" s="92">
        <f>AK32</f>
        <v>2.1135840043962548</v>
      </c>
      <c r="AM32" s="92">
        <f t="shared" si="48"/>
        <v>2.1135840043962548</v>
      </c>
      <c r="AN32" s="92">
        <f t="shared" si="48"/>
        <v>2.1135840043962548</v>
      </c>
      <c r="AQ32" s="90"/>
    </row>
    <row r="34" spans="1:40" outlineLevel="1">
      <c r="A34" s="88" t="s">
        <v>529</v>
      </c>
      <c r="B34" s="89"/>
      <c r="C34" s="89"/>
      <c r="D34" s="89"/>
      <c r="E34" s="89"/>
      <c r="F34" s="89"/>
      <c r="G34" s="89"/>
      <c r="H34" s="89"/>
      <c r="I34" s="89"/>
      <c r="J34" s="89"/>
      <c r="K34" s="89"/>
      <c r="L34" s="89"/>
      <c r="M34" s="89"/>
      <c r="N34" s="89"/>
      <c r="O34" s="89"/>
      <c r="P34" s="89"/>
      <c r="Q34" s="89"/>
      <c r="R34" s="89"/>
      <c r="S34" s="89"/>
      <c r="T34" s="89"/>
      <c r="U34" s="89"/>
      <c r="V34" s="89"/>
      <c r="W34" s="89"/>
      <c r="X34" s="89"/>
      <c r="Y34" s="89"/>
      <c r="Z34" s="89"/>
      <c r="AA34" s="89"/>
      <c r="AB34" s="89"/>
      <c r="AC34" s="89"/>
      <c r="AD34" s="89"/>
      <c r="AE34" s="89"/>
      <c r="AF34" s="89"/>
      <c r="AG34" s="89"/>
      <c r="AH34" s="89"/>
      <c r="AI34" s="89"/>
      <c r="AJ34" s="89"/>
      <c r="AK34" s="89"/>
      <c r="AL34" s="89"/>
      <c r="AM34" s="89"/>
      <c r="AN34" s="89"/>
    </row>
    <row r="35" spans="1:40" outlineLevel="1">
      <c r="A35" s="42" t="s">
        <v>530</v>
      </c>
    </row>
    <row r="36" spans="1:40" outlineLevel="1">
      <c r="A36" s="86" t="s">
        <v>547</v>
      </c>
      <c r="P36" s="7">
        <v>1320</v>
      </c>
      <c r="Q36" s="7">
        <v>1320</v>
      </c>
      <c r="R36" s="7">
        <v>1320</v>
      </c>
      <c r="S36" s="7">
        <v>1320</v>
      </c>
      <c r="T36" s="7">
        <v>1320</v>
      </c>
      <c r="U36" s="7">
        <v>1320</v>
      </c>
      <c r="V36" s="7">
        <v>1320</v>
      </c>
      <c r="W36" s="7">
        <v>1320</v>
      </c>
      <c r="X36" s="7">
        <v>1320</v>
      </c>
      <c r="Y36" s="7">
        <v>1320</v>
      </c>
      <c r="Z36" s="7">
        <v>1320</v>
      </c>
      <c r="AA36" s="7">
        <v>1320</v>
      </c>
      <c r="AB36" s="7">
        <v>1320</v>
      </c>
      <c r="AC36" s="7">
        <v>1320</v>
      </c>
      <c r="AD36" s="7">
        <v>1320</v>
      </c>
      <c r="AE36" s="7">
        <v>1320</v>
      </c>
      <c r="AF36" s="7">
        <v>1320</v>
      </c>
      <c r="AG36" s="7">
        <v>1320</v>
      </c>
      <c r="AH36" s="7">
        <v>1320</v>
      </c>
    </row>
    <row r="37" spans="1:40" outlineLevel="1">
      <c r="A37" s="86" t="s">
        <v>553</v>
      </c>
      <c r="P37" s="7">
        <v>0</v>
      </c>
      <c r="Q37" s="7">
        <v>0</v>
      </c>
      <c r="R37" s="7">
        <v>0</v>
      </c>
      <c r="S37" s="7">
        <v>0</v>
      </c>
      <c r="T37" s="7">
        <v>0</v>
      </c>
      <c r="U37" s="7">
        <v>8</v>
      </c>
      <c r="V37" s="7">
        <v>55</v>
      </c>
      <c r="W37" s="7">
        <v>63</v>
      </c>
      <c r="X37" s="7">
        <v>63</v>
      </c>
      <c r="Y37" s="7">
        <v>63</v>
      </c>
      <c r="Z37" s="7">
        <v>63</v>
      </c>
      <c r="AA37" s="7">
        <v>63</v>
      </c>
      <c r="AB37" s="7">
        <v>63</v>
      </c>
      <c r="AC37" s="7">
        <v>63</v>
      </c>
      <c r="AD37" s="7">
        <v>63</v>
      </c>
      <c r="AE37" s="7">
        <v>63</v>
      </c>
      <c r="AF37" s="7">
        <v>63</v>
      </c>
      <c r="AG37" s="7">
        <v>63</v>
      </c>
      <c r="AH37" s="7">
        <v>63</v>
      </c>
    </row>
    <row r="38" spans="1:40" outlineLevel="1">
      <c r="A38" s="86" t="s">
        <v>551</v>
      </c>
      <c r="P38" s="7">
        <v>4429</v>
      </c>
      <c r="Q38" s="7">
        <v>5218</v>
      </c>
      <c r="R38" s="7">
        <v>6179</v>
      </c>
      <c r="S38" s="7">
        <v>6179</v>
      </c>
      <c r="T38" s="7">
        <v>7266</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v>0</v>
      </c>
      <c r="AM38" s="7">
        <v>0</v>
      </c>
      <c r="AN38" s="7">
        <v>0</v>
      </c>
    </row>
    <row r="39" spans="1:40" outlineLevel="1">
      <c r="A39" s="80" t="s">
        <v>531</v>
      </c>
      <c r="B39" s="80"/>
      <c r="C39" s="80"/>
      <c r="D39" s="80"/>
      <c r="E39" s="80"/>
      <c r="F39" s="80"/>
      <c r="G39" s="80"/>
      <c r="H39" s="80"/>
      <c r="I39" s="80"/>
      <c r="J39" s="9"/>
      <c r="K39" s="9"/>
      <c r="L39" s="9"/>
      <c r="M39" s="9"/>
      <c r="N39" s="9"/>
      <c r="O39" s="9"/>
      <c r="P39" s="9">
        <f>SUM(P36:P38)</f>
        <v>5749</v>
      </c>
      <c r="Q39" s="9">
        <f t="shared" ref="Q39:AF39" si="49">SUM(Q36:Q38)</f>
        <v>6538</v>
      </c>
      <c r="R39" s="9">
        <f t="shared" si="49"/>
        <v>7499</v>
      </c>
      <c r="S39" s="9">
        <f t="shared" si="49"/>
        <v>7499</v>
      </c>
      <c r="T39" s="9">
        <f t="shared" si="49"/>
        <v>8586</v>
      </c>
      <c r="U39" s="9">
        <f t="shared" si="49"/>
        <v>1328</v>
      </c>
      <c r="V39" s="9">
        <f t="shared" si="49"/>
        <v>1375</v>
      </c>
      <c r="W39" s="9">
        <f t="shared" si="49"/>
        <v>1383</v>
      </c>
      <c r="X39" s="9">
        <f t="shared" si="49"/>
        <v>1383</v>
      </c>
      <c r="Y39" s="9">
        <f t="shared" si="49"/>
        <v>1383</v>
      </c>
      <c r="Z39" s="9">
        <f t="shared" si="49"/>
        <v>1383</v>
      </c>
      <c r="AA39" s="9">
        <f t="shared" si="49"/>
        <v>1383</v>
      </c>
      <c r="AB39" s="9">
        <f t="shared" si="49"/>
        <v>1383</v>
      </c>
      <c r="AC39" s="9">
        <f t="shared" si="49"/>
        <v>1383</v>
      </c>
      <c r="AD39" s="9">
        <f t="shared" si="49"/>
        <v>1383</v>
      </c>
      <c r="AE39" s="9">
        <f t="shared" si="49"/>
        <v>1383</v>
      </c>
      <c r="AF39" s="9">
        <f t="shared" si="49"/>
        <v>1383</v>
      </c>
      <c r="AG39" s="9">
        <f t="shared" ref="AG39:AN39" si="50">SUM(AG36:AG38)</f>
        <v>1383</v>
      </c>
      <c r="AH39" s="9">
        <f t="shared" si="50"/>
        <v>1383</v>
      </c>
      <c r="AI39" s="9">
        <f t="shared" si="50"/>
        <v>0</v>
      </c>
      <c r="AJ39" s="9">
        <f t="shared" si="50"/>
        <v>0</v>
      </c>
      <c r="AK39" s="9">
        <f t="shared" si="50"/>
        <v>0</v>
      </c>
      <c r="AL39" s="9">
        <f t="shared" si="50"/>
        <v>0</v>
      </c>
      <c r="AM39" s="9">
        <f t="shared" si="50"/>
        <v>0</v>
      </c>
      <c r="AN39" s="9">
        <f t="shared" si="50"/>
        <v>0</v>
      </c>
    </row>
    <row r="40" spans="1:40" outlineLevel="1"/>
    <row r="41" spans="1:40" outlineLevel="1">
      <c r="A41" s="42" t="s">
        <v>533</v>
      </c>
    </row>
    <row r="42" spans="1:40" outlineLevel="1">
      <c r="A42" s="86" t="s">
        <v>547</v>
      </c>
      <c r="P42" s="7">
        <v>0</v>
      </c>
      <c r="Q42" s="7">
        <v>0</v>
      </c>
      <c r="R42" s="7">
        <v>0</v>
      </c>
      <c r="S42" s="7">
        <v>0</v>
      </c>
      <c r="T42" s="7">
        <v>0</v>
      </c>
      <c r="U42" s="7">
        <v>0</v>
      </c>
      <c r="V42" s="7">
        <v>0</v>
      </c>
      <c r="W42" s="7">
        <v>0</v>
      </c>
      <c r="X42" s="7">
        <v>0</v>
      </c>
      <c r="Y42" s="7">
        <v>0</v>
      </c>
      <c r="Z42" s="7">
        <v>0</v>
      </c>
      <c r="AA42" s="7">
        <v>0</v>
      </c>
    </row>
    <row r="43" spans="1:40" outlineLevel="1">
      <c r="A43" s="86" t="s">
        <v>553</v>
      </c>
      <c r="P43" s="7">
        <v>0</v>
      </c>
      <c r="Q43" s="7">
        <v>0</v>
      </c>
      <c r="R43" s="7">
        <v>0</v>
      </c>
      <c r="S43" s="7">
        <v>0</v>
      </c>
      <c r="T43" s="7">
        <v>55</v>
      </c>
      <c r="U43" s="7">
        <v>47</v>
      </c>
      <c r="V43" s="7">
        <v>8</v>
      </c>
      <c r="W43" s="7">
        <v>0</v>
      </c>
      <c r="X43" s="7">
        <v>0</v>
      </c>
      <c r="Y43" s="7">
        <v>0</v>
      </c>
      <c r="AA43" s="7">
        <v>0</v>
      </c>
    </row>
    <row r="44" spans="1:40" outlineLevel="1">
      <c r="A44" s="86" t="s">
        <v>551</v>
      </c>
      <c r="P44" s="7">
        <v>2593</v>
      </c>
      <c r="Q44" s="7">
        <v>1804</v>
      </c>
      <c r="R44" s="7">
        <v>1087</v>
      </c>
      <c r="S44" s="7">
        <v>1087</v>
      </c>
      <c r="T44" s="7">
        <v>0</v>
      </c>
      <c r="U44" s="7">
        <v>0</v>
      </c>
      <c r="V44" s="7">
        <v>0</v>
      </c>
      <c r="W44" s="7">
        <v>0</v>
      </c>
      <c r="X44" s="7">
        <v>0</v>
      </c>
      <c r="Y44" s="7">
        <v>0</v>
      </c>
      <c r="Z44" s="7">
        <v>0</v>
      </c>
      <c r="AA44" s="7">
        <v>0</v>
      </c>
      <c r="AB44" s="7">
        <v>0</v>
      </c>
      <c r="AC44" s="7">
        <v>0</v>
      </c>
      <c r="AD44" s="7">
        <v>0</v>
      </c>
      <c r="AE44" s="7">
        <v>0</v>
      </c>
      <c r="AF44" s="7">
        <v>0</v>
      </c>
      <c r="AG44" s="7">
        <v>0</v>
      </c>
      <c r="AH44" s="7">
        <v>0</v>
      </c>
      <c r="AI44" s="7">
        <v>0</v>
      </c>
      <c r="AJ44" s="7">
        <v>0</v>
      </c>
      <c r="AK44" s="7">
        <v>0</v>
      </c>
      <c r="AL44" s="7">
        <v>0</v>
      </c>
      <c r="AM44" s="7">
        <v>0</v>
      </c>
      <c r="AN44" s="7">
        <v>0</v>
      </c>
    </row>
    <row r="45" spans="1:40" outlineLevel="1">
      <c r="A45" s="80" t="s">
        <v>532</v>
      </c>
      <c r="O45" s="9"/>
      <c r="P45" s="9">
        <f>SUM(P42:P44)</f>
        <v>2593</v>
      </c>
      <c r="Q45" s="9">
        <f t="shared" ref="Q45:AF45" si="51">SUM(Q42:Q44)</f>
        <v>1804</v>
      </c>
      <c r="R45" s="9">
        <f t="shared" si="51"/>
        <v>1087</v>
      </c>
      <c r="S45" s="9">
        <f t="shared" si="51"/>
        <v>1087</v>
      </c>
      <c r="T45" s="9">
        <f t="shared" si="51"/>
        <v>55</v>
      </c>
      <c r="U45" s="9">
        <f t="shared" si="51"/>
        <v>47</v>
      </c>
      <c r="V45" s="9">
        <f t="shared" si="51"/>
        <v>8</v>
      </c>
      <c r="W45" s="9">
        <f t="shared" si="51"/>
        <v>0</v>
      </c>
      <c r="X45" s="9">
        <f t="shared" si="51"/>
        <v>0</v>
      </c>
      <c r="Y45" s="9">
        <f t="shared" si="51"/>
        <v>0</v>
      </c>
      <c r="Z45" s="9">
        <f t="shared" si="51"/>
        <v>0</v>
      </c>
      <c r="AA45" s="9">
        <f t="shared" si="51"/>
        <v>0</v>
      </c>
      <c r="AB45" s="9">
        <f t="shared" si="51"/>
        <v>0</v>
      </c>
      <c r="AC45" s="9">
        <f t="shared" si="51"/>
        <v>0</v>
      </c>
      <c r="AD45" s="9">
        <f t="shared" si="51"/>
        <v>0</v>
      </c>
      <c r="AE45" s="9">
        <f t="shared" si="51"/>
        <v>0</v>
      </c>
      <c r="AF45" s="9">
        <f t="shared" si="51"/>
        <v>0</v>
      </c>
      <c r="AG45" s="9">
        <f t="shared" ref="AG45:AN45" si="52">SUM(AG42:AG44)</f>
        <v>0</v>
      </c>
      <c r="AH45" s="9">
        <f t="shared" si="52"/>
        <v>0</v>
      </c>
      <c r="AI45" s="9">
        <f t="shared" si="52"/>
        <v>0</v>
      </c>
      <c r="AJ45" s="9">
        <f t="shared" si="52"/>
        <v>0</v>
      </c>
      <c r="AK45" s="9">
        <f t="shared" si="52"/>
        <v>0</v>
      </c>
      <c r="AL45" s="9">
        <f t="shared" si="52"/>
        <v>0</v>
      </c>
      <c r="AM45" s="9">
        <f t="shared" si="52"/>
        <v>0</v>
      </c>
      <c r="AN45" s="9">
        <f t="shared" si="52"/>
        <v>0</v>
      </c>
    </row>
    <row r="46" spans="1:40" outlineLevel="1"/>
    <row r="47" spans="1:40" outlineLevel="1">
      <c r="A47" s="80" t="s">
        <v>534</v>
      </c>
      <c r="O47" s="9"/>
      <c r="P47" s="9">
        <f>P39+P45</f>
        <v>8342</v>
      </c>
      <c r="Q47" s="9">
        <f t="shared" ref="Q47:AF47" si="53">Q39+Q45</f>
        <v>8342</v>
      </c>
      <c r="R47" s="9">
        <f t="shared" si="53"/>
        <v>8586</v>
      </c>
      <c r="S47" s="9">
        <f t="shared" si="53"/>
        <v>8586</v>
      </c>
      <c r="T47" s="9">
        <f t="shared" si="53"/>
        <v>8641</v>
      </c>
      <c r="U47" s="9">
        <f t="shared" si="53"/>
        <v>1375</v>
      </c>
      <c r="V47" s="9">
        <f t="shared" si="53"/>
        <v>1383</v>
      </c>
      <c r="W47" s="9">
        <f t="shared" si="53"/>
        <v>1383</v>
      </c>
      <c r="X47" s="9">
        <f t="shared" si="53"/>
        <v>1383</v>
      </c>
      <c r="Y47" s="9">
        <f t="shared" si="53"/>
        <v>1383</v>
      </c>
      <c r="Z47" s="9">
        <f t="shared" si="53"/>
        <v>1383</v>
      </c>
      <c r="AA47" s="9">
        <f t="shared" si="53"/>
        <v>1383</v>
      </c>
      <c r="AB47" s="9">
        <f t="shared" si="53"/>
        <v>1383</v>
      </c>
      <c r="AC47" s="9">
        <f t="shared" si="53"/>
        <v>1383</v>
      </c>
      <c r="AD47" s="9">
        <f t="shared" si="53"/>
        <v>1383</v>
      </c>
      <c r="AE47" s="9">
        <f t="shared" si="53"/>
        <v>1383</v>
      </c>
      <c r="AF47" s="9">
        <f t="shared" si="53"/>
        <v>1383</v>
      </c>
      <c r="AG47" s="9">
        <f t="shared" ref="AG47:AN47" si="54">AG39+AG45</f>
        <v>1383</v>
      </c>
      <c r="AH47" s="9">
        <f t="shared" si="54"/>
        <v>1383</v>
      </c>
      <c r="AI47" s="9">
        <f t="shared" si="54"/>
        <v>0</v>
      </c>
      <c r="AJ47" s="9">
        <f t="shared" si="54"/>
        <v>0</v>
      </c>
      <c r="AK47" s="9">
        <f t="shared" si="54"/>
        <v>0</v>
      </c>
      <c r="AL47" s="9">
        <f t="shared" si="54"/>
        <v>0</v>
      </c>
      <c r="AM47" s="9">
        <f t="shared" si="54"/>
        <v>0</v>
      </c>
      <c r="AN47" s="9">
        <f t="shared" si="54"/>
        <v>0</v>
      </c>
    </row>
    <row r="48" spans="1:40" outlineLevel="1"/>
    <row r="49" spans="1:43">
      <c r="A49" s="88" t="s">
        <v>552</v>
      </c>
      <c r="B49" s="89"/>
      <c r="C49" s="89"/>
      <c r="D49" s="89"/>
      <c r="E49" s="89"/>
      <c r="F49" s="89"/>
      <c r="G49" s="89"/>
      <c r="H49" s="89"/>
      <c r="I49" s="89"/>
      <c r="J49" s="89"/>
      <c r="K49" s="89"/>
      <c r="L49" s="89"/>
      <c r="M49" s="89"/>
      <c r="N49" s="89"/>
      <c r="O49" s="89"/>
      <c r="P49" s="89"/>
      <c r="Q49" s="89"/>
      <c r="R49" s="89"/>
      <c r="S49" s="89"/>
      <c r="T49" s="89"/>
      <c r="U49" s="89"/>
      <c r="V49" s="89"/>
      <c r="W49" s="89"/>
      <c r="X49" s="89"/>
      <c r="Y49" s="89"/>
      <c r="Z49" s="89"/>
      <c r="AA49" s="89"/>
      <c r="AB49" s="89"/>
      <c r="AC49" s="89"/>
      <c r="AD49" s="89"/>
      <c r="AE49" s="89"/>
      <c r="AF49" s="89"/>
      <c r="AG49" s="89"/>
      <c r="AH49" s="89"/>
      <c r="AI49" s="89"/>
      <c r="AJ49" s="89"/>
      <c r="AK49" s="89"/>
      <c r="AL49" s="89"/>
      <c r="AM49" s="89"/>
      <c r="AN49" s="89"/>
    </row>
    <row r="50" spans="1:43">
      <c r="A50" s="42" t="s">
        <v>530</v>
      </c>
    </row>
    <row r="51" spans="1:43">
      <c r="A51" s="86" t="s">
        <v>547</v>
      </c>
      <c r="P51" s="7">
        <v>528</v>
      </c>
      <c r="Q51" s="7">
        <v>264</v>
      </c>
      <c r="R51" s="7">
        <v>264</v>
      </c>
      <c r="S51" s="7">
        <v>264</v>
      </c>
      <c r="T51" s="7">
        <v>264</v>
      </c>
      <c r="U51" s="7">
        <v>264</v>
      </c>
      <c r="V51" s="7">
        <v>264</v>
      </c>
      <c r="W51" s="7">
        <v>264</v>
      </c>
      <c r="X51" s="7">
        <v>264</v>
      </c>
      <c r="Y51" s="7">
        <v>264</v>
      </c>
      <c r="Z51" s="7">
        <v>264</v>
      </c>
      <c r="AA51" s="7">
        <v>264</v>
      </c>
      <c r="AB51" s="7">
        <v>264</v>
      </c>
      <c r="AC51" s="7">
        <v>264</v>
      </c>
      <c r="AD51" s="7">
        <v>264</v>
      </c>
      <c r="AE51" s="7">
        <v>264</v>
      </c>
      <c r="AF51" s="7">
        <v>264</v>
      </c>
      <c r="AG51" s="7">
        <v>264</v>
      </c>
      <c r="AH51" s="7">
        <v>264</v>
      </c>
      <c r="AI51" s="81">
        <f t="shared" ref="AI51:AI52" si="55">AH51</f>
        <v>264</v>
      </c>
      <c r="AJ51" s="81">
        <f t="shared" ref="AJ51:AL52" si="56">AI51</f>
        <v>264</v>
      </c>
      <c r="AK51" s="81">
        <f t="shared" si="56"/>
        <v>264</v>
      </c>
      <c r="AL51" s="81">
        <f t="shared" si="56"/>
        <v>264</v>
      </c>
      <c r="AM51" s="81">
        <f t="shared" ref="AM51:AN52" si="57">AL51</f>
        <v>264</v>
      </c>
      <c r="AN51" s="81">
        <f t="shared" si="57"/>
        <v>264</v>
      </c>
      <c r="AQ51" s="90"/>
    </row>
    <row r="52" spans="1:43">
      <c r="A52" s="86" t="s">
        <v>553</v>
      </c>
      <c r="P52" s="7">
        <v>0</v>
      </c>
      <c r="Q52" s="7">
        <v>0</v>
      </c>
      <c r="R52" s="7">
        <v>0</v>
      </c>
      <c r="S52" s="7">
        <v>0</v>
      </c>
      <c r="T52" s="7">
        <v>0</v>
      </c>
      <c r="U52" s="7">
        <v>3</v>
      </c>
      <c r="V52" s="7">
        <v>18</v>
      </c>
      <c r="W52" s="7">
        <v>21</v>
      </c>
      <c r="X52" s="7">
        <v>21</v>
      </c>
      <c r="Y52" s="7">
        <v>21</v>
      </c>
      <c r="Z52" s="7">
        <v>21</v>
      </c>
      <c r="AA52" s="7">
        <v>21</v>
      </c>
      <c r="AB52" s="7">
        <v>21</v>
      </c>
      <c r="AC52" s="7">
        <v>21</v>
      </c>
      <c r="AD52" s="7">
        <v>21</v>
      </c>
      <c r="AE52" s="7">
        <v>21</v>
      </c>
      <c r="AF52" s="7">
        <v>21</v>
      </c>
      <c r="AG52" s="7">
        <v>21</v>
      </c>
      <c r="AH52" s="7">
        <v>21</v>
      </c>
      <c r="AI52" s="81">
        <f t="shared" si="55"/>
        <v>21</v>
      </c>
      <c r="AJ52" s="81">
        <f t="shared" si="56"/>
        <v>21</v>
      </c>
      <c r="AK52" s="81">
        <f t="shared" si="56"/>
        <v>21</v>
      </c>
      <c r="AL52" s="81">
        <f t="shared" si="56"/>
        <v>21</v>
      </c>
      <c r="AM52" s="81">
        <f t="shared" si="57"/>
        <v>21</v>
      </c>
      <c r="AN52" s="81">
        <f t="shared" si="57"/>
        <v>21</v>
      </c>
      <c r="AQ52" s="90"/>
    </row>
    <row r="53" spans="1:43">
      <c r="A53" s="86" t="s">
        <v>551</v>
      </c>
      <c r="P53" s="7">
        <v>351</v>
      </c>
      <c r="Q53" s="7">
        <v>393</v>
      </c>
      <c r="R53" s="7">
        <v>498</v>
      </c>
      <c r="S53" s="7">
        <v>532</v>
      </c>
      <c r="T53" s="7">
        <v>583</v>
      </c>
      <c r="U53" s="7">
        <v>0</v>
      </c>
      <c r="V53" s="7">
        <v>0</v>
      </c>
      <c r="W53" s="7">
        <v>0</v>
      </c>
      <c r="X53" s="7">
        <v>0</v>
      </c>
      <c r="Y53" s="7">
        <v>0</v>
      </c>
      <c r="Z53" s="7">
        <v>0</v>
      </c>
      <c r="AA53" s="7">
        <v>0</v>
      </c>
      <c r="AB53" s="7">
        <v>0</v>
      </c>
      <c r="AC53" s="7">
        <v>0</v>
      </c>
      <c r="AD53" s="7">
        <v>0</v>
      </c>
      <c r="AE53" s="7">
        <v>0</v>
      </c>
      <c r="AF53" s="7">
        <v>0</v>
      </c>
      <c r="AG53" s="7">
        <v>0</v>
      </c>
      <c r="AH53" s="7">
        <v>0</v>
      </c>
      <c r="AI53" s="7">
        <v>0</v>
      </c>
      <c r="AJ53" s="7">
        <v>0</v>
      </c>
      <c r="AK53" s="7">
        <v>0</v>
      </c>
      <c r="AL53" s="7">
        <v>0</v>
      </c>
      <c r="AM53" s="7">
        <v>0</v>
      </c>
      <c r="AN53" s="7">
        <v>0</v>
      </c>
      <c r="AQ53" s="90"/>
    </row>
    <row r="54" spans="1:43">
      <c r="A54" s="80" t="s">
        <v>531</v>
      </c>
      <c r="B54" s="80"/>
      <c r="C54" s="80"/>
      <c r="D54" s="80"/>
      <c r="E54" s="80"/>
      <c r="F54" s="80"/>
      <c r="G54" s="80"/>
      <c r="H54" s="80"/>
      <c r="I54" s="80"/>
      <c r="J54" s="9"/>
      <c r="K54" s="9"/>
      <c r="L54" s="9"/>
      <c r="M54" s="9"/>
      <c r="N54" s="9"/>
      <c r="O54" s="9"/>
      <c r="P54" s="9">
        <f>SUM(P51:P53)</f>
        <v>879</v>
      </c>
      <c r="Q54" s="9">
        <f t="shared" ref="Q54:AF54" si="58">SUM(Q51:Q53)</f>
        <v>657</v>
      </c>
      <c r="R54" s="9">
        <f t="shared" si="58"/>
        <v>762</v>
      </c>
      <c r="S54" s="9">
        <f t="shared" si="58"/>
        <v>796</v>
      </c>
      <c r="T54" s="9">
        <f t="shared" si="58"/>
        <v>847</v>
      </c>
      <c r="U54" s="9">
        <f t="shared" si="58"/>
        <v>267</v>
      </c>
      <c r="V54" s="9">
        <f t="shared" si="58"/>
        <v>282</v>
      </c>
      <c r="W54" s="9">
        <f t="shared" si="58"/>
        <v>285</v>
      </c>
      <c r="X54" s="9">
        <f t="shared" si="58"/>
        <v>285</v>
      </c>
      <c r="Y54" s="9">
        <f t="shared" si="58"/>
        <v>285</v>
      </c>
      <c r="Z54" s="9">
        <f t="shared" si="58"/>
        <v>285</v>
      </c>
      <c r="AA54" s="9">
        <f t="shared" si="58"/>
        <v>285</v>
      </c>
      <c r="AB54" s="9">
        <f t="shared" si="58"/>
        <v>285</v>
      </c>
      <c r="AC54" s="9">
        <f t="shared" si="58"/>
        <v>285</v>
      </c>
      <c r="AD54" s="9">
        <f t="shared" si="58"/>
        <v>285</v>
      </c>
      <c r="AE54" s="9">
        <f t="shared" si="58"/>
        <v>285</v>
      </c>
      <c r="AF54" s="9">
        <f t="shared" si="58"/>
        <v>285</v>
      </c>
      <c r="AG54" s="9">
        <f t="shared" ref="AG54" si="59">SUM(AG51:AG53)</f>
        <v>285</v>
      </c>
      <c r="AH54" s="9">
        <f t="shared" ref="AH54:AN54" si="60">SUM(AH51:AH53)</f>
        <v>285</v>
      </c>
      <c r="AI54" s="9">
        <f t="shared" si="60"/>
        <v>285</v>
      </c>
      <c r="AJ54" s="9">
        <f t="shared" si="60"/>
        <v>285</v>
      </c>
      <c r="AK54" s="9">
        <f t="shared" si="60"/>
        <v>285</v>
      </c>
      <c r="AL54" s="9">
        <f t="shared" si="60"/>
        <v>285</v>
      </c>
      <c r="AM54" s="9">
        <f t="shared" si="60"/>
        <v>285</v>
      </c>
      <c r="AN54" s="9">
        <f t="shared" si="60"/>
        <v>285</v>
      </c>
      <c r="AQ54" s="90"/>
    </row>
    <row r="56" spans="1:43" outlineLevel="1">
      <c r="A56" s="42" t="s">
        <v>533</v>
      </c>
    </row>
    <row r="57" spans="1:43" outlineLevel="1">
      <c r="A57" s="86" t="s">
        <v>547</v>
      </c>
      <c r="P57" s="7">
        <v>0</v>
      </c>
      <c r="Q57" s="7">
        <v>0</v>
      </c>
      <c r="R57" s="7">
        <v>0</v>
      </c>
      <c r="S57" s="7">
        <v>0</v>
      </c>
      <c r="T57" s="7">
        <v>0</v>
      </c>
      <c r="U57" s="7">
        <v>0</v>
      </c>
      <c r="V57" s="7">
        <v>0</v>
      </c>
      <c r="W57" s="7">
        <v>0</v>
      </c>
      <c r="X57" s="7">
        <v>0</v>
      </c>
      <c r="Y57" s="7">
        <v>0</v>
      </c>
      <c r="Z57" s="7">
        <v>0</v>
      </c>
    </row>
    <row r="58" spans="1:43" outlineLevel="1">
      <c r="A58" s="86" t="s">
        <v>553</v>
      </c>
      <c r="P58" s="7">
        <v>0</v>
      </c>
      <c r="Q58" s="7">
        <v>0</v>
      </c>
      <c r="R58" s="7">
        <v>0</v>
      </c>
      <c r="S58" s="7">
        <v>0</v>
      </c>
      <c r="T58" s="7">
        <v>21</v>
      </c>
      <c r="U58" s="7">
        <v>15</v>
      </c>
      <c r="V58" s="7">
        <v>3</v>
      </c>
      <c r="W58" s="7">
        <v>0</v>
      </c>
      <c r="X58" s="7">
        <v>0</v>
      </c>
      <c r="Y58" s="7">
        <v>0</v>
      </c>
    </row>
    <row r="59" spans="1:43" outlineLevel="1">
      <c r="A59" s="86" t="s">
        <v>551</v>
      </c>
      <c r="P59" s="7">
        <v>113</v>
      </c>
      <c r="Q59" s="7">
        <v>71</v>
      </c>
      <c r="R59" s="7">
        <v>34</v>
      </c>
      <c r="S59" s="7">
        <v>36</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v>0</v>
      </c>
      <c r="AM59" s="7">
        <v>0</v>
      </c>
      <c r="AN59" s="7">
        <v>0</v>
      </c>
    </row>
    <row r="60" spans="1:43" outlineLevel="1">
      <c r="A60" s="80" t="s">
        <v>532</v>
      </c>
      <c r="O60" s="9"/>
      <c r="P60" s="9">
        <f>SUM(P57:P59)</f>
        <v>113</v>
      </c>
      <c r="Q60" s="9">
        <f t="shared" ref="Q60:AF60" si="61">SUM(Q57:Q59)</f>
        <v>71</v>
      </c>
      <c r="R60" s="9">
        <f t="shared" si="61"/>
        <v>34</v>
      </c>
      <c r="S60" s="9">
        <f t="shared" si="61"/>
        <v>36</v>
      </c>
      <c r="T60" s="9">
        <f t="shared" si="61"/>
        <v>21</v>
      </c>
      <c r="U60" s="9">
        <f t="shared" si="61"/>
        <v>15</v>
      </c>
      <c r="V60" s="9">
        <f t="shared" si="61"/>
        <v>3</v>
      </c>
      <c r="W60" s="9">
        <f t="shared" si="61"/>
        <v>0</v>
      </c>
      <c r="X60" s="9">
        <f t="shared" si="61"/>
        <v>0</v>
      </c>
      <c r="Y60" s="9">
        <f t="shared" si="61"/>
        <v>0</v>
      </c>
      <c r="Z60" s="9">
        <f t="shared" si="61"/>
        <v>0</v>
      </c>
      <c r="AA60" s="9">
        <f t="shared" si="61"/>
        <v>0</v>
      </c>
      <c r="AB60" s="9">
        <f t="shared" si="61"/>
        <v>0</v>
      </c>
      <c r="AC60" s="9">
        <f t="shared" si="61"/>
        <v>0</v>
      </c>
      <c r="AD60" s="9">
        <f t="shared" si="61"/>
        <v>0</v>
      </c>
      <c r="AE60" s="9">
        <f t="shared" si="61"/>
        <v>0</v>
      </c>
      <c r="AF60" s="9">
        <f t="shared" si="61"/>
        <v>0</v>
      </c>
      <c r="AG60" s="9">
        <f t="shared" ref="AG60" si="62">SUM(AG57:AG59)</f>
        <v>0</v>
      </c>
      <c r="AH60" s="9">
        <f t="shared" ref="AH60:AN60" si="63">SUM(AH57:AH59)</f>
        <v>0</v>
      </c>
      <c r="AI60" s="9">
        <f t="shared" si="63"/>
        <v>0</v>
      </c>
      <c r="AJ60" s="9">
        <f t="shared" si="63"/>
        <v>0</v>
      </c>
      <c r="AK60" s="9">
        <f t="shared" si="63"/>
        <v>0</v>
      </c>
      <c r="AL60" s="9">
        <f t="shared" si="63"/>
        <v>0</v>
      </c>
      <c r="AM60" s="9">
        <f t="shared" si="63"/>
        <v>0</v>
      </c>
      <c r="AN60" s="9">
        <f t="shared" si="63"/>
        <v>0</v>
      </c>
    </row>
    <row r="61" spans="1:43" outlineLevel="1"/>
    <row r="62" spans="1:43" outlineLevel="1">
      <c r="A62" s="80" t="s">
        <v>534</v>
      </c>
      <c r="O62" s="9"/>
      <c r="P62" s="9">
        <f>P54+P60</f>
        <v>992</v>
      </c>
      <c r="Q62" s="9">
        <f t="shared" ref="Q62:AF62" si="64">Q54+Q60</f>
        <v>728</v>
      </c>
      <c r="R62" s="9">
        <f t="shared" si="64"/>
        <v>796</v>
      </c>
      <c r="S62" s="9">
        <f t="shared" si="64"/>
        <v>832</v>
      </c>
      <c r="T62" s="9">
        <f t="shared" si="64"/>
        <v>868</v>
      </c>
      <c r="U62" s="9">
        <f t="shared" si="64"/>
        <v>282</v>
      </c>
      <c r="V62" s="9">
        <f t="shared" si="64"/>
        <v>285</v>
      </c>
      <c r="W62" s="9">
        <f t="shared" si="64"/>
        <v>285</v>
      </c>
      <c r="X62" s="9">
        <f t="shared" si="64"/>
        <v>285</v>
      </c>
      <c r="Y62" s="9">
        <f t="shared" si="64"/>
        <v>285</v>
      </c>
      <c r="Z62" s="9">
        <f t="shared" si="64"/>
        <v>285</v>
      </c>
      <c r="AA62" s="9">
        <f t="shared" si="64"/>
        <v>285</v>
      </c>
      <c r="AB62" s="9">
        <f t="shared" si="64"/>
        <v>285</v>
      </c>
      <c r="AC62" s="9">
        <f t="shared" si="64"/>
        <v>285</v>
      </c>
      <c r="AD62" s="9">
        <f t="shared" si="64"/>
        <v>285</v>
      </c>
      <c r="AE62" s="9">
        <f t="shared" si="64"/>
        <v>285</v>
      </c>
      <c r="AF62" s="9">
        <f t="shared" si="64"/>
        <v>285</v>
      </c>
      <c r="AG62" s="9">
        <f t="shared" ref="AG62" si="65">AG54+AG60</f>
        <v>285</v>
      </c>
      <c r="AH62" s="9">
        <f t="shared" ref="AH62:AN62" si="66">AH54+AH60</f>
        <v>285</v>
      </c>
      <c r="AI62" s="9">
        <f t="shared" si="66"/>
        <v>285</v>
      </c>
      <c r="AJ62" s="9">
        <f t="shared" si="66"/>
        <v>285</v>
      </c>
      <c r="AK62" s="9">
        <f t="shared" si="66"/>
        <v>285</v>
      </c>
      <c r="AL62" s="9">
        <f t="shared" si="66"/>
        <v>285</v>
      </c>
      <c r="AM62" s="9">
        <f t="shared" si="66"/>
        <v>285</v>
      </c>
      <c r="AN62" s="9">
        <f t="shared" si="66"/>
        <v>285</v>
      </c>
    </row>
  </sheetData>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PresentationFormat>c7dc7f40-578e-4fc3-8b6b-249a0d0521f6</PresentationFormat>
  <ScaleCrop>false</ScaleCrop>
  <HeadingPairs>
    <vt:vector size="4" baseType="variant">
      <vt:variant>
        <vt:lpstr>Worksheets</vt:lpstr>
      </vt:variant>
      <vt:variant>
        <vt:i4>12</vt:i4>
      </vt:variant>
      <vt:variant>
        <vt:lpstr>Named Ranges</vt:lpstr>
      </vt:variant>
      <vt:variant>
        <vt:i4>5</vt:i4>
      </vt:variant>
    </vt:vector>
  </HeadingPairs>
  <TitlesOfParts>
    <vt:vector size="17" baseType="lpstr">
      <vt:lpstr>VA-Disclaimer</vt:lpstr>
      <vt:lpstr>DCF</vt:lpstr>
      <vt:lpstr>Final</vt:lpstr>
      <vt:lpstr>Driver</vt:lpstr>
      <vt:lpstr>SOC</vt:lpstr>
      <vt:lpstr>HK Sales</vt:lpstr>
      <vt:lpstr>SOC Accounts</vt:lpstr>
      <vt:lpstr>ROAFNA</vt:lpstr>
      <vt:lpstr>CN</vt:lpstr>
      <vt:lpstr>Aus</vt:lpstr>
      <vt:lpstr>India</vt:lpstr>
      <vt:lpstr>SEA</vt:lpstr>
      <vt:lpstr>DCF!Print_Area</vt:lpstr>
      <vt:lpstr>Final!Print_Area</vt:lpstr>
      <vt:lpstr>'HK Sales'!Print_Area</vt:lpstr>
      <vt:lpstr>ROAFNA!Print_Area</vt:lpstr>
      <vt:lpstr>SOC!Print_Area</vt:lpstr>
    </vt:vector>
  </TitlesOfParts>
  <Company>UBS AG</Company>
  <LinksUpToDate>false</LinksUpToDate>
  <SharedDoc>false</SharedDoc>
  <HyperlinkBase>http://gind.swissbank.com/gind/</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oldfiest</dc:creator>
  <cp:lastModifiedBy>Tang, Eason</cp:lastModifiedBy>
  <cp:lastPrinted>2025-08-05T04:48:44Z</cp:lastPrinted>
  <dcterms:created xsi:type="dcterms:W3CDTF">2007-02-12T01:05:13Z</dcterms:created>
  <dcterms:modified xsi:type="dcterms:W3CDTF">2025-08-12T02:36:23Z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Language">
    <vt:lpwstr>1033</vt:lpwstr>
  </property>
  <property fmtid="{D5CDD505-2E9C-101B-9397-08002B2CF9AE}" pid="3" name="Create_Backup">
    <vt:lpwstr>3</vt:lpwstr>
  </property>
  <property fmtid="{D5CDD505-2E9C-101B-9397-08002B2CF9AE}" pid="4" name="Workbook_Font">
    <vt:lpwstr>Frutiger 45 Light</vt:lpwstr>
  </property>
  <property fmtid="{D5CDD505-2E9C-101B-9397-08002B2CF9AE}" pid="5" name="Workbook_FontSize">
    <vt:lpwstr>10</vt:lpwstr>
  </property>
  <property fmtid="{D5CDD505-2E9C-101B-9397-08002B2CF9AE}" pid="6" name="Average_Translated">
    <vt:lpwstr>Average</vt:lpwstr>
  </property>
  <property fmtid="{D5CDD505-2E9C-101B-9397-08002B2CF9AE}" pid="7" name="Thick_Lines">
    <vt:lpwstr>0</vt:lpwstr>
  </property>
  <property fmtid="{D5CDD505-2E9C-101B-9397-08002B2CF9AE}" pid="8" name="Num_Categories_On_XAxis">
    <vt:lpwstr>6</vt:lpwstr>
  </property>
  <property fmtid="{D5CDD505-2E9C-101B-9397-08002B2CF9AE}" pid="9" name="Share_PX_Label">
    <vt:lpwstr>Stock Price</vt:lpwstr>
  </property>
  <property fmtid="{D5CDD505-2E9C-101B-9397-08002B2CF9AE}" pid="10" name="Volume_Label">
    <vt:lpwstr>Volume (000s)</vt:lpwstr>
  </property>
  <property fmtid="{D5CDD505-2E9C-101B-9397-08002B2CF9AE}" pid="11" name="Stock_Volume_XAxis_Label">
    <vt:lpwstr>Closing Date</vt:lpwstr>
  </property>
  <property fmtid="{D5CDD505-2E9C-101B-9397-08002B2CF9AE}" pid="12" name="Pie_Chart_Labels">
    <vt:lpwstr>-1</vt:lpwstr>
  </property>
  <property fmtid="{D5CDD505-2E9C-101B-9397-08002B2CF9AE}" pid="13" name="Pie_Chart_Legend">
    <vt:lpwstr>0</vt:lpwstr>
  </property>
  <property fmtid="{D5CDD505-2E9C-101B-9397-08002B2CF9AE}" pid="14" name="Annotation_Add_Date">
    <vt:lpwstr>-1</vt:lpwstr>
  </property>
  <property fmtid="{D5CDD505-2E9C-101B-9397-08002B2CF9AE}" pid="15" name="Annotation_Date_Bold">
    <vt:lpwstr>-1</vt:lpwstr>
  </property>
  <property fmtid="{D5CDD505-2E9C-101B-9397-08002B2CF9AE}" pid="16" name="Annotation_Date_Format">
    <vt:lpwstr>F1</vt:lpwstr>
  </property>
  <property fmtid="{D5CDD505-2E9C-101B-9397-08002B2CF9AE}" pid="17" name="Chart_Format">
    <vt:lpwstr>1</vt:lpwstr>
  </property>
  <property fmtid="{D5CDD505-2E9C-101B-9397-08002B2CF9AE}" pid="18" name="AK_Version">
    <vt:lpwstr>2.0.8</vt:lpwstr>
  </property>
  <property fmtid="{D5CDD505-2E9C-101B-9397-08002B2CF9AE}" pid="19" name="UpgradeColorScheme">
    <vt:lpwstr>No</vt:lpwstr>
  </property>
  <property fmtid="{D5CDD505-2E9C-101B-9397-08002B2CF9AE}" pid="20" name="ShowGridlines">
    <vt:lpwstr>-1</vt:lpwstr>
  </property>
  <property fmtid="{D5CDD505-2E9C-101B-9397-08002B2CF9AE}" pid="21" name="ShowYAxis">
    <vt:lpwstr>-1</vt:lpwstr>
  </property>
  <property fmtid="{D5CDD505-2E9C-101B-9397-08002B2CF9AE}" pid="22" name="UseStackWhiteBorder">
    <vt:lpwstr>-1</vt:lpwstr>
  </property>
  <property fmtid="{D5CDD505-2E9C-101B-9397-08002B2CF9AE}" pid="23" name="UseDashStyle">
    <vt:lpwstr>0</vt:lpwstr>
  </property>
  <property fmtid="{D5CDD505-2E9C-101B-9397-08002B2CF9AE}" pid="24" name="_IQPDocumentId">
    <vt:lpwstr>1ab90bb8-370e-4657-a615-09069adb1152</vt:lpwstr>
  </property>
  <property fmtid="{D5CDD505-2E9C-101B-9397-08002B2CF9AE}" pid="25" name="Signature">
    <vt:lpwstr>qUV4EcfwHutLbLqke7YhsLkGq8OMe11bec7sMQy4M11QVKDzh5IjXw3P+bkO9B8zjYRn4vGpP2Qlb3Abme2mRA==</vt:lpwstr>
  </property>
  <property fmtid="{D5CDD505-2E9C-101B-9397-08002B2CF9AE}" pid="26" name="IQPDataClasses">
    <vt:lpwstr>Source Application: User Protected ADRMS File</vt:lpwstr>
  </property>
  <property fmtid="{D5CDD505-2E9C-101B-9397-08002B2CF9AE}" pid="27" name="IQP_Classification">
    <vt:lpwstr>Source Application: User Protected ADRMS File</vt:lpwstr>
  </property>
  <property fmtid="{D5CDD505-2E9C-101B-9397-08002B2CF9AE}" pid="28" name="_SIProp12DataClass+3e85fe31-88ae-45c0-b119-d46a58d89b14">
    <vt:lpwstr>v=1.2&gt;I=3e85fe31-88ae-45c0-b119-d46a58d89b14&amp;N=Source+Application%3a+User+Protected+ADRMS+File&amp;V=1.3&amp;U=System&amp;D=System&amp;A=Associated&amp;H=False</vt:lpwstr>
  </property>
  <property fmtid="{D5CDD505-2E9C-101B-9397-08002B2CF9AE}" pid="29" name="MSIP_Label_79c8d7f2-ca33-4e66-89fa-dd8f3c1a21f6_Enabled">
    <vt:lpwstr>true</vt:lpwstr>
  </property>
  <property fmtid="{D5CDD505-2E9C-101B-9397-08002B2CF9AE}" pid="30" name="MSIP_Label_79c8d7f2-ca33-4e66-89fa-dd8f3c1a21f6_SetDate">
    <vt:lpwstr>2023-11-01T05:25:35Z</vt:lpwstr>
  </property>
  <property fmtid="{D5CDD505-2E9C-101B-9397-08002B2CF9AE}" pid="31" name="MSIP_Label_79c8d7f2-ca33-4e66-89fa-dd8f3c1a21f6_Method">
    <vt:lpwstr>Privileged</vt:lpwstr>
  </property>
  <property fmtid="{D5CDD505-2E9C-101B-9397-08002B2CF9AE}" pid="32" name="MSIP_Label_79c8d7f2-ca33-4e66-89fa-dd8f3c1a21f6_Name">
    <vt:lpwstr>Internal-MayLeave</vt:lpwstr>
  </property>
  <property fmtid="{D5CDD505-2E9C-101B-9397-08002B2CF9AE}" pid="33" name="MSIP_Label_79c8d7f2-ca33-4e66-89fa-dd8f3c1a21f6_SiteId">
    <vt:lpwstr>fb6ea403-7cf1-4905-810a-fe5547e98204</vt:lpwstr>
  </property>
  <property fmtid="{D5CDD505-2E9C-101B-9397-08002B2CF9AE}" pid="34" name="MSIP_Label_79c8d7f2-ca33-4e66-89fa-dd8f3c1a21f6_ActionId">
    <vt:lpwstr>f6a569bf-65a7-4c08-8a0a-7c840aa42719</vt:lpwstr>
  </property>
  <property fmtid="{D5CDD505-2E9C-101B-9397-08002B2CF9AE}" pid="35" name="MSIP_Label_79c8d7f2-ca33-4e66-89fa-dd8f3c1a21f6_ContentBits">
    <vt:lpwstr>0</vt:lpwstr>
  </property>
</Properties>
</file>