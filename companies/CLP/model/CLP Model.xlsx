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drawings/drawing4.xml" ContentType="application/vnd.openxmlformats-officedocument.drawing+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80" yWindow="780" windowWidth="38700" windowHeight="15345" tabRatio="600" firstSheet="0" activeTab="0" autoFilterDateGrouping="0"/>
  </bookViews>
  <sheets>
    <sheet name="VA-Disclaimer" sheetId="1" state="visible" r:id="rId1"/>
    <sheet name="DCF" sheetId="2" state="visible" r:id="rId2"/>
    <sheet name="Final" sheetId="3" state="visible" r:id="rId3"/>
    <sheet name="Driver" sheetId="4" state="visible" r:id="rId4"/>
    <sheet name="SOC" sheetId="5" state="visible" r:id="rId5"/>
    <sheet name="HK Sales" sheetId="6" state="visible" r:id="rId6"/>
    <sheet name="SOC Accounts" sheetId="7" state="visible" r:id="rId7"/>
    <sheet name="ROAFNA" sheetId="8" state="visible" r:id="rId8"/>
    <sheet name="CN" sheetId="9" state="visible" r:id="rId9"/>
    <sheet name="Aus" sheetId="10" state="visible" r:id="rId10"/>
    <sheet name="India" sheetId="11" state="visible" r:id="rId11"/>
    <sheet name="SEA" sheetId="12" state="visible" r:id="rId12"/>
  </sheets>
  <definedNames>
    <definedName name="\A">#REF!</definedName>
    <definedName name="_1_0cu08.PeriodMonthC">#REF!</definedName>
    <definedName name="_2_0cu12.PeriodT">#REF!</definedName>
    <definedName name="_3_0cu13.PeriodY">#REF!</definedName>
    <definedName name="_4_0cu14.FinancialY">#REF!</definedName>
    <definedName name="_5_0cu43.ActualForecast">#REF!</definedName>
    <definedName name="_6_0cu57.Prelim">#REF!</definedName>
    <definedName name="_Model_Path">"\\ubsprod.msad.ubs.net\GroupShares\GLOBAL\IB_RESEARCH_HKG\POWER\Models\Archives\CLP 84.xlsx"</definedName>
    <definedName name="a">#REF!</definedName>
    <definedName name="Additions">#REF!</definedName>
    <definedName name="ASSOCBAL">#REF!</definedName>
    <definedName name="Attributable_To_Ordinary_Shareholders">#REF!</definedName>
    <definedName name="Average_Shares_In_Issue">#REF!</definedName>
    <definedName name="b">#REF!</definedName>
    <definedName name="Bal_Sheet">#REF!</definedName>
    <definedName name="Capacity_Reserve">#REF!</definedName>
    <definedName name="capex">#REF!</definedName>
    <definedName name="capexf">#REF!</definedName>
    <definedName name="Capital_Employed">#REF!</definedName>
    <definedName name="Capital_Expenditure">#REF!</definedName>
    <definedName name="Cash_EPS">#REF!</definedName>
    <definedName name="Cash_Flow">#REF!</definedName>
    <definedName name="CastlePeak_Bal_Sht">#REF!</definedName>
    <definedName name="Combined_Bal_Sht">#REF!</definedName>
    <definedName name="COMPOUND_GROWTH">#REF!</definedName>
    <definedName name="costs">#REF!</definedName>
    <definedName name="cu107.EPSSymbol" hidden="1">"HK$"</definedName>
    <definedName name="cu20.ItemTypeCategory">#REF!</definedName>
    <definedName name="cu71.ScalingFactor" hidden="1">1000000</definedName>
    <definedName name="CUSTransactionID" hidden="1">1123842930.037</definedName>
    <definedName name="d">#REF!</definedName>
    <definedName name="DATES">#REF!</definedName>
    <definedName name="DB">"WIREHKPROD"</definedName>
    <definedName name="debt">#REF!</definedName>
    <definedName name="Depreciation_Adjustment">#REF!</definedName>
    <definedName name="Depreciation_Amortisation">#REF!</definedName>
    <definedName name="DES">#REF!</definedName>
    <definedName name="dev_fund">#REF!</definedName>
    <definedName name="Dividend_Declar">#REF!</definedName>
    <definedName name="Dividend_Tax_Credit">#REF!</definedName>
    <definedName name="Dividends_Paid">#REF!</definedName>
    <definedName name="earnings">#REF!</definedName>
    <definedName name="EPS_FRS3">#REF!</definedName>
    <definedName name="EPS_Fully_Diluted">#REF!</definedName>
    <definedName name="EPS_Pre_Exceptional">#REF!</definedName>
    <definedName name="Extraordinaries">#REF!</definedName>
    <definedName name="F.1990">#REF!</definedName>
    <definedName name="F.1990.09">#REF!</definedName>
    <definedName name="F.1990.12">#REF!</definedName>
    <definedName name="F.1991">#REF!</definedName>
    <definedName name="F.1991.09">#REF!</definedName>
    <definedName name="F.1991.12">#REF!</definedName>
    <definedName name="F.1992">#REF!</definedName>
    <definedName name="F.1992.12">#REF!</definedName>
    <definedName name="F.1993">#REF!</definedName>
    <definedName name="F.1993.12">#REF!</definedName>
    <definedName name="F.1994">#REF!</definedName>
    <definedName name="F.1994.12">#REF!</definedName>
    <definedName name="F.1995">#REF!</definedName>
    <definedName name="F.1995.12">#REF!</definedName>
    <definedName name="F.1996">#REF!</definedName>
    <definedName name="F.1996.12">#REF!</definedName>
    <definedName name="F.1997">#REF!</definedName>
    <definedName name="F.1997.12">#REF!</definedName>
    <definedName name="F.1998">#REF!</definedName>
    <definedName name="F.1998.12">#REF!</definedName>
    <definedName name="F.1999">#REF!</definedName>
    <definedName name="F.1999.09">#REF!</definedName>
    <definedName name="F.2000.09">#REF!</definedName>
    <definedName name="F.2001.09">#REF!</definedName>
    <definedName name="F.2002.09">#REF!</definedName>
    <definedName name="F.2011.12">#REF!</definedName>
    <definedName name="F.2012.12">#REF!</definedName>
    <definedName name="F.2013.12">#REF!</definedName>
    <definedName name="F.2014.12">#REF!</definedName>
    <definedName name="F.2015.12">#REF!</definedName>
    <definedName name="F.2016.12">#REF!</definedName>
    <definedName name="F.2017.12">#REF!</definedName>
    <definedName name="F.2018.12">#REF!</definedName>
    <definedName name="F.2019.12">#REF!</definedName>
    <definedName name="F.2020.12">#REF!</definedName>
    <definedName name="F.2021.12">#REF!</definedName>
    <definedName name="F.2022.12">#REF!</definedName>
    <definedName name="FINCriteriaType">1</definedName>
    <definedName name="FINExtractRange">#REF!</definedName>
    <definedName name="Fuel_Mix">#REF!</definedName>
    <definedName name="Gearing">#REF!</definedName>
    <definedName name="Histroic">#REF!</definedName>
    <definedName name="Housing_Stat">#REF!</definedName>
    <definedName name="I1.2011.06">#REF!</definedName>
    <definedName name="I1.2012.06">#REF!</definedName>
    <definedName name="I1.2013.06">#REF!</definedName>
    <definedName name="I1.2014.06">#REF!</definedName>
    <definedName name="I1.2015.06">#REF!</definedName>
    <definedName name="I1.2016.06">#REF!</definedName>
    <definedName name="I1.2017.06">#REF!</definedName>
    <definedName name="I1.2018.06">#REF!</definedName>
    <definedName name="I1.2019.06">#REF!</definedName>
    <definedName name="I1.2020.06">#REF!</definedName>
    <definedName name="I1.2021.06">#REF!</definedName>
    <definedName name="I1.2022.06">#REF!</definedName>
    <definedName name="I2.2011.12">#REF!</definedName>
    <definedName name="I2.2012.12">#REF!</definedName>
    <definedName name="I2.2013.12">#REF!</definedName>
    <definedName name="I2.2014.12">#REF!</definedName>
    <definedName name="I2.2015.12">#REF!</definedName>
    <definedName name="I2.2016.12">#REF!</definedName>
    <definedName name="I2.2017.12">#REF!</definedName>
    <definedName name="I2.2018.12">#REF!</definedName>
    <definedName name="I2.2019.12">#REF!</definedName>
    <definedName name="I2.2020.12">#REF!</definedName>
    <definedName name="I2.2021.12">#REF!</definedName>
    <definedName name="I2.2022.12">#REF!</definedName>
    <definedName name="ICP">0</definedName>
    <definedName name="IDS">#REF!</definedName>
    <definedName name="Intangible_Fixed_Assets">#REF!</definedName>
    <definedName name="Interest_Paid">#REF!</definedName>
    <definedName name="Interim">#REF!</definedName>
    <definedName name="Investments_Other_Assets">#REF!</definedName>
    <definedName name="Macro11">#REF!</definedName>
    <definedName name="Maintenance_Capital_Expenditure">#REF!</definedName>
    <definedName name="Minorities">#REF!</definedName>
    <definedName name="Net_Assets">#REF!</definedName>
    <definedName name="Net_Capital_Employed">#REF!</definedName>
    <definedName name="Net_Deb">#REF!</definedName>
    <definedName name="Net_Debt">#REF!</definedName>
    <definedName name="Net_DPS">#REF!</definedName>
    <definedName name="Net_Exceptionals">#REF!</definedName>
    <definedName name="Net_Fixed_Assets">#REF!</definedName>
    <definedName name="Net_Interest">#REF!</definedName>
    <definedName name="Net_Working_Capital">#REF!</definedName>
    <definedName name="Net_Working_Capital_Inflation">#REF!</definedName>
    <definedName name="Non_Performing_or_Peripheral_Assets_NPAs">#REF!</definedName>
    <definedName name="OBS">#REF!</definedName>
    <definedName name="Operating">#REF!</definedName>
    <definedName name="OPERATING_STAT">#REF!</definedName>
    <definedName name="Operational_Cash_Flow">#REF!</definedName>
    <definedName name="Ordinary_Dividend">#REF!</definedName>
    <definedName name="Other">#REF!</definedName>
    <definedName name="Other_Income_Associates">#REF!</definedName>
    <definedName name="Other_Long_Term_Liabilities">#REF!</definedName>
    <definedName name="Other_Operating">#REF!</definedName>
    <definedName name="Pre_Exceptional_PBT">#REF!</definedName>
    <definedName name="Preference_Dividend">#REF!</definedName>
    <definedName name="PricePerShare">#REF!</definedName>
    <definedName name="PRINT_AREA_MI">#REF!</definedName>
    <definedName name="Profit">#REF!</definedName>
    <definedName name="Profit_Before_Tax">#REF!</definedName>
    <definedName name="PROFIT_MODEL">#REF!</definedName>
    <definedName name="Project_1">#REF!</definedName>
    <definedName name="Project_2">#REF!</definedName>
    <definedName name="Projection">#REF!</definedName>
    <definedName name="Propproj">#REF!</definedName>
    <definedName name="ProTime">#REF!</definedName>
    <definedName name="Provisions">#REF!</definedName>
    <definedName name="Rec.Asset_Debt">0</definedName>
    <definedName name="Reduction_Reverse">#REF!</definedName>
    <definedName name="Results">#REF!</definedName>
    <definedName name="Return_On_Capital_Employed">#REF!</definedName>
    <definedName name="ROE_Ana">#REF!</definedName>
    <definedName name="scenario">#REF!</definedName>
    <definedName name="Scrip_Factor">#REF!</definedName>
    <definedName name="senAna">#REF!</definedName>
    <definedName name="Share_Issues">#REF!</definedName>
    <definedName name="Shares_In_Issue">#REF!</definedName>
    <definedName name="Staff_Numbers">#REF!</definedName>
    <definedName name="Stock_dividend">0</definedName>
    <definedName name="SuspendRefUpd" hidden="1">FALSE</definedName>
    <definedName name="Tangible_Fixed_Assets">#REF!</definedName>
    <definedName name="Taxation">#REF!</definedName>
    <definedName name="Template.WIRE">"DBACCESS"</definedName>
    <definedName name="Template.WIRE.DBAccess.CalcMode">"Async"</definedName>
    <definedName name="Total_Equity">#REF!</definedName>
    <definedName name="Trace">FALSE</definedName>
    <definedName name="Trading_Profit">#REF!</definedName>
    <definedName name="Turnover">#REF!</definedName>
    <definedName name="Unadjusted_Cash_EPS">#REF!</definedName>
    <definedName name="Unadjusted_EPS_FRS3">#REF!</definedName>
    <definedName name="Unadjusted_EPS_Fully_Diluted">#REF!</definedName>
    <definedName name="Unadjusted_EPS_Pre_Exceptional">#REF!</definedName>
    <definedName name="Unadjusted_Net_DPS">#REF!</definedName>
    <definedName name="UNITS">#REF!</definedName>
    <definedName name="UpgradeVersion">"v3.54"</definedName>
    <definedName name="Valuation_2">#REF!</definedName>
    <definedName name="Version.WIRE">1</definedName>
    <definedName name="Wage_Costs">#REF!</definedName>
    <definedName name="Working_Capital_Movement">#REF!</definedName>
    <definedName name="Yun_Fu_Cement_Plant">#REF!</definedName>
    <definedName name="_xlnm.Print_Area" localSheetId="1">'DCF'!$A$98:$S$125</definedName>
    <definedName name="_xlnm.Print_Area" localSheetId="2">'Final'!$A$101:$P$137</definedName>
    <definedName name="_xlnm.Print_Area" localSheetId="4">'SOC'!$A$2:$P$47</definedName>
    <definedName name="_xlnm.Print_Area" localSheetId="5">'HK Sales'!$A$1:$AB$47</definedName>
    <definedName name="_xlnm.Print_Area" localSheetId="7">'ROAFNA'!$A$1:$J$16</definedName>
  </definedNames>
  <calcPr calcId="191029" calcMode="manual" fullCalcOnLoad="1" calcCompleted="0" calcOnSave="0"/>
</workbook>
</file>

<file path=xl/styles.xml><?xml version="1.0" encoding="utf-8"?>
<styleSheet xmlns="http://schemas.openxmlformats.org/spreadsheetml/2006/main">
  <numFmts count="61">
    <numFmt numFmtId="164" formatCode="#,##0_);\(#,##0\);\-\-_)"/>
    <numFmt numFmtId="165" formatCode="#,##0;[Red]\(\-#,##0\)"/>
    <numFmt numFmtId="166" formatCode="0.0%"/>
    <numFmt numFmtId="167" formatCode="#,##0.00;[Red]\(\-#,##0.00\)"/>
    <numFmt numFmtId="168" formatCode="#,##0.00_);\(#,##0.00\);\-\-_)"/>
    <numFmt numFmtId="169" formatCode="#,##0.0"/>
    <numFmt numFmtId="170" formatCode="0_);\(0\)"/>
    <numFmt numFmtId="171" formatCode="#,##0.0000_);\(#,##0.0000\);\-\-_)"/>
    <numFmt numFmtId="172" formatCode="#,##0.0_);\(#,##0.0\);\-\-_)"/>
    <numFmt numFmtId="173" formatCode="#,##0.000_);\(#,##0.000\);\-\-_)"/>
    <numFmt numFmtId="174" formatCode="#,##0.000_);\(#,##0.000\)"/>
    <numFmt numFmtId="175" formatCode="0.0"/>
    <numFmt numFmtId="176" formatCode="#,##0.0_);\(#,##0.0\);#,##0.0_)"/>
    <numFmt numFmtId="177" formatCode="#,##0.0;[Red]\-#,##0.0"/>
    <numFmt numFmtId="178" formatCode="#,##0.0;[Red]\(\-#,##0.0\)"/>
    <numFmt numFmtId="179" formatCode="#,##0.000"/>
    <numFmt numFmtId="180" formatCode="#,##0.000;[Red]\-#,##0.000"/>
    <numFmt numFmtId="181" formatCode="&quot;&quot;#,##0_);\(&quot;&quot;#,##0\)"/>
    <numFmt numFmtId="182" formatCode="0.0&quot;x&quot;"/>
    <numFmt numFmtId="183" formatCode="_(* #,##0.0_);_(* \(#,##0.0\);_(* &quot;-&quot;?_);_(@_)"/>
    <numFmt numFmtId="184" formatCode="&quot;HK$&quot;#,##0.00_);[Red]\(&quot;HK$&quot;#,##0.00\)"/>
    <numFmt numFmtId="185" formatCode="_(* #,##0.00_);_(* \(#,##0.00\);_(* &quot;-&quot;_);_(@_)"/>
    <numFmt numFmtId="186" formatCode="0&quot;E&quot;\ \ \ "/>
    <numFmt numFmtId="187" formatCode="#,###&quot;—&quot;_);\(#,###&quot;—&quot;\)"/>
    <numFmt numFmtId="188" formatCode="#,##0\ \ ;\(#,##0\)\ "/>
    <numFmt numFmtId="189" formatCode="#,##0.0000\ \ "/>
    <numFmt numFmtId="190" formatCode="_(* #,##0.0000_);_(* \(#,##0.0000\);_(* &quot;-&quot;??_);_(@_)"/>
    <numFmt numFmtId="191" formatCode="0\ "/>
    <numFmt numFmtId="192" formatCode="0.0000"/>
    <numFmt numFmtId="193" formatCode="0&quot;%&quot;\ \ \ "/>
    <numFmt numFmtId="194" formatCode="#,##0\ \ \ ;\(#,##0\)\ \ "/>
    <numFmt numFmtId="195" formatCode="#,###&quot;—&quot;\ \ \ _);\(#,##0\)"/>
    <numFmt numFmtId="196" formatCode="0.\ "/>
    <numFmt numFmtId="197" formatCode="#,##0\ ;\(#,##0\)"/>
    <numFmt numFmtId="198" formatCode="#,##0\ "/>
    <numFmt numFmtId="199" formatCode="#,##0.0;[Red]\(#,##0.0\)"/>
    <numFmt numFmtId="200" formatCode="General_)"/>
    <numFmt numFmtId="201" formatCode="#\ ##0\ "/>
    <numFmt numFmtId="202" formatCode="yy"/>
    <numFmt numFmtId="203" formatCode="0.000_)"/>
    <numFmt numFmtId="204" formatCode="_-* #,##0.00_-;\-* #,##0.00_-;_-* &quot;-&quot;??_-;_-@_-"/>
    <numFmt numFmtId="205" formatCode="0.00_);\(0.00\);0.00"/>
    <numFmt numFmtId="206" formatCode="\$#,##0\ ;\(\$#,##0\)"/>
    <numFmt numFmtId="207" formatCode="#,##0,"/>
    <numFmt numFmtId="208" formatCode="#,##0,,"/>
    <numFmt numFmtId="209" formatCode="\+\ #\ ??/??;[Red]\ \-\ #\ ??/??"/>
    <numFmt numFmtId="210" formatCode="0.00_);\(0.00\);0.00_)"/>
    <numFmt numFmtId="211" formatCode="_-* #,##0_-;\-* #,##0_-;_-* &quot;-&quot;_-;_-@_-"/>
    <numFmt numFmtId="212" formatCode="_(&quot;HK$&quot;* #,##0_);_(&quot;HK$&quot;* \(#,##0\);_(&quot;HK$&quot;* &quot;-&quot;_);_(@_)"/>
    <numFmt numFmtId="213" formatCode="_(&quot;HK$&quot;* #,##0.00_);_(&quot;HK$&quot;* \(#,##0.00\);_(&quot;HK$&quot;* &quot;-&quot;??_);_(@_)"/>
    <numFmt numFmtId="214" formatCode="_-&quot;HK$&quot;* #,##0_-;\-&quot;HK$&quot;* #,##0_-;_-&quot;HK$&quot;* &quot;-&quot;_-;_-@_-"/>
    <numFmt numFmtId="215" formatCode="_-&quot;HK$&quot;* #,##0.00_-;\-&quot;HK$&quot;* #,##0.00_-;_-&quot;HK$&quot;* &quot;-&quot;??_-;_-@_-"/>
    <numFmt numFmtId="216" formatCode="0.00*.00\1"/>
    <numFmt numFmtId="217" formatCode="0.00_)"/>
    <numFmt numFmtId="218" formatCode="#,##0.00_);\(#,##0.00\);&quot; --- &quot;"/>
    <numFmt numFmtId="219" formatCode="#,"/>
    <numFmt numFmtId="220" formatCode="0.00\%;\-0.00\%;0.00\%"/>
    <numFmt numFmtId="221" formatCode="0.00;\-0.00;0.00"/>
    <numFmt numFmtId="222" formatCode="0.00\x;\-0.00\x;0.00\x"/>
    <numFmt numFmtId="223" formatCode="##0.00000"/>
    <numFmt numFmtId="224" formatCode="General;\-General;General;"/>
  </numFmts>
  <fonts count="109">
    <font>
      <name val="Geneva"/>
      <family val="2"/>
      <sz val="10"/>
    </font>
    <font>
      <name val="Helvetica"/>
      <family val="2"/>
      <sz val="10"/>
    </font>
    <font>
      <name val="Arial"/>
      <family val="2"/>
      <sz val="10"/>
    </font>
    <font>
      <name val="Helvetica"/>
      <family val="2"/>
      <sz val="10"/>
    </font>
    <font>
      <name val="Geneva"/>
      <family val="2"/>
      <sz val="10"/>
    </font>
    <font>
      <name val="MS Sans Serif"/>
      <family val="2"/>
      <sz val="10"/>
    </font>
    <font>
      <name val="MS Sans Serif"/>
      <family val="2"/>
      <sz val="24"/>
    </font>
    <font>
      <name val="Geneva"/>
      <family val="2"/>
      <color indexed="12"/>
      <sz val="10"/>
      <u val="single"/>
    </font>
    <font>
      <name val="MS Sans Serif"/>
      <family val="2"/>
      <b val="1"/>
      <sz val="10"/>
    </font>
    <font>
      <name val="Times"/>
      <family val="1"/>
      <sz val="10"/>
    </font>
    <font>
      <name val="Helv"/>
      <family val="2"/>
      <sz val="10"/>
    </font>
    <font>
      <name val="MS Sans Serif"/>
      <family val="2"/>
      <color indexed="12"/>
      <sz val="10"/>
    </font>
    <font>
      <name val="Arial"/>
      <family val="2"/>
      <b val="1"/>
      <sz val="12"/>
    </font>
    <font>
      <name val="Arial"/>
      <family val="2"/>
      <sz val="10"/>
    </font>
    <font>
      <name val="Tahoma"/>
      <family val="2"/>
      <b val="1"/>
      <color indexed="81"/>
      <sz val="8"/>
    </font>
    <font>
      <name val="Tahoma"/>
      <family val="2"/>
      <color indexed="81"/>
      <sz val="8"/>
    </font>
    <font>
      <name val="Arial"/>
      <family val="2"/>
      <i val="1"/>
      <sz val="10"/>
    </font>
    <font>
      <name val="Geneva"/>
      <family val="2"/>
      <sz val="8"/>
    </font>
    <font>
      <name val="Arial"/>
      <family val="2"/>
      <color indexed="12"/>
      <sz val="8.4"/>
      <u val="single"/>
    </font>
    <font>
      <name val="Frutiger 45 Light"/>
      <family val="2"/>
      <sz val="10"/>
    </font>
    <font>
      <name val="Frutiger 45 Light"/>
      <family val="2"/>
      <sz val="10.5"/>
    </font>
    <font>
      <name val="Arial"/>
      <family val="2"/>
      <b val="1"/>
      <color indexed="12"/>
      <sz val="10"/>
    </font>
    <font>
      <name val="Tahoma"/>
      <family val="2"/>
      <color indexed="81"/>
      <sz val="9"/>
    </font>
    <font>
      <name val="Tahoma"/>
      <family val="2"/>
      <b val="1"/>
      <color indexed="81"/>
      <sz val="9"/>
    </font>
    <font>
      <name val="Tahoma"/>
      <family val="2"/>
      <color indexed="81"/>
      <sz val="7"/>
    </font>
    <font>
      <name val="Arial"/>
      <family val="2"/>
      <sz val="8"/>
    </font>
    <font>
      <name val="Times New Roman"/>
      <family val="1"/>
      <b val="1"/>
      <sz val="8"/>
    </font>
    <font>
      <name val="Times New Roman"/>
      <family val="1"/>
      <b val="1"/>
      <color indexed="8"/>
      <sz val="8"/>
    </font>
    <font>
      <name val="Times New Roman"/>
      <family val="1"/>
      <b val="1"/>
      <color indexed="12"/>
      <sz val="8"/>
    </font>
    <font>
      <name val="Times New Roman"/>
      <family val="1"/>
      <sz val="7"/>
    </font>
    <font>
      <name val="Times New Roman"/>
      <family val="1"/>
      <color indexed="8"/>
      <sz val="8"/>
    </font>
    <font>
      <name val="Tms Rmn"/>
      <sz val="11"/>
    </font>
    <font>
      <name val="MS Sans Serif"/>
      <family val="2"/>
      <color indexed="22"/>
      <sz val="10"/>
    </font>
    <font>
      <name val="Times New Roman"/>
      <family val="1"/>
      <b val="1"/>
      <sz val="9"/>
    </font>
    <font>
      <name val="Book Antiqua"/>
      <family val="1"/>
      <sz val="11"/>
    </font>
    <font>
      <name val="Courier"/>
      <family val="3"/>
      <color indexed="8"/>
      <sz val="1"/>
    </font>
    <font>
      <name val="Times New Roman"/>
      <family val="1"/>
      <sz val="9"/>
    </font>
    <font>
      <name val="Times New Roman"/>
      <family val="1"/>
      <i val="1"/>
      <color indexed="12"/>
      <sz val="8"/>
    </font>
    <font>
      <name val="Arial"/>
      <family val="2"/>
      <color indexed="12"/>
      <sz val="10"/>
      <u val="single"/>
    </font>
    <font>
      <name val="Times New Roman"/>
      <family val="1"/>
      <sz val="11"/>
    </font>
    <font>
      <name val="Courier"/>
      <family val="3"/>
      <sz val="10"/>
    </font>
    <font>
      <name val="Helv"/>
      <b val="1"/>
      <i val="1"/>
      <sz val="16"/>
    </font>
    <font>
      <name val="Courier"/>
      <family val="3"/>
      <b val="1"/>
      <color indexed="8"/>
      <sz val="1"/>
    </font>
    <font>
      <name val="Times New Roman"/>
      <family val="1"/>
      <b val="1"/>
      <color indexed="10"/>
      <sz val="8"/>
    </font>
    <font>
      <name val="Times New Roman"/>
      <family val="1"/>
      <b val="1"/>
      <color indexed="12"/>
      <sz val="9"/>
    </font>
    <font>
      <name val="Arial"/>
      <family val="2"/>
      <b val="1"/>
      <color indexed="24"/>
      <sz val="18"/>
    </font>
    <font>
      <name val="Calibri"/>
      <family val="2"/>
      <color indexed="8"/>
      <sz val="11"/>
    </font>
    <font>
      <name val="Calibri"/>
      <family val="2"/>
      <color indexed="9"/>
      <sz val="11"/>
    </font>
    <font>
      <name val="Calibri"/>
      <family val="2"/>
      <color indexed="20"/>
      <sz val="11"/>
    </font>
    <font>
      <name val="Times New Roman"/>
      <family val="1"/>
      <sz val="10"/>
    </font>
    <font>
      <name val="Calibri"/>
      <family val="2"/>
      <color indexed="17"/>
      <sz val="11"/>
    </font>
    <font>
      <name val="Calibri"/>
      <family val="2"/>
      <b val="1"/>
      <color indexed="52"/>
      <sz val="11"/>
    </font>
    <font>
      <name val="Calibri"/>
      <family val="2"/>
      <b val="1"/>
      <color indexed="9"/>
      <sz val="11"/>
    </font>
    <font>
      <name val="Calibri"/>
      <family val="2"/>
      <color indexed="52"/>
      <sz val="11"/>
    </font>
    <font>
      <name val="Calibri"/>
      <family val="2"/>
      <color indexed="10"/>
      <sz val="11"/>
    </font>
    <font>
      <name val="Calibri"/>
      <family val="2"/>
      <b val="1"/>
      <color indexed="56"/>
      <sz val="11"/>
    </font>
    <font>
      <name val="Calibri"/>
      <family val="2"/>
      <color indexed="62"/>
      <sz val="11"/>
    </font>
    <font>
      <name val="Calibri"/>
      <family val="2"/>
      <i val="1"/>
      <color indexed="23"/>
      <sz val="11"/>
    </font>
    <font>
      <name val="Calibri"/>
      <family val="2"/>
      <b val="1"/>
      <color indexed="56"/>
      <sz val="15"/>
    </font>
    <font>
      <name val="Calibri"/>
      <family val="2"/>
      <b val="1"/>
      <color indexed="56"/>
      <sz val="13"/>
    </font>
    <font>
      <name val="Calibri"/>
      <family val="2"/>
      <b val="1"/>
      <color indexed="62"/>
      <sz val="11"/>
    </font>
    <font>
      <name val="Calibri"/>
      <family val="2"/>
      <color indexed="19"/>
      <sz val="11"/>
    </font>
    <font>
      <name val="Calibri"/>
      <family val="2"/>
      <b val="1"/>
      <color indexed="63"/>
      <sz val="11"/>
    </font>
    <font>
      <name val="MS Sans Serif"/>
      <family val="2"/>
      <color indexed="23"/>
      <sz val="10"/>
    </font>
    <font>
      <name val="MS Sans Serif"/>
      <family val="2"/>
      <b val="1"/>
      <sz val="12"/>
    </font>
    <font>
      <name val="Cambria"/>
      <family val="2"/>
      <b val="1"/>
      <color indexed="56"/>
      <sz val="18"/>
    </font>
    <font>
      <name val="Helv"/>
      <i val="1"/>
      <sz val="10"/>
    </font>
    <font>
      <name val="Frutiger 45 Light"/>
      <family val="2"/>
      <color theme="1"/>
      <sz val="10.5"/>
    </font>
    <font>
      <name val="Arial"/>
      <family val="2"/>
      <color theme="10"/>
      <sz val="10"/>
      <u val="single"/>
    </font>
    <font>
      <name val="Calibri"/>
      <family val="2"/>
      <color rgb="FF0000FF"/>
      <sz val="10"/>
      <scheme val="minor"/>
    </font>
    <font>
      <name val="Calibri"/>
      <family val="2"/>
      <b val="1"/>
      <sz val="10"/>
      <scheme val="minor"/>
    </font>
    <font>
      <name val="Calibri"/>
      <family val="2"/>
      <sz val="10"/>
      <scheme val="minor"/>
    </font>
    <font>
      <name val="Calibri"/>
      <family val="2"/>
      <color indexed="17"/>
      <sz val="10"/>
      <scheme val="minor"/>
    </font>
    <font>
      <name val="Calibri"/>
      <family val="2"/>
      <i val="1"/>
      <sz val="10"/>
      <scheme val="minor"/>
    </font>
    <font>
      <name val="Calibri"/>
      <family val="2"/>
      <color indexed="12"/>
      <sz val="10"/>
      <scheme val="minor"/>
    </font>
    <font>
      <name val="Calibri"/>
      <family val="2"/>
      <color indexed="22"/>
      <sz val="10"/>
      <scheme val="minor"/>
    </font>
    <font>
      <name val="Calibri"/>
      <family val="2"/>
      <b val="1"/>
      <color rgb="FFFF0000"/>
      <sz val="10"/>
      <scheme val="minor"/>
    </font>
    <font>
      <name val="Calibri"/>
      <family val="2"/>
      <color indexed="23"/>
      <sz val="10"/>
      <scheme val="minor"/>
    </font>
    <font>
      <name val="Calibri"/>
      <family val="2"/>
      <i val="1"/>
      <color rgb="FFFF0000"/>
      <sz val="10"/>
      <scheme val="minor"/>
    </font>
    <font>
      <name val="Calibri"/>
      <family val="2"/>
      <b val="1"/>
      <color rgb="FF0000FF"/>
      <sz val="10"/>
      <scheme val="minor"/>
    </font>
    <font>
      <name val="Calibri"/>
      <family val="2"/>
      <b val="1"/>
      <color rgb="FF00B050"/>
      <sz val="10"/>
      <scheme val="minor"/>
    </font>
    <font>
      <name val="Calibri"/>
      <family val="2"/>
      <i val="1"/>
      <color rgb="FF0000FF"/>
      <sz val="10"/>
      <scheme val="minor"/>
    </font>
    <font>
      <name val="Calibri"/>
      <family val="2"/>
      <color rgb="FFFF0000"/>
      <sz val="10"/>
      <scheme val="minor"/>
    </font>
    <font>
      <name val="Calibri"/>
      <family val="2"/>
      <color theme="0"/>
      <sz val="10"/>
      <scheme val="minor"/>
    </font>
    <font>
      <name val="Calibri"/>
      <family val="2"/>
      <b val="1"/>
      <color theme="0"/>
      <sz val="10"/>
      <scheme val="minor"/>
    </font>
    <font>
      <name val="Calibri"/>
      <family val="2"/>
      <color rgb="FF3366FF"/>
      <sz val="10"/>
      <scheme val="minor"/>
    </font>
    <font>
      <name val="Calibri"/>
      <family val="2"/>
      <color rgb="FF3333FF"/>
      <sz val="10"/>
      <scheme val="minor"/>
    </font>
    <font>
      <name val="Calibri"/>
      <family val="2"/>
      <b val="1"/>
      <i val="1"/>
      <color rgb="FFFF0000"/>
      <sz val="10"/>
      <scheme val="minor"/>
    </font>
    <font>
      <name val="Calibri"/>
      <family val="2"/>
      <i val="1"/>
      <color indexed="12"/>
      <sz val="10"/>
      <scheme val="minor"/>
    </font>
    <font>
      <name val="Calibri"/>
      <family val="2"/>
      <b val="1"/>
      <color indexed="12"/>
      <sz val="10"/>
      <u val="single"/>
      <scheme val="minor"/>
    </font>
    <font>
      <name val="Calibri"/>
      <family val="2"/>
      <b val="1"/>
      <color indexed="12"/>
      <sz val="10"/>
      <scheme val="minor"/>
    </font>
    <font>
      <name val="Calibri"/>
      <family val="2"/>
      <b val="1"/>
      <sz val="10"/>
      <u val="single"/>
      <scheme val="minor"/>
    </font>
    <font>
      <name val="Calibri"/>
      <family val="2"/>
      <b val="1"/>
      <color indexed="23"/>
      <sz val="10"/>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sz val="10"/>
      <scheme val="minor"/>
    </font>
  </fonts>
  <fills count="51">
    <fill>
      <patternFill/>
    </fill>
    <fill>
      <patternFill patternType="gray125"/>
    </fill>
    <fill>
      <patternFill patternType="solid">
        <fgColor indexed="29"/>
      </patternFill>
    </fill>
    <fill>
      <patternFill patternType="solid">
        <fgColor indexed="44"/>
      </patternFill>
    </fill>
    <fill>
      <patternFill patternType="solid">
        <fgColor indexed="47"/>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53"/>
      </patternFill>
    </fill>
    <fill>
      <patternFill patternType="solid">
        <fgColor indexed="11"/>
      </patternFill>
    </fill>
    <fill>
      <patternFill patternType="solid">
        <fgColor indexed="51"/>
      </patternFill>
    </fill>
    <fill>
      <patternFill patternType="solid">
        <fgColor indexed="49"/>
      </patternFill>
    </fill>
    <fill>
      <patternFill patternType="solid">
        <fgColor indexed="22"/>
      </patternFill>
    </fill>
    <fill>
      <patternFill patternType="solid">
        <fgColor indexed="30"/>
      </patternFill>
    </fill>
    <fill>
      <patternFill patternType="solid">
        <fgColor indexed="36"/>
      </patternFill>
    </fill>
    <fill>
      <patternFill patternType="solid">
        <fgColor indexed="5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55"/>
      </patternFill>
    </fill>
    <fill>
      <patternFill patternType="lightGray">
        <fgColor indexed="12"/>
      </patternFill>
    </fill>
    <fill>
      <patternFill patternType="solid">
        <fgColor indexed="9"/>
        <bgColor indexed="64"/>
      </patternFill>
    </fill>
    <fill>
      <patternFill patternType="solid">
        <fgColor indexed="62"/>
      </patternFill>
    </fill>
    <fill>
      <patternFill patternType="solid">
        <fgColor indexed="13"/>
      </patternFill>
    </fill>
    <fill>
      <patternFill patternType="solid">
        <fgColor indexed="26"/>
      </patternFill>
    </fill>
    <fill>
      <patternFill patternType="solid">
        <fgColor indexed="9"/>
      </patternFill>
    </fill>
    <fill>
      <patternFill patternType="gray125">
        <fgColor indexed="22"/>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theme="3" tint="0.7999816888943144"/>
        <bgColor indexed="64"/>
      </patternFill>
    </fill>
    <fill>
      <patternFill patternType="solid">
        <fgColor rgb="FFFFFF00"/>
        <bgColor indexed="64"/>
      </patternFill>
    </fill>
    <fill>
      <patternFill patternType="solid">
        <fgColor theme="4" tint="0.7999816888943144"/>
        <bgColor indexed="64"/>
      </patternFill>
    </fill>
    <fill>
      <patternFill patternType="solid">
        <fgColor rgb="FFFFFFCC"/>
        <bgColor indexed="64"/>
      </patternFill>
    </fill>
    <fill>
      <patternFill patternType="solid">
        <fgColor theme="4"/>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double">
        <color indexed="10"/>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321">
    <xf numFmtId="0" fontId="4" fillId="0" borderId="0"/>
    <xf numFmtId="187" fontId="3" fillId="0" borderId="0"/>
    <xf numFmtId="37" fontId="3" fillId="0" borderId="0"/>
    <xf numFmtId="188" fontId="3" fillId="0" borderId="0"/>
    <xf numFmtId="41" fontId="13" fillId="0" borderId="0"/>
    <xf numFmtId="0" fontId="18" fillId="0" borderId="0" applyAlignment="1" applyProtection="1">
      <alignment vertical="top"/>
      <protection locked="0" hidden="0"/>
    </xf>
    <xf numFmtId="43" fontId="13" fillId="0" borderId="0"/>
    <xf numFmtId="189" fontId="13" fillId="0" borderId="0"/>
    <xf numFmtId="190" fontId="3" fillId="0" borderId="0"/>
    <xf numFmtId="190" fontId="3" fillId="0" borderId="0"/>
    <xf numFmtId="191" fontId="3" fillId="0" borderId="0"/>
    <xf numFmtId="191" fontId="3" fillId="0" borderId="0"/>
    <xf numFmtId="192" fontId="3" fillId="0" borderId="0"/>
    <xf numFmtId="192" fontId="3" fillId="0" borderId="0"/>
    <xf numFmtId="0" fontId="13" fillId="0" borderId="0"/>
    <xf numFmtId="193" fontId="10" fillId="0" borderId="0"/>
    <xf numFmtId="0" fontId="13" fillId="0" borderId="0"/>
    <xf numFmtId="194" fontId="10" fillId="0" borderId="0"/>
    <xf numFmtId="189" fontId="13" fillId="0" borderId="0"/>
    <xf numFmtId="0" fontId="13" fillId="0" borderId="0"/>
    <xf numFmtId="189" fontId="13" fillId="0" borderId="0"/>
    <xf numFmtId="190" fontId="3" fillId="0" borderId="0"/>
    <xf numFmtId="190" fontId="3" fillId="0" borderId="0"/>
    <xf numFmtId="191" fontId="3" fillId="0" borderId="0"/>
    <xf numFmtId="191" fontId="3" fillId="0" borderId="0"/>
    <xf numFmtId="192" fontId="3" fillId="0" borderId="0"/>
    <xf numFmtId="192" fontId="3" fillId="0" borderId="0"/>
    <xf numFmtId="0" fontId="13" fillId="0" borderId="0"/>
    <xf numFmtId="193" fontId="10" fillId="0" borderId="0"/>
    <xf numFmtId="0" fontId="13" fillId="0" borderId="0"/>
    <xf numFmtId="193" fontId="4" fillId="0" borderId="0"/>
    <xf numFmtId="195" fontId="3" fillId="0" borderId="0"/>
    <xf numFmtId="195" fontId="3" fillId="0" borderId="0"/>
    <xf numFmtId="195" fontId="3" fillId="0" borderId="0"/>
    <xf numFmtId="195" fontId="3" fillId="0" borderId="0"/>
    <xf numFmtId="195" fontId="3" fillId="0" borderId="0"/>
    <xf numFmtId="195" fontId="3" fillId="0" borderId="0"/>
    <xf numFmtId="0" fontId="13" fillId="0" borderId="0"/>
    <xf numFmtId="0" fontId="13" fillId="0" borderId="0"/>
    <xf numFmtId="193" fontId="4" fillId="0" borderId="0"/>
    <xf numFmtId="196" fontId="13" fillId="0" borderId="0"/>
    <xf numFmtId="197" fontId="10" fillId="0" borderId="0"/>
    <xf numFmtId="0" fontId="10" fillId="0" borderId="0"/>
    <xf numFmtId="195" fontId="3" fillId="0" borderId="0"/>
    <xf numFmtId="195" fontId="3" fillId="0" borderId="0"/>
    <xf numFmtId="195" fontId="3" fillId="0" borderId="0"/>
    <xf numFmtId="195" fontId="3" fillId="0" borderId="0"/>
    <xf numFmtId="195" fontId="3" fillId="0" borderId="0"/>
    <xf numFmtId="195" fontId="3" fillId="0" borderId="0"/>
    <xf numFmtId="195" fontId="3" fillId="0" borderId="0"/>
    <xf numFmtId="195" fontId="3" fillId="0" borderId="0"/>
    <xf numFmtId="195" fontId="3" fillId="0" borderId="0"/>
    <xf numFmtId="195" fontId="3" fillId="0" borderId="0"/>
    <xf numFmtId="0" fontId="13" fillId="0" borderId="0"/>
    <xf numFmtId="0" fontId="45" fillId="0" borderId="0"/>
    <xf numFmtId="3" fontId="3" fillId="0" borderId="0"/>
    <xf numFmtId="198" fontId="3" fillId="0" borderId="0"/>
    <xf numFmtId="0" fontId="46" fillId="3" borderId="0"/>
    <xf numFmtId="0" fontId="46" fillId="3" borderId="0"/>
    <xf numFmtId="0" fontId="46" fillId="5" borderId="0"/>
    <xf numFmtId="0" fontId="46" fillId="5" borderId="0"/>
    <xf numFmtId="0" fontId="46" fillId="5" borderId="0"/>
    <xf numFmtId="0" fontId="46" fillId="5" borderId="0"/>
    <xf numFmtId="0" fontId="46" fillId="4" borderId="0"/>
    <xf numFmtId="0" fontId="46" fillId="4" borderId="0"/>
    <xf numFmtId="0" fontId="46" fillId="3" borderId="0"/>
    <xf numFmtId="0" fontId="46" fillId="3" borderId="0"/>
    <xf numFmtId="0" fontId="46" fillId="5" borderId="0"/>
    <xf numFmtId="0" fontId="46" fillId="5" borderId="0"/>
    <xf numFmtId="0" fontId="46" fillId="3" borderId="0"/>
    <xf numFmtId="0" fontId="46" fillId="5" borderId="0"/>
    <xf numFmtId="0" fontId="46" fillId="5" borderId="0"/>
    <xf numFmtId="0" fontId="46" fillId="4" borderId="0"/>
    <xf numFmtId="0" fontId="46" fillId="3" borderId="0"/>
    <xf numFmtId="0" fontId="46" fillId="5" borderId="0"/>
    <xf numFmtId="0" fontId="46" fillId="6" borderId="0"/>
    <xf numFmtId="0" fontId="46" fillId="7" borderId="0"/>
    <xf numFmtId="0" fontId="46" fillId="8" borderId="0"/>
    <xf numFmtId="0" fontId="46" fillId="9" borderId="0"/>
    <xf numFmtId="0" fontId="46" fillId="10" borderId="0"/>
    <xf numFmtId="0" fontId="46" fillId="4" borderId="0"/>
    <xf numFmtId="0" fontId="46" fillId="3" borderId="0"/>
    <xf numFmtId="0" fontId="46" fillId="3" borderId="0"/>
    <xf numFmtId="0" fontId="46" fillId="11" borderId="0"/>
    <xf numFmtId="0" fontId="46" fillId="11" borderId="0"/>
    <xf numFmtId="0" fontId="46" fillId="5" borderId="0"/>
    <xf numFmtId="0" fontId="46" fillId="5" borderId="0"/>
    <xf numFmtId="0" fontId="46" fillId="7" borderId="0"/>
    <xf numFmtId="0" fontId="46" fillId="7" borderId="0"/>
    <xf numFmtId="0" fontId="46" fillId="3" borderId="0"/>
    <xf numFmtId="0" fontId="46" fillId="3" borderId="0"/>
    <xf numFmtId="0" fontId="46" fillId="5" borderId="0"/>
    <xf numFmtId="0" fontId="46" fillId="5" borderId="0"/>
    <xf numFmtId="0" fontId="46" fillId="3" borderId="0"/>
    <xf numFmtId="0" fontId="46" fillId="11" borderId="0"/>
    <xf numFmtId="0" fontId="46" fillId="5" borderId="0"/>
    <xf numFmtId="0" fontId="46" fillId="7" borderId="0"/>
    <xf numFmtId="0" fontId="46" fillId="3" borderId="0"/>
    <xf numFmtId="0" fontId="46" fillId="5" borderId="0"/>
    <xf numFmtId="0" fontId="46" fillId="3" borderId="0"/>
    <xf numFmtId="0" fontId="46" fillId="2" borderId="0"/>
    <xf numFmtId="0" fontId="46" fillId="12" borderId="0"/>
    <xf numFmtId="0" fontId="46" fillId="9" borderId="0"/>
    <xf numFmtId="0" fontId="46" fillId="3" borderId="0"/>
    <xf numFmtId="0" fontId="46" fillId="13" borderId="0"/>
    <xf numFmtId="0" fontId="47" fillId="3" borderId="0"/>
    <xf numFmtId="0" fontId="47" fillId="3" borderId="0"/>
    <xf numFmtId="0" fontId="47" fillId="11" borderId="0"/>
    <xf numFmtId="0" fontId="47" fillId="11" borderId="0"/>
    <xf numFmtId="0" fontId="47" fillId="13" borderId="0"/>
    <xf numFmtId="0" fontId="47" fillId="13" borderId="0"/>
    <xf numFmtId="0" fontId="47" fillId="7" borderId="0"/>
    <xf numFmtId="0" fontId="47" fillId="7" borderId="0"/>
    <xf numFmtId="0" fontId="47" fillId="3" borderId="0"/>
    <xf numFmtId="0" fontId="47" fillId="3" borderId="0"/>
    <xf numFmtId="0" fontId="47" fillId="5" borderId="0"/>
    <xf numFmtId="0" fontId="47" fillId="5" borderId="0"/>
    <xf numFmtId="0" fontId="47" fillId="11" borderId="0"/>
    <xf numFmtId="0" fontId="47" fillId="13" borderId="0"/>
    <xf numFmtId="0" fontId="47" fillId="7" borderId="0"/>
    <xf numFmtId="0" fontId="47" fillId="3" borderId="0"/>
    <xf numFmtId="0" fontId="47" fillId="5" borderId="0"/>
    <xf numFmtId="0" fontId="47" fillId="16" borderId="0"/>
    <xf numFmtId="0" fontId="47" fillId="2" borderId="0"/>
    <xf numFmtId="0" fontId="47" fillId="12" borderId="0"/>
    <xf numFmtId="0" fontId="47" fillId="17" borderId="0"/>
    <xf numFmtId="0" fontId="47" fillId="14" borderId="0"/>
    <xf numFmtId="0" fontId="47" fillId="18" borderId="0"/>
    <xf numFmtId="0" fontId="47" fillId="19" borderId="0"/>
    <xf numFmtId="0" fontId="47" fillId="19" borderId="0"/>
    <xf numFmtId="0" fontId="47" fillId="13" borderId="0"/>
    <xf numFmtId="0" fontId="47" fillId="13" borderId="0"/>
    <xf numFmtId="0" fontId="47" fillId="22" borderId="0"/>
    <xf numFmtId="0" fontId="47" fillId="22" borderId="0"/>
    <xf numFmtId="0" fontId="47" fillId="14" borderId="0"/>
    <xf numFmtId="0" fontId="47" fillId="14" borderId="0"/>
    <xf numFmtId="0" fontId="36" fillId="0" borderId="0"/>
    <xf numFmtId="0" fontId="36" fillId="0" borderId="0"/>
    <xf numFmtId="1" fontId="26" fillId="0" borderId="0" applyAlignment="1" applyProtection="1">
      <alignment horizontal="right" wrapText="1"/>
      <protection locked="0" hidden="0"/>
    </xf>
    <xf numFmtId="199" fontId="27" fillId="0" borderId="0" applyAlignment="1" applyProtection="1">
      <alignment horizontal="right"/>
      <protection locked="0" hidden="0"/>
    </xf>
    <xf numFmtId="1" fontId="26" fillId="0" borderId="0" applyAlignment="1" applyProtection="1">
      <alignment horizontal="right" wrapText="1"/>
      <protection locked="0" hidden="0"/>
    </xf>
    <xf numFmtId="0" fontId="28" fillId="0" borderId="0" applyProtection="1">
      <protection locked="0" hidden="0"/>
    </xf>
    <xf numFmtId="199" fontId="21" fillId="0" borderId="0" applyProtection="1">
      <protection locked="0" hidden="0"/>
    </xf>
    <xf numFmtId="199" fontId="21" fillId="0" borderId="0" applyProtection="1">
      <protection locked="0" hidden="0"/>
    </xf>
    <xf numFmtId="0" fontId="28" fillId="0" borderId="0" applyProtection="1">
      <protection locked="0" hidden="0"/>
    </xf>
    <xf numFmtId="200" fontId="49" fillId="0" borderId="0" applyAlignment="1">
      <alignment vertical="top"/>
    </xf>
    <xf numFmtId="201" fontId="29" fillId="0" borderId="0"/>
    <xf numFmtId="200" fontId="29" fillId="0" borderId="0" applyAlignment="1">
      <alignment horizontal="left"/>
    </xf>
    <xf numFmtId="0" fontId="50" fillId="8" borderId="0"/>
    <xf numFmtId="0" fontId="50" fillId="8" borderId="0"/>
    <xf numFmtId="0" fontId="51" fillId="15" borderId="1"/>
    <xf numFmtId="0" fontId="51" fillId="15" borderId="1"/>
    <xf numFmtId="0" fontId="52" fillId="23" borderId="2"/>
    <xf numFmtId="0" fontId="53" fillId="0" borderId="3"/>
    <xf numFmtId="0" fontId="52" fillId="23" borderId="2"/>
    <xf numFmtId="0" fontId="54" fillId="0" borderId="4"/>
    <xf numFmtId="1" fontId="30" fillId="0" borderId="0" applyProtection="1">
      <protection locked="0" hidden="0"/>
    </xf>
    <xf numFmtId="0" fontId="5" fillId="0" borderId="0" applyAlignment="1" applyProtection="1">
      <alignment horizontal="center" wrapText="1"/>
      <protection locked="1" hidden="1"/>
    </xf>
    <xf numFmtId="3" fontId="4" fillId="0" borderId="0"/>
    <xf numFmtId="202" fontId="10" fillId="0" borderId="0"/>
    <xf numFmtId="203" fontId="31" fillId="0" borderId="0"/>
    <xf numFmtId="202" fontId="10" fillId="0" borderId="0"/>
    <xf numFmtId="203" fontId="31" fillId="0" borderId="0"/>
    <xf numFmtId="202" fontId="10" fillId="0" borderId="0"/>
    <xf numFmtId="203" fontId="31" fillId="0" borderId="0"/>
    <xf numFmtId="202" fontId="10" fillId="0" borderId="0"/>
    <xf numFmtId="203" fontId="31" fillId="0" borderId="0"/>
    <xf numFmtId="202" fontId="10" fillId="0" borderId="0"/>
    <xf numFmtId="203" fontId="31" fillId="0" borderId="0"/>
    <xf numFmtId="202" fontId="10" fillId="0" borderId="0"/>
    <xf numFmtId="203" fontId="31" fillId="0" borderId="0"/>
    <xf numFmtId="202" fontId="10" fillId="0" borderId="0"/>
    <xf numFmtId="203" fontId="31" fillId="0" borderId="0"/>
    <xf numFmtId="202" fontId="10" fillId="0" borderId="0"/>
    <xf numFmtId="43" fontId="67" fillId="0" borderId="0"/>
    <xf numFmtId="204" fontId="13" fillId="0" borderId="0"/>
    <xf numFmtId="204" fontId="13" fillId="0" borderId="0"/>
    <xf numFmtId="204" fontId="13" fillId="0" borderId="0"/>
    <xf numFmtId="0" fontId="13" fillId="0" borderId="0"/>
    <xf numFmtId="3" fontId="32" fillId="0" borderId="0"/>
    <xf numFmtId="0" fontId="6" fillId="24" borderId="0" applyAlignment="1">
      <alignment horizontal="center" vertical="center" wrapText="1"/>
    </xf>
    <xf numFmtId="205" fontId="5" fillId="0" borderId="0" applyAlignment="1" applyProtection="1">
      <alignment horizontal="right"/>
      <protection locked="0" hidden="0"/>
    </xf>
    <xf numFmtId="184" fontId="4" fillId="0" borderId="0"/>
    <xf numFmtId="206" fontId="32" fillId="0" borderId="0"/>
    <xf numFmtId="0" fontId="5" fillId="0" borderId="0" applyProtection="1">
      <protection locked="0" hidden="0"/>
    </xf>
    <xf numFmtId="17" fontId="33" fillId="0" borderId="5"/>
    <xf numFmtId="17" fontId="33" fillId="0" borderId="5"/>
    <xf numFmtId="175" fontId="25" fillId="25" borderId="0" applyAlignment="1">
      <alignment horizontal="right"/>
    </xf>
    <xf numFmtId="207" fontId="34" fillId="0" borderId="0"/>
    <xf numFmtId="208" fontId="34" fillId="0" borderId="0"/>
    <xf numFmtId="0" fontId="55" fillId="0" borderId="0"/>
    <xf numFmtId="0" fontId="47" fillId="11" borderId="0"/>
    <xf numFmtId="0" fontId="47" fillId="26" borderId="0"/>
    <xf numFmtId="0" fontId="47" fillId="20" borderId="0"/>
    <xf numFmtId="0" fontId="47" fillId="21" borderId="0"/>
    <xf numFmtId="0" fontId="47" fillId="17" borderId="0"/>
    <xf numFmtId="0" fontId="47" fillId="11" borderId="0"/>
    <xf numFmtId="0" fontId="56" fillId="4" borderId="1"/>
    <xf numFmtId="0" fontId="56" fillId="4" borderId="1"/>
    <xf numFmtId="0" fontId="35" fillId="0" borderId="0" applyProtection="1">
      <protection locked="0" hidden="0"/>
    </xf>
    <xf numFmtId="0" fontId="35" fillId="0" borderId="0" applyProtection="1">
      <protection locked="0" hidden="0"/>
    </xf>
    <xf numFmtId="0" fontId="35" fillId="0" borderId="0" applyProtection="1">
      <protection locked="0" hidden="0"/>
    </xf>
    <xf numFmtId="0" fontId="35" fillId="0" borderId="0" applyProtection="1">
      <protection locked="0" hidden="0"/>
    </xf>
    <xf numFmtId="0" fontId="35" fillId="0" borderId="0" applyProtection="1">
      <protection locked="0" hidden="0"/>
    </xf>
    <xf numFmtId="0" fontId="35" fillId="0" borderId="0" applyProtection="1">
      <protection locked="0" hidden="0"/>
    </xf>
    <xf numFmtId="0" fontId="35" fillId="0" borderId="0" applyProtection="1">
      <protection locked="0" hidden="0"/>
    </xf>
    <xf numFmtId="0" fontId="5" fillId="0" borderId="0"/>
    <xf numFmtId="209" fontId="36" fillId="0" borderId="0" applyProtection="1">
      <protection locked="0" hidden="0"/>
    </xf>
    <xf numFmtId="13" fontId="36" fillId="0" borderId="0" applyProtection="1">
      <protection locked="0" hidden="0"/>
    </xf>
    <xf numFmtId="166" fontId="37" fillId="0" borderId="0" applyAlignment="1" applyProtection="1">
      <alignment horizontal="right"/>
      <protection locked="0" hidden="0"/>
    </xf>
    <xf numFmtId="0" fontId="38" fillId="0" borderId="0" applyAlignment="1" applyProtection="1">
      <alignment vertical="top"/>
      <protection locked="0" hidden="0"/>
    </xf>
    <xf numFmtId="0" fontId="7" fillId="0" borderId="0" applyAlignment="1" applyProtection="1">
      <alignment vertical="top"/>
      <protection locked="0" hidden="0"/>
    </xf>
    <xf numFmtId="0" fontId="68" fillId="0" borderId="0"/>
    <xf numFmtId="0" fontId="13" fillId="0" borderId="0" applyAlignment="1" applyProtection="1">
      <alignment vertical="top"/>
      <protection locked="0" hidden="0"/>
    </xf>
    <xf numFmtId="0" fontId="3" fillId="0" borderId="0"/>
    <xf numFmtId="0" fontId="48" fillId="7" borderId="0"/>
    <xf numFmtId="0" fontId="48" fillId="9" borderId="0"/>
    <xf numFmtId="13" fontId="26" fillId="0" borderId="6" applyAlignment="1" applyProtection="1">
      <alignment horizontal="right" wrapText="1"/>
      <protection locked="0" hidden="0"/>
    </xf>
    <xf numFmtId="0" fontId="5" fillId="0" borderId="0" applyAlignment="1" applyProtection="1">
      <alignment horizontal="right"/>
      <protection locked="0" hidden="0"/>
    </xf>
    <xf numFmtId="210" fontId="5" fillId="0" borderId="0" applyAlignment="1" applyProtection="1">
      <alignment horizontal="right"/>
      <protection locked="0" hidden="0"/>
    </xf>
    <xf numFmtId="0" fontId="8" fillId="27" borderId="7" applyAlignment="1">
      <alignment horizontal="left" vertical="center" wrapText="1"/>
    </xf>
    <xf numFmtId="0" fontId="8" fillId="27" borderId="7" applyAlignment="1">
      <alignment horizontal="left" vertical="center" wrapText="1"/>
    </xf>
    <xf numFmtId="15" fontId="13" fillId="0" borderId="0"/>
    <xf numFmtId="211" fontId="13" fillId="0" borderId="0"/>
    <xf numFmtId="4" fontId="39" fillId="0" borderId="0"/>
    <xf numFmtId="204" fontId="13" fillId="0" borderId="0"/>
    <xf numFmtId="212" fontId="13" fillId="0" borderId="0"/>
    <xf numFmtId="213" fontId="13" fillId="0" borderId="0"/>
    <xf numFmtId="214" fontId="13" fillId="0" borderId="0"/>
    <xf numFmtId="215" fontId="13" fillId="0" borderId="0"/>
    <xf numFmtId="0" fontId="61" fillId="5" borderId="0"/>
    <xf numFmtId="0" fontId="40" fillId="0" borderId="0"/>
    <xf numFmtId="216" fontId="10" fillId="0" borderId="0"/>
    <xf numFmtId="217" fontId="41" fillId="0" borderId="0"/>
    <xf numFmtId="0" fontId="67" fillId="0" borderId="0"/>
    <xf numFmtId="0" fontId="67" fillId="0" borderId="0"/>
    <xf numFmtId="0" fontId="67" fillId="0" borderId="0"/>
    <xf numFmtId="0" fontId="67"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20" fillId="0" borderId="0"/>
    <xf numFmtId="0" fontId="13" fillId="0" borderId="0"/>
    <xf numFmtId="0" fontId="13" fillId="0" borderId="0"/>
    <xf numFmtId="0" fontId="13" fillId="0" borderId="0"/>
    <xf numFmtId="0" fontId="67" fillId="0" borderId="0"/>
    <xf numFmtId="0" fontId="13" fillId="0" borderId="0"/>
    <xf numFmtId="0" fontId="67" fillId="0" borderId="0"/>
    <xf numFmtId="0" fontId="13" fillId="0" borderId="0"/>
    <xf numFmtId="0" fontId="13" fillId="0" borderId="0"/>
    <xf numFmtId="0" fontId="13" fillId="0" borderId="0"/>
    <xf numFmtId="0" fontId="67" fillId="0" borderId="0"/>
    <xf numFmtId="0" fontId="13" fillId="0" borderId="0"/>
    <xf numFmtId="0" fontId="10" fillId="0" borderId="0"/>
    <xf numFmtId="0" fontId="13" fillId="0" borderId="0"/>
    <xf numFmtId="3" fontId="13" fillId="0" borderId="0"/>
    <xf numFmtId="0" fontId="13" fillId="0" borderId="0"/>
    <xf numFmtId="0" fontId="19" fillId="5" borderId="8"/>
    <xf numFmtId="0" fontId="19" fillId="5" borderId="8"/>
    <xf numFmtId="0" fontId="46" fillId="28" borderId="8"/>
    <xf numFmtId="0" fontId="46" fillId="28" borderId="8"/>
    <xf numFmtId="0" fontId="66" fillId="0" borderId="9"/>
    <xf numFmtId="218" fontId="16" fillId="0" borderId="0"/>
    <xf numFmtId="219" fontId="42" fillId="0" borderId="0" applyProtection="1">
      <protection locked="0" hidden="0"/>
    </xf>
    <xf numFmtId="9" fontId="4" fillId="0" borderId="0"/>
    <xf numFmtId="9" fontId="67" fillId="0" borderId="0"/>
    <xf numFmtId="9" fontId="13" fillId="0" borderId="0"/>
    <xf numFmtId="9" fontId="13" fillId="0" borderId="0"/>
    <xf numFmtId="220" fontId="5" fillId="0" borderId="0" applyAlignment="1" applyProtection="1">
      <alignment horizontal="right"/>
      <protection locked="0" hidden="0"/>
    </xf>
    <xf numFmtId="2" fontId="13" fillId="0" borderId="0"/>
    <xf numFmtId="9" fontId="13" fillId="0" borderId="0"/>
    <xf numFmtId="221" fontId="5" fillId="0" borderId="0" applyAlignment="1" applyProtection="1">
      <alignment horizontal="right"/>
      <protection locked="0" hidden="0"/>
    </xf>
    <xf numFmtId="222" fontId="5" fillId="0" borderId="0" applyAlignment="1" applyProtection="1">
      <alignment horizontal="right"/>
      <protection locked="0" hidden="0"/>
    </xf>
    <xf numFmtId="0" fontId="43" fillId="0" borderId="0" applyProtection="1">
      <protection locked="0" hidden="0"/>
    </xf>
    <xf numFmtId="0" fontId="62" fillId="29" borderId="10"/>
    <xf numFmtId="0" fontId="62" fillId="29" borderId="10"/>
    <xf numFmtId="0" fontId="62" fillId="15" borderId="10"/>
    <xf numFmtId="0" fontId="62" fillId="15" borderId="10"/>
    <xf numFmtId="0" fontId="11" fillId="0" borderId="0" applyAlignment="1" applyProtection="1">
      <alignment horizontal="right"/>
      <protection locked="1" hidden="1"/>
    </xf>
    <xf numFmtId="223" fontId="63" fillId="0" borderId="0" applyAlignment="1" applyProtection="1">
      <alignment horizontal="right"/>
      <protection locked="1" hidden="1"/>
    </xf>
    <xf numFmtId="0" fontId="12" fillId="24" borderId="11" applyAlignment="1" applyProtection="1">
      <alignment horizontal="center" vertical="center" wrapText="1"/>
      <protection locked="1" hidden="1"/>
    </xf>
    <xf numFmtId="0" fontId="64" fillId="24" borderId="11" applyAlignment="1" applyProtection="1">
      <alignment horizontal="center" vertical="center" wrapText="1"/>
      <protection locked="1" hidden="1"/>
    </xf>
    <xf numFmtId="38" fontId="5" fillId="0" borderId="0"/>
    <xf numFmtId="41" fontId="13" fillId="0" borderId="0"/>
    <xf numFmtId="43" fontId="13" fillId="0" borderId="0"/>
    <xf numFmtId="199" fontId="44" fillId="30" borderId="0" applyProtection="1">
      <protection locked="0" hidden="0"/>
    </xf>
    <xf numFmtId="224" fontId="5" fillId="0" borderId="0" applyProtection="1">
      <protection locked="0" hidden="0"/>
    </xf>
    <xf numFmtId="0" fontId="13" fillId="0" borderId="0"/>
    <xf numFmtId="0" fontId="54" fillId="0" borderId="0"/>
    <xf numFmtId="0" fontId="54" fillId="0" borderId="0"/>
    <xf numFmtId="0" fontId="57" fillId="0" borderId="0"/>
    <xf numFmtId="0" fontId="5" fillId="0" borderId="0"/>
    <xf numFmtId="0" fontId="65" fillId="0" borderId="0"/>
    <xf numFmtId="0" fontId="58" fillId="0" borderId="12"/>
    <xf numFmtId="0" fontId="59" fillId="0" borderId="13"/>
    <xf numFmtId="0" fontId="55" fillId="0" borderId="14"/>
    <xf numFmtId="0" fontId="60" fillId="0" borderId="0"/>
    <xf numFmtId="0" fontId="5" fillId="0" borderId="0"/>
    <xf numFmtId="0" fontId="36" fillId="27" borderId="0"/>
    <xf numFmtId="0" fontId="93" fillId="0" borderId="0"/>
    <xf numFmtId="0" fontId="94" fillId="0" borderId="39"/>
    <xf numFmtId="0" fontId="95" fillId="0" borderId="40"/>
    <xf numFmtId="0" fontId="96" fillId="0" borderId="41"/>
    <xf numFmtId="0" fontId="96" fillId="0" borderId="0"/>
    <xf numFmtId="0" fontId="97" fillId="44" borderId="0"/>
    <xf numFmtId="0" fontId="98" fillId="45" borderId="0"/>
    <xf numFmtId="0" fontId="99" fillId="46" borderId="0"/>
    <xf numFmtId="0" fontId="100" fillId="47" borderId="42"/>
    <xf numFmtId="0" fontId="101" fillId="48" borderId="43"/>
    <xf numFmtId="0" fontId="102" fillId="48" borderId="42"/>
    <xf numFmtId="0" fontId="103" fillId="0" borderId="44"/>
    <xf numFmtId="0" fontId="104" fillId="49" borderId="45"/>
    <xf numFmtId="0" fontId="105" fillId="0" borderId="0"/>
    <xf numFmtId="0" fontId="4" fillId="50" borderId="46"/>
    <xf numFmtId="0" fontId="106" fillId="0" borderId="0"/>
    <xf numFmtId="0" fontId="107" fillId="0" borderId="47"/>
  </cellStyleXfs>
  <cellXfs count="699">
    <xf numFmtId="0" fontId="0" fillId="0" borderId="0" pivotButton="0" quotePrefix="0" xfId="0"/>
    <xf numFmtId="0" fontId="2" fillId="0" borderId="0" pivotButton="0" quotePrefix="0" xfId="0"/>
    <xf numFmtId="0" fontId="13" fillId="34" borderId="0" pivotButton="0" quotePrefix="0" xfId="0"/>
    <xf numFmtId="164" fontId="69" fillId="0" borderId="0" pivotButton="0" quotePrefix="0" xfId="0"/>
    <xf numFmtId="0" fontId="70" fillId="0" borderId="15" pivotButton="0" quotePrefix="0" xfId="0"/>
    <xf numFmtId="0" fontId="70" fillId="0" borderId="15" applyAlignment="1" pivotButton="0" quotePrefix="0" xfId="0">
      <alignment horizontal="center"/>
    </xf>
    <xf numFmtId="0" fontId="70" fillId="34" borderId="0" pivotButton="0" quotePrefix="0" xfId="0"/>
    <xf numFmtId="164" fontId="71" fillId="0" borderId="0" pivotButton="0" quotePrefix="0" xfId="0"/>
    <xf numFmtId="164" fontId="71" fillId="34" borderId="0" pivotButton="0" quotePrefix="0" xfId="0"/>
    <xf numFmtId="164" fontId="70" fillId="0" borderId="5" pivotButton="0" quotePrefix="0" xfId="0"/>
    <xf numFmtId="0" fontId="71" fillId="0" borderId="0" applyAlignment="1" pivotButton="0" quotePrefix="0" xfId="0">
      <alignment horizontal="left"/>
    </xf>
    <xf numFmtId="38" fontId="71" fillId="0" borderId="0" pivotButton="0" quotePrefix="0" xfId="260"/>
    <xf numFmtId="3" fontId="71" fillId="0" borderId="0" pivotButton="0" quotePrefix="0" xfId="260"/>
    <xf numFmtId="9" fontId="71" fillId="0" borderId="0" pivotButton="0" quotePrefix="0" xfId="269"/>
    <xf numFmtId="3" fontId="71" fillId="0" borderId="0" pivotButton="0" quotePrefix="0" xfId="158"/>
    <xf numFmtId="0" fontId="70" fillId="0" borderId="0" applyAlignment="1" pivotButton="0" quotePrefix="0" xfId="260">
      <alignment horizontal="center"/>
    </xf>
    <xf numFmtId="165" fontId="71" fillId="0" borderId="0" pivotButton="0" quotePrefix="0" xfId="260"/>
    <xf numFmtId="164" fontId="71" fillId="0" borderId="0" pivotButton="0" quotePrefix="0" xfId="158"/>
    <xf numFmtId="41" fontId="71" fillId="0" borderId="0" pivotButton="0" quotePrefix="0" xfId="158"/>
    <xf numFmtId="165" fontId="70" fillId="0" borderId="0" pivotButton="0" quotePrefix="0" xfId="260"/>
    <xf numFmtId="164" fontId="70" fillId="0" borderId="0" pivotButton="0" quotePrefix="0" xfId="158"/>
    <xf numFmtId="165" fontId="71" fillId="0" borderId="0" applyAlignment="1" pivotButton="0" quotePrefix="1" xfId="260">
      <alignment horizontal="left"/>
    </xf>
    <xf numFmtId="165" fontId="71" fillId="0" borderId="0" applyAlignment="1" pivotButton="0" quotePrefix="0" xfId="260">
      <alignment horizontal="left"/>
    </xf>
    <xf numFmtId="41" fontId="71" fillId="0" borderId="0" applyAlignment="1" pivotButton="0" quotePrefix="0" xfId="158">
      <alignment horizontal="right"/>
    </xf>
    <xf numFmtId="164" fontId="71" fillId="35" borderId="0" pivotButton="0" quotePrefix="0" xfId="158"/>
    <xf numFmtId="165" fontId="70" fillId="0" borderId="5" pivotButton="0" quotePrefix="0" xfId="260"/>
    <xf numFmtId="164" fontId="70" fillId="0" borderId="5" pivotButton="0" quotePrefix="0" xfId="158"/>
    <xf numFmtId="164" fontId="71" fillId="0" borderId="0" pivotButton="0" quotePrefix="0" xfId="158"/>
    <xf numFmtId="164" fontId="71" fillId="0" borderId="0" pivotButton="0" quotePrefix="0" xfId="158"/>
    <xf numFmtId="0" fontId="71" fillId="0" borderId="0" pivotButton="0" quotePrefix="0" xfId="0"/>
    <xf numFmtId="164" fontId="71" fillId="0" borderId="0" pivotButton="0" quotePrefix="0" xfId="0"/>
    <xf numFmtId="3" fontId="71" fillId="0" borderId="0" pivotButton="0" quotePrefix="0" xfId="0"/>
    <xf numFmtId="3" fontId="71" fillId="0" borderId="0" pivotButton="0" quotePrefix="0" xfId="0"/>
    <xf numFmtId="164" fontId="71" fillId="0" borderId="0" pivotButton="0" quotePrefix="0" xfId="269"/>
    <xf numFmtId="166" fontId="71" fillId="0" borderId="0" pivotButton="0" quotePrefix="0" xfId="269"/>
    <xf numFmtId="165" fontId="70" fillId="0" borderId="0" applyAlignment="1" pivotButton="0" quotePrefix="0" xfId="260">
      <alignment horizontal="left"/>
    </xf>
    <xf numFmtId="3" fontId="70" fillId="0" borderId="0" pivotButton="0" quotePrefix="0" xfId="158"/>
    <xf numFmtId="167" fontId="71" fillId="0" borderId="0" pivotButton="0" quotePrefix="0" xfId="260"/>
    <xf numFmtId="164" fontId="71" fillId="0" borderId="0" pivotButton="0" quotePrefix="0" xfId="178"/>
    <xf numFmtId="167" fontId="71" fillId="0" borderId="0" pivotButton="0" quotePrefix="0" xfId="178"/>
    <xf numFmtId="165" fontId="71" fillId="0" borderId="0" pivotButton="0" quotePrefix="0" xfId="178"/>
    <xf numFmtId="4" fontId="71" fillId="0" borderId="0" pivotButton="0" quotePrefix="0" xfId="158"/>
    <xf numFmtId="0" fontId="70" fillId="0" borderId="0" pivotButton="0" quotePrefix="0" xfId="0"/>
    <xf numFmtId="0" fontId="71" fillId="0" borderId="0" pivotButton="0" quotePrefix="0" xfId="0"/>
    <xf numFmtId="165" fontId="72" fillId="0" borderId="0" pivotButton="0" quotePrefix="0" xfId="260"/>
    <xf numFmtId="164" fontId="71" fillId="0" borderId="0" pivotButton="0" quotePrefix="0" xfId="158"/>
    <xf numFmtId="164" fontId="71" fillId="0" borderId="0" pivotButton="0" quotePrefix="0" xfId="260"/>
    <xf numFmtId="164" fontId="69" fillId="0" borderId="0" pivotButton="0" quotePrefix="0" xfId="158"/>
    <xf numFmtId="164" fontId="69" fillId="0" borderId="0" pivotButton="0" quotePrefix="0" xfId="260"/>
    <xf numFmtId="38" fontId="71" fillId="0" borderId="0" pivotButton="0" quotePrefix="0" xfId="158"/>
    <xf numFmtId="164" fontId="71" fillId="0" borderId="0" pivotButton="0" quotePrefix="0" xfId="158"/>
    <xf numFmtId="165" fontId="73" fillId="0" borderId="0" pivotButton="0" quotePrefix="0" xfId="260"/>
    <xf numFmtId="3" fontId="71" fillId="0" borderId="0" applyAlignment="1" pivotButton="0" quotePrefix="1" xfId="158">
      <alignment horizontal="left"/>
    </xf>
    <xf numFmtId="165" fontId="71" fillId="0" borderId="0" applyAlignment="1" pivotButton="0" quotePrefix="0" xfId="259">
      <alignment horizontal="left"/>
    </xf>
    <xf numFmtId="164" fontId="74" fillId="0" borderId="0" pivotButton="0" quotePrefix="0" xfId="158"/>
    <xf numFmtId="164" fontId="69" fillId="0" borderId="0" pivotButton="0" quotePrefix="0" xfId="158"/>
    <xf numFmtId="164" fontId="71" fillId="0" borderId="0" applyAlignment="1" pivotButton="0" quotePrefix="0" xfId="158">
      <alignment horizontal="right"/>
    </xf>
    <xf numFmtId="165" fontId="73" fillId="0" borderId="0" applyAlignment="1" pivotButton="0" quotePrefix="0" xfId="260">
      <alignment horizontal="left"/>
    </xf>
    <xf numFmtId="164" fontId="75" fillId="0" borderId="0" pivotButton="0" quotePrefix="0" xfId="158"/>
    <xf numFmtId="164" fontId="76" fillId="0" borderId="0" pivotButton="0" quotePrefix="0" xfId="158"/>
    <xf numFmtId="37" fontId="71" fillId="0" borderId="0" applyAlignment="1" pivotButton="0" quotePrefix="1" xfId="260">
      <alignment horizontal="left"/>
    </xf>
    <xf numFmtId="0" fontId="71" fillId="0" borderId="0" pivotButton="0" quotePrefix="0" xfId="178"/>
    <xf numFmtId="0" fontId="70" fillId="0" borderId="0" pivotButton="0" quotePrefix="0" xfId="0"/>
    <xf numFmtId="164" fontId="71" fillId="34" borderId="0" pivotButton="0" quotePrefix="0" xfId="178"/>
    <xf numFmtId="164" fontId="71" fillId="34" borderId="0" pivotButton="0" quotePrefix="0" xfId="158"/>
    <xf numFmtId="164" fontId="77" fillId="0" borderId="0" pivotButton="0" quotePrefix="0" xfId="260"/>
    <xf numFmtId="164" fontId="77" fillId="0" borderId="0" pivotButton="0" quotePrefix="0" xfId="0"/>
    <xf numFmtId="9" fontId="77" fillId="0" borderId="0" pivotButton="0" quotePrefix="0" xfId="269"/>
    <xf numFmtId="9" fontId="69" fillId="0" borderId="0" pivotButton="0" quotePrefix="0" xfId="269"/>
    <xf numFmtId="164" fontId="77" fillId="0" borderId="0" pivotButton="0" quotePrefix="0" xfId="158"/>
    <xf numFmtId="168" fontId="70" fillId="0" borderId="0" pivotButton="0" quotePrefix="0" xfId="158"/>
    <xf numFmtId="168" fontId="71" fillId="0" borderId="0" pivotButton="0" quotePrefix="0" xfId="158"/>
    <xf numFmtId="9" fontId="72" fillId="0" borderId="0" pivotButton="0" quotePrefix="0" xfId="269"/>
    <xf numFmtId="9" fontId="71" fillId="0" borderId="0" pivotButton="0" quotePrefix="0" xfId="178"/>
    <xf numFmtId="167" fontId="70" fillId="0" borderId="0" pivotButton="0" quotePrefix="0" xfId="260"/>
    <xf numFmtId="169" fontId="71" fillId="0" borderId="0" pivotButton="0" quotePrefix="0" xfId="158"/>
    <xf numFmtId="9" fontId="74" fillId="0" borderId="0" pivotButton="0" quotePrefix="0" xfId="269"/>
    <xf numFmtId="168" fontId="70" fillId="0" borderId="5" pivotButton="0" quotePrefix="0" xfId="158"/>
    <xf numFmtId="165" fontId="78" fillId="0" borderId="0" pivotButton="0" quotePrefix="0" xfId="260"/>
    <xf numFmtId="164" fontId="70" fillId="0" borderId="0" pivotButton="0" quotePrefix="0" xfId="0"/>
    <xf numFmtId="0" fontId="70" fillId="0" borderId="5" pivotButton="0" quotePrefix="0" xfId="0"/>
    <xf numFmtId="164" fontId="69" fillId="0" borderId="0" pivotButton="0" quotePrefix="0" xfId="0"/>
    <xf numFmtId="164" fontId="71" fillId="0" borderId="5" pivotButton="0" quotePrefix="0" xfId="0"/>
    <xf numFmtId="164" fontId="69" fillId="0" borderId="0" pivotButton="0" quotePrefix="0" xfId="158"/>
    <xf numFmtId="170" fontId="70" fillId="0" borderId="0" applyAlignment="1" pivotButton="0" quotePrefix="0" xfId="260">
      <alignment horizontal="center"/>
    </xf>
    <xf numFmtId="0" fontId="71" fillId="34" borderId="0" pivotButton="0" quotePrefix="0" xfId="0"/>
    <xf numFmtId="0" fontId="71" fillId="0" borderId="0" applyAlignment="1" pivotButton="0" quotePrefix="0" xfId="0">
      <alignment horizontal="left" indent="1"/>
    </xf>
    <xf numFmtId="171" fontId="71" fillId="0" borderId="0" pivotButton="0" quotePrefix="0" xfId="0"/>
    <xf numFmtId="0" fontId="70" fillId="36" borderId="0" pivotButton="0" quotePrefix="0" xfId="0"/>
    <xf numFmtId="164" fontId="71" fillId="36" borderId="0" pivotButton="0" quotePrefix="0" xfId="0"/>
    <xf numFmtId="9" fontId="71" fillId="0" borderId="0" pivotButton="0" quotePrefix="0" xfId="0"/>
    <xf numFmtId="168" fontId="71" fillId="0" borderId="0" pivotButton="0" quotePrefix="0" xfId="0"/>
    <xf numFmtId="168" fontId="69" fillId="0" borderId="0" pivotButton="0" quotePrefix="0" xfId="0"/>
    <xf numFmtId="171" fontId="69" fillId="0" borderId="0" pivotButton="0" quotePrefix="0" xfId="0"/>
    <xf numFmtId="166" fontId="71" fillId="0" borderId="0" pivotButton="0" quotePrefix="0" xfId="0"/>
    <xf numFmtId="166" fontId="69" fillId="0" borderId="0" pivotButton="0" quotePrefix="0" xfId="0"/>
    <xf numFmtId="164" fontId="69" fillId="37" borderId="0" pivotButton="0" quotePrefix="0" xfId="0"/>
    <xf numFmtId="172" fontId="70" fillId="0" borderId="0" applyAlignment="1" pivotButton="0" quotePrefix="0" xfId="260">
      <alignment horizontal="center"/>
    </xf>
    <xf numFmtId="172" fontId="71" fillId="0" borderId="0" pivotButton="0" quotePrefix="0" xfId="0"/>
    <xf numFmtId="173" fontId="71" fillId="0" borderId="0" pivotButton="0" quotePrefix="0" xfId="0"/>
    <xf numFmtId="164" fontId="79" fillId="0" borderId="0" pivotButton="0" quotePrefix="0" xfId="0"/>
    <xf numFmtId="9" fontId="69" fillId="0" borderId="0" pivotButton="0" quotePrefix="0" xfId="0"/>
    <xf numFmtId="173" fontId="69" fillId="0" borderId="0" pivotButton="0" quotePrefix="0" xfId="0"/>
    <xf numFmtId="172" fontId="71" fillId="0" borderId="0" pivotButton="0" quotePrefix="0" xfId="158"/>
    <xf numFmtId="172" fontId="69" fillId="0" borderId="0" pivotButton="0" quotePrefix="0" xfId="158"/>
    <xf numFmtId="37" fontId="71" fillId="0" borderId="0" pivotButton="0" quotePrefix="0" xfId="0"/>
    <xf numFmtId="164" fontId="70" fillId="0" borderId="0" pivotButton="0" quotePrefix="0" xfId="158"/>
    <xf numFmtId="164" fontId="70" fillId="0" borderId="0" pivotButton="0" quotePrefix="0" xfId="158"/>
    <xf numFmtId="164" fontId="70" fillId="0" borderId="0" pivotButton="0" quotePrefix="0" xfId="0"/>
    <xf numFmtId="0" fontId="70" fillId="0" borderId="5" pivotButton="0" quotePrefix="0" xfId="0"/>
    <xf numFmtId="37" fontId="70" fillId="0" borderId="5" pivotButton="0" quotePrefix="0" xfId="0"/>
    <xf numFmtId="0" fontId="71" fillId="0" borderId="0" applyAlignment="1" pivotButton="0" quotePrefix="0" xfId="0">
      <alignment horizontal="left" indent="1"/>
    </xf>
    <xf numFmtId="164" fontId="70" fillId="0" borderId="5" pivotButton="0" quotePrefix="0" xfId="0"/>
    <xf numFmtId="0" fontId="73" fillId="0" borderId="0" pivotButton="0" quotePrefix="0" xfId="0"/>
    <xf numFmtId="9" fontId="73" fillId="0" borderId="0" pivotButton="0" quotePrefix="0" xfId="0"/>
    <xf numFmtId="37" fontId="71" fillId="0" borderId="0" pivotButton="0" quotePrefix="0" xfId="158"/>
    <xf numFmtId="37" fontId="71" fillId="0" borderId="0" pivotButton="0" quotePrefix="0" xfId="158"/>
    <xf numFmtId="0" fontId="80" fillId="0" borderId="0" pivotButton="0" quotePrefix="0" xfId="0"/>
    <xf numFmtId="0" fontId="73" fillId="0" borderId="0" applyAlignment="1" pivotButton="0" quotePrefix="0" xfId="0">
      <alignment horizontal="left" indent="1"/>
    </xf>
    <xf numFmtId="9" fontId="71" fillId="0" borderId="0" pivotButton="0" quotePrefix="0" xfId="158"/>
    <xf numFmtId="174" fontId="71" fillId="0" borderId="0" pivotButton="0" quotePrefix="0" xfId="0"/>
    <xf numFmtId="175" fontId="71" fillId="0" borderId="0" pivotButton="0" quotePrefix="0" xfId="0"/>
    <xf numFmtId="41" fontId="71" fillId="0" borderId="0" pivotButton="0" quotePrefix="0" xfId="0"/>
    <xf numFmtId="9" fontId="69" fillId="0" borderId="0" pivotButton="0" quotePrefix="0" xfId="158"/>
    <xf numFmtId="166" fontId="71" fillId="0" borderId="0" pivotButton="0" quotePrefix="0" xfId="0"/>
    <xf numFmtId="0" fontId="71" fillId="0" borderId="0" pivotButton="0" quotePrefix="1" xfId="0"/>
    <xf numFmtId="10" fontId="71" fillId="0" borderId="0" pivotButton="0" quotePrefix="0" xfId="0"/>
    <xf numFmtId="175" fontId="71" fillId="0" borderId="0" pivotButton="0" quotePrefix="0" xfId="0"/>
    <xf numFmtId="9" fontId="73" fillId="0" borderId="0" pivotButton="0" quotePrefix="0" xfId="158"/>
    <xf numFmtId="9" fontId="81" fillId="0" borderId="0" pivotButton="0" quotePrefix="0" xfId="0"/>
    <xf numFmtId="0" fontId="71" fillId="0" borderId="0" pivotButton="0" quotePrefix="1" xfId="0"/>
    <xf numFmtId="9" fontId="71" fillId="0" borderId="0" pivotButton="0" quotePrefix="0" xfId="0"/>
    <xf numFmtId="0" fontId="71" fillId="36" borderId="0" pivotButton="0" quotePrefix="0" xfId="0"/>
    <xf numFmtId="37" fontId="71" fillId="36" borderId="0" pivotButton="0" quotePrefix="0" xfId="158"/>
    <xf numFmtId="164" fontId="71" fillId="36" borderId="0" pivotButton="0" quotePrefix="0" xfId="158"/>
    <xf numFmtId="9" fontId="81" fillId="0" borderId="0" pivotButton="0" quotePrefix="0" xfId="158"/>
    <xf numFmtId="166" fontId="71" fillId="0" borderId="0" pivotButton="0" quotePrefix="0" xfId="269"/>
    <xf numFmtId="3" fontId="70" fillId="0" borderId="0" pivotButton="0" quotePrefix="0" xfId="158"/>
    <xf numFmtId="37" fontId="70" fillId="0" borderId="0" pivotButton="0" quotePrefix="0" xfId="158"/>
    <xf numFmtId="39" fontId="71" fillId="0" borderId="0" pivotButton="0" quotePrefix="0" xfId="158"/>
    <xf numFmtId="168" fontId="69" fillId="0" borderId="0" pivotButton="0" quotePrefix="0" xfId="158"/>
    <xf numFmtId="170" fontId="71" fillId="0" borderId="0" pivotButton="0" quotePrefix="0" xfId="0"/>
    <xf numFmtId="174" fontId="71" fillId="0" borderId="0" pivotButton="0" quotePrefix="0" xfId="158"/>
    <xf numFmtId="174" fontId="69" fillId="35" borderId="0" pivotButton="0" quotePrefix="0" xfId="158"/>
    <xf numFmtId="39" fontId="71" fillId="0" borderId="0" pivotButton="0" quotePrefix="0" xfId="0"/>
    <xf numFmtId="174" fontId="71" fillId="0" borderId="0" pivotButton="0" quotePrefix="0" xfId="0"/>
    <xf numFmtId="37" fontId="69" fillId="0" borderId="0" pivotButton="0" quotePrefix="0" xfId="158"/>
    <xf numFmtId="174" fontId="69" fillId="0" borderId="0" pivotButton="0" quotePrefix="0" xfId="158"/>
    <xf numFmtId="164" fontId="69" fillId="0" borderId="0" pivotButton="0" quotePrefix="0" xfId="158"/>
    <xf numFmtId="9" fontId="71" fillId="36" borderId="0" pivotButton="0" quotePrefix="0" xfId="0"/>
    <xf numFmtId="176" fontId="71" fillId="0" borderId="0" pivotButton="0" quotePrefix="0" xfId="158"/>
    <xf numFmtId="37" fontId="82" fillId="0" borderId="0" pivotButton="0" quotePrefix="0" xfId="158"/>
    <xf numFmtId="164" fontId="71" fillId="0" borderId="0" applyAlignment="1" pivotButton="0" quotePrefix="0" xfId="0">
      <alignment horizontal="left" indent="1"/>
    </xf>
    <xf numFmtId="164" fontId="82" fillId="0" borderId="0" pivotButton="0" quotePrefix="0" xfId="0"/>
    <xf numFmtId="9" fontId="82" fillId="0" borderId="0" pivotButton="0" quotePrefix="0" xfId="0"/>
    <xf numFmtId="0" fontId="82" fillId="0" borderId="0" pivotButton="0" quotePrefix="0" xfId="0"/>
    <xf numFmtId="164" fontId="83" fillId="38" borderId="0" pivotButton="0" quotePrefix="0" xfId="0"/>
    <xf numFmtId="0" fontId="84" fillId="38" borderId="0" pivotButton="0" quotePrefix="0" xfId="0"/>
    <xf numFmtId="164" fontId="85" fillId="0" borderId="0" pivotButton="0" quotePrefix="0" xfId="158"/>
    <xf numFmtId="38" fontId="70" fillId="0" borderId="0" pivotButton="0" quotePrefix="0" xfId="158"/>
    <xf numFmtId="1" fontId="70" fillId="0" borderId="0" pivotButton="0" quotePrefix="0" xfId="158"/>
    <xf numFmtId="1" fontId="70" fillId="0" borderId="0" applyAlignment="1" pivotButton="0" quotePrefix="0" xfId="158">
      <alignment horizontal="right"/>
    </xf>
    <xf numFmtId="38" fontId="70" fillId="0" borderId="0" applyAlignment="1" pivotButton="0" quotePrefix="1" xfId="158">
      <alignment horizontal="right"/>
    </xf>
    <xf numFmtId="0" fontId="70" fillId="0" borderId="0" applyAlignment="1" pivotButton="0" quotePrefix="1" xfId="158">
      <alignment horizontal="right"/>
    </xf>
    <xf numFmtId="166" fontId="69" fillId="0" borderId="0" pivotButton="0" quotePrefix="0" xfId="269"/>
    <xf numFmtId="10" fontId="71" fillId="0" borderId="0" pivotButton="0" quotePrefix="0" xfId="269"/>
    <xf numFmtId="177" fontId="71" fillId="0" borderId="0" pivotButton="0" quotePrefix="0" xfId="158"/>
    <xf numFmtId="164" fontId="86" fillId="0" borderId="0" pivotButton="0" quotePrefix="0" xfId="158"/>
    <xf numFmtId="177" fontId="70" fillId="0" borderId="0" pivotButton="0" quotePrefix="0" xfId="158"/>
    <xf numFmtId="9" fontId="71" fillId="0" borderId="0" pivotButton="0" quotePrefix="0" xfId="158"/>
    <xf numFmtId="38" fontId="71" fillId="0" borderId="0" applyAlignment="1" pivotButton="0" quotePrefix="0" xfId="158">
      <alignment horizontal="left" indent="1"/>
    </xf>
    <xf numFmtId="164" fontId="86" fillId="0" borderId="0" pivotButton="0" quotePrefix="0" xfId="0"/>
    <xf numFmtId="164" fontId="71" fillId="35" borderId="0" pivotButton="0" quotePrefix="0" xfId="0"/>
    <xf numFmtId="38" fontId="86" fillId="0" borderId="0" pivotButton="0" quotePrefix="0" xfId="158"/>
    <xf numFmtId="38" fontId="70" fillId="0" borderId="5" pivotButton="0" quotePrefix="0" xfId="158"/>
    <xf numFmtId="1" fontId="70" fillId="0" borderId="0" pivotButton="0" quotePrefix="0" xfId="0"/>
    <xf numFmtId="1" fontId="70" fillId="0" borderId="0" applyAlignment="1" pivotButton="0" quotePrefix="0" xfId="0">
      <alignment horizontal="right"/>
    </xf>
    <xf numFmtId="0" fontId="70" fillId="0" borderId="0" applyAlignment="1" pivotButton="0" quotePrefix="0" xfId="0">
      <alignment horizontal="right"/>
    </xf>
    <xf numFmtId="170" fontId="70" fillId="0" borderId="0" applyAlignment="1" pivotButton="0" quotePrefix="0" xfId="0">
      <alignment horizontal="right"/>
    </xf>
    <xf numFmtId="165" fontId="70" fillId="0" borderId="0" pivotButton="0" quotePrefix="0" xfId="0"/>
    <xf numFmtId="165" fontId="71" fillId="0" borderId="0" pivotButton="0" quotePrefix="0" xfId="0"/>
    <xf numFmtId="164" fontId="74" fillId="0" borderId="0" pivotButton="0" quotePrefix="0" xfId="0"/>
    <xf numFmtId="0" fontId="74" fillId="0" borderId="0" pivotButton="0" quotePrefix="0" xfId="0"/>
    <xf numFmtId="3" fontId="71" fillId="0" borderId="0" pivotButton="0" quotePrefix="0" xfId="269"/>
    <xf numFmtId="166" fontId="71" fillId="0" borderId="0" pivotButton="0" quotePrefix="0" xfId="269"/>
    <xf numFmtId="3" fontId="70" fillId="0" borderId="0" pivotButton="0" quotePrefix="0" xfId="0"/>
    <xf numFmtId="1" fontId="71" fillId="0" borderId="0" pivotButton="0" quotePrefix="0" xfId="0"/>
    <xf numFmtId="0" fontId="71" fillId="0" borderId="0" applyAlignment="1" pivotButton="0" quotePrefix="0" xfId="0">
      <alignment horizontal="centerContinuous"/>
    </xf>
    <xf numFmtId="165" fontId="71" fillId="0" borderId="0" pivotButton="0" quotePrefix="0" xfId="0"/>
    <xf numFmtId="165" fontId="70" fillId="0" borderId="0" pivotButton="0" quotePrefix="0" xfId="0"/>
    <xf numFmtId="4" fontId="70" fillId="0" borderId="0" pivotButton="0" quotePrefix="0" xfId="0"/>
    <xf numFmtId="166" fontId="74" fillId="0" borderId="0" pivotButton="0" quotePrefix="0" xfId="269"/>
    <xf numFmtId="4" fontId="74" fillId="0" borderId="0" pivotButton="0" quotePrefix="0" xfId="0"/>
    <xf numFmtId="4" fontId="71" fillId="0" borderId="0" pivotButton="0" quotePrefix="0" xfId="0"/>
    <xf numFmtId="9" fontId="70" fillId="0" borderId="0" pivotButton="0" quotePrefix="0" xfId="0"/>
    <xf numFmtId="178" fontId="71" fillId="0" borderId="0" pivotButton="0" quotePrefix="0" xfId="158"/>
    <xf numFmtId="166" fontId="70" fillId="0" borderId="0" pivotButton="0" quotePrefix="0" xfId="0"/>
    <xf numFmtId="179" fontId="71" fillId="0" borderId="0" pivotButton="0" quotePrefix="0" xfId="158"/>
    <xf numFmtId="180" fontId="71" fillId="0" borderId="0" pivotButton="0" quotePrefix="0" xfId="158"/>
    <xf numFmtId="0" fontId="87" fillId="0" borderId="0" pivotButton="0" quotePrefix="0" xfId="0"/>
    <xf numFmtId="164" fontId="78" fillId="0" borderId="0" pivotButton="0" quotePrefix="0" xfId="0"/>
    <xf numFmtId="0" fontId="78" fillId="0" borderId="0" pivotButton="0" quotePrefix="0" xfId="0"/>
    <xf numFmtId="164" fontId="78" fillId="0" borderId="0" pivotButton="0" quotePrefix="0" xfId="0"/>
    <xf numFmtId="0" fontId="78" fillId="0" borderId="0" pivotButton="0" quotePrefix="0" xfId="0"/>
    <xf numFmtId="37" fontId="78" fillId="0" borderId="0" pivotButton="0" quotePrefix="0" xfId="0"/>
    <xf numFmtId="165" fontId="78" fillId="0" borderId="0" pivotButton="0" quotePrefix="0" xfId="0"/>
    <xf numFmtId="181" fontId="71" fillId="0" borderId="0" pivotButton="0" quotePrefix="0" xfId="0"/>
    <xf numFmtId="37" fontId="71" fillId="0" borderId="0" pivotButton="0" quotePrefix="0" xfId="0"/>
    <xf numFmtId="181" fontId="70" fillId="0" borderId="0" pivotButton="0" quotePrefix="0" xfId="0"/>
    <xf numFmtId="37" fontId="70" fillId="0" borderId="0" pivotButton="0" quotePrefix="0" xfId="0"/>
    <xf numFmtId="166" fontId="74" fillId="0" borderId="0" pivotButton="0" quotePrefix="0" xfId="0"/>
    <xf numFmtId="166" fontId="71" fillId="0" borderId="0" applyAlignment="1" pivotButton="0" quotePrefix="0" xfId="0">
      <alignment horizontal="right"/>
    </xf>
    <xf numFmtId="166" fontId="70" fillId="0" borderId="0" applyAlignment="1" pivotButton="0" quotePrefix="0" xfId="0">
      <alignment horizontal="right"/>
    </xf>
    <xf numFmtId="3" fontId="73" fillId="0" borderId="0" pivotButton="0" quotePrefix="0" xfId="0"/>
    <xf numFmtId="0" fontId="73" fillId="0" borderId="0" pivotButton="0" quotePrefix="0" xfId="0"/>
    <xf numFmtId="3" fontId="73" fillId="0" borderId="0" pivotButton="0" quotePrefix="0" xfId="158"/>
    <xf numFmtId="3" fontId="73" fillId="0" borderId="0" pivotButton="0" quotePrefix="0" xfId="158"/>
    <xf numFmtId="3" fontId="71" fillId="0" borderId="0" pivotButton="0" quotePrefix="0" xfId="158"/>
    <xf numFmtId="4" fontId="73" fillId="0" borderId="0" pivotButton="0" quotePrefix="0" xfId="158"/>
    <xf numFmtId="4" fontId="81" fillId="0" borderId="0" pivotButton="0" quotePrefix="0" xfId="158"/>
    <xf numFmtId="3" fontId="71" fillId="0" borderId="0" pivotButton="0" quotePrefix="0" xfId="158"/>
    <xf numFmtId="3" fontId="70" fillId="0" borderId="0" pivotButton="0" quotePrefix="0" xfId="0"/>
    <xf numFmtId="164" fontId="81" fillId="0" borderId="0" pivotButton="0" quotePrefix="0" xfId="158"/>
    <xf numFmtId="173" fontId="69" fillId="0" borderId="0" pivotButton="0" quotePrefix="0" xfId="158"/>
    <xf numFmtId="0" fontId="70" fillId="0" borderId="0" applyAlignment="1" pivotButton="0" quotePrefix="0" xfId="0">
      <alignment horizontal="centerContinuous"/>
    </xf>
    <xf numFmtId="3" fontId="71" fillId="0" borderId="0" applyAlignment="1" pivotButton="0" quotePrefix="0" xfId="0">
      <alignment horizontal="centerContinuous"/>
    </xf>
    <xf numFmtId="9" fontId="71" fillId="0" borderId="0" pivotButton="0" quotePrefix="0" xfId="269"/>
    <xf numFmtId="166" fontId="73" fillId="0" borderId="0" pivotButton="0" quotePrefix="0" xfId="269"/>
    <xf numFmtId="166" fontId="73" fillId="0" borderId="0" pivotButton="0" quotePrefix="0" xfId="269"/>
    <xf numFmtId="166" fontId="88" fillId="0" borderId="0" pivotButton="0" quotePrefix="0" xfId="0"/>
    <xf numFmtId="9" fontId="69" fillId="0" borderId="0" pivotButton="0" quotePrefix="0" xfId="0"/>
    <xf numFmtId="40" fontId="71" fillId="0" borderId="0" pivotButton="0" quotePrefix="0" xfId="0"/>
    <xf numFmtId="40" fontId="71" fillId="0" borderId="0" pivotButton="0" quotePrefix="0" xfId="0"/>
    <xf numFmtId="4" fontId="71" fillId="0" borderId="0" pivotButton="0" quotePrefix="0" xfId="158"/>
    <xf numFmtId="169" fontId="71" fillId="0" borderId="0" pivotButton="0" quotePrefix="0" xfId="158"/>
    <xf numFmtId="179" fontId="71" fillId="32" borderId="0" applyAlignment="1" pivotButton="0" quotePrefix="0" xfId="0">
      <alignment horizontal="right"/>
    </xf>
    <xf numFmtId="179" fontId="71" fillId="0" borderId="0" applyAlignment="1" pivotButton="0" quotePrefix="0" xfId="0">
      <alignment horizontal="right"/>
    </xf>
    <xf numFmtId="169" fontId="71" fillId="32" borderId="0" applyAlignment="1" pivotButton="0" quotePrefix="0" xfId="0">
      <alignment horizontal="right"/>
    </xf>
    <xf numFmtId="0" fontId="71" fillId="0" borderId="0" applyAlignment="1" pivotButton="0" quotePrefix="0" xfId="0">
      <alignment horizontal="right"/>
    </xf>
    <xf numFmtId="179" fontId="71" fillId="39" borderId="0" applyAlignment="1" pivotButton="0" quotePrefix="0" xfId="0">
      <alignment horizontal="right"/>
    </xf>
    <xf numFmtId="2" fontId="71" fillId="0" borderId="0" pivotButton="0" quotePrefix="0" xfId="0"/>
    <xf numFmtId="2" fontId="71" fillId="40" borderId="0" pivotButton="0" quotePrefix="0" xfId="0"/>
    <xf numFmtId="4" fontId="74" fillId="0" borderId="0" pivotButton="0" quotePrefix="0" xfId="158"/>
    <xf numFmtId="0" fontId="74" fillId="0" borderId="0" pivotButton="0" quotePrefix="0" xfId="0"/>
    <xf numFmtId="2" fontId="74" fillId="0" borderId="0" pivotButton="0" quotePrefix="0" xfId="0"/>
    <xf numFmtId="2" fontId="71" fillId="0" borderId="0" pivotButton="0" quotePrefix="0" xfId="0"/>
    <xf numFmtId="179" fontId="71" fillId="0" borderId="0" pivotButton="0" quotePrefix="0" xfId="0"/>
    <xf numFmtId="179" fontId="71" fillId="0" borderId="0" pivotButton="0" quotePrefix="0" xfId="269"/>
    <xf numFmtId="179" fontId="71" fillId="0" borderId="0" pivotButton="0" quotePrefix="0" xfId="182"/>
    <xf numFmtId="179" fontId="71" fillId="0" borderId="0" pivotButton="0" quotePrefix="0" xfId="158"/>
    <xf numFmtId="4" fontId="71" fillId="0" borderId="0" pivotButton="0" quotePrefix="0" xfId="0"/>
    <xf numFmtId="176" fontId="71" fillId="0" borderId="0" pivotButton="0" quotePrefix="0" xfId="0"/>
    <xf numFmtId="176" fontId="71" fillId="0" borderId="0" pivotButton="0" quotePrefix="0" xfId="0"/>
    <xf numFmtId="169" fontId="74" fillId="0" borderId="0" pivotButton="0" quotePrefix="0" xfId="158"/>
    <xf numFmtId="169" fontId="74" fillId="0" borderId="0" pivotButton="0" quotePrefix="0" xfId="158"/>
    <xf numFmtId="9" fontId="74" fillId="31" borderId="0" pivotButton="0" quotePrefix="0" xfId="269"/>
    <xf numFmtId="179" fontId="74" fillId="0" borderId="0" pivotButton="0" quotePrefix="0" xfId="0"/>
    <xf numFmtId="4" fontId="74" fillId="0" borderId="0" pivotButton="0" quotePrefix="0" xfId="0"/>
    <xf numFmtId="164" fontId="73" fillId="0" borderId="0" pivotButton="0" quotePrefix="0" xfId="0"/>
    <xf numFmtId="164" fontId="76" fillId="0" borderId="0" pivotButton="0" quotePrefix="0" xfId="0"/>
    <xf numFmtId="9" fontId="70" fillId="0" borderId="0" pivotButton="0" quotePrefix="0" xfId="269"/>
    <xf numFmtId="9" fontId="86" fillId="0" borderId="0" pivotButton="0" quotePrefix="0" xfId="269"/>
    <xf numFmtId="172" fontId="70" fillId="0" borderId="0" pivotButton="0" quotePrefix="0" xfId="0"/>
    <xf numFmtId="172" fontId="71" fillId="0" borderId="0" pivotButton="0" quotePrefix="0" xfId="0"/>
    <xf numFmtId="172" fontId="74" fillId="0" borderId="0" pivotButton="0" quotePrefix="0" xfId="0"/>
    <xf numFmtId="172" fontId="69" fillId="0" borderId="0" pivotButton="0" quotePrefix="0" xfId="0"/>
    <xf numFmtId="172" fontId="70" fillId="0" borderId="0" pivotButton="0" quotePrefix="0" xfId="158"/>
    <xf numFmtId="172" fontId="71" fillId="0" borderId="0" pivotButton="0" quotePrefix="0" xfId="158"/>
    <xf numFmtId="168" fontId="71" fillId="0" borderId="0" pivotButton="0" quotePrefix="0" xfId="158"/>
    <xf numFmtId="168" fontId="74" fillId="0" borderId="0" pivotButton="0" quotePrefix="0" xfId="0"/>
    <xf numFmtId="172" fontId="70" fillId="0" borderId="5" pivotButton="0" quotePrefix="0" xfId="0"/>
    <xf numFmtId="165" fontId="70" fillId="0" borderId="5" pivotButton="0" quotePrefix="0" xfId="0"/>
    <xf numFmtId="38" fontId="69" fillId="0" borderId="0" pivotButton="0" quotePrefix="0" xfId="158"/>
    <xf numFmtId="40" fontId="71" fillId="0" borderId="0" pivotButton="0" quotePrefix="0" xfId="158"/>
    <xf numFmtId="166" fontId="71" fillId="0" borderId="0" pivotButton="0" quotePrefix="0" xfId="158"/>
    <xf numFmtId="177" fontId="70" fillId="0" borderId="5" pivotButton="0" quotePrefix="0" xfId="158"/>
    <xf numFmtId="38" fontId="79" fillId="0" borderId="5" pivotButton="0" quotePrefix="0" xfId="158"/>
    <xf numFmtId="166" fontId="69" fillId="0" borderId="0" pivotButton="0" quotePrefix="0" xfId="158"/>
    <xf numFmtId="38" fontId="78" fillId="0" borderId="0" pivotButton="0" quotePrefix="0" xfId="158"/>
    <xf numFmtId="38" fontId="73" fillId="0" borderId="0" pivotButton="0" quotePrefix="0" xfId="158"/>
    <xf numFmtId="164" fontId="78" fillId="0" borderId="0" pivotButton="0" quotePrefix="0" xfId="158"/>
    <xf numFmtId="165" fontId="70" fillId="0" borderId="16" pivotButton="0" quotePrefix="0" xfId="0"/>
    <xf numFmtId="164" fontId="70" fillId="0" borderId="16" pivotButton="0" quotePrefix="0" xfId="0"/>
    <xf numFmtId="0" fontId="70" fillId="0" borderId="0" applyAlignment="1" pivotButton="0" quotePrefix="0" xfId="261">
      <alignment horizontal="left"/>
    </xf>
    <xf numFmtId="3" fontId="71" fillId="0" borderId="0" applyAlignment="1" pivotButton="0" quotePrefix="0" xfId="260">
      <alignment horizontal="center"/>
    </xf>
    <xf numFmtId="0" fontId="71" fillId="25" borderId="0" pivotButton="0" quotePrefix="0" xfId="0"/>
    <xf numFmtId="41" fontId="71" fillId="25" borderId="0" pivotButton="0" quotePrefix="0" xfId="0"/>
    <xf numFmtId="0" fontId="70" fillId="25" borderId="0" pivotButton="0" quotePrefix="0" xfId="258"/>
    <xf numFmtId="0" fontId="71" fillId="25" borderId="0" pivotButton="0" quotePrefix="0" xfId="258"/>
    <xf numFmtId="166" fontId="79" fillId="35" borderId="17" pivotButton="0" quotePrefix="0" xfId="269"/>
    <xf numFmtId="41" fontId="79" fillId="25" borderId="11" pivotButton="0" quotePrefix="0" xfId="0"/>
    <xf numFmtId="0" fontId="70" fillId="25" borderId="0" pivotButton="0" quotePrefix="0" xfId="0"/>
    <xf numFmtId="166" fontId="79" fillId="35" borderId="9" pivotButton="0" quotePrefix="0" xfId="269"/>
    <xf numFmtId="166" fontId="71" fillId="25" borderId="0" pivotButton="0" quotePrefix="0" xfId="0"/>
    <xf numFmtId="169" fontId="79" fillId="35" borderId="18" pivotButton="0" quotePrefix="0" xfId="158"/>
    <xf numFmtId="166" fontId="71" fillId="25" borderId="0" pivotButton="0" quotePrefix="0" xfId="269"/>
    <xf numFmtId="0" fontId="71" fillId="33" borderId="0" pivotButton="0" quotePrefix="0" xfId="0"/>
    <xf numFmtId="166" fontId="79" fillId="35" borderId="18" pivotButton="0" quotePrefix="0" xfId="269"/>
    <xf numFmtId="182" fontId="71" fillId="25" borderId="0" pivotButton="0" quotePrefix="0" xfId="0"/>
    <xf numFmtId="3" fontId="71" fillId="33" borderId="0" pivotButton="0" quotePrefix="0" xfId="158"/>
    <xf numFmtId="166" fontId="79" fillId="35" borderId="11" pivotButton="0" quotePrefix="0" xfId="269"/>
    <xf numFmtId="166" fontId="70" fillId="25" borderId="0" pivotButton="0" quotePrefix="0" xfId="269"/>
    <xf numFmtId="3" fontId="71" fillId="25" borderId="0" pivotButton="0" quotePrefix="0" xfId="0"/>
    <xf numFmtId="166" fontId="71" fillId="0" borderId="38" pivotButton="0" quotePrefix="0" xfId="269"/>
    <xf numFmtId="9" fontId="71" fillId="25" borderId="0" pivotButton="0" quotePrefix="0" xfId="269"/>
    <xf numFmtId="166" fontId="70" fillId="25" borderId="0" pivotButton="0" quotePrefix="0" xfId="0"/>
    <xf numFmtId="3" fontId="71" fillId="25" borderId="0" pivotButton="0" quotePrefix="0" xfId="158"/>
    <xf numFmtId="3" fontId="71" fillId="41" borderId="0" pivotButton="0" quotePrefix="0" xfId="0"/>
    <xf numFmtId="1" fontId="70" fillId="25" borderId="0" applyAlignment="1" pivotButton="0" quotePrefix="0" xfId="0">
      <alignment horizontal="right"/>
    </xf>
    <xf numFmtId="1" fontId="70" fillId="25" borderId="0" applyAlignment="1" pivotButton="0" quotePrefix="0" xfId="0">
      <alignment horizontal="center"/>
    </xf>
    <xf numFmtId="0" fontId="71" fillId="0" borderId="38" pivotButton="0" quotePrefix="0" xfId="0"/>
    <xf numFmtId="1" fontId="71" fillId="25" borderId="0" applyAlignment="1" pivotButton="0" quotePrefix="0" xfId="158">
      <alignment horizontal="right"/>
    </xf>
    <xf numFmtId="1" fontId="71" fillId="25" borderId="0" applyAlignment="1" pivotButton="0" quotePrefix="0" xfId="158">
      <alignment horizontal="center"/>
    </xf>
    <xf numFmtId="2" fontId="71" fillId="25" borderId="0" applyAlignment="1" pivotButton="0" quotePrefix="0" xfId="258">
      <alignment horizontal="right"/>
    </xf>
    <xf numFmtId="2" fontId="71" fillId="25" borderId="0" applyAlignment="1" pivotButton="0" quotePrefix="0" xfId="258">
      <alignment horizontal="center"/>
    </xf>
    <xf numFmtId="41" fontId="71" fillId="25" borderId="0" applyAlignment="1" pivotButton="0" quotePrefix="0" xfId="0">
      <alignment horizontal="right"/>
    </xf>
    <xf numFmtId="166" fontId="71" fillId="0" borderId="38" pivotButton="0" quotePrefix="0" xfId="0"/>
    <xf numFmtId="166" fontId="71" fillId="25" borderId="0" applyAlignment="1" pivotButton="0" quotePrefix="0" xfId="0">
      <alignment horizontal="right"/>
    </xf>
    <xf numFmtId="164" fontId="71" fillId="25" borderId="0" pivotButton="0" quotePrefix="0" xfId="158"/>
    <xf numFmtId="182" fontId="71" fillId="0" borderId="38" pivotButton="0" quotePrefix="0" xfId="0"/>
    <xf numFmtId="182" fontId="71" fillId="25" borderId="0" applyAlignment="1" pivotButton="0" quotePrefix="0" xfId="0">
      <alignment horizontal="right"/>
    </xf>
    <xf numFmtId="43" fontId="71" fillId="0" borderId="38" pivotButton="0" quotePrefix="0" xfId="0"/>
    <xf numFmtId="43" fontId="71" fillId="25" borderId="0" applyAlignment="1" pivotButton="0" quotePrefix="0" xfId="0">
      <alignment horizontal="right"/>
    </xf>
    <xf numFmtId="3" fontId="70" fillId="25" borderId="0" pivotButton="0" quotePrefix="0" xfId="158"/>
    <xf numFmtId="164" fontId="70" fillId="25" borderId="0" pivotButton="0" quotePrefix="0" xfId="158"/>
    <xf numFmtId="0" fontId="71" fillId="25" borderId="0" applyAlignment="1" pivotButton="0" quotePrefix="0" xfId="0">
      <alignment horizontal="right"/>
    </xf>
    <xf numFmtId="41" fontId="70" fillId="25" borderId="0" applyAlignment="1" pivotButton="0" quotePrefix="0" xfId="0">
      <alignment horizontal="right"/>
    </xf>
    <xf numFmtId="164" fontId="70" fillId="41" borderId="0" pivotButton="0" quotePrefix="0" xfId="0"/>
    <xf numFmtId="169" fontId="71" fillId="25" borderId="0" pivotButton="0" quotePrefix="0" xfId="158"/>
    <xf numFmtId="164" fontId="71" fillId="25" borderId="0" pivotButton="0" quotePrefix="0" xfId="0"/>
    <xf numFmtId="3" fontId="70" fillId="25" borderId="0" pivotButton="0" quotePrefix="0" xfId="0"/>
    <xf numFmtId="183" fontId="70" fillId="42" borderId="0" pivotButton="0" quotePrefix="0" xfId="0"/>
    <xf numFmtId="3" fontId="71" fillId="25" borderId="0" applyAlignment="1" pivotButton="0" quotePrefix="0" xfId="0">
      <alignment horizontal="right"/>
    </xf>
    <xf numFmtId="9" fontId="79" fillId="41" borderId="11" applyAlignment="1" pivotButton="0" quotePrefix="0" xfId="0">
      <alignment horizontal="right"/>
    </xf>
    <xf numFmtId="0" fontId="71" fillId="25" borderId="0" applyAlignment="1" pivotButton="0" quotePrefix="0" xfId="0">
      <alignment horizontal="left"/>
    </xf>
    <xf numFmtId="0" fontId="70" fillId="25" borderId="19" pivotButton="0" quotePrefix="0" xfId="0"/>
    <xf numFmtId="1" fontId="70" fillId="25" borderId="5" applyAlignment="1" pivotButton="0" quotePrefix="0" xfId="0">
      <alignment horizontal="right"/>
    </xf>
    <xf numFmtId="0" fontId="71" fillId="25" borderId="5" pivotButton="0" quotePrefix="0" xfId="0"/>
    <xf numFmtId="0" fontId="70" fillId="25" borderId="5" pivotButton="0" quotePrefix="0" xfId="0"/>
    <xf numFmtId="0" fontId="71" fillId="25" borderId="5" applyAlignment="1" pivotButton="0" quotePrefix="0" xfId="0">
      <alignment horizontal="right"/>
    </xf>
    <xf numFmtId="0" fontId="71" fillId="25" borderId="20" applyAlignment="1" pivotButton="0" quotePrefix="0" xfId="0">
      <alignment horizontal="right"/>
    </xf>
    <xf numFmtId="0" fontId="71" fillId="25" borderId="21" pivotButton="0" quotePrefix="0" xfId="0"/>
    <xf numFmtId="164" fontId="71" fillId="41" borderId="0" pivotButton="0" quotePrefix="0" xfId="0"/>
    <xf numFmtId="37" fontId="71" fillId="41" borderId="0" pivotButton="0" quotePrefix="0" xfId="0"/>
    <xf numFmtId="0" fontId="71" fillId="41" borderId="0" pivotButton="0" quotePrefix="0" xfId="0"/>
    <xf numFmtId="0" fontId="71" fillId="25" borderId="22" pivotButton="0" quotePrefix="0" xfId="0"/>
    <xf numFmtId="37" fontId="71" fillId="25" borderId="0" pivotButton="0" quotePrefix="0" xfId="0"/>
    <xf numFmtId="9" fontId="71" fillId="41" borderId="0" pivotButton="0" quotePrefix="0" xfId="0"/>
    <xf numFmtId="9" fontId="71" fillId="41" borderId="0" applyAlignment="1" pivotButton="0" quotePrefix="0" xfId="269">
      <alignment vertical="center"/>
    </xf>
    <xf numFmtId="9" fontId="71" fillId="41" borderId="0" pivotButton="0" quotePrefix="0" xfId="269"/>
    <xf numFmtId="164" fontId="69" fillId="25" borderId="0" pivotButton="0" quotePrefix="0" xfId="158"/>
    <xf numFmtId="166" fontId="89" fillId="41" borderId="0" pivotButton="0" quotePrefix="0" xfId="0"/>
    <xf numFmtId="166" fontId="90" fillId="41" borderId="0" pivotButton="0" quotePrefix="0" xfId="0"/>
    <xf numFmtId="166" fontId="70" fillId="41" borderId="0" pivotButton="0" quotePrefix="0" xfId="269"/>
    <xf numFmtId="166" fontId="71" fillId="41" borderId="22" pivotButton="0" quotePrefix="0" xfId="269"/>
    <xf numFmtId="0" fontId="70" fillId="41" borderId="0" applyAlignment="1" pivotButton="0" quotePrefix="0" xfId="0">
      <alignment horizontal="left" vertical="top"/>
    </xf>
    <xf numFmtId="166" fontId="90" fillId="35" borderId="23" pivotButton="0" quotePrefix="0" xfId="0"/>
    <xf numFmtId="166" fontId="79" fillId="35" borderId="24" pivotButton="0" quotePrefix="0" xfId="0"/>
    <xf numFmtId="166" fontId="70" fillId="0" borderId="9" pivotButton="0" quotePrefix="0" xfId="269"/>
    <xf numFmtId="182" fontId="71" fillId="41" borderId="0" pivotButton="0" quotePrefix="0" xfId="0"/>
    <xf numFmtId="2" fontId="71" fillId="25" borderId="0" pivotButton="0" quotePrefix="0" xfId="0"/>
    <xf numFmtId="0" fontId="70" fillId="25" borderId="21" pivotButton="0" quotePrefix="0" xfId="0"/>
    <xf numFmtId="9" fontId="74" fillId="0" borderId="22" pivotButton="0" quotePrefix="0" xfId="0"/>
    <xf numFmtId="41" fontId="71" fillId="25" borderId="22" pivotButton="0" quotePrefix="0" xfId="0"/>
    <xf numFmtId="164" fontId="71" fillId="25" borderId="0" pivotButton="0" quotePrefix="0" xfId="269"/>
    <xf numFmtId="169" fontId="71" fillId="41" borderId="0" pivotButton="0" quotePrefix="0" xfId="158"/>
    <xf numFmtId="164" fontId="71" fillId="41" borderId="0" pivotButton="0" quotePrefix="0" xfId="158"/>
    <xf numFmtId="169" fontId="71" fillId="25" borderId="0" pivotButton="0" quotePrefix="0" xfId="0"/>
    <xf numFmtId="164" fontId="82" fillId="41" borderId="0" pivotButton="0" quotePrefix="0" xfId="158"/>
    <xf numFmtId="166" fontId="71" fillId="41" borderId="0" pivotButton="0" quotePrefix="0" xfId="269"/>
    <xf numFmtId="0" fontId="71" fillId="25" borderId="25" pivotButton="0" quotePrefix="0" xfId="0"/>
    <xf numFmtId="166" fontId="71" fillId="41" borderId="15" pivotButton="0" quotePrefix="0" xfId="269"/>
    <xf numFmtId="0" fontId="71" fillId="41" borderId="15" pivotButton="0" quotePrefix="0" xfId="0"/>
    <xf numFmtId="0" fontId="71" fillId="25" borderId="15" pivotButton="0" quotePrefix="0" xfId="0"/>
    <xf numFmtId="0" fontId="71" fillId="41" borderId="26" pivotButton="0" quotePrefix="0" xfId="0"/>
    <xf numFmtId="43" fontId="71" fillId="25" borderId="0" pivotButton="0" quotePrefix="0" xfId="0"/>
    <xf numFmtId="0" fontId="70" fillId="25" borderId="27" pivotButton="0" quotePrefix="0" xfId="0"/>
    <xf numFmtId="0" fontId="71" fillId="25" borderId="28" pivotButton="0" quotePrefix="0" xfId="0"/>
    <xf numFmtId="0" fontId="71" fillId="25" borderId="29" pivotButton="0" quotePrefix="0" xfId="0"/>
    <xf numFmtId="0" fontId="70" fillId="25" borderId="30" pivotButton="0" quotePrefix="0" xfId="0"/>
    <xf numFmtId="0" fontId="71" fillId="25" borderId="31" pivotButton="0" quotePrefix="0" xfId="0"/>
    <xf numFmtId="0" fontId="71" fillId="25" borderId="30" pivotButton="0" quotePrefix="0" xfId="0"/>
    <xf numFmtId="41" fontId="71" fillId="25" borderId="0" pivotButton="0" quotePrefix="0" xfId="158"/>
    <xf numFmtId="41" fontId="70" fillId="25" borderId="0" pivotButton="0" quotePrefix="0" xfId="158"/>
    <xf numFmtId="0" fontId="71" fillId="25" borderId="30" pivotButton="0" quotePrefix="0" xfId="258"/>
    <xf numFmtId="4" fontId="71" fillId="25" borderId="0" pivotButton="0" quotePrefix="0" xfId="158"/>
    <xf numFmtId="184" fontId="71" fillId="25" borderId="0" pivotButton="0" quotePrefix="0" xfId="182"/>
    <xf numFmtId="0" fontId="71" fillId="25" borderId="32" pivotButton="0" quotePrefix="0" xfId="0"/>
    <xf numFmtId="0" fontId="71" fillId="25" borderId="33" pivotButton="0" quotePrefix="0" xfId="0"/>
    <xf numFmtId="0" fontId="71" fillId="25" borderId="34" pivotButton="0" quotePrefix="0" xfId="0"/>
    <xf numFmtId="164" fontId="70" fillId="25" borderId="0" pivotButton="0" quotePrefix="0" xfId="0"/>
    <xf numFmtId="164" fontId="70" fillId="25" borderId="5" pivotButton="0" quotePrefix="0" xfId="158"/>
    <xf numFmtId="164" fontId="71" fillId="25" borderId="15" pivotButton="0" quotePrefix="0" xfId="158"/>
    <xf numFmtId="164" fontId="71" fillId="0" borderId="38" pivotButton="0" quotePrefix="0" xfId="0"/>
    <xf numFmtId="164" fontId="71" fillId="0" borderId="38" pivotButton="0" quotePrefix="0" xfId="158"/>
    <xf numFmtId="164" fontId="70" fillId="0" borderId="38" pivotButton="0" quotePrefix="0" xfId="0"/>
    <xf numFmtId="164" fontId="71" fillId="41" borderId="0" applyAlignment="1" pivotButton="0" quotePrefix="0" xfId="0">
      <alignment vertical="center"/>
    </xf>
    <xf numFmtId="164" fontId="71" fillId="25" borderId="22" pivotButton="0" quotePrefix="0" xfId="0"/>
    <xf numFmtId="164" fontId="71" fillId="25" borderId="0" applyAlignment="1" pivotButton="0" quotePrefix="0" xfId="0">
      <alignment vertical="center"/>
    </xf>
    <xf numFmtId="0" fontId="71" fillId="0" borderId="0" applyAlignment="1" pivotButton="0" quotePrefix="1" xfId="0">
      <alignment horizontal="left" indent="1"/>
    </xf>
    <xf numFmtId="0" fontId="76" fillId="0" borderId="0" pivotButton="0" quotePrefix="0" xfId="0"/>
    <xf numFmtId="3" fontId="82" fillId="0" borderId="0" pivotButton="0" quotePrefix="0" xfId="260"/>
    <xf numFmtId="164" fontId="69" fillId="37" borderId="0" pivotButton="0" quotePrefix="0" xfId="158"/>
    <xf numFmtId="166" fontId="69" fillId="0" borderId="0" pivotButton="0" quotePrefix="0" xfId="0"/>
    <xf numFmtId="38" fontId="70" fillId="0" borderId="0" applyAlignment="1" pivotButton="0" quotePrefix="0" xfId="158">
      <alignment horizontal="left"/>
    </xf>
    <xf numFmtId="3" fontId="69" fillId="37" borderId="0" pivotButton="0" quotePrefix="0" xfId="0"/>
    <xf numFmtId="0" fontId="71" fillId="0" borderId="5" pivotButton="0" quotePrefix="0" xfId="0"/>
    <xf numFmtId="177" fontId="71" fillId="0" borderId="0" applyAlignment="1" pivotButton="0" quotePrefix="0" xfId="158">
      <alignment horizontal="left" indent="1"/>
    </xf>
    <xf numFmtId="9" fontId="70" fillId="0" borderId="5" pivotButton="0" quotePrefix="0" xfId="269"/>
    <xf numFmtId="0" fontId="91" fillId="0" borderId="0" pivotButton="0" quotePrefix="0" xfId="0"/>
    <xf numFmtId="9" fontId="70" fillId="0" borderId="5" pivotButton="0" quotePrefix="0" xfId="0"/>
    <xf numFmtId="3" fontId="82" fillId="0" borderId="0" pivotButton="0" quotePrefix="0" xfId="158"/>
    <xf numFmtId="165" fontId="70" fillId="0" borderId="5" applyAlignment="1" pivotButton="0" quotePrefix="0" xfId="260">
      <alignment horizontal="left"/>
    </xf>
    <xf numFmtId="164" fontId="70" fillId="0" borderId="5" applyAlignment="1" pivotButton="0" quotePrefix="0" xfId="158">
      <alignment horizontal="right"/>
    </xf>
    <xf numFmtId="173" fontId="71" fillId="0" borderId="0" pivotButton="0" quotePrefix="0" xfId="0"/>
    <xf numFmtId="168" fontId="71" fillId="25" borderId="0" pivotButton="0" quotePrefix="0" xfId="158"/>
    <xf numFmtId="0" fontId="71" fillId="0" borderId="0" applyAlignment="1" pivotButton="0" quotePrefix="1" xfId="0">
      <alignment horizontal="left" indent="1"/>
    </xf>
    <xf numFmtId="3" fontId="71" fillId="25" borderId="0" applyAlignment="1" pivotButton="0" quotePrefix="0" xfId="158">
      <alignment horizontal="right"/>
    </xf>
    <xf numFmtId="169" fontId="70" fillId="25" borderId="0" pivotButton="0" quotePrefix="0" xfId="158"/>
    <xf numFmtId="166" fontId="90" fillId="35" borderId="35" pivotButton="0" quotePrefix="0" xfId="0"/>
    <xf numFmtId="10" fontId="79" fillId="35" borderId="11" pivotButton="0" quotePrefix="0" xfId="0"/>
    <xf numFmtId="169" fontId="71" fillId="0" borderId="0" pivotButton="0" quotePrefix="0" xfId="260"/>
    <xf numFmtId="3" fontId="70" fillId="0" borderId="0" pivotButton="0" quotePrefix="0" xfId="260"/>
    <xf numFmtId="164" fontId="92" fillId="0" borderId="0" pivotButton="0" quotePrefix="0" xfId="260"/>
    <xf numFmtId="164" fontId="70" fillId="0" borderId="0" pivotButton="0" quotePrefix="0" xfId="260"/>
    <xf numFmtId="164" fontId="92" fillId="0" borderId="0" pivotButton="0" quotePrefix="0" xfId="158"/>
    <xf numFmtId="3" fontId="70" fillId="0" borderId="0" applyAlignment="1" pivotButton="0" quotePrefix="0" xfId="260">
      <alignment horizontal="left" indent="1"/>
    </xf>
    <xf numFmtId="3" fontId="71" fillId="0" borderId="0" applyAlignment="1" pivotButton="0" quotePrefix="0" xfId="260">
      <alignment horizontal="left" indent="1"/>
    </xf>
    <xf numFmtId="164" fontId="79" fillId="0" borderId="0" pivotButton="0" quotePrefix="0" xfId="158"/>
    <xf numFmtId="10" fontId="70" fillId="25" borderId="0" applyAlignment="1" pivotButton="0" quotePrefix="0" xfId="269">
      <alignment horizontal="center"/>
    </xf>
    <xf numFmtId="3" fontId="70" fillId="25" borderId="0" applyAlignment="1" pivotButton="0" quotePrefix="0" xfId="0">
      <alignment horizontal="center"/>
    </xf>
    <xf numFmtId="9" fontId="82" fillId="0" borderId="0" pivotButton="0" quotePrefix="0" xfId="269"/>
    <xf numFmtId="168" fontId="71" fillId="0" borderId="0" pivotButton="0" quotePrefix="0" xfId="269"/>
    <xf numFmtId="38" fontId="70" fillId="36" borderId="0" pivotButton="0" quotePrefix="0" xfId="158"/>
    <xf numFmtId="38" fontId="71" fillId="36" borderId="0" pivotButton="0" quotePrefix="0" xfId="158"/>
    <xf numFmtId="38" fontId="7" fillId="36" borderId="0" pivotButton="0" quotePrefix="0" xfId="211"/>
    <xf numFmtId="9" fontId="70" fillId="0" borderId="0" pivotButton="0" quotePrefix="0" xfId="158"/>
    <xf numFmtId="9" fontId="71" fillId="25" borderId="0" applyAlignment="1" pivotButton="0" quotePrefix="0" xfId="0">
      <alignment horizontal="right"/>
    </xf>
    <xf numFmtId="38" fontId="71" fillId="0" borderId="0" pivotButton="0" quotePrefix="1" xfId="158"/>
    <xf numFmtId="38" fontId="70" fillId="36" borderId="0" applyAlignment="1" pivotButton="0" quotePrefix="0" xfId="158">
      <alignment horizontal="center"/>
    </xf>
    <xf numFmtId="183" fontId="71" fillId="40" borderId="0" pivotButton="0" quotePrefix="0" xfId="0"/>
    <xf numFmtId="9" fontId="71" fillId="25" borderId="0" pivotButton="0" quotePrefix="0" xfId="0"/>
    <xf numFmtId="4" fontId="71" fillId="0" borderId="0" pivotButton="0" quotePrefix="0" xfId="158"/>
    <xf numFmtId="14" fontId="71" fillId="0" borderId="0" pivotButton="0" quotePrefix="0" xfId="0"/>
    <xf numFmtId="164" fontId="70" fillId="34" borderId="0" applyAlignment="1" pivotButton="0" quotePrefix="0" xfId="0">
      <alignment horizontal="right"/>
    </xf>
    <xf numFmtId="9" fontId="70" fillId="0" borderId="0" pivotButton="0" quotePrefix="0" xfId="269"/>
    <xf numFmtId="9" fontId="71" fillId="0" borderId="0" pivotButton="0" quotePrefix="0" xfId="269"/>
    <xf numFmtId="9" fontId="71" fillId="25" borderId="0" applyAlignment="1" pivotButton="0" quotePrefix="0" xfId="269">
      <alignment horizontal="right"/>
    </xf>
    <xf numFmtId="9" fontId="71" fillId="36" borderId="0" pivotButton="0" quotePrefix="0" xfId="269"/>
    <xf numFmtId="166" fontId="70" fillId="0" borderId="0" applyAlignment="1" pivotButton="0" quotePrefix="0" xfId="269">
      <alignment horizontal="right"/>
    </xf>
    <xf numFmtId="164" fontId="69" fillId="43" borderId="0" pivotButton="0" quotePrefix="0" xfId="0"/>
    <xf numFmtId="166" fontId="71" fillId="0" borderId="0" pivotButton="0" quotePrefix="0" xfId="269"/>
    <xf numFmtId="4" fontId="71" fillId="34" borderId="0" pivotButton="0" quotePrefix="0" xfId="158"/>
    <xf numFmtId="171" fontId="71" fillId="0" borderId="0" pivotButton="0" quotePrefix="0" xfId="0"/>
    <xf numFmtId="166" fontId="74" fillId="43" borderId="0" pivotButton="0" quotePrefix="0" xfId="0"/>
    <xf numFmtId="169" fontId="82" fillId="0" borderId="0" pivotButton="0" quotePrefix="0" xfId="158"/>
    <xf numFmtId="9" fontId="82" fillId="31" borderId="0" pivotButton="0" quotePrefix="0" xfId="269"/>
    <xf numFmtId="3" fontId="70" fillId="0" borderId="36" pivotButton="0" quotePrefix="0" xfId="158"/>
    <xf numFmtId="3" fontId="70" fillId="0" borderId="37" pivotButton="0" quotePrefix="0" xfId="158"/>
    <xf numFmtId="9" fontId="73" fillId="0" borderId="0" pivotButton="0" quotePrefix="0" xfId="158"/>
    <xf numFmtId="37" fontId="70" fillId="0" borderId="0" pivotButton="0" quotePrefix="0" xfId="158"/>
    <xf numFmtId="39" fontId="71" fillId="0" borderId="0" pivotButton="0" quotePrefix="0" xfId="158"/>
    <xf numFmtId="174" fontId="71" fillId="0" borderId="0" pivotButton="0" quotePrefix="0" xfId="158"/>
    <xf numFmtId="10" fontId="71" fillId="0" borderId="0" pivotButton="0" quotePrefix="0" xfId="158"/>
    <xf numFmtId="0" fontId="71" fillId="0" borderId="0" pivotButton="0" quotePrefix="0" xfId="260"/>
    <xf numFmtId="164" fontId="108" fillId="0" borderId="0" pivotButton="0" quotePrefix="0" xfId="158"/>
    <xf numFmtId="9" fontId="70" fillId="34" borderId="0" applyAlignment="1" pivotButton="0" quotePrefix="0" xfId="269">
      <alignment horizontal="right"/>
    </xf>
    <xf numFmtId="164" fontId="71" fillId="39" borderId="38" pivotButton="0" quotePrefix="0" xfId="0"/>
    <xf numFmtId="38" fontId="70" fillId="39" borderId="0" pivotButton="0" quotePrefix="0" xfId="158"/>
    <xf numFmtId="9" fontId="81" fillId="0" borderId="0" pivotButton="0" quotePrefix="0" xfId="158"/>
    <xf numFmtId="164" fontId="69" fillId="35" borderId="0" pivotButton="0" quotePrefix="0" xfId="0"/>
    <xf numFmtId="164" fontId="69" fillId="39" borderId="0" pivotButton="0" quotePrefix="0" xfId="158"/>
    <xf numFmtId="164" fontId="71" fillId="39" borderId="0" pivotButton="0" quotePrefix="0" xfId="158"/>
    <xf numFmtId="9" fontId="71" fillId="25" borderId="0" pivotButton="0" quotePrefix="0" xfId="269"/>
    <xf numFmtId="164" fontId="79" fillId="0" borderId="5" pivotButton="0" quotePrefix="0" xfId="158"/>
    <xf numFmtId="164" fontId="69" fillId="0" borderId="0" applyAlignment="1" pivotButton="0" quotePrefix="0" xfId="158">
      <alignment horizontal="right"/>
    </xf>
    <xf numFmtId="164" fontId="79" fillId="0" borderId="5" pivotButton="0" quotePrefix="0" xfId="0"/>
    <xf numFmtId="164" fontId="79" fillId="0" borderId="0" pivotButton="0" quotePrefix="0" xfId="0"/>
    <xf numFmtId="172" fontId="79" fillId="0" borderId="0" pivotButton="0" quotePrefix="0" xfId="0"/>
    <xf numFmtId="180" fontId="69" fillId="0" borderId="0" pivotButton="0" quotePrefix="0" xfId="158"/>
    <xf numFmtId="164" fontId="79" fillId="0" borderId="5" pivotButton="0" quotePrefix="0" xfId="0"/>
    <xf numFmtId="37" fontId="79" fillId="0" borderId="0" pivotButton="0" quotePrefix="0" xfId="158"/>
    <xf numFmtId="174" fontId="69" fillId="0" borderId="0" pivotButton="0" quotePrefix="0" xfId="158"/>
    <xf numFmtId="164" fontId="76" fillId="0" borderId="5" pivotButton="0" quotePrefix="0" xfId="0"/>
    <xf numFmtId="166" fontId="74" fillId="37" borderId="0" pivotButton="0" quotePrefix="0" xfId="269"/>
    <xf numFmtId="9" fontId="80" fillId="37" borderId="0" pivotButton="0" quotePrefix="0" xfId="269"/>
    <xf numFmtId="41" fontId="70" fillId="25" borderId="0" pivotButton="0" quotePrefix="0" xfId="0"/>
    <xf numFmtId="173" fontId="69" fillId="0" borderId="0" pivotButton="0" quotePrefix="0" xfId="158"/>
    <xf numFmtId="37" fontId="71" fillId="35" borderId="0" pivotButton="0" quotePrefix="0" xfId="158"/>
    <xf numFmtId="9" fontId="71" fillId="0" borderId="0" pivotButton="0" quotePrefix="0" xfId="260"/>
    <xf numFmtId="185" fontId="71" fillId="0" borderId="0" pivotButton="0" quotePrefix="0" xfId="158"/>
    <xf numFmtId="0" fontId="71" fillId="0" borderId="0" pivotButton="0" quotePrefix="0" xfId="158"/>
    <xf numFmtId="186" fontId="71" fillId="0" borderId="0" pivotButton="0" quotePrefix="0" xfId="158"/>
    <xf numFmtId="0" fontId="70" fillId="0" borderId="0" applyAlignment="1" pivotButton="0" quotePrefix="0" xfId="0">
      <alignment horizontal="center"/>
    </xf>
    <xf numFmtId="166" fontId="79" fillId="35" borderId="17" pivotButton="0" quotePrefix="0" xfId="269"/>
    <xf numFmtId="183" fontId="71" fillId="40" borderId="0" pivotButton="0" quotePrefix="0" xfId="0"/>
    <xf numFmtId="166" fontId="79" fillId="35" borderId="9" pivotButton="0" quotePrefix="0" xfId="269"/>
    <xf numFmtId="166" fontId="71" fillId="25" borderId="0" pivotButton="0" quotePrefix="0" xfId="0"/>
    <xf numFmtId="169" fontId="79" fillId="35" borderId="18" pivotButton="0" quotePrefix="0" xfId="158"/>
    <xf numFmtId="166" fontId="71" fillId="25" borderId="0" pivotButton="0" quotePrefix="0" xfId="269"/>
    <xf numFmtId="166" fontId="79" fillId="35" borderId="18" pivotButton="0" quotePrefix="0" xfId="269"/>
    <xf numFmtId="182" fontId="71" fillId="25" borderId="0" pivotButton="0" quotePrefix="0" xfId="0"/>
    <xf numFmtId="166" fontId="79" fillId="35" borderId="11" pivotButton="0" quotePrefix="0" xfId="269"/>
    <xf numFmtId="166" fontId="70" fillId="25" borderId="0" pivotButton="0" quotePrefix="0" xfId="269"/>
    <xf numFmtId="164" fontId="71" fillId="0" borderId="38" pivotButton="0" quotePrefix="0" xfId="0"/>
    <xf numFmtId="166" fontId="71" fillId="0" borderId="38" pivotButton="0" quotePrefix="0" xfId="269"/>
    <xf numFmtId="166" fontId="70" fillId="25" borderId="0" pivotButton="0" quotePrefix="0" xfId="0"/>
    <xf numFmtId="166" fontId="71" fillId="0" borderId="38" pivotButton="0" quotePrefix="0" xfId="0"/>
    <xf numFmtId="166" fontId="71" fillId="25" borderId="0" applyAlignment="1" pivotButton="0" quotePrefix="0" xfId="0">
      <alignment horizontal="right"/>
    </xf>
    <xf numFmtId="164" fontId="71" fillId="25" borderId="0" pivotButton="0" quotePrefix="0" xfId="158"/>
    <xf numFmtId="182" fontId="71" fillId="0" borderId="38" pivotButton="0" quotePrefix="0" xfId="0"/>
    <xf numFmtId="182" fontId="71" fillId="25" borderId="0" applyAlignment="1" pivotButton="0" quotePrefix="0" xfId="0">
      <alignment horizontal="right"/>
    </xf>
    <xf numFmtId="164" fontId="71" fillId="0" borderId="0" pivotButton="0" quotePrefix="0" xfId="158"/>
    <xf numFmtId="164" fontId="71" fillId="39" borderId="38" pivotButton="0" quotePrefix="0" xfId="0"/>
    <xf numFmtId="164" fontId="70" fillId="25" borderId="0" pivotButton="0" quotePrefix="0" xfId="158"/>
    <xf numFmtId="164" fontId="70" fillId="0" borderId="38" pivotButton="0" quotePrefix="0" xfId="0"/>
    <xf numFmtId="164" fontId="70" fillId="41" borderId="0" pivotButton="0" quotePrefix="0" xfId="0"/>
    <xf numFmtId="164" fontId="71" fillId="25" borderId="0" pivotButton="0" quotePrefix="0" xfId="0"/>
    <xf numFmtId="164" fontId="70" fillId="25" borderId="0" pivotButton="0" quotePrefix="0" xfId="0"/>
    <xf numFmtId="183" fontId="70" fillId="42" borderId="0" pivotButton="0" quotePrefix="0" xfId="0"/>
    <xf numFmtId="169" fontId="71" fillId="25" borderId="0" pivotButton="0" quotePrefix="0" xfId="158"/>
    <xf numFmtId="164" fontId="71" fillId="41" borderId="0" pivotButton="0" quotePrefix="0" xfId="0"/>
    <xf numFmtId="164" fontId="71" fillId="41" borderId="0" applyAlignment="1" pivotButton="0" quotePrefix="0" xfId="0">
      <alignment vertical="center"/>
    </xf>
    <xf numFmtId="164" fontId="71" fillId="25" borderId="22" pivotButton="0" quotePrefix="0" xfId="0"/>
    <xf numFmtId="164" fontId="71" fillId="41" borderId="0" pivotButton="0" quotePrefix="0" xfId="158"/>
    <xf numFmtId="164" fontId="71" fillId="25" borderId="0" applyAlignment="1" pivotButton="0" quotePrefix="0" xfId="0">
      <alignment vertical="center"/>
    </xf>
    <xf numFmtId="164" fontId="71" fillId="0" borderId="0" pivotButton="0" quotePrefix="0" xfId="0"/>
    <xf numFmtId="164" fontId="69" fillId="39" borderId="0" pivotButton="0" quotePrefix="0" xfId="158"/>
    <xf numFmtId="164" fontId="69" fillId="0" borderId="0" pivotButton="0" quotePrefix="0" xfId="158"/>
    <xf numFmtId="164" fontId="69" fillId="25" borderId="0" pivotButton="0" quotePrefix="0" xfId="158"/>
    <xf numFmtId="166" fontId="89" fillId="41" borderId="0" pivotButton="0" quotePrefix="0" xfId="0"/>
    <xf numFmtId="166" fontId="90" fillId="41" borderId="0" pivotButton="0" quotePrefix="0" xfId="0"/>
    <xf numFmtId="166" fontId="70" fillId="41" borderId="0" pivotButton="0" quotePrefix="0" xfId="269"/>
    <xf numFmtId="166" fontId="71" fillId="41" borderId="22" pivotButton="0" quotePrefix="0" xfId="269"/>
    <xf numFmtId="166" fontId="90" fillId="35" borderId="35" pivotButton="0" quotePrefix="0" xfId="0"/>
    <xf numFmtId="166" fontId="90" fillId="35" borderId="23" pivotButton="0" quotePrefix="0" xfId="0"/>
    <xf numFmtId="166" fontId="79" fillId="35" borderId="24" pivotButton="0" quotePrefix="0" xfId="0"/>
    <xf numFmtId="166" fontId="70" fillId="0" borderId="9" pivotButton="0" quotePrefix="0" xfId="269"/>
    <xf numFmtId="182" fontId="71" fillId="41" borderId="0" pivotButton="0" quotePrefix="0" xfId="0"/>
    <xf numFmtId="164" fontId="71" fillId="25" borderId="0" pivotButton="0" quotePrefix="0" xfId="269"/>
    <xf numFmtId="164" fontId="69" fillId="35" borderId="0" pivotButton="0" quotePrefix="0" xfId="0"/>
    <xf numFmtId="169" fontId="70" fillId="25" borderId="0" pivotButton="0" quotePrefix="0" xfId="158"/>
    <xf numFmtId="169" fontId="71" fillId="41" borderId="0" pivotButton="0" quotePrefix="0" xfId="158"/>
    <xf numFmtId="169" fontId="71" fillId="25" borderId="0" pivotButton="0" quotePrefix="0" xfId="0"/>
    <xf numFmtId="164" fontId="82" fillId="41" borderId="0" pivotButton="0" quotePrefix="0" xfId="158"/>
    <xf numFmtId="166" fontId="71" fillId="41" borderId="0" pivotButton="0" quotePrefix="0" xfId="269"/>
    <xf numFmtId="166" fontId="71" fillId="41" borderId="15" pivotButton="0" quotePrefix="0" xfId="269"/>
    <xf numFmtId="164" fontId="70" fillId="25" borderId="5" pivotButton="0" quotePrefix="0" xfId="158"/>
    <xf numFmtId="164" fontId="71" fillId="25" borderId="15" pivotButton="0" quotePrefix="0" xfId="158"/>
    <xf numFmtId="168" fontId="71" fillId="25" borderId="0" pivotButton="0" quotePrefix="0" xfId="158"/>
    <xf numFmtId="164" fontId="71" fillId="0" borderId="38" pivotButton="0" quotePrefix="0" xfId="158"/>
    <xf numFmtId="184" fontId="71" fillId="25" borderId="0" pivotButton="0" quotePrefix="0" xfId="182"/>
    <xf numFmtId="165" fontId="78" fillId="0" borderId="0" pivotButton="0" quotePrefix="0" xfId="260"/>
    <xf numFmtId="164" fontId="83" fillId="38" borderId="0" pivotButton="0" quotePrefix="0" xfId="0"/>
    <xf numFmtId="165" fontId="71" fillId="0" borderId="0" pivotButton="0" quotePrefix="0" xfId="260"/>
    <xf numFmtId="164" fontId="71" fillId="0" borderId="0" pivotButton="0" quotePrefix="0" xfId="260"/>
    <xf numFmtId="165" fontId="70" fillId="0" borderId="0" pivotButton="0" quotePrefix="0" xfId="260"/>
    <xf numFmtId="165" fontId="70" fillId="0" borderId="5" pivotButton="0" quotePrefix="0" xfId="260"/>
    <xf numFmtId="164" fontId="70" fillId="0" borderId="5" pivotButton="0" quotePrefix="0" xfId="158"/>
    <xf numFmtId="164" fontId="79" fillId="0" borderId="5" pivotButton="0" quotePrefix="0" xfId="158"/>
    <xf numFmtId="164" fontId="70" fillId="0" borderId="0" pivotButton="0" quotePrefix="0" xfId="158"/>
    <xf numFmtId="165" fontId="71" fillId="0" borderId="0" applyAlignment="1" pivotButton="0" quotePrefix="1" xfId="260">
      <alignment horizontal="left"/>
    </xf>
    <xf numFmtId="165" fontId="71" fillId="0" borderId="0" applyAlignment="1" pivotButton="0" quotePrefix="0" xfId="260">
      <alignment horizontal="left"/>
    </xf>
    <xf numFmtId="164" fontId="79" fillId="0" borderId="0" pivotButton="0" quotePrefix="0" xfId="158"/>
    <xf numFmtId="164" fontId="69" fillId="0" borderId="0" pivotButton="0" quotePrefix="0" xfId="0"/>
    <xf numFmtId="165" fontId="71" fillId="0" borderId="0" pivotButton="0" quotePrefix="0" xfId="178"/>
    <xf numFmtId="165" fontId="72" fillId="0" borderId="0" pivotButton="0" quotePrefix="0" xfId="260"/>
    <xf numFmtId="164" fontId="71" fillId="0" borderId="0" pivotButton="0" quotePrefix="0" xfId="269"/>
    <xf numFmtId="166" fontId="71" fillId="0" borderId="0" pivotButton="0" quotePrefix="0" xfId="269"/>
    <xf numFmtId="165" fontId="70" fillId="0" borderId="0" applyAlignment="1" pivotButton="0" quotePrefix="0" xfId="260">
      <alignment horizontal="left"/>
    </xf>
    <xf numFmtId="168" fontId="70" fillId="0" borderId="0" pivotButton="0" quotePrefix="0" xfId="158"/>
    <xf numFmtId="168" fontId="71" fillId="0" borderId="0" pivotButton="0" quotePrefix="0" xfId="158"/>
    <xf numFmtId="167" fontId="71" fillId="0" borderId="0" pivotButton="0" quotePrefix="0" xfId="178"/>
    <xf numFmtId="167" fontId="71" fillId="0" borderId="0" pivotButton="0" quotePrefix="0" xfId="260"/>
    <xf numFmtId="164" fontId="71" fillId="0" borderId="0" pivotButton="0" quotePrefix="0" xfId="178"/>
    <xf numFmtId="167" fontId="70" fillId="0" borderId="0" pivotButton="0" quotePrefix="0" xfId="260"/>
    <xf numFmtId="168" fontId="71" fillId="0" borderId="0" pivotButton="0" quotePrefix="0" xfId="269"/>
    <xf numFmtId="186" fontId="71" fillId="0" borderId="0" pivotButton="0" quotePrefix="0" xfId="158"/>
    <xf numFmtId="168" fontId="70" fillId="0" borderId="5" pivotButton="0" quotePrefix="0" xfId="158"/>
    <xf numFmtId="185" fontId="71" fillId="0" borderId="0" pivotButton="0" quotePrefix="0" xfId="158"/>
    <xf numFmtId="164" fontId="69" fillId="0" borderId="0" pivotButton="0" quotePrefix="0" xfId="260"/>
    <xf numFmtId="164" fontId="74" fillId="0" borderId="0" pivotButton="0" quotePrefix="0" xfId="158"/>
    <xf numFmtId="165" fontId="71" fillId="0" borderId="0" applyAlignment="1" pivotButton="0" quotePrefix="0" xfId="259">
      <alignment horizontal="left"/>
    </xf>
    <xf numFmtId="165" fontId="73" fillId="0" borderId="0" pivotButton="0" quotePrefix="0" xfId="260"/>
    <xf numFmtId="164" fontId="71" fillId="0" borderId="0" applyAlignment="1" pivotButton="0" quotePrefix="0" xfId="158">
      <alignment horizontal="right"/>
    </xf>
    <xf numFmtId="164" fontId="71" fillId="35" borderId="0" pivotButton="0" quotePrefix="0" xfId="158"/>
    <xf numFmtId="164" fontId="69" fillId="0" borderId="0" applyAlignment="1" pivotButton="0" quotePrefix="0" xfId="158">
      <alignment horizontal="right"/>
    </xf>
    <xf numFmtId="165" fontId="73" fillId="0" borderId="0" applyAlignment="1" pivotButton="0" quotePrefix="0" xfId="260">
      <alignment horizontal="left"/>
    </xf>
    <xf numFmtId="165" fontId="70" fillId="0" borderId="5" applyAlignment="1" pivotButton="0" quotePrefix="0" xfId="260">
      <alignment horizontal="left"/>
    </xf>
    <xf numFmtId="164" fontId="70" fillId="0" borderId="5" applyAlignment="1" pivotButton="0" quotePrefix="0" xfId="158">
      <alignment horizontal="right"/>
    </xf>
    <xf numFmtId="164" fontId="75" fillId="0" borderId="0" pivotButton="0" quotePrefix="0" xfId="158"/>
    <xf numFmtId="164" fontId="85" fillId="0" borderId="0" pivotButton="0" quotePrefix="0" xfId="158"/>
    <xf numFmtId="164" fontId="108" fillId="0" borderId="0" pivotButton="0" quotePrefix="0" xfId="158"/>
    <xf numFmtId="164" fontId="76" fillId="0" borderId="0" pivotButton="0" quotePrefix="0" xfId="158"/>
    <xf numFmtId="164" fontId="71" fillId="34" borderId="0" pivotButton="0" quotePrefix="0" xfId="0"/>
    <xf numFmtId="164" fontId="71" fillId="34" borderId="0" pivotButton="0" quotePrefix="0" xfId="178"/>
    <xf numFmtId="164" fontId="71" fillId="34" borderId="0" pivotButton="0" quotePrefix="0" xfId="158"/>
    <xf numFmtId="164" fontId="70" fillId="0" borderId="0" pivotButton="0" quotePrefix="0" xfId="0"/>
    <xf numFmtId="164" fontId="92" fillId="0" borderId="0" pivotButton="0" quotePrefix="0" xfId="260"/>
    <xf numFmtId="164" fontId="70" fillId="0" borderId="0" pivotButton="0" quotePrefix="0" xfId="260"/>
    <xf numFmtId="164" fontId="92" fillId="0" borderId="0" pivotButton="0" quotePrefix="0" xfId="158"/>
    <xf numFmtId="164" fontId="77" fillId="0" borderId="0" pivotButton="0" quotePrefix="0" xfId="158"/>
    <xf numFmtId="164" fontId="77" fillId="0" borderId="0" pivotButton="0" quotePrefix="0" xfId="260"/>
    <xf numFmtId="164" fontId="77" fillId="0" borderId="0" pivotButton="0" quotePrefix="0" xfId="0"/>
    <xf numFmtId="169" fontId="71" fillId="0" borderId="0" pivotButton="0" quotePrefix="0" xfId="260"/>
    <xf numFmtId="164" fontId="70" fillId="0" borderId="5" pivotButton="0" quotePrefix="0" xfId="0"/>
    <xf numFmtId="164" fontId="71" fillId="35" borderId="0" pivotButton="0" quotePrefix="0" xfId="0"/>
    <xf numFmtId="164" fontId="71" fillId="0" borderId="5" pivotButton="0" quotePrefix="0" xfId="0"/>
    <xf numFmtId="164" fontId="79" fillId="0" borderId="5" pivotButton="0" quotePrefix="0" xfId="0"/>
    <xf numFmtId="164" fontId="70" fillId="34" borderId="0" applyAlignment="1" pivotButton="0" quotePrefix="0" xfId="0">
      <alignment horizontal="right"/>
    </xf>
    <xf numFmtId="164" fontId="82" fillId="0" borderId="0" pivotButton="0" quotePrefix="0" xfId="0"/>
    <xf numFmtId="164" fontId="86" fillId="0" borderId="0" pivotButton="0" quotePrefix="0" xfId="0"/>
    <xf numFmtId="172" fontId="71" fillId="0" borderId="0" pivotButton="0" quotePrefix="0" xfId="0"/>
    <xf numFmtId="164" fontId="79" fillId="0" borderId="0" pivotButton="0" quotePrefix="0" xfId="0"/>
    <xf numFmtId="166" fontId="71" fillId="0" borderId="0" pivotButton="0" quotePrefix="0" xfId="0"/>
    <xf numFmtId="170" fontId="70" fillId="0" borderId="0" applyAlignment="1" pivotButton="0" quotePrefix="0" xfId="0">
      <alignment horizontal="right"/>
    </xf>
    <xf numFmtId="165" fontId="71" fillId="0" borderId="0" pivotButton="0" quotePrefix="0" xfId="0"/>
    <xf numFmtId="165" fontId="70" fillId="0" borderId="0" pivotButton="0" quotePrefix="0" xfId="0"/>
    <xf numFmtId="164" fontId="74" fillId="0" borderId="0" pivotButton="0" quotePrefix="0" xfId="0"/>
    <xf numFmtId="165" fontId="70" fillId="0" borderId="5" pivotButton="0" quotePrefix="0" xfId="0"/>
    <xf numFmtId="165" fontId="70" fillId="0" borderId="16" pivotButton="0" quotePrefix="0" xfId="0"/>
    <xf numFmtId="164" fontId="70" fillId="0" borderId="16" pivotButton="0" quotePrefix="0" xfId="0"/>
    <xf numFmtId="166" fontId="70" fillId="0" borderId="0" applyAlignment="1" pivotButton="0" quotePrefix="0" xfId="269">
      <alignment horizontal="right"/>
    </xf>
    <xf numFmtId="172" fontId="70" fillId="0" borderId="0" pivotButton="0" quotePrefix="0" xfId="158"/>
    <xf numFmtId="172" fontId="70" fillId="0" borderId="0" pivotButton="0" quotePrefix="0" xfId="0"/>
    <xf numFmtId="172" fontId="79" fillId="0" borderId="0" pivotButton="0" quotePrefix="0" xfId="0"/>
    <xf numFmtId="166" fontId="74" fillId="37" borderId="0" pivotButton="0" quotePrefix="0" xfId="269"/>
    <xf numFmtId="166" fontId="74" fillId="0" borderId="0" pivotButton="0" quotePrefix="0" xfId="269"/>
    <xf numFmtId="172" fontId="71" fillId="0" borderId="0" pivotButton="0" quotePrefix="0" xfId="158"/>
    <xf numFmtId="172" fontId="69" fillId="0" borderId="0" pivotButton="0" quotePrefix="0" xfId="0"/>
    <xf numFmtId="178" fontId="71" fillId="0" borderId="0" pivotButton="0" quotePrefix="0" xfId="158"/>
    <xf numFmtId="172" fontId="74" fillId="0" borderId="0" pivotButton="0" quotePrefix="0" xfId="0"/>
    <xf numFmtId="172" fontId="70" fillId="0" borderId="5" pivotButton="0" quotePrefix="0" xfId="0"/>
    <xf numFmtId="166" fontId="70" fillId="0" borderId="0" pivotButton="0" quotePrefix="0" xfId="0"/>
    <xf numFmtId="179" fontId="71" fillId="0" borderId="0" pivotButton="0" quotePrefix="0" xfId="158"/>
    <xf numFmtId="164" fontId="78" fillId="0" borderId="0" pivotButton="0" quotePrefix="0" xfId="0"/>
    <xf numFmtId="165" fontId="78" fillId="0" borderId="0" pivotButton="0" quotePrefix="0" xfId="0"/>
    <xf numFmtId="168" fontId="74" fillId="0" borderId="0" pivotButton="0" quotePrefix="0" xfId="0"/>
    <xf numFmtId="181" fontId="71" fillId="0" borderId="0" pivotButton="0" quotePrefix="0" xfId="0"/>
    <xf numFmtId="181" fontId="70" fillId="0" borderId="0" pivotButton="0" quotePrefix="0" xfId="0"/>
    <xf numFmtId="166" fontId="71" fillId="0" borderId="0" applyAlignment="1" pivotButton="0" quotePrefix="0" xfId="0">
      <alignment horizontal="right"/>
    </xf>
    <xf numFmtId="166" fontId="74" fillId="0" borderId="0" pivotButton="0" quotePrefix="0" xfId="0"/>
    <xf numFmtId="166" fontId="70" fillId="0" borderId="0" applyAlignment="1" pivotButton="0" quotePrefix="0" xfId="0">
      <alignment horizontal="right"/>
    </xf>
    <xf numFmtId="164" fontId="71" fillId="36" borderId="0" pivotButton="0" quotePrefix="0" xfId="0"/>
    <xf numFmtId="164" fontId="73" fillId="0" borderId="0" pivotButton="0" quotePrefix="0" xfId="0"/>
    <xf numFmtId="164" fontId="76" fillId="0" borderId="0" pivotButton="0" quotePrefix="0" xfId="0"/>
    <xf numFmtId="164" fontId="81" fillId="0" borderId="0" pivotButton="0" quotePrefix="0" xfId="158"/>
    <xf numFmtId="180" fontId="71" fillId="0" borderId="0" pivotButton="0" quotePrefix="0" xfId="158"/>
    <xf numFmtId="173" fontId="69" fillId="0" borderId="0" pivotButton="0" quotePrefix="0" xfId="158"/>
    <xf numFmtId="180" fontId="69" fillId="0" borderId="0" pivotButton="0" quotePrefix="0" xfId="158"/>
    <xf numFmtId="166" fontId="74" fillId="43" borderId="0" pivotButton="0" quotePrefix="0" xfId="0"/>
    <xf numFmtId="166" fontId="73" fillId="0" borderId="0" pivotButton="0" quotePrefix="0" xfId="269"/>
    <xf numFmtId="166" fontId="88" fillId="0" borderId="0" pivotButton="0" quotePrefix="0" xfId="0"/>
    <xf numFmtId="176" fontId="71" fillId="0" borderId="0" pivotButton="0" quotePrefix="0" xfId="0"/>
    <xf numFmtId="169" fontId="74" fillId="0" borderId="0" pivotButton="0" quotePrefix="0" xfId="158"/>
    <xf numFmtId="169" fontId="71" fillId="0" borderId="0" pivotButton="0" quotePrefix="0" xfId="158"/>
    <xf numFmtId="169" fontId="82" fillId="0" borderId="0" pivotButton="0" quotePrefix="0" xfId="158"/>
    <xf numFmtId="179" fontId="74" fillId="0" borderId="0" pivotButton="0" quotePrefix="0" xfId="0"/>
    <xf numFmtId="179" fontId="71" fillId="32" borderId="0" applyAlignment="1" pivotButton="0" quotePrefix="0" xfId="0">
      <alignment horizontal="right"/>
    </xf>
    <xf numFmtId="179" fontId="71" fillId="0" borderId="0" applyAlignment="1" pivotButton="0" quotePrefix="0" xfId="0">
      <alignment horizontal="right"/>
    </xf>
    <xf numFmtId="169" fontId="71" fillId="32" borderId="0" applyAlignment="1" pivotButton="0" quotePrefix="0" xfId="0">
      <alignment horizontal="right"/>
    </xf>
    <xf numFmtId="179" fontId="71" fillId="39" borderId="0" applyAlignment="1" pivotButton="0" quotePrefix="0" xfId="0">
      <alignment horizontal="right"/>
    </xf>
    <xf numFmtId="175" fontId="71" fillId="0" borderId="0" pivotButton="0" quotePrefix="0" xfId="0"/>
    <xf numFmtId="179" fontId="71" fillId="0" borderId="0" pivotButton="0" quotePrefix="0" xfId="0"/>
    <xf numFmtId="179" fontId="71" fillId="0" borderId="0" pivotButton="0" quotePrefix="0" xfId="269"/>
    <xf numFmtId="179" fontId="71" fillId="0" borderId="0" pivotButton="0" quotePrefix="0" xfId="182"/>
    <xf numFmtId="166" fontId="69" fillId="0" borderId="0" pivotButton="0" quotePrefix="0" xfId="269"/>
    <xf numFmtId="166" fontId="71" fillId="0" borderId="0" pivotButton="0" quotePrefix="0" xfId="158"/>
    <xf numFmtId="177" fontId="71" fillId="0" borderId="0" pivotButton="0" quotePrefix="0" xfId="158"/>
    <xf numFmtId="164" fontId="86" fillId="0" borderId="0" pivotButton="0" quotePrefix="0" xfId="158"/>
    <xf numFmtId="177" fontId="70" fillId="0" borderId="5" pivotButton="0" quotePrefix="0" xfId="158"/>
    <xf numFmtId="164" fontId="69" fillId="37" borderId="0" pivotButton="0" quotePrefix="0" xfId="158"/>
    <xf numFmtId="166" fontId="69" fillId="0" borderId="0" pivotButton="0" quotePrefix="0" xfId="158"/>
    <xf numFmtId="164" fontId="78" fillId="0" borderId="0" pivotButton="0" quotePrefix="0" xfId="158"/>
    <xf numFmtId="177" fontId="70" fillId="0" borderId="0" pivotButton="0" quotePrefix="0" xfId="158"/>
    <xf numFmtId="177" fontId="71" fillId="0" borderId="0" applyAlignment="1" pivotButton="0" quotePrefix="0" xfId="158">
      <alignment horizontal="left" indent="1"/>
    </xf>
    <xf numFmtId="166" fontId="69" fillId="0" borderId="0" pivotButton="0" quotePrefix="0" xfId="0"/>
    <xf numFmtId="170" fontId="70" fillId="0" borderId="0" applyAlignment="1" pivotButton="0" quotePrefix="0" xfId="260">
      <alignment horizontal="center"/>
    </xf>
    <xf numFmtId="171" fontId="71" fillId="0" borderId="0" pivotButton="0" quotePrefix="0" xfId="0"/>
    <xf numFmtId="168" fontId="71" fillId="0" borderId="0" pivotButton="0" quotePrefix="0" xfId="0"/>
    <xf numFmtId="168" fontId="69" fillId="0" borderId="0" pivotButton="0" quotePrefix="0" xfId="0"/>
    <xf numFmtId="164" fontId="71" fillId="0" borderId="0" applyAlignment="1" pivotButton="0" quotePrefix="0" xfId="0">
      <alignment horizontal="left" indent="1"/>
    </xf>
    <xf numFmtId="164" fontId="69" fillId="43" borderId="0" pivotButton="0" quotePrefix="0" xfId="0"/>
    <xf numFmtId="173" fontId="71" fillId="0" borderId="0" pivotButton="0" quotePrefix="0" xfId="0"/>
    <xf numFmtId="173" fontId="69" fillId="0" borderId="0" pivotButton="0" quotePrefix="0" xfId="0"/>
    <xf numFmtId="172" fontId="69" fillId="0" borderId="0" pivotButton="0" quotePrefix="0" xfId="158"/>
    <xf numFmtId="174" fontId="71" fillId="0" borderId="0" pivotButton="0" quotePrefix="0" xfId="0"/>
    <xf numFmtId="164" fontId="71" fillId="36" borderId="0" pivotButton="0" quotePrefix="0" xfId="158"/>
    <xf numFmtId="168" fontId="69" fillId="0" borderId="0" pivotButton="0" quotePrefix="0" xfId="158"/>
    <xf numFmtId="170" fontId="71" fillId="0" borderId="0" pivotButton="0" quotePrefix="0" xfId="0"/>
    <xf numFmtId="174" fontId="71" fillId="0" borderId="0" pivotButton="0" quotePrefix="0" xfId="158"/>
    <xf numFmtId="174" fontId="69" fillId="0" borderId="0" pivotButton="0" quotePrefix="0" xfId="158"/>
    <xf numFmtId="174" fontId="69" fillId="35" borderId="0" pivotButton="0" quotePrefix="0" xfId="158"/>
    <xf numFmtId="164" fontId="71" fillId="39" borderId="0" pivotButton="0" quotePrefix="0" xfId="158"/>
    <xf numFmtId="176" fontId="71" fillId="0" borderId="0" pivotButton="0" quotePrefix="0" xfId="158"/>
    <xf numFmtId="171" fontId="69" fillId="0" borderId="0" pivotButton="0" quotePrefix="0" xfId="0"/>
    <xf numFmtId="164" fontId="76" fillId="0" borderId="5" pivotButton="0" quotePrefix="0" xfId="0"/>
    <xf numFmtId="164" fontId="69" fillId="37" borderId="0" pivotButton="0" quotePrefix="0" xfId="0"/>
    <xf numFmtId="172" fontId="70" fillId="0" borderId="0" applyAlignment="1" pivotButton="0" quotePrefix="0" xfId="260">
      <alignment horizontal="center"/>
    </xf>
  </cellXfs>
  <cellStyles count="321">
    <cellStyle name="Normal" xfId="0" builtinId="0"/>
    <cellStyle name="—" xfId="1"/>
    <cellStyle name="(1,000)" xfId="2"/>
    <cellStyle name="(1,000)x" xfId="3"/>
    <cellStyle name="?? [0]_VERA" xfId="4"/>
    <cellStyle name="?????_VERA" xfId="5"/>
    <cellStyle name="??_VERA" xfId="6"/>
    <cellStyle name="—_Crib sheet" xfId="7"/>
    <cellStyle name="—_Crib sheet_DATANG" xfId="8"/>
    <cellStyle name="—_Crib sheet_DATANG 2" xfId="9"/>
    <cellStyle name="—_Crib sheet_DCF ANALYSIS" xfId="10"/>
    <cellStyle name="—_Crib sheet_DCF ANALYSIS 2" xfId="11"/>
    <cellStyle name="—_Crib sheet_DCF ANALYSIS_CL&amp;P" xfId="12"/>
    <cellStyle name="—_Crib sheet_DCF ANALYSIS_CL&amp;P 2" xfId="13"/>
    <cellStyle name="—_Crib sheet_HKG" xfId="14"/>
    <cellStyle name="—_Crib sheet_MERB" xfId="15"/>
    <cellStyle name="—_Crib sheet_Valuation (2)" xfId="16"/>
    <cellStyle name="—_DCF ANALYSIS" xfId="17"/>
    <cellStyle name="—_KEPCO" xfId="18"/>
    <cellStyle name="—_MERB" xfId="19"/>
    <cellStyle name="—_Performance" xfId="20"/>
    <cellStyle name="—_Performance_DATANG" xfId="21"/>
    <cellStyle name="—_Performance_DATANG 2" xfId="22"/>
    <cellStyle name="—_Performance_DCF ANALYSIS" xfId="23"/>
    <cellStyle name="—_Performance_DCF ANALYSIS 2" xfId="24"/>
    <cellStyle name="—_Performance_DCF ANALYSIS_CL&amp;P" xfId="25"/>
    <cellStyle name="—_Performance_DCF ANALYSIS_CL&amp;P 2" xfId="26"/>
    <cellStyle name="—_Performance_HKG" xfId="27"/>
    <cellStyle name="—_Performance_MERB" xfId="28"/>
    <cellStyle name="—_Performance_Valuation (2)" xfId="29"/>
    <cellStyle name="—_Results" xfId="30"/>
    <cellStyle name="—_Results_BS" xfId="31"/>
    <cellStyle name="—_Results_BS 2" xfId="32"/>
    <cellStyle name="—_Results_CPI2" xfId="33"/>
    <cellStyle name="—_Results_CPI2 2" xfId="34"/>
    <cellStyle name="—_Results_CRPower1" xfId="35"/>
    <cellStyle name="—_Results_CRPower1 2" xfId="36"/>
    <cellStyle name="—_Results_Datang2" xfId="37"/>
    <cellStyle name="—_Results_Datang21" xfId="38"/>
    <cellStyle name="—_Results_DCF" xfId="39"/>
    <cellStyle name="—_Results_HKG" xfId="40"/>
    <cellStyle name="—_Results_KEPCO" xfId="41"/>
    <cellStyle name="—_Results_MERB" xfId="42"/>
    <cellStyle name="—_Results_SIPD" xfId="43"/>
    <cellStyle name="—_Results_SIPD 2" xfId="44"/>
    <cellStyle name="—_Results_SIPD16" xfId="45"/>
    <cellStyle name="—_Results_SIPD16 2" xfId="46"/>
    <cellStyle name="—_Results_SIPD19" xfId="47"/>
    <cellStyle name="—_Results_SIPD19 2" xfId="48"/>
    <cellStyle name="—_Results_SIPD20" xfId="49"/>
    <cellStyle name="—_Results_SIPD20 2" xfId="50"/>
    <cellStyle name="—_Results_SIPD20a" xfId="51"/>
    <cellStyle name="—_Results_SIPD20a 2" xfId="52"/>
    <cellStyle name="—_Valuation (2)" xfId="53"/>
    <cellStyle name="=C:\WINNT\SYSTEM32\COMMAND.COM" xfId="54"/>
    <cellStyle name="1,000" xfId="55"/>
    <cellStyle name="1,000x" xfId="56"/>
    <cellStyle name="20% - Accent1 2" xfId="57"/>
    <cellStyle name="20% - Accent1 3" xfId="58"/>
    <cellStyle name="20% - Accent2 2" xfId="59"/>
    <cellStyle name="20% - Accent2 3" xfId="60"/>
    <cellStyle name="20% - Accent3 2" xfId="61"/>
    <cellStyle name="20% - Accent3 3" xfId="62"/>
    <cellStyle name="20% - Accent4 2" xfId="63"/>
    <cellStyle name="20% - Accent4 3" xfId="64"/>
    <cellStyle name="20% - Accent5 2" xfId="65"/>
    <cellStyle name="20% - Accent5 3" xfId="66"/>
    <cellStyle name="20% - Accent6 2" xfId="67"/>
    <cellStyle name="20% - Accent6 3" xfId="68"/>
    <cellStyle name="20% - Ênfase1" xfId="69"/>
    <cellStyle name="20% - Ênfase2" xfId="70"/>
    <cellStyle name="20% - Ênfase3" xfId="71"/>
    <cellStyle name="20% - Ênfase4" xfId="72"/>
    <cellStyle name="20% - Ênfase5" xfId="73"/>
    <cellStyle name="20% - Ênfase6" xfId="74"/>
    <cellStyle name="20% - Énfasis1" xfId="75"/>
    <cellStyle name="20% - Énfasis2" xfId="76"/>
    <cellStyle name="20% - Énfasis3" xfId="77"/>
    <cellStyle name="20% - Énfasis4" xfId="78"/>
    <cellStyle name="20% - Énfasis5" xfId="79"/>
    <cellStyle name="20% - Énfasis6" xfId="80"/>
    <cellStyle name="40% - Accent1 2" xfId="81"/>
    <cellStyle name="40% - Accent1 3" xfId="82"/>
    <cellStyle name="40% - Accent2 2" xfId="83"/>
    <cellStyle name="40% - Accent2 3" xfId="84"/>
    <cellStyle name="40% - Accent3 2" xfId="85"/>
    <cellStyle name="40% - Accent3 3" xfId="86"/>
    <cellStyle name="40% - Accent4 2" xfId="87"/>
    <cellStyle name="40% - Accent4 3" xfId="88"/>
    <cellStyle name="40% - Accent5 2" xfId="89"/>
    <cellStyle name="40% - Accent5 3" xfId="90"/>
    <cellStyle name="40% - Accent6 2" xfId="91"/>
    <cellStyle name="40% - Accent6 3" xfId="92"/>
    <cellStyle name="40% - Ênfase1" xfId="93"/>
    <cellStyle name="40% - Ênfase2" xfId="94"/>
    <cellStyle name="40% - Ênfase3" xfId="95"/>
    <cellStyle name="40% - Ênfase4" xfId="96"/>
    <cellStyle name="40% - Ênfase5" xfId="97"/>
    <cellStyle name="40% - Ênfase6" xfId="98"/>
    <cellStyle name="40% - Énfasis1" xfId="99"/>
    <cellStyle name="40% - Énfasis2" xfId="100"/>
    <cellStyle name="40% - Énfasis3" xfId="101"/>
    <cellStyle name="40% - Énfasis4" xfId="102"/>
    <cellStyle name="40% - Énfasis5" xfId="103"/>
    <cellStyle name="40% - Énfasis6" xfId="104"/>
    <cellStyle name="60% - Accent1 2" xfId="105"/>
    <cellStyle name="60% - Accent1 3" xfId="106"/>
    <cellStyle name="60% - Accent2 2" xfId="107"/>
    <cellStyle name="60% - Accent2 3" xfId="108"/>
    <cellStyle name="60% - Accent3 2" xfId="109"/>
    <cellStyle name="60% - Accent3 3" xfId="110"/>
    <cellStyle name="60% - Accent4 2" xfId="111"/>
    <cellStyle name="60% - Accent4 3" xfId="112"/>
    <cellStyle name="60% - Accent5 2" xfId="113"/>
    <cellStyle name="60% - Accent5 3" xfId="114"/>
    <cellStyle name="60% - Accent6 2" xfId="115"/>
    <cellStyle name="60% - Accent6 3" xfId="116"/>
    <cellStyle name="60% - Ênfase2" xfId="117"/>
    <cellStyle name="60% - Ênfase3" xfId="118"/>
    <cellStyle name="60% - Ênfase4" xfId="119"/>
    <cellStyle name="60% - Ênfase5" xfId="120"/>
    <cellStyle name="60% - Ênfase6" xfId="121"/>
    <cellStyle name="60% - Énfasis1" xfId="122"/>
    <cellStyle name="60% - Énfasis2" xfId="123"/>
    <cellStyle name="60% - Énfasis3" xfId="124"/>
    <cellStyle name="60% - Énfasis4" xfId="125"/>
    <cellStyle name="60% - Énfasis5" xfId="126"/>
    <cellStyle name="60% - Énfasis6" xfId="127"/>
    <cellStyle name="Accent1 2" xfId="128"/>
    <cellStyle name="Accent1 3" xfId="129"/>
    <cellStyle name="Accent3 2" xfId="130"/>
    <cellStyle name="Accent3 3" xfId="131"/>
    <cellStyle name="Accent4 2" xfId="132"/>
    <cellStyle name="Accent4 3" xfId="133"/>
    <cellStyle name="Accent5 2" xfId="134"/>
    <cellStyle name="Accent5 3" xfId="135"/>
    <cellStyle name="Availability" xfId="136"/>
    <cellStyle name="Availability 2" xfId="137"/>
    <cellStyle name="Black Text" xfId="138"/>
    <cellStyle name="Black Text (No Wrap)" xfId="139"/>
    <cellStyle name="Black Text_Argentina" xfId="140"/>
    <cellStyle name="Blue Text" xfId="141"/>
    <cellStyle name="Blue Text - Ariel 10" xfId="142"/>
    <cellStyle name="Blue Text - Ariel 10 2" xfId="143"/>
    <cellStyle name="Blue Text_Argentina" xfId="144"/>
    <cellStyle name="Bol-Data" xfId="145"/>
    <cellStyle name="bolet" xfId="146"/>
    <cellStyle name="Boletim" xfId="147"/>
    <cellStyle name="Bom" xfId="148"/>
    <cellStyle name="Buena" xfId="149"/>
    <cellStyle name="Cálculo" xfId="150"/>
    <cellStyle name="Cálculo 2" xfId="151"/>
    <cellStyle name="Celda de comprobación" xfId="152"/>
    <cellStyle name="Celda vinculada" xfId="153"/>
    <cellStyle name="Célula de Verificação" xfId="154"/>
    <cellStyle name="Célula Vinculada" xfId="155"/>
    <cellStyle name="CLEAR" xfId="156"/>
    <cellStyle name="ColHeading" xfId="157"/>
    <cellStyle name="Comma" xfId="158" builtinId="3"/>
    <cellStyle name="Comma  - Style1" xfId="159"/>
    <cellStyle name="Comma  - Style1 2" xfId="160"/>
    <cellStyle name="Comma  - Style2" xfId="161"/>
    <cellStyle name="Comma  - Style2 2" xfId="162"/>
    <cellStyle name="Comma  - Style3" xfId="163"/>
    <cellStyle name="Comma  - Style3 2" xfId="164"/>
    <cellStyle name="Comma  - Style4" xfId="165"/>
    <cellStyle name="Comma  - Style4 2" xfId="166"/>
    <cellStyle name="Comma  - Style5" xfId="167"/>
    <cellStyle name="Comma  - Style5 2" xfId="168"/>
    <cellStyle name="Comma  - Style6" xfId="169"/>
    <cellStyle name="Comma  - Style6 2" xfId="170"/>
    <cellStyle name="Comma  - Style7" xfId="171"/>
    <cellStyle name="Comma  - Style7 2" xfId="172"/>
    <cellStyle name="Comma  - Style8" xfId="173"/>
    <cellStyle name="Comma 2" xfId="174"/>
    <cellStyle name="Comma 2 2" xfId="175"/>
    <cellStyle name="Comma 3" xfId="176"/>
    <cellStyle name="Comma 4" xfId="177"/>
    <cellStyle name="Comma_Input" xfId="178"/>
    <cellStyle name="Comma0" xfId="179"/>
    <cellStyle name="Company" xfId="180"/>
    <cellStyle name="CurRatio" xfId="181"/>
    <cellStyle name="Currency" xfId="182" builtinId="4"/>
    <cellStyle name="Currency0" xfId="183"/>
    <cellStyle name="CUS.Work.Area" xfId="184"/>
    <cellStyle name="Date, mmm-yy" xfId="185"/>
    <cellStyle name="Date, mmm-yy 2" xfId="186"/>
    <cellStyle name="e" xfId="187"/>
    <cellStyle name="En miles" xfId="188"/>
    <cellStyle name="En millones" xfId="189"/>
    <cellStyle name="Encabezado 4" xfId="190"/>
    <cellStyle name="Ênfase2" xfId="191"/>
    <cellStyle name="Énfasis1" xfId="192"/>
    <cellStyle name="Énfasis2" xfId="193"/>
    <cellStyle name="Énfasis3" xfId="194"/>
    <cellStyle name="Énfasis4" xfId="195"/>
    <cellStyle name="Énfasis6" xfId="196"/>
    <cellStyle name="Entrada" xfId="197"/>
    <cellStyle name="Entrada 2" xfId="198"/>
    <cellStyle name="F2" xfId="199"/>
    <cellStyle name="F3" xfId="200"/>
    <cellStyle name="F4" xfId="201"/>
    <cellStyle name="F5" xfId="202"/>
    <cellStyle name="F6" xfId="203"/>
    <cellStyle name="F7" xfId="204"/>
    <cellStyle name="F8" xfId="205"/>
    <cellStyle name="facha" xfId="206"/>
    <cellStyle name="Fraction Change" xfId="207"/>
    <cellStyle name="Fractions" xfId="208"/>
    <cellStyle name="Growth Rates/Margins" xfId="209"/>
    <cellStyle name="Hipervínculo" xfId="210"/>
    <cellStyle name="Hyperlink" xfId="211" builtinId="8"/>
    <cellStyle name="Hyperlink 2" xfId="212"/>
    <cellStyle name="Hyperlink seguido" xfId="213"/>
    <cellStyle name="í â› [0.00]_Sheet1" xfId="214"/>
    <cellStyle name="Incorrecto" xfId="215"/>
    <cellStyle name="Incorreto" xfId="216"/>
    <cellStyle name="Input Box" xfId="217"/>
    <cellStyle name="Integer" xfId="218"/>
    <cellStyle name="Item" xfId="219"/>
    <cellStyle name="ItemTypeClass" xfId="220"/>
    <cellStyle name="ItemTypeClass 2" xfId="221"/>
    <cellStyle name="jo[" xfId="222"/>
    <cellStyle name="Millares [0]_19 02 01" xfId="223"/>
    <cellStyle name="Millares [2]" xfId="224"/>
    <cellStyle name="Millares_19 02 01" xfId="225"/>
    <cellStyle name="Moeda [0]_alocação por fontes" xfId="226"/>
    <cellStyle name="Moeda_alocação por fontes" xfId="227"/>
    <cellStyle name="Moneda [0]_19 02 01" xfId="228"/>
    <cellStyle name="Moneda_19 02 01" xfId="229"/>
    <cellStyle name="Neutra" xfId="230"/>
    <cellStyle name="No-definido" xfId="231"/>
    <cellStyle name="Normal - Style1" xfId="232"/>
    <cellStyle name="Normal - Style1 2" xfId="233"/>
    <cellStyle name="Normal 10" xfId="234"/>
    <cellStyle name="Normal 11" xfId="235"/>
    <cellStyle name="Normal 12" xfId="236"/>
    <cellStyle name="Normal 13" xfId="237"/>
    <cellStyle name="Normal 14" xfId="238"/>
    <cellStyle name="Normal 15" xfId="239"/>
    <cellStyle name="Normal 16" xfId="240"/>
    <cellStyle name="Normal 17" xfId="241"/>
    <cellStyle name="Normal 18" xfId="242"/>
    <cellStyle name="Normal 19" xfId="243"/>
    <cellStyle name="Normal 2" xfId="244"/>
    <cellStyle name="Normal 2 2" xfId="245"/>
    <cellStyle name="Normal 2 3" xfId="246"/>
    <cellStyle name="Normal 20" xfId="247"/>
    <cellStyle name="Normal 21" xfId="248"/>
    <cellStyle name="Normal 22" xfId="249"/>
    <cellStyle name="Normal 3" xfId="250"/>
    <cellStyle name="Normal 3 2" xfId="251"/>
    <cellStyle name="Normal 4" xfId="252"/>
    <cellStyle name="Normal 5" xfId="253"/>
    <cellStyle name="Normal 6" xfId="254"/>
    <cellStyle name="Normal 7" xfId="255"/>
    <cellStyle name="Normal 8" xfId="256"/>
    <cellStyle name="Normal 9" xfId="257"/>
    <cellStyle name="Normal_DCF ANALYSIS" xfId="258"/>
    <cellStyle name="Normal_Final" xfId="259"/>
    <cellStyle name="Normal_Input" xfId="260"/>
    <cellStyle name="Normal_new_euroweekly" xfId="261"/>
    <cellStyle name="Nota" xfId="262"/>
    <cellStyle name="Nota 2" xfId="263"/>
    <cellStyle name="Notas" xfId="264"/>
    <cellStyle name="Notas 2" xfId="265"/>
    <cellStyle name="Notes" xfId="266"/>
    <cellStyle name="Nulos" xfId="267"/>
    <cellStyle name="Oficio" xfId="268"/>
    <cellStyle name="Percent" xfId="269" builtinId="5"/>
    <cellStyle name="Percent 2" xfId="270"/>
    <cellStyle name="Percent 2 2" xfId="271"/>
    <cellStyle name="Percent 8" xfId="272"/>
    <cellStyle name="PercentChange" xfId="273"/>
    <cellStyle name="Porcentagem_Cenário Básico" xfId="274"/>
    <cellStyle name="Porcentual_mov_dolar" xfId="275"/>
    <cellStyle name="Ratio" xfId="276"/>
    <cellStyle name="RatioX" xfId="277"/>
    <cellStyle name="Red Text" xfId="278"/>
    <cellStyle name="Saída" xfId="279"/>
    <cellStyle name="Saída 2" xfId="280"/>
    <cellStyle name="Salida" xfId="281"/>
    <cellStyle name="Salida 2" xfId="282"/>
    <cellStyle name="ScripFactor" xfId="283"/>
    <cellStyle name="ScripFactor 2" xfId="284"/>
    <cellStyle name="SectionHeading" xfId="285"/>
    <cellStyle name="SectionHeading 2" xfId="286"/>
    <cellStyle name="Sep. milhar [0]" xfId="287"/>
    <cellStyle name="Separador de milhares [0]_ANALISE_backup 14_08_1345" xfId="288"/>
    <cellStyle name="Separador de milhares_ANALISE_backup 14_08_1345" xfId="289"/>
    <cellStyle name="Shading" xfId="290"/>
    <cellStyle name="Standard" xfId="291"/>
    <cellStyle name="Style 1" xfId="292"/>
    <cellStyle name="Texto de advertencia" xfId="293"/>
    <cellStyle name="Texto de Aviso" xfId="294"/>
    <cellStyle name="Texto explicativo" xfId="295"/>
    <cellStyle name="Titles" xfId="296"/>
    <cellStyle name="Título" xfId="297"/>
    <cellStyle name="Título 1" xfId="298"/>
    <cellStyle name="Título 2" xfId="299"/>
    <cellStyle name="Título 3" xfId="300"/>
    <cellStyle name="Título 4" xfId="301"/>
    <cellStyle name="vaca" xfId="302"/>
    <cellStyle name="Yellow" xfId="303"/>
    <cellStyle name="Title" xfId="304" builtinId="15" hidden="1"/>
    <cellStyle name="Heading 1" xfId="305" builtinId="16" hidden="1"/>
    <cellStyle name="Heading 2" xfId="306" builtinId="17" hidden="1"/>
    <cellStyle name="Heading 3" xfId="307" builtinId="18" hidden="1"/>
    <cellStyle name="Heading 4" xfId="308" builtinId="19" hidden="1"/>
    <cellStyle name="Good" xfId="309" builtinId="26" hidden="1"/>
    <cellStyle name="Bad" xfId="310" builtinId="27" hidden="1"/>
    <cellStyle name="Neutral" xfId="311" builtinId="28" hidden="1"/>
    <cellStyle name="Input" xfId="312" builtinId="20" hidden="1"/>
    <cellStyle name="Output" xfId="313" builtinId="21" hidden="1"/>
    <cellStyle name="Calculation" xfId="314" builtinId="22" hidden="1"/>
    <cellStyle name="Linked Cell" xfId="315" builtinId="24" hidden="1"/>
    <cellStyle name="Check Cell" xfId="316" builtinId="23" hidden="1"/>
    <cellStyle name="Warning Text" xfId="317" builtinId="11" hidden="1"/>
    <cellStyle name="Note" xfId="318" builtinId="10" hidden="1"/>
    <cellStyle name="Explanatory Text" xfId="319" builtinId="53" hidden="1"/>
    <cellStyle name="Total" xfId="320" builtinId="25" hidden="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0080"/>
      <rgbColor rgb="007979FF"/>
      <rgbColor rgb="00D9D9FF"/>
      <rgbColor rgb="001A1AFF"/>
      <rgbColor rgb="00808080"/>
      <rgbColor rgb="00D9D9D9"/>
      <rgbColor rgb="00262626"/>
      <rgbColor rgb="004C4C4C"/>
      <rgbColor rgb="00000080"/>
      <rgbColor rgb="007979FF"/>
      <rgbColor rgb="00D9D9FF"/>
      <rgbColor rgb="001A1AFF"/>
      <rgbColor rgb="00808080"/>
      <rgbColor rgb="00D9D9D9"/>
      <rgbColor rgb="00262626"/>
      <rgbColor rgb="004C4C4C"/>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pieChart>
        <varyColors val="1"/>
        <ser>
          <idx val="0"/>
          <order val="0"/>
          <spPr>
            <a:ln>
              <a:prstDash val="solid"/>
            </a:ln>
          </spPr>
          <dPt>
            <idx val="0"/>
            <bubble3D val="0"/>
            <spPr>
              <a:ln>
                <a:prstDash val="solid"/>
              </a:ln>
            </spPr>
          </dPt>
          <dPt>
            <idx val="1"/>
            <bubble3D val="0"/>
            <spPr>
              <a:ln>
                <a:prstDash val="solid"/>
              </a:ln>
            </spPr>
          </dPt>
          <dPt>
            <idx val="2"/>
            <bubble3D val="0"/>
            <spPr>
              <a:ln>
                <a:prstDash val="solid"/>
              </a:ln>
            </spPr>
          </dPt>
          <dLbls>
            <dLbl>
              <idx val="0"/>
              <spPr>
                <a:ln>
                  <a:prstDash val="solid"/>
                </a:ln>
              </spPr>
              <txPr>
                <a:bodyPr/>
                <a:lstStyle/>
                <a:p>
                  <a:pPr>
                    <a:defRPr sz="800" b="0" i="0" strike="noStrike" baseline="0">
                      <a:solidFill>
                        <a:srgbClr val="000000"/>
                      </a:solidFill>
                      <a:latin typeface="Calibri"/>
                      <a:ea typeface="Calibri"/>
                      <a:cs typeface="Calibri"/>
                    </a:defRPr>
                  </a:pPr>
                  <a:r>
                    <a:t>None</a:t>
                  </a:r>
                  <a:endParaRPr lang="en-US"/>
                </a:p>
              </txPr>
              <dLblPos val="bestFit"/>
              <showLegendKey val="0"/>
              <showVal val="1"/>
              <showCatName val="1"/>
              <showSerName val="0"/>
              <showPercent val="0"/>
              <showBubbleSize val="0"/>
            </dLbl>
            <dLbl>
              <idx val="1"/>
              <spPr>
                <a:ln>
                  <a:prstDash val="solid"/>
                </a:ln>
              </spPr>
              <txPr>
                <a:bodyPr/>
                <a:lstStyle/>
                <a:p>
                  <a:pPr>
                    <a:defRPr sz="800" b="0" i="0" strike="noStrike" baseline="0">
                      <a:solidFill>
                        <a:srgbClr val="000000"/>
                      </a:solidFill>
                      <a:latin typeface="Calibri"/>
                      <a:ea typeface="Calibri"/>
                      <a:cs typeface="Calibri"/>
                    </a:defRPr>
                  </a:pPr>
                  <a:r>
                    <a:t>None</a:t>
                  </a:r>
                  <a:endParaRPr lang="en-US"/>
                </a:p>
              </txPr>
              <dLblPos val="bestFit"/>
              <showLegendKey val="0"/>
              <showVal val="1"/>
              <showCatName val="1"/>
              <showSerName val="0"/>
              <showPercent val="0"/>
              <showBubbleSize val="0"/>
            </dLbl>
            <dLbl>
              <idx val="2"/>
              <spPr>
                <a:ln>
                  <a:prstDash val="solid"/>
                </a:ln>
              </spPr>
              <txPr>
                <a:bodyPr/>
                <a:lstStyle/>
                <a:p>
                  <a:pPr>
                    <a:defRPr sz="800" b="0" i="0" strike="noStrike" baseline="0">
                      <a:solidFill>
                        <a:srgbClr val="000000"/>
                      </a:solidFill>
                      <a:latin typeface="Calibri"/>
                      <a:ea typeface="Calibri"/>
                      <a:cs typeface="Calibri"/>
                    </a:defRPr>
                  </a:pPr>
                  <a:r>
                    <a:t>None</a:t>
                  </a:r>
                  <a:endParaRPr lang="en-US"/>
                </a:p>
              </txPr>
              <dLblPos val="bestFit"/>
              <showLegendKey val="0"/>
              <showVal val="1"/>
              <showCatName val="1"/>
              <showSerName val="0"/>
              <showPercent val="0"/>
              <showBubbleSize val="0"/>
            </dLbl>
            <spPr>
              <a:noFill/>
              <a:ln w="25400">
                <a:noFill/>
                <a:prstDash val="solid"/>
              </a:ln>
            </spPr>
            <txPr>
              <a:bodyPr wrap="square" lIns="38100" tIns="19050" rIns="38100" bIns="19050" anchor="ctr">
                <a:spAutoFit/>
              </a:bodyPr>
              <a:lstStyle/>
              <a:p>
                <a:pPr>
                  <a:defRPr sz="800" b="0" i="0" strike="noStrike" baseline="0">
                    <a:solidFill>
                      <a:srgbClr val="000000"/>
                    </a:solidFill>
                    <a:latin typeface="Calibri"/>
                    <a:ea typeface="Calibri"/>
                    <a:cs typeface="Calibri"/>
                  </a:defRPr>
                </a:pPr>
                <a:r>
                  <a:t>None</a:t>
                </a:r>
                <a:endParaRPr lang="en-US"/>
              </a:p>
            </txPr>
            <dLblPos val="bestFit"/>
            <showLegendKey val="0"/>
            <showVal val="1"/>
            <showCatName val="1"/>
            <showSerName val="0"/>
            <showPercent val="0"/>
            <showBubbleSize val="0"/>
            <showLeaderLines val="1"/>
          </dLbls>
          <cat>
            <strRef>
              <f>DCF!$Y$77:$Y$79</f>
              <strCache>
                <ptCount val="3"/>
                <pt idx="0">
                  <v>Australia</v>
                </pt>
                <pt idx="1">
                  <v>Hong Kong</v>
                </pt>
                <pt idx="2">
                  <v>Others</v>
                </pt>
              </strCache>
            </strRef>
          </cat>
          <val>
            <numRef>
              <f>DCF!$AA$77:$AA$79</f>
              <numCache>
                <formatCode>0%</formatCode>
                <ptCount val="3"/>
                <pt idx="0">
                  <v>0.05523650518610269</v>
                </pt>
                <pt idx="1">
                  <v>1.175428875883874</v>
                </pt>
                <pt idx="2">
                  <v>-0.2306653810699769</v>
                </pt>
              </numCache>
            </numRef>
          </val>
        </ser>
        <dLbls>
          <showLegendKey val="0"/>
          <showVal val="0"/>
          <showCatName val="0"/>
          <showSerName val="0"/>
          <showPercent val="0"/>
          <showBubbleSize val="0"/>
          <showLeaderLines val="1"/>
        </dLbls>
        <firstSliceAng val="0"/>
      </pieChart>
    </plotArea>
    <plotVisOnly val="1"/>
    <dispBlanksAs val="gap"/>
  </chart>
  <spPr>
    <a:ln>
      <a:noFill/>
      <a:prstDash val="solid"/>
    </a:ln>
  </spPr>
</chartSpace>
</file>

<file path=xl/charts/chart2.xml><?xml version="1.0" encoding="utf-8"?>
<chartSpace xmlns:a="http://schemas.openxmlformats.org/drawingml/2006/main" xmlns="http://schemas.openxmlformats.org/drawingml/2006/chart">
  <chart>
    <plotArea>
      <layout/>
      <barChart>
        <barDir val="col"/>
        <grouping val="clustered"/>
        <varyColors val="0"/>
        <ser>
          <idx val="0"/>
          <order val="0"/>
          <tx>
            <strRef>
              <f>Final!$AQ$48</f>
              <strCache>
                <ptCount val="1"/>
                <pt idx="0">
                  <v xml:space="preserve"> New UBSe </v>
                </pt>
              </strCache>
            </strRef>
          </tx>
          <spPr>
            <a:solidFill>
              <a:srgbClr val="4D3C2F"/>
            </a:solidFill>
            <a:ln>
              <a:solidFill>
                <a:srgbClr val="4D3C2F"/>
              </a:solidFill>
              <a:prstDash val="solid"/>
            </a:ln>
          </spPr>
          <invertIfNegative val="0"/>
          <cat>
            <numRef>
              <f>Final!$AR$47:$AX$47</f>
              <numCache>
                <formatCode>General</formatCode>
                <ptCount val="7"/>
                <pt idx="0">
                  <v>2022</v>
                </pt>
                <pt idx="1">
                  <v>2023</v>
                </pt>
                <pt idx="2">
                  <v>2024</v>
                </pt>
                <pt idx="3">
                  <formatCode xml:space="preserve">0"E"\ \ \ </formatCode>
                  <v>2025</v>
                </pt>
                <pt idx="4">
                  <formatCode xml:space="preserve">0"E"\ \ \ </formatCode>
                  <v>2026</v>
                </pt>
                <pt idx="5">
                  <formatCode xml:space="preserve">0"E"\ \ \ </formatCode>
                  <v>2027</v>
                </pt>
                <pt idx="6">
                  <formatCode xml:space="preserve">0"E"\ \ \ </formatCode>
                  <v>2028</v>
                </pt>
              </numCache>
            </numRef>
          </cat>
          <val>
            <numRef>
              <f>Final!$AR$48:$AX$48</f>
              <numCache>
                <formatCode>_(* #,##0.00_);_(* \(#,##0.00\);_(* "-"_);_(@_)</formatCode>
                <ptCount val="7"/>
                <pt idx="0">
                  <v>3.100001279660896</v>
                </pt>
                <pt idx="1">
                  <v>3.100001279660896</v>
                </pt>
                <pt idx="2">
                  <v>3.149873618940425</v>
                </pt>
                <pt idx="3">
                  <v>3.149873618940425</v>
                </pt>
                <pt idx="4">
                  <v>3.244369827508638</v>
                </pt>
                <pt idx="5">
                  <v>3.341700922333897</v>
                </pt>
                <pt idx="6">
                  <v>3.441951950003914</v>
                </pt>
              </numCache>
            </numRef>
          </val>
        </ser>
        <ser>
          <idx val="1"/>
          <order val="1"/>
          <tx>
            <strRef>
              <f>Final!$AQ$49</f>
              <strCache>
                <ptCount val="1"/>
                <pt idx="0">
                  <v xml:space="preserve"> Old UBSe </v>
                </pt>
              </strCache>
            </strRef>
          </tx>
          <spPr>
            <a:solidFill>
              <a:srgbClr val="CFBD9B"/>
            </a:solidFill>
            <a:ln>
              <a:solidFill>
                <a:srgbClr val="CFBD9B"/>
              </a:solidFill>
              <a:prstDash val="solid"/>
            </a:ln>
          </spPr>
          <invertIfNegative val="0"/>
          <cat>
            <numRef>
              <f>Final!$AR$47:$AX$47</f>
              <numCache>
                <formatCode>General</formatCode>
                <ptCount val="7"/>
                <pt idx="0">
                  <v>2022</v>
                </pt>
                <pt idx="1">
                  <v>2023</v>
                </pt>
                <pt idx="2">
                  <v>2024</v>
                </pt>
                <pt idx="3">
                  <formatCode xml:space="preserve">0"E"\ \ \ </formatCode>
                  <v>2025</v>
                </pt>
                <pt idx="4">
                  <formatCode xml:space="preserve">0"E"\ \ \ </formatCode>
                  <v>2026</v>
                </pt>
                <pt idx="5">
                  <formatCode xml:space="preserve">0"E"\ \ \ </formatCode>
                  <v>2027</v>
                </pt>
                <pt idx="6">
                  <formatCode xml:space="preserve">0"E"\ \ \ </formatCode>
                  <v>2028</v>
                </pt>
              </numCache>
            </numRef>
          </cat>
          <val>
            <numRef>
              <f>Final!$AR$49:$AX$49</f>
              <numCache>
                <formatCode>_(* #,##0.00_);_(* \(#,##0.00\);_(* "-"_);_(@_)</formatCode>
                <ptCount val="7"/>
                <pt idx="3">
                  <v>3.244369827508638</v>
                </pt>
                <pt idx="4">
                  <v>3.341700922333897</v>
                </pt>
                <pt idx="5">
                  <v>3.441951950003914</v>
                </pt>
                <pt idx="6">
                  <v>3.545210508504032</v>
                </pt>
              </numCache>
            </numRef>
          </val>
        </ser>
        <dLbls>
          <showLegendKey val="0"/>
          <showVal val="0"/>
          <showCatName val="0"/>
          <showSerName val="0"/>
          <showPercent val="0"/>
          <showBubbleSize val="0"/>
        </dLbls>
        <gapWidth val="219"/>
        <overlap val="-27"/>
        <axId val="1686440815"/>
        <axId val="1686441295"/>
      </barChart>
      <catAx>
        <axId val="1686440815"/>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1686441295"/>
        <crosses val="autoZero"/>
        <auto val="1"/>
        <lblAlgn val="ctr"/>
        <lblOffset val="100"/>
        <noMultiLvlLbl val="0"/>
      </catAx>
      <valAx>
        <axId val="1686441295"/>
        <scaling>
          <orientation val="minMax"/>
        </scaling>
        <delete val="0"/>
        <axPos val="l"/>
        <majorGridlines>
          <spPr>
            <a:ln w="9525" cap="flat" cmpd="sng" algn="ctr">
              <a:noFill/>
              <a:prstDash val="solid"/>
              <a:round/>
            </a:ln>
          </spPr>
        </majorGridlines>
        <numFmt formatCode="_(* #,##0.00_);_(* \(#,##0.00\);_(* &quot;-&quot;_);_(@_)" sourceLinked="1"/>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1686440815"/>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en-US"/>
        </a:p>
      </txPr>
    </legend>
    <plotVisOnly val="1"/>
    <dispBlanksAs val="gap"/>
  </chart>
  <spPr>
    <a:solidFill>
      <a:sysClr val="window" lastClr="FFFFFF"/>
    </a:solidFill>
    <a:ln w="25400" cap="flat" cmpd="sng" algn="ctr">
      <a:noFill/>
      <a:prstDash val="solid"/>
      <a:round/>
    </a:ln>
  </spPr>
</chartSpace>
</file>

<file path=xl/charts/chart3.xml><?xml version="1.0" encoding="utf-8"?>
<chartSpace xmlns:a="http://schemas.openxmlformats.org/drawingml/2006/main" xmlns="http://schemas.openxmlformats.org/drawingml/2006/chart">
  <chart>
    <plotArea>
      <layout/>
      <pieChart>
        <varyColors val="1"/>
        <ser>
          <idx val="0"/>
          <order val="0"/>
          <spPr>
            <a:ln>
              <a:prstDash val="solid"/>
            </a:ln>
          </spPr>
          <dPt>
            <idx val="0"/>
            <bubble3D val="0"/>
            <spPr>
              <a:ln>
                <a:prstDash val="solid"/>
              </a:ln>
            </spPr>
          </dPt>
          <dPt>
            <idx val="1"/>
            <bubble3D val="0"/>
            <spPr>
              <a:ln>
                <a:prstDash val="solid"/>
              </a:ln>
            </spPr>
          </dPt>
          <dPt>
            <idx val="2"/>
            <bubble3D val="0"/>
            <spPr>
              <a:ln>
                <a:prstDash val="solid"/>
              </a:ln>
            </spPr>
          </dPt>
          <dPt>
            <idx val="3"/>
            <bubble3D val="0"/>
            <spPr>
              <a:ln>
                <a:prstDash val="solid"/>
              </a:ln>
            </spPr>
          </dPt>
          <dPt>
            <idx val="4"/>
            <bubble3D val="0"/>
            <spPr>
              <a:ln>
                <a:prstDash val="solid"/>
              </a:ln>
            </spPr>
          </dPt>
          <dPt>
            <idx val="5"/>
            <bubble3D val="0"/>
            <spPr>
              <a:ln>
                <a:prstDash val="solid"/>
              </a:ln>
            </spPr>
          </dPt>
          <dLbls>
            <dLbl>
              <idx val="1"/>
              <spPr>
                <a:ln>
                  <a:prstDash val="solid"/>
                </a:ln>
              </spPr>
              <txPr>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dLbl>
            <dLbl>
              <idx val="2"/>
              <spPr>
                <a:ln>
                  <a:prstDash val="solid"/>
                </a:ln>
              </spPr>
              <txPr>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dLbl>
            <dLbl>
              <idx val="3"/>
              <spPr>
                <a:ln>
                  <a:prstDash val="solid"/>
                </a:ln>
              </spPr>
              <txPr>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dLbl>
            <dLbl>
              <idx val="4"/>
              <spPr>
                <a:ln>
                  <a:prstDash val="solid"/>
                </a:ln>
              </spPr>
              <txPr>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dLbl>
            <dLbl>
              <idx val="5"/>
              <spPr>
                <a:ln>
                  <a:prstDash val="solid"/>
                </a:ln>
              </spPr>
              <txPr>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dLbl>
            <dLbl>
              <idx val="6"/>
              <spPr>
                <a:ln>
                  <a:prstDash val="solid"/>
                </a:ln>
              </spPr>
              <txPr>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dLbl>
            <spPr>
              <a:noFill/>
              <a:ln w="25400">
                <a:noFill/>
                <a:prstDash val="solid"/>
              </a:ln>
            </spPr>
            <txPr>
              <a:bodyPr wrap="square" lIns="38100" tIns="19050" rIns="38100" bIns="19050" anchor="ctr">
                <a:spAutoFit/>
              </a:bodyPr>
              <a:lstStyle/>
              <a:p>
                <a:pPr>
                  <a:defRPr sz="1000" b="0" i="0" strike="noStrike" baseline="0">
                    <a:solidFill>
                      <a:srgbClr val="000000"/>
                    </a:solidFill>
                    <a:latin typeface="Calibri"/>
                    <a:ea typeface="Calibri"/>
                    <a:cs typeface="Calibri"/>
                  </a:defRPr>
                </a:pPr>
                <a:r>
                  <a:t>None</a:t>
                </a:r>
                <a:endParaRPr lang="en-US"/>
              </a:p>
            </txPr>
            <dLblPos val="bestFit"/>
            <showLegendKey val="0"/>
            <showVal val="0"/>
            <showCatName val="1"/>
            <showSerName val="0"/>
            <showPercent val="1"/>
            <showBubbleSize val="0"/>
            <showLeaderLines val="1"/>
          </dLbls>
          <cat>
            <strRef>
              <f>Driver!$A$51:$A$57</f>
              <strCache>
                <ptCount val="6"/>
                <pt idx="0">
                  <v>Hong Kong</v>
                </pt>
                <pt idx="1">
                  <v>Australia</v>
                </pt>
                <pt idx="2">
                  <v>China</v>
                </pt>
                <pt idx="3">
                  <v>India</v>
                </pt>
                <pt idx="4">
                  <v>SEA and Taiwan</v>
                </pt>
                <pt idx="5">
                  <v>Others</v>
                </pt>
              </strCache>
            </strRef>
          </cat>
          <val>
            <numRef>
              <f>Driver!$AI$51:$AI$57</f>
              <numCache>
                <formatCode>#,##0_);\(#,##0\);\-\-_)</formatCode>
                <ptCount val="6"/>
                <pt idx="0">
                  <v>9535.592437872294</v>
                </pt>
                <pt idx="1">
                  <v>439.3876037383959</v>
                </pt>
                <pt idx="2">
                  <v>1831.886064391591</v>
                </pt>
                <pt idx="3">
                  <v>246.3054495832568</v>
                </pt>
                <pt idx="4">
                  <v>126.5346282712072</v>
                </pt>
                <pt idx="5">
                  <v>-1065.02</v>
                </pt>
              </numCache>
            </numRef>
          </val>
        </ser>
        <dLbls>
          <showLegendKey val="0"/>
          <showVal val="0"/>
          <showCatName val="0"/>
          <showSerName val="0"/>
          <showPercent val="0"/>
          <showBubbleSize val="0"/>
          <showLeaderLines val="1"/>
        </dLbls>
        <firstSliceAng val="0"/>
      </pieChart>
    </plotArea>
    <plotVisOnly val="1"/>
    <dispBlanksAs val="gap"/>
  </chart>
  <spPr>
    <a:ln>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07205284111549701"/>
          <y val="0.110868745953572"/>
          <w val="0.8538207569317866"/>
          <h val="0.7329917960181538"/>
        </manualLayout>
      </layout>
      <barChart>
        <barDir val="col"/>
        <grouping val="clustered"/>
        <varyColors val="0"/>
        <ser>
          <idx val="0"/>
          <order val="0"/>
          <tx>
            <strRef>
              <f>Aus!$AT$52</f>
              <strCache>
                <ptCount val="1"/>
                <pt idx="0">
                  <v>Retail unit EBIT</v>
                </pt>
              </strCache>
            </strRef>
          </tx>
          <spPr>
            <a:ln>
              <a:prstDash val="solid"/>
            </a:ln>
          </spPr>
          <invertIfNegative val="0"/>
          <cat>
            <numRef>
              <f>Aus!$AU$51:$BB$51</f>
              <numCache>
                <formatCode>0_);\(0\)</formatCode>
                <ptCount val="8"/>
                <pt idx="0">
                  <v>2013</v>
                </pt>
                <pt idx="1">
                  <v>2014</v>
                </pt>
                <pt idx="2">
                  <v>2015</v>
                </pt>
                <pt idx="3">
                  <v>2016</v>
                </pt>
                <pt idx="4">
                  <v>2017</v>
                </pt>
                <pt idx="5">
                  <v>2018</v>
                </pt>
                <pt idx="6">
                  <v>2019</v>
                </pt>
                <pt idx="7">
                  <v>2020</v>
                </pt>
              </numCache>
            </numRef>
          </cat>
          <val>
            <numRef>
              <f>Aus!$AU$52:$BB$52</f>
              <numCache>
                <formatCode>#,##0.00_);\(#,##0.00\)</formatCode>
                <ptCount val="8"/>
                <pt idx="0">
                  <v>0.003193948863061786</v>
                </pt>
                <pt idx="1">
                  <v>0.007578868526481894</v>
                </pt>
                <pt idx="2">
                  <v>0.02135297644760511</v>
                </pt>
                <pt idx="3">
                  <v>0.02536134738958164</v>
                </pt>
                <pt idx="4">
                  <v>0.02638531275243641</v>
                </pt>
                <pt idx="5">
                  <v>0.01380291836206086</v>
                </pt>
                <pt idx="6">
                  <v>0.006773170387042356</v>
                </pt>
                <pt idx="7">
                  <v>0.002797372334920065</v>
                </pt>
              </numCache>
            </numRef>
          </val>
        </ser>
        <ser>
          <idx val="1"/>
          <order val="1"/>
          <tx>
            <strRef>
              <f>Aus!$AT$53</f>
              <strCache>
                <ptCount val="1"/>
                <pt idx="0">
                  <v>Wholesale unit EBIT</v>
                </pt>
              </strCache>
            </strRef>
          </tx>
          <spPr>
            <a:ln>
              <a:prstDash val="solid"/>
            </a:ln>
          </spPr>
          <invertIfNegative val="0"/>
          <cat>
            <numRef>
              <f>Aus!$AU$51:$BB$51</f>
              <numCache>
                <formatCode>0_);\(0\)</formatCode>
                <ptCount val="8"/>
                <pt idx="0">
                  <v>2013</v>
                </pt>
                <pt idx="1">
                  <v>2014</v>
                </pt>
                <pt idx="2">
                  <v>2015</v>
                </pt>
                <pt idx="3">
                  <v>2016</v>
                </pt>
                <pt idx="4">
                  <v>2017</v>
                </pt>
                <pt idx="5">
                  <v>2018</v>
                </pt>
                <pt idx="6">
                  <v>2019</v>
                </pt>
                <pt idx="7">
                  <v>2020</v>
                </pt>
              </numCache>
            </numRef>
          </cat>
          <val>
            <numRef>
              <f>Aus!$AU$53:$BB$53</f>
              <numCache>
                <formatCode>#,##0.000_);\(#,##0.000\)</formatCode>
                <ptCount val="8"/>
                <pt idx="0">
                  <v>0.02581999509451655</v>
                </pt>
                <pt idx="1">
                  <v>0.01564933377286744</v>
                </pt>
                <pt idx="2">
                  <v>0.009325085490888512</v>
                </pt>
                <pt idx="3">
                  <v>0.01297765985026744</v>
                </pt>
                <pt idx="4">
                  <v>0.02497013303180272</v>
                </pt>
                <pt idx="5">
                  <v>0.04826213520996616</v>
                </pt>
                <pt idx="6">
                  <v>0.04114738769203966</v>
                </pt>
                <pt idx="7">
                  <v>0.03993344053169426</v>
                </pt>
              </numCache>
            </numRef>
          </val>
        </ser>
        <dLbls>
          <showLegendKey val="0"/>
          <showVal val="0"/>
          <showCatName val="0"/>
          <showSerName val="0"/>
          <showPercent val="0"/>
          <showBubbleSize val="0"/>
        </dLbls>
        <gapWidth val="60"/>
        <axId val="517376415"/>
        <axId val="1"/>
      </barChart>
      <lineChart>
        <grouping val="standard"/>
        <varyColors val="0"/>
        <ser>
          <idx val="2"/>
          <order val="2"/>
          <tx>
            <strRef>
              <f>Aus!$AT$54</f>
              <strCache>
                <ptCount val="1"/>
                <pt idx="0">
                  <v>Power plants utilization rate (rhs)</v>
                </pt>
              </strCache>
            </strRef>
          </tx>
          <spPr>
            <a:ln>
              <a:prstDash val="solid"/>
            </a:ln>
          </spPr>
          <marker>
            <symbol val="none"/>
            <spPr>
              <a:ln>
                <a:prstDash val="solid"/>
              </a:ln>
            </spPr>
          </marker>
          <cat>
            <numRef>
              <f>Aus!$AU$51:$BB$51</f>
              <numCache>
                <formatCode>0_);\(0\)</formatCode>
                <ptCount val="8"/>
                <pt idx="0">
                  <v>2013</v>
                </pt>
                <pt idx="1">
                  <v>2014</v>
                </pt>
                <pt idx="2">
                  <v>2015</v>
                </pt>
                <pt idx="3">
                  <v>2016</v>
                </pt>
                <pt idx="4">
                  <v>2017</v>
                </pt>
                <pt idx="5">
                  <v>2018</v>
                </pt>
                <pt idx="6">
                  <v>2019</v>
                </pt>
                <pt idx="7">
                  <v>2020</v>
                </pt>
              </numCache>
            </numRef>
          </cat>
          <val>
            <numRef>
              <f>Aus!$AU$54:$BB$54</f>
              <numCache>
                <formatCode>0%</formatCode>
                <ptCount val="8"/>
                <pt idx="0">
                  <v>0.4012290630786609</v>
                </pt>
                <pt idx="1">
                  <v>0.6844897032575199</v>
                </pt>
                <pt idx="2">
                  <v>0.577621092845418</v>
                </pt>
                <pt idx="3">
                  <v>0.5346590217582388</v>
                </pt>
                <pt idx="4">
                  <v>0.4917863597690212</v>
                </pt>
                <pt idx="5">
                  <v>0.4522485984665853</v>
                </pt>
                <pt idx="6">
                  <v>0.3538352746955203</v>
                </pt>
                <pt idx="7">
                  <v>0.3387649597467518</v>
                </pt>
              </numCache>
            </numRef>
          </val>
          <smooth val="0"/>
        </ser>
        <dLbls>
          <showLegendKey val="0"/>
          <showVal val="0"/>
          <showCatName val="0"/>
          <showSerName val="0"/>
          <showPercent val="0"/>
          <showBubbleSize val="0"/>
        </dLbls>
        <marker val="1"/>
        <smooth val="0"/>
        <axId val="3"/>
        <axId val="4"/>
      </lineChart>
      <catAx>
        <axId val="517376415"/>
        <scaling>
          <orientation val="minMax"/>
        </scaling>
        <delete val="0"/>
        <axPos val="b"/>
        <numFmt formatCode="0_);\(0\)" sourceLinked="1"/>
        <majorTickMark val="out"/>
        <minorTickMark val="none"/>
        <tickLblPos val="nextTo"/>
        <txPr>
          <a:bodyPr rot="0" vert="horz"/>
          <a:lstStyle/>
          <a:p>
            <a:pPr>
              <a:defRPr sz="800" b="0" i="0" strike="noStrike" baseline="0">
                <a:solidFill>
                  <a:srgbClr val="000000"/>
                </a:solidFill>
                <a:latin typeface="Calibri"/>
                <a:ea typeface="Calibri"/>
                <a:cs typeface="Calibri"/>
              </a:defRPr>
            </a:pPr>
            <a:r>
              <a:t>None</a:t>
            </a:r>
            <a:endParaRPr lang="en-US"/>
          </a:p>
        </txPr>
        <crossAx val="1"/>
        <crosses val="autoZero"/>
        <auto val="1"/>
        <lblAlgn val="ctr"/>
        <lblOffset val="100"/>
        <noMultiLvlLbl val="0"/>
      </catAx>
      <valAx>
        <axId val="1"/>
        <scaling>
          <orientation val="minMax"/>
        </scaling>
        <delete val="0"/>
        <axPos val="l"/>
        <title>
          <tx>
            <rich>
              <a:bodyPr rot="0" vert="horz"/>
              <a:lstStyle/>
              <a:p>
                <a:pPr algn="ctr">
                  <a:defRPr sz="800" b="0" i="0" strike="noStrike" baseline="0">
                    <a:solidFill>
                      <a:srgbClr val="000000"/>
                    </a:solidFill>
                    <a:latin typeface="Calibri"/>
                    <a:ea typeface="Calibri"/>
                    <a:cs typeface="Calibri"/>
                  </a:defRPr>
                </a:pPr>
                <a:r>
                  <a:rPr lang="en-US"/>
                  <a:t>AUD/MWh</a:t>
                </a:r>
              </a:p>
            </rich>
          </tx>
          <layout>
            <manualLayout>
              <xMode val="edge"/>
              <yMode val="edge"/>
              <wMode val="factor"/>
              <hMode val="factor"/>
              <x val="0"/>
              <y val="0.0003763202521936769"/>
            </manualLayout>
          </layout>
          <overlay val="0"/>
        </title>
        <numFmt formatCode="#,##0.00_);\(#,##0.00\)" sourceLinked="1"/>
        <majorTickMark val="out"/>
        <minorTickMark val="none"/>
        <tickLblPos val="nextTo"/>
        <spPr>
          <a:ln>
            <a:noFill/>
            <a:prstDash val="solid"/>
          </a:ln>
        </spPr>
        <txPr>
          <a:bodyPr rot="0" vert="horz"/>
          <a:lstStyle/>
          <a:p>
            <a:pPr>
              <a:defRPr sz="800" b="0" i="0" strike="noStrike" baseline="0">
                <a:solidFill>
                  <a:srgbClr val="000000"/>
                </a:solidFill>
                <a:latin typeface="Calibri"/>
                <a:ea typeface="Calibri"/>
                <a:cs typeface="Calibri"/>
              </a:defRPr>
            </a:pPr>
            <a:r>
              <a:t>None</a:t>
            </a:r>
            <a:endParaRPr lang="en-US"/>
          </a:p>
        </txPr>
        <crossAx val="517376415"/>
        <crosses val="autoZero"/>
        <crossBetween val="between"/>
      </valAx>
      <catAx>
        <axId val="3"/>
        <scaling>
          <orientation val="minMax"/>
        </scaling>
        <delete val="1"/>
        <axPos val="b"/>
        <numFmt formatCode="0_);\(0\)" sourceLinked="1"/>
        <majorTickMark val="out"/>
        <minorTickMark val="none"/>
        <tickLblPos val="nextTo"/>
        <crossAx val="4"/>
        <crosses val="autoZero"/>
        <auto val="1"/>
        <lblAlgn val="ctr"/>
        <lblOffset val="100"/>
        <noMultiLvlLbl val="0"/>
      </catAx>
      <valAx>
        <axId val="4"/>
        <scaling>
          <orientation val="minMax"/>
        </scaling>
        <delete val="0"/>
        <axPos val="r"/>
        <numFmt formatCode="0%" sourceLinked="1"/>
        <majorTickMark val="out"/>
        <minorTickMark val="none"/>
        <tickLblPos val="nextTo"/>
        <spPr>
          <a:ln>
            <a:noFill/>
            <a:prstDash val="solid"/>
          </a:ln>
        </spPr>
        <txPr>
          <a:bodyPr rot="0" vert="horz"/>
          <a:lstStyle/>
          <a:p>
            <a:pPr>
              <a:defRPr sz="800" b="0" i="0" strike="noStrike" baseline="0">
                <a:solidFill>
                  <a:srgbClr val="000000"/>
                </a:solidFill>
                <a:latin typeface="Calibri"/>
                <a:ea typeface="Calibri"/>
                <a:cs typeface="Calibri"/>
              </a:defRPr>
            </a:pPr>
            <a:r>
              <a:t>None</a:t>
            </a:r>
            <a:endParaRPr lang="en-US"/>
          </a:p>
        </txPr>
        <crossAx val="3"/>
        <crosses val="max"/>
        <crossBetween val="between"/>
      </valAx>
    </plotArea>
    <legend>
      <legendPos val="b"/>
      <layout>
        <manualLayout>
          <xMode val="edge"/>
          <yMode val="edge"/>
          <wMode val="factor"/>
          <hMode val="factor"/>
          <x val="0.0004553853151027602"/>
          <y val="0.9299768494085693"/>
          <w val="0.9856385912049803"/>
          <h val="0.07002315059143072"/>
        </manualLayout>
      </layout>
      <overlay val="0"/>
      <txPr>
        <a:bodyPr/>
        <a:lstStyle/>
        <a:p>
          <a:pPr>
            <a:defRPr sz="280" b="0" i="0" strike="noStrike" baseline="0">
              <a:solidFill>
                <a:srgbClr val="000000"/>
              </a:solidFill>
              <a:latin typeface="Calibri"/>
              <a:ea typeface="Calibri"/>
              <a:cs typeface="Calibri"/>
            </a:defRPr>
          </a:pPr>
          <a:r>
            <a:t>None</a:t>
          </a:r>
          <a:endParaRPr lang="en-US"/>
        </a:p>
      </txPr>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07826618547681539"/>
          <y val="0.10695610965296"/>
          <w val="0.891178258967629"/>
          <h val="0.7770640128317293"/>
        </manualLayout>
      </layout>
      <barChart>
        <barDir val="col"/>
        <grouping val="clustered"/>
        <varyColors val="0"/>
        <ser>
          <idx val="0"/>
          <order val="0"/>
          <spPr>
            <a:ln>
              <a:prstDash val="solid"/>
            </a:ln>
          </spPr>
          <invertIfNegative val="0"/>
          <cat>
            <numRef>
              <f>Aus!$Y$1:$AD$1</f>
              <numCache>
                <formatCode>0_);\(0\)</formatCode>
                <ptCount val="2"/>
                <pt idx="0">
                  <v>2019</v>
                </pt>
                <pt idx="1">
                  <v>2020</v>
                </pt>
              </numCache>
            </numRef>
          </cat>
          <val>
            <numRef>
              <f>Aus!$Y$101:$AD$101</f>
              <numCache>
                <formatCode>#,##0_);\(#,##0\)</formatCode>
                <ptCount val="2"/>
                <pt idx="0">
                  <v>80</v>
                </pt>
                <pt idx="1">
                  <v>80</v>
                </pt>
              </numCache>
            </numRef>
          </val>
        </ser>
        <dLbls>
          <showLegendKey val="0"/>
          <showVal val="0"/>
          <showCatName val="0"/>
          <showSerName val="0"/>
          <showPercent val="0"/>
          <showBubbleSize val="0"/>
        </dLbls>
        <gapWidth val="80"/>
        <axId val="517379199"/>
        <axId val="1"/>
      </barChart>
      <catAx>
        <axId val="517379199"/>
        <scaling>
          <orientation val="minMax"/>
        </scaling>
        <delete val="0"/>
        <axPos val="b"/>
        <numFmt formatCode="0_);\(0\)" sourceLinked="1"/>
        <majorTickMark val="out"/>
        <minorTickMark val="none"/>
        <tickLblPos val="nextTo"/>
        <txPr>
          <a:bodyPr rot="0" vert="horz"/>
          <a:lstStyle/>
          <a:p>
            <a:pPr>
              <a:defRPr sz="1000" b="0" i="0" strike="noStrike" baseline="0">
                <a:solidFill>
                  <a:srgbClr val="000000"/>
                </a:solidFill>
                <a:latin typeface="Calibri"/>
                <a:ea typeface="Calibri"/>
                <a:cs typeface="Calibri"/>
              </a:defRPr>
            </a:pPr>
            <a:r>
              <a:t>None</a:t>
            </a:r>
            <a:endParaRPr lang="en-US"/>
          </a:p>
        </txPr>
        <crossAx val="1"/>
        <crosses val="autoZero"/>
        <auto val="1"/>
        <lblAlgn val="ctr"/>
        <lblOffset val="100"/>
        <noMultiLvlLbl val="0"/>
      </catAx>
      <valAx>
        <axId val="1"/>
        <scaling>
          <orientation val="minMax"/>
          <max val="90"/>
        </scaling>
        <delete val="0"/>
        <axPos val="l"/>
        <majorGridlines/>
        <title>
          <tx>
            <rich>
              <a:bodyPr rot="0" vert="horz"/>
              <a:lstStyle/>
              <a:p>
                <a:pPr algn="ctr">
                  <a:defRPr sz="1000" b="1" i="0" strike="noStrike" baseline="0">
                    <a:solidFill>
                      <a:srgbClr val="000000"/>
                    </a:solidFill>
                    <a:latin typeface="Calibri"/>
                    <a:ea typeface="Calibri"/>
                    <a:cs typeface="Calibri"/>
                  </a:defRPr>
                </a:pPr>
                <a:r>
                  <a:rPr lang="en-US"/>
                  <a:t>AUD/MWh</a:t>
                </a:r>
              </a:p>
            </rich>
          </tx>
          <layout>
            <manualLayout>
              <xMode val="edge"/>
              <yMode val="edge"/>
              <wMode val="factor"/>
              <hMode val="factor"/>
              <x val="0"/>
              <y val="0.001958110940830383"/>
            </manualLayout>
          </layout>
          <overlay val="0"/>
        </title>
        <numFmt formatCode="#,##0_);\(#,##0\)" sourceLinked="1"/>
        <majorTickMark val="out"/>
        <minorTickMark val="none"/>
        <tickLblPos val="nextTo"/>
        <spPr>
          <a:ln>
            <a:noFill/>
            <a:prstDash val="solid"/>
          </a:ln>
        </spPr>
        <txPr>
          <a:bodyPr rot="0" vert="horz"/>
          <a:lstStyle/>
          <a:p>
            <a:pPr>
              <a:defRPr sz="1000" b="0" i="0" strike="noStrike" baseline="0">
                <a:solidFill>
                  <a:srgbClr val="000000"/>
                </a:solidFill>
                <a:latin typeface="Calibri"/>
                <a:ea typeface="Calibri"/>
                <a:cs typeface="Calibri"/>
              </a:defRPr>
            </a:pPr>
            <a:r>
              <a:t>None</a:t>
            </a:r>
            <a:endParaRPr lang="en-US"/>
          </a:p>
        </txPr>
        <crossAx val="517379199"/>
        <crosses val="autoZero"/>
        <crossBetween val="between"/>
      </valAx>
    </plotArea>
    <plotVisOnly val="1"/>
    <dispBlanksAs val="gap"/>
  </chart>
  <spPr>
    <a:ln>
      <a:noFill/>
      <a:prstDash val="solid"/>
    </a:ln>
  </spPr>
</chartSpace>
</file>

<file path=xl/charts/chart6.xml><?xml version="1.0" encoding="utf-8"?>
<chartSpace xmlns:a="http://schemas.openxmlformats.org/drawingml/2006/main" xmlns="http://schemas.openxmlformats.org/drawingml/2006/chart">
  <chart>
    <plotArea>
      <layout>
        <manualLayout>
          <layoutTarget val="inner"/>
          <xMode val="edge"/>
          <yMode val="edge"/>
          <wMode val="factor"/>
          <hMode val="factor"/>
          <x val="0.06058652850797795"/>
          <y val="0.04250963688843519"/>
          <w val="0.9174807796583088"/>
          <h val="0.815308498008105"/>
        </manualLayout>
      </layout>
      <lineChart>
        <grouping val="standard"/>
        <varyColors val="0"/>
        <ser>
          <idx val="0"/>
          <order val="0"/>
          <tx>
            <strRef>
              <f>Aus!$AQ$23</f>
              <strCache>
                <ptCount val="1"/>
                <pt idx="0">
                  <v>Base</v>
                </pt>
              </strCache>
            </strRef>
          </tx>
          <spPr>
            <a:ln w="38100">
              <a:prstDash val="solid"/>
            </a:ln>
          </spPr>
          <marker>
            <symbol val="none"/>
            <spPr>
              <a:ln w="38100">
                <a:prstDash val="solid"/>
              </a:ln>
            </spPr>
          </marker>
          <cat>
            <numRef>
              <f>Aus!$AR$21:$BC$21</f>
              <numCache>
                <formatCode>0_);\(0\)</formatCode>
                <ptCount val="12"/>
                <pt idx="0">
                  <v>2011</v>
                </pt>
                <pt idx="1">
                  <v>2012</v>
                </pt>
                <pt idx="2">
                  <v>2013</v>
                </pt>
                <pt idx="3">
                  <v>2014</v>
                </pt>
                <pt idx="4">
                  <v>2015</v>
                </pt>
                <pt idx="5">
                  <v>2016</v>
                </pt>
                <pt idx="6">
                  <v>2017</v>
                </pt>
                <pt idx="7">
                  <v>2018</v>
                </pt>
                <pt idx="8">
                  <v>2019</v>
                </pt>
                <pt idx="9">
                  <v>2020</v>
                </pt>
                <pt idx="10">
                  <v>2021</v>
                </pt>
                <pt idx="11">
                  <v>2022</v>
                </pt>
              </numCache>
            </numRef>
          </cat>
          <val>
            <numRef>
              <f>Aus!$U$94:$AF$94</f>
              <numCache>
                <formatCode>0.0%</formatCode>
                <ptCount val="4"/>
                <pt idx="0">
                  <v>0.07049925719173457</v>
                </pt>
                <pt idx="1">
                  <v>0.06504753473692314</v>
                </pt>
                <pt idx="2">
                  <v>-0.003316418268270268</v>
                </pt>
                <pt idx="3">
                  <v>-0.2276341948310139</v>
                </pt>
              </numCache>
            </numRef>
          </val>
          <smooth val="0"/>
        </ser>
        <ser>
          <idx val="1"/>
          <order val="1"/>
          <tx>
            <strRef>
              <f>Aus!$AQ$22</f>
              <strCache>
                <ptCount val="1"/>
                <pt idx="0">
                  <v>High scenario</v>
                </pt>
              </strCache>
            </strRef>
          </tx>
          <spPr>
            <a:ln w="38100">
              <a:prstDash val="dashDot"/>
            </a:ln>
          </spPr>
          <marker>
            <symbol val="none"/>
            <spPr>
              <a:ln>
                <a:prstDash val="solid"/>
              </a:ln>
            </spPr>
          </marker>
          <dPt>
            <idx val="0"/>
            <bubble3D val="0"/>
            <spPr>
              <a:ln w="38100">
                <a:solidFill>
                  <a:schemeClr val="tx1"/>
                </a:solidFill>
                <a:prstDash val="dashDot"/>
              </a:ln>
            </spPr>
          </dPt>
          <dPt>
            <idx val="1"/>
            <bubble3D val="0"/>
            <spPr>
              <a:ln w="38100">
                <a:solidFill>
                  <a:schemeClr val="tx1"/>
                </a:solidFill>
                <a:prstDash val="dashDot"/>
              </a:ln>
            </spPr>
          </dPt>
          <dPt>
            <idx val="2"/>
            <bubble3D val="0"/>
            <spPr>
              <a:ln w="38100">
                <a:solidFill>
                  <a:schemeClr val="tx1"/>
                </a:solidFill>
                <a:prstDash val="dashDot"/>
              </a:ln>
            </spPr>
          </dPt>
          <dPt>
            <idx val="3"/>
            <bubble3D val="0"/>
            <spPr>
              <a:ln w="38100">
                <a:solidFill>
                  <a:schemeClr val="tx1"/>
                </a:solidFill>
                <a:prstDash val="dashDot"/>
              </a:ln>
            </spPr>
          </dPt>
          <dPt>
            <idx val="4"/>
            <bubble3D val="0"/>
            <spPr>
              <a:ln w="38100">
                <a:solidFill>
                  <a:schemeClr val="tx1"/>
                </a:solidFill>
                <a:prstDash val="dashDot"/>
              </a:ln>
            </spPr>
          </dPt>
          <dPt>
            <idx val="5"/>
            <bubble3D val="0"/>
            <spPr>
              <a:ln w="38100">
                <a:solidFill>
                  <a:schemeClr val="tx1"/>
                </a:solidFill>
                <a:prstDash val="dashDot"/>
              </a:ln>
            </spPr>
          </dPt>
          <cat>
            <numRef>
              <f>Aus!$AR$21:$BC$21</f>
              <numCache>
                <formatCode>0_);\(0\)</formatCode>
                <ptCount val="12"/>
                <pt idx="0">
                  <v>2011</v>
                </pt>
                <pt idx="1">
                  <v>2012</v>
                </pt>
                <pt idx="2">
                  <v>2013</v>
                </pt>
                <pt idx="3">
                  <v>2014</v>
                </pt>
                <pt idx="4">
                  <v>2015</v>
                </pt>
                <pt idx="5">
                  <v>2016</v>
                </pt>
                <pt idx="6">
                  <v>2017</v>
                </pt>
                <pt idx="7">
                  <v>2018</v>
                </pt>
                <pt idx="8">
                  <v>2019</v>
                </pt>
                <pt idx="9">
                  <v>2020</v>
                </pt>
                <pt idx="10">
                  <v>2021</v>
                </pt>
                <pt idx="11">
                  <v>2022</v>
                </pt>
              </numCache>
            </numRef>
          </cat>
          <val>
            <numRef>
              <f>Aus!$AR$22:$BC$22</f>
              <numCache>
                <formatCode>0.0%</formatCode>
                <ptCount val="12"/>
                <pt idx="5">
                  <v>0.07144237085120358</v>
                </pt>
                <pt idx="6">
                  <v>0.1611937336242002</v>
                </pt>
                <pt idx="7">
                  <v>0.1996520830275677</v>
                </pt>
                <pt idx="8">
                  <v>0.1944708462114144</v>
                </pt>
                <pt idx="9">
                  <v>0.1898605346999404</v>
                </pt>
                <pt idx="10">
                  <v>0.1857159451096173</v>
                </pt>
                <pt idx="11">
                  <v>0.1820493329286975</v>
                </pt>
              </numCache>
            </numRef>
          </val>
          <smooth val="0"/>
        </ser>
        <ser>
          <idx val="2"/>
          <order val="2"/>
          <tx>
            <strRef>
              <f>Aus!$AQ$24</f>
              <strCache>
                <ptCount val="1"/>
                <pt idx="0">
                  <v>Low scenario</v>
                </pt>
              </strCache>
            </strRef>
          </tx>
          <spPr>
            <a:ln w="38100">
              <a:prstDash val="dashDot"/>
            </a:ln>
          </spPr>
          <marker>
            <symbol val="none"/>
            <spPr>
              <a:ln>
                <a:prstDash val="solid"/>
              </a:ln>
            </spPr>
          </marker>
          <dPt>
            <idx val="1"/>
            <bubble3D val="0"/>
            <spPr>
              <a:ln w="38100">
                <a:solidFill>
                  <a:schemeClr val="tx1"/>
                </a:solidFill>
                <a:prstDash val="dashDot"/>
              </a:ln>
            </spPr>
          </dPt>
          <dPt>
            <idx val="2"/>
            <bubble3D val="0"/>
            <spPr>
              <a:ln w="38100">
                <a:solidFill>
                  <a:schemeClr val="tx1"/>
                </a:solidFill>
                <a:prstDash val="dashDot"/>
              </a:ln>
            </spPr>
          </dPt>
          <dPt>
            <idx val="3"/>
            <bubble3D val="0"/>
            <spPr>
              <a:ln w="38100">
                <a:solidFill>
                  <a:schemeClr val="tx1"/>
                </a:solidFill>
                <a:prstDash val="dashDot"/>
              </a:ln>
            </spPr>
          </dPt>
          <dPt>
            <idx val="4"/>
            <bubble3D val="0"/>
            <spPr>
              <a:ln w="38100">
                <a:solidFill>
                  <a:schemeClr val="tx1"/>
                </a:solidFill>
                <a:prstDash val="dashDot"/>
              </a:ln>
            </spPr>
          </dPt>
          <dPt>
            <idx val="5"/>
            <bubble3D val="0"/>
            <spPr>
              <a:ln w="38100">
                <a:solidFill>
                  <a:schemeClr val="tx1"/>
                </a:solidFill>
                <a:prstDash val="dashDot"/>
              </a:ln>
            </spPr>
          </dPt>
          <cat>
            <numRef>
              <f>Aus!$AR$21:$BC$21</f>
              <numCache>
                <formatCode>0_);\(0\)</formatCode>
                <ptCount val="12"/>
                <pt idx="0">
                  <v>2011</v>
                </pt>
                <pt idx="1">
                  <v>2012</v>
                </pt>
                <pt idx="2">
                  <v>2013</v>
                </pt>
                <pt idx="3">
                  <v>2014</v>
                </pt>
                <pt idx="4">
                  <v>2015</v>
                </pt>
                <pt idx="5">
                  <v>2016</v>
                </pt>
                <pt idx="6">
                  <v>2017</v>
                </pt>
                <pt idx="7">
                  <v>2018</v>
                </pt>
                <pt idx="8">
                  <v>2019</v>
                </pt>
                <pt idx="9">
                  <v>2020</v>
                </pt>
                <pt idx="10">
                  <v>2021</v>
                </pt>
                <pt idx="11">
                  <v>2022</v>
                </pt>
              </numCache>
            </numRef>
          </cat>
          <val>
            <numRef>
              <f>Aus!$AR$24:$BC$24</f>
              <numCache>
                <formatCode>0.0%</formatCode>
                <ptCount val="12"/>
                <pt idx="5">
                  <v>0.07144237085120358</v>
                </pt>
                <pt idx="6">
                  <v>0.07745505401905564</v>
                </pt>
                <pt idx="7">
                  <v>0.05533940888573922</v>
                </pt>
                <pt idx="8">
                  <v>0.01752330299696634</v>
                </pt>
                <pt idx="9">
                  <v>0.01641777115107794</v>
                </pt>
                <pt idx="10">
                  <v>0.01541499847221035</v>
                </pt>
                <pt idx="11">
                  <v>0.01450784990114235</v>
                </pt>
              </numCache>
            </numRef>
          </val>
          <smooth val="0"/>
        </ser>
        <dLbls>
          <showLegendKey val="0"/>
          <showVal val="0"/>
          <showCatName val="0"/>
          <showSerName val="0"/>
          <showPercent val="0"/>
          <showBubbleSize val="0"/>
        </dLbls>
        <marker val="1"/>
        <smooth val="0"/>
        <axId val="517375951"/>
        <axId val="1"/>
      </lineChart>
      <catAx>
        <axId val="517375951"/>
        <scaling>
          <orientation val="minMax"/>
        </scaling>
        <delete val="0"/>
        <axPos val="b"/>
        <numFmt formatCode="0_);\(0\)" sourceLinked="1"/>
        <majorTickMark val="out"/>
        <minorTickMark val="none"/>
        <tickLblPos val="nextTo"/>
        <txPr>
          <a:bodyPr rot="0" vert="horz"/>
          <a:lstStyle/>
          <a:p>
            <a:pPr>
              <a:defRPr sz="800" b="0" i="0" strike="noStrike" baseline="0">
                <a:solidFill>
                  <a:srgbClr val="000000"/>
                </a:solidFill>
                <a:latin typeface="Calibri"/>
                <a:ea typeface="Calibri"/>
                <a:cs typeface="Calibri"/>
              </a:defRPr>
            </a:pPr>
            <a:r>
              <a:t>None</a:t>
            </a:r>
            <a:endParaRPr lang="en-US"/>
          </a:p>
        </txPr>
        <crossAx val="1"/>
        <crosses val="autoZero"/>
        <auto val="1"/>
        <lblAlgn val="ctr"/>
        <lblOffset val="100"/>
        <noMultiLvlLbl val="0"/>
      </catAx>
      <valAx>
        <axId val="1"/>
        <scaling>
          <orientation val="minMax"/>
          <max val="0.22"/>
          <min val="0"/>
        </scaling>
        <delete val="0"/>
        <axPos val="l"/>
        <numFmt formatCode="0%" sourceLinked="0"/>
        <majorTickMark val="out"/>
        <minorTickMark val="none"/>
        <tickLblPos val="nextTo"/>
        <spPr>
          <a:ln>
            <a:noFill/>
            <a:prstDash val="solid"/>
          </a:ln>
        </spPr>
        <txPr>
          <a:bodyPr rot="0" vert="horz"/>
          <a:lstStyle/>
          <a:p>
            <a:pPr>
              <a:defRPr sz="800" b="0" i="0" strike="noStrike" baseline="0">
                <a:solidFill>
                  <a:srgbClr val="000000"/>
                </a:solidFill>
                <a:latin typeface="Calibri"/>
                <a:ea typeface="Calibri"/>
                <a:cs typeface="Calibri"/>
              </a:defRPr>
            </a:pPr>
            <a:r>
              <a:t>None</a:t>
            </a:r>
            <a:endParaRPr lang="en-US"/>
          </a:p>
        </txPr>
        <crossAx val="517375951"/>
        <crosses val="autoZero"/>
        <crossBetween val="between"/>
        <majorUnit val="0.02"/>
      </valAx>
    </plotArea>
    <legend>
      <legendPos val="b"/>
      <layout>
        <manualLayout>
          <xMode val="edge"/>
          <yMode val="edge"/>
          <wMode val="factor"/>
          <hMode val="factor"/>
          <x val="0.2526205365808374"/>
          <y val="0.9307636406173463"/>
          <w val="0.5598205770902431"/>
          <h val="0.06923635938265371"/>
        </manualLayout>
      </layout>
      <overlay val="0"/>
      <txPr>
        <a:bodyPr/>
        <a:lstStyle/>
        <a:p>
          <a:pPr>
            <a:defRPr sz="280" b="0" i="0" strike="noStrike" baseline="0">
              <a:solidFill>
                <a:srgbClr val="000000"/>
              </a:solidFill>
              <a:latin typeface="Calibri"/>
              <a:ea typeface="Calibri"/>
              <a:cs typeface="Calibri"/>
            </a:defRPr>
          </a:pPr>
          <a:r>
            <a:t>None</a:t>
          </a:r>
          <a:endParaRPr lang="en-US"/>
        </a:p>
      </txPr>
    </legend>
    <plotVisOnly val="1"/>
    <dispBlanksAs val="gap"/>
  </chart>
  <spPr>
    <a:ln>
      <a:noFill/>
      <a:prstDash val="solid"/>
    </a:ln>
  </spPr>
</chartSpace>
</file>

<file path=xl/comments/comment1.xml><?xml version="1.0" encoding="utf-8"?>
<comments xmlns="http://schemas.openxmlformats.org/spreadsheetml/2006/main">
  <authors>
    <author>Eason Tang</author>
    <author>Sun, Abigail</author>
    <author>Liu, Ken</author>
  </authors>
  <commentList>
    <comment ref="B3" authorId="0" shapeId="0">
      <text>
        <t>Eason Tang:
UBS 2025E</t>
      </text>
    </comment>
    <comment ref="B7" authorId="0" shapeId="0">
      <text>
        <t>Eason Tang:
based on 1.91% HK 10 year bond yield in 2025E</t>
      </text>
    </comment>
    <comment ref="S35" authorId="1" shapeId="0">
      <text>
        <t>Sun, Abigail:
including India 40%</t>
      </text>
    </comment>
    <comment ref="A43" authorId="2" shapeId="0">
      <text>
        <t>Liu, Ken:
China and India mostly</t>
      </text>
    </comment>
    <comment ref="A47" authorId="1" shapeId="0">
      <text>
        <t xml:space="preserve">Sun, Abigail:
Historical average - 1yr forward PE
</t>
      </text>
    </comment>
    <comment ref="U55" authorId="2" shapeId="0">
      <text>
        <t>Liu, Ken:
effective interest rate of India has been high in the past</t>
      </text>
    </comment>
    <comment ref="U75" authorId="1" shapeId="0">
      <text>
        <t>Sun, Abigail:
net debt of other segments at end-2016, assuming no cash</t>
      </text>
    </comment>
  </commentList>
</comments>
</file>

<file path=xl/comments/comment2.xml><?xml version="1.0" encoding="utf-8"?>
<comments xmlns="http://schemas.openxmlformats.org/spreadsheetml/2006/main">
  <authors>
    <author>Sun, Abigail</author>
    <author>powda</author>
    <author>Wu, Sophie</author>
    <author>Lam, Jarvis</author>
    <author>Stephen Oldfield</author>
    <author>William Li</author>
    <author>huangdaa</author>
    <author>Peng Yuxiao</author>
    <author>Ken Liu</author>
    <author>Li, William-W</author>
    <author>Liu, Ken</author>
    <author>Eason Tang</author>
    <author>A satisfied Microsoft Office user</author>
  </authors>
  <commentList>
    <comment ref="Y2" authorId="0" shapeId="0">
      <text>
        <t xml:space="preserve">Sun, Abigail:
restated in 2016
</t>
      </text>
    </comment>
    <comment ref="W9" authorId="0" shapeId="0">
      <text>
        <t xml:space="preserve">Sun, Abigail:
HK$6bn in "fuel and other operating expense"
</t>
      </text>
    </comment>
    <comment ref="R16" authorId="1" shapeId="0">
      <text>
        <t>powda:
P.139/162 AR08</t>
      </text>
    </comment>
    <comment ref="AC16" authorId="2" shapeId="0">
      <text>
        <t>Wu, Sophie:
impaiment on EnergyAustralia</t>
      </text>
    </comment>
    <comment ref="AE16" authorId="3" shapeId="0">
      <text>
        <t>Lam, Jarvis:
Litigation settlement related to disposal of
Iona Gas Plant</t>
      </text>
    </comment>
    <comment ref="AF16" authorId="3" shapeId="0">
      <text>
        <t xml:space="preserve">Lam, Jarvis:
Loss on sale of Apraava Energy from 60% to 50%. </t>
      </text>
    </comment>
    <comment ref="H23" authorId="4" shapeId="0">
      <text>
        <t>Stephen Oldfield:
addback of tax on Laguna Verde as we take profits below the line</t>
      </text>
    </comment>
    <comment ref="X25" authorId="5" shapeId="0">
      <text>
        <t>William Li:
-152 for perpetual capital securities holders</t>
      </text>
    </comment>
    <comment ref="AC25" authorId="0" shapeId="0">
      <text>
        <t>Sun, Abigail:
selling 40% of CLP India to CDPQ in end-18</t>
      </text>
    </comment>
    <comment ref="H27" authorId="6" shapeId="0">
      <text>
        <t>Danny:
Adjusted SOC and JCEs</t>
      </text>
    </comment>
    <comment ref="I27" authorId="6" shapeId="0">
      <text>
        <t>Danny:
Adjusted SOC and JCE</t>
      </text>
    </comment>
    <comment ref="L27" authorId="6" shapeId="0">
      <text>
        <t>Danny:
Adjusted International</t>
      </text>
    </comment>
    <comment ref="M27" authorId="6" shapeId="0">
      <text>
        <t>Danny:
Adjused SOC and Non-SOC</t>
      </text>
    </comment>
    <comment ref="R28" authorId="1" shapeId="0">
      <text>
        <t>powda:
Gain on sale of SEAGas +432
Coal mine subsidence 127
Amortisation of TIPS contracts -108
Gain on CLP Guohua restructuring +225</t>
      </text>
    </comment>
    <comment ref="S28" authorId="7" shapeId="0">
      <text>
        <t>Peng Yuxiao:
Coal mine subsidence -1
Amortisation of TIPS contracts -16
1H09 write down of solar systems  -346
Impairment of Boxing biomass project  -15
Net gain on Jhajjar foreign exchange hedging 171
Gain on sales of PGS in Thailand 153
Fair value gain on financial derivatives of EGCO 39
Provision for investment in OneEnergy -131</t>
      </text>
    </comment>
    <comment ref="V28" authorId="8" shapeId="0">
      <text>
        <t>Ken Liu:
Tax consolidation benefit in AU</t>
      </text>
    </comment>
    <comment ref="W28" authorId="0" shapeId="0">
      <text>
        <t xml:space="preserve">Sun, Abigail:
AU
</t>
      </text>
    </comment>
    <comment ref="X28" authorId="5" shapeId="0">
      <text>
        <t>William Li:
+1953 net gain on CAPCO and PSDC</t>
      </text>
    </comment>
    <comment ref="Y28" authorId="9" shapeId="0">
      <text>
        <t>Li, William-W:
Gain on the dispoal of Iona post tax</t>
      </text>
    </comment>
    <comment ref="J29" authorId="4" shapeId="0">
      <text>
        <t>Stephen Oldfield:
HK$130 million wirte-down of YTL Power, HK$900 million write-down of EGCO</t>
      </text>
    </comment>
    <comment ref="M30" authorId="0" shapeId="0">
      <text>
        <t>Sun, Abigail:
property disposal gain/Hok Un redevelopment profit</t>
      </text>
    </comment>
    <comment ref="V30" authorId="8" shapeId="0">
      <text>
        <t>Ken Liu:
Yallourn outage</t>
      </text>
    </comment>
    <comment ref="X30" authorId="10" shapeId="0">
      <text>
        <t>Liu, Ken:
deemed disposal gain (goodwill + revaluation gain) of 40% CAPCO =+(12000-6801.5)/0.3*0.4-741*0.4
termination of lease accounting loss -4508
deemed disposal gain of 49% interest in PSDC =(3790-44)*0.49
245 REVAL on argyle st site</t>
      </text>
    </comment>
    <comment ref="Y30" authorId="9" shapeId="0">
      <text>
        <t>Li, William-W:
Breakfee on EnergyAus debt: -858
Provision for EnergyAus: -1480</t>
      </text>
    </comment>
    <comment ref="S45" authorId="7" shapeId="0">
      <text>
        <t>Peng Yuxiao:
Q1 DPS: HK$0.52</t>
      </text>
    </comment>
    <comment ref="AI49" authorId="11" shapeId="0">
      <text>
        <t>Eason Tang:
assume flat given near term fundamental challenge from oversea business</t>
      </text>
    </comment>
    <comment ref="R52" authorId="1" shapeId="0">
      <text>
        <t>powda:
Repurchase of shares: 2102.500</t>
      </text>
    </comment>
    <comment ref="V52" authorId="8" shapeId="0">
      <text>
        <t>Ken Liu:
placement on 13 Dec 2012</t>
      </text>
    </comment>
    <comment ref="I53" authorId="7" shapeId="0">
      <text>
        <t>Peng Yuxiao:
No. of shares decline due to share repurchase</t>
      </text>
    </comment>
    <comment ref="Q61" authorId="1" shapeId="0">
      <text>
        <t>powda:
Accounting 'interpretation' due to uncertainties about new SOC still. Will be in LT assets again in future</t>
      </text>
    </comment>
    <comment ref="AC65" authorId="2" shapeId="0">
      <text>
        <t>Wu, Sophie:
Including right-of-use assets due to adopting IFRS 16</t>
      </text>
    </comment>
    <comment ref="R72" authorId="1" shapeId="0">
      <text>
        <t>powda:
in 2008 - as non-current assets</t>
      </text>
    </comment>
    <comment ref="S74" authorId="7" shapeId="0">
      <text>
        <t>Peng Yuxiao:
incl. 1692m available for sale investment vs, 224 in 2008. 
According to the accounting policy No. 16, the Group’s unquoted investment in CGN Wind of HK$1,189 million (2008: nil) is treated for accounting purpose as an available-for-sale investment. There is no intention to sell the investment.</t>
      </text>
    </comment>
    <comment ref="F76" authorId="12" shapeId="0">
      <text>
        <t>% of sales based on average 1992-95 Creditors/Total revenue</t>
      </text>
    </comment>
    <comment ref="F80" authorId="12" shapeId="0">
      <text>
        <t>Represents estimated final dividend, normally 63% (historically) of total dividend for the current year to be paid following year</t>
      </text>
    </comment>
    <comment ref="X83" authorId="10" shapeId="0">
      <text>
        <t>Liu, Ken:
from consolidation of CAPCO and PSDC</t>
      </text>
    </comment>
    <comment ref="X91" authorId="10" shapeId="0">
      <text>
        <t>Liu, Ken:
from the conoslidation of CAPCO and PSDC</t>
      </text>
    </comment>
    <comment ref="V94" authorId="8" shapeId="0">
      <text>
        <t>Ken Liu:
120m shares @5 share capital</t>
      </text>
    </comment>
    <comment ref="X97" authorId="10" shapeId="0">
      <text>
        <t>Liu, Ken:
MI of 30% interest in CAPCO
5791 of perpetual capital securities</t>
      </text>
    </comment>
    <comment ref="R107" authorId="1" shapeId="0">
      <text>
        <t>powda:
AR p193</t>
      </text>
    </comment>
    <comment ref="AE108" authorId="3" shapeId="0">
      <text>
        <t>Lam, Jarvis:
Litigation</t>
      </text>
    </comment>
    <comment ref="J112" authorId="6" shapeId="0">
      <text>
        <t>Danny:
Adjusted for $231</t>
      </text>
    </comment>
    <comment ref="K112" authorId="6" shapeId="0">
      <text>
        <t>Danny:
Excluded $340 One-off rebate</t>
      </text>
    </comment>
    <comment ref="L112" authorId="6" shapeId="0">
      <text>
        <t>Danny:
Excluded $119 one-off rebate</t>
      </text>
    </comment>
    <comment ref="K113" authorId="6" shapeId="0">
      <text>
        <t>Danny:
Excluded $99 One-off rebate</t>
      </text>
    </comment>
    <comment ref="L113" authorId="6" shapeId="0">
      <text>
        <t>Danny:
Excluded $101 One-off rebate</t>
      </text>
    </comment>
    <comment ref="AF114" authorId="3" shapeId="0">
      <text>
        <t>Lam, Jarvis:
715m speical rebates to customers
242m decrease in rent and rates refunds</t>
      </text>
    </comment>
    <comment ref="J116" authorId="6" shapeId="0">
      <text>
        <t>Danny:
Adjusted for $156</t>
      </text>
    </comment>
    <comment ref="Q116" authorId="6" shapeId="0">
      <text>
        <t>huangdaa:
Include $100 for change in restricted cash excluded for cash flow purpose</t>
      </text>
    </comment>
    <comment ref="Z118" authorId="0" shapeId="0">
      <text>
        <t>Sun, Abigail:
excluding changes in "cash restricted for specific purpose"</t>
      </text>
    </comment>
    <comment ref="D119" authorId="6" shapeId="0">
      <text>
        <t>Danny:
Net</t>
      </text>
    </comment>
    <comment ref="E119" authorId="6" shapeId="0">
      <text>
        <t>Danny:
Net</t>
      </text>
    </comment>
    <comment ref="F119" authorId="6" shapeId="0">
      <text>
        <t>Danny:
Net</t>
      </text>
    </comment>
    <comment ref="G119" authorId="6" shapeId="0">
      <text>
        <t>Danny:
Net income</t>
      </text>
    </comment>
    <comment ref="H119" authorId="6" shapeId="0">
      <text>
        <t>Danny:
Net income</t>
      </text>
    </comment>
    <comment ref="I119" authorId="6" shapeId="0">
      <text>
        <t>Danny:
Net income</t>
      </text>
    </comment>
    <comment ref="J119" authorId="6" shapeId="0">
      <text>
        <t>Danny:
Net</t>
      </text>
    </comment>
    <comment ref="R119" authorId="1" shapeId="0">
      <text>
        <t>powda:
-4074 (ar p.145)</t>
      </text>
    </comment>
    <comment ref="U120" authorId="7" shapeId="0">
      <text>
        <t>Peng Yuxiao:
Yallourn impairment impact</t>
      </text>
    </comment>
    <comment ref="U124" authorId="7" shapeId="0">
      <text>
        <t>Peng Yuxiao:
adjusted for impariment of Yallourne</t>
      </text>
    </comment>
    <comment ref="J125" authorId="4" shapeId="0">
      <text>
        <t>Stephen Oldfield:
HK$1470 is div from Laguna Verde, other adjustment is to make balance to cash flow in annual report, page 57</t>
      </text>
    </comment>
    <comment ref="D127" authorId="6" shapeId="0">
      <text>
        <t>Danny:
Investment in power projects outside HK. Per 1995 Annual Report p.49</t>
      </text>
    </comment>
    <comment ref="E127" authorId="6" shapeId="0">
      <text>
        <t>Danny:
Investment in power projects outside HK. Per 1996 Annual Report p.43</t>
      </text>
    </comment>
    <comment ref="F127" authorId="6" shapeId="0">
      <text>
        <t>Danny:
Investment in power projects outside HK. Per 1996 Annual Report p.43</t>
      </text>
    </comment>
    <comment ref="G127" authorId="6" shapeId="0">
      <text>
        <t>Danny:
Investment in power projects outside HK. Per 1998 Annual Report p.50</t>
      </text>
    </comment>
    <comment ref="H127" authorId="6" shapeId="0">
      <text>
        <t>Danny:
Investment in power projects outside HK. Per 1999 Annual Report p.51</t>
      </text>
    </comment>
    <comment ref="I127" authorId="6" shapeId="0">
      <text>
        <t>Danny:
Investment in power projects outside HK. Per 2000 Annual Report p.57</t>
      </text>
    </comment>
    <comment ref="J127" authorId="6" shapeId="0">
      <text>
        <t>Danny:
Investment in power projects outside HK. Per 2000 Annual Report p.57</t>
      </text>
    </comment>
    <comment ref="M127" authorId="6" shapeId="0">
      <text>
        <t>Danny:
+$659 Dispose other inv
-$326 forward contracts
+$1,155 retirement plan
-$354 Acquire subsi</t>
      </text>
    </comment>
    <comment ref="N127" authorId="6" shapeId="0">
      <text>
        <t>Danny:
+$55 Dispose other inv
-$183 forward contracts
-$376 Acquire subsi</t>
      </text>
    </comment>
    <comment ref="O127" authorId="6" shapeId="0">
      <text>
        <t xml:space="preserve">Danny:
-$12,439 Acquire subsi
+$46 Dispose other inv
</t>
      </text>
    </comment>
    <comment ref="Y127" authorId="5" shapeId="0">
      <text>
        <t>William Li:
diposal of Iona Gas plant in Australia for HK$9.882bn</t>
      </text>
    </comment>
    <comment ref="D132" authorId="6" shapeId="0">
      <text>
        <t>Danny:
c/y increase in share capital through capitalisation of R.E. No cash effect.</t>
      </text>
    </comment>
    <comment ref="H132" authorId="4" shapeId="0">
      <text>
        <t>Stephen Oldfield:
per 1998 annualr report, page 50</t>
      </text>
    </comment>
    <comment ref="I132" authorId="4" shapeId="0">
      <text>
        <t>Stephen Oldfield:
per 1999 annual report, page 51</t>
      </text>
    </comment>
    <comment ref="K132" authorId="6" shapeId="0">
      <text>
        <t>Danny:
Per 2001 Annual Report p.67 &amp; p.96</t>
      </text>
    </comment>
    <comment ref="X132" authorId="9" shapeId="0">
      <text>
        <t>Li, William-W:
increased due to Perp issuance</t>
      </text>
    </comment>
    <comment ref="I133" authorId="4" shapeId="0">
      <text>
        <t>Stephen Oldfield:
per 1999 annual report page 51</t>
      </text>
    </comment>
    <comment ref="AD135" authorId="10" shapeId="0">
      <text>
        <t>Liu, Ken:
40% of india's capex from MI</t>
      </text>
    </comment>
    <comment ref="A137" authorId="0" shapeId="0">
      <text>
        <t>Sun, Abigail:
excluding Interest payment</t>
      </text>
    </comment>
    <comment ref="B141" authorId="6" shapeId="0">
      <text>
        <t>Danny:
c/y includes $9m bank OD; l/y includes $19m OD</t>
      </text>
    </comment>
    <comment ref="C141" authorId="6" shapeId="0">
      <text>
        <t>Danny:
l/y included $9m bank O/D</t>
      </text>
    </comment>
    <comment ref="D141" authorId="6" shapeId="0">
      <text>
        <t>Danny:
Included $2m bank O/D</t>
      </text>
    </comment>
    <comment ref="G141" authorId="6" shapeId="0">
      <text>
        <t>Danny:
Includes changes in bank OD of $3m</t>
      </text>
    </comment>
    <comment ref="H141" authorId="6" shapeId="0">
      <text>
        <t>Danny:
Includes $5m O/D</t>
      </text>
    </comment>
    <comment ref="I141" authorId="6" shapeId="0">
      <text>
        <t>Danny:
Include $13m bank O/D</t>
      </text>
    </comment>
    <comment ref="J141" authorId="6" shapeId="0">
      <text>
        <t>Danny:
Include $13m O/D</t>
      </text>
    </comment>
    <comment ref="X149" authorId="10" shapeId="0">
      <text>
        <t>Liu, Ken:
proforma shows 47.4%, similar to our estimates</t>
      </text>
    </comment>
    <comment ref="AC154" authorId="0" shapeId="0">
      <text>
        <t>Sun, Abigail:
6381 - Goodwill of AU retail</t>
      </text>
    </comment>
    <comment ref="V159" authorId="8" shapeId="0">
      <text>
        <t>Ken Liu:
excluding the impact of Yallourn mine</t>
      </text>
    </comment>
    <comment ref="AC166" authorId="0" shapeId="0">
      <text>
        <t>Sun, Abigail:
higher nuclear, coal, hydro
lower wind</t>
      </text>
    </comment>
    <comment ref="AA167" authorId="0" shapeId="0">
      <text>
        <t>Sun, Abigail:
Excluding Yangjiang</t>
      </text>
    </comment>
    <comment ref="AC168" authorId="0" shapeId="0">
      <text>
        <t>Sun, Abigail:
Generation: low production from Mount Piper (coal supply) in H1, better in H2
Retail: change of tariff on 1st July -&gt; sustained pressure =&gt; goodwill impairment
Hedge: unfavourable fair value change</t>
      </text>
    </comment>
    <comment ref="AC170" authorId="0" shapeId="0">
      <text>
        <t>Sun, Abigail:
40% stake sold to CDPQ
Plan to buy power transmission asset
H1: loss in Paguthan, higher in Jhajjar, wind, solar</t>
      </text>
    </comment>
    <comment ref="AC172" authorId="0" shapeId="0">
      <text>
        <t>Sun, Abigail:
higher in Ho-Ping
recovery of development expense in Vung Ang II</t>
      </text>
    </comment>
  </commentList>
</comments>
</file>

<file path=xl/comments/comment3.xml><?xml version="1.0" encoding="utf-8"?>
<comments xmlns="http://schemas.openxmlformats.org/spreadsheetml/2006/main">
  <authors>
    <author>Sun, Abigail</author>
    <author>Lam, Jarvis</author>
    <author>Eason Tang</author>
    <author>powda</author>
    <author>oldfiest</author>
    <author>Liu, Ken</author>
    <author>Peng Yuxiao</author>
    <author>William Li</author>
    <author>Ken Liu</author>
  </authors>
  <commentList>
    <comment ref="A10" authorId="0" shapeId="0">
      <text>
        <t>Sun, Abigail:
Sales to GD from HK, and Others</t>
      </text>
    </comment>
    <comment ref="X47" authorId="0" shapeId="0">
      <text>
        <t xml:space="preserve">Sun, Abigail:
One-off from AU
</t>
      </text>
    </comment>
    <comment ref="Y47" authorId="0" shapeId="0">
      <text>
        <t>Sun, Abigail:
one-off from AU</t>
      </text>
    </comment>
    <comment ref="AF51" authorId="1" shapeId="0">
      <text>
        <t>Lam, Jarvis:
H122: 4200</t>
      </text>
    </comment>
    <comment ref="AF52" authorId="1" shapeId="0">
      <text>
        <t xml:space="preserve">Lam, Jarvis:
H122: -726
</t>
      </text>
    </comment>
    <comment ref="AG52" authorId="2" shapeId="0">
      <text>
        <t>Eason Tang:
Operating earnings 
(before fair value movements)</t>
      </text>
    </comment>
    <comment ref="AH52" authorId="2" shapeId="0">
      <text>
        <t>Eason Tang:
Operating earnings 
(before fair value movements)</t>
      </text>
    </comment>
    <comment ref="AF53" authorId="1" shapeId="0">
      <text>
        <t>Lam, Jarvis:
H122: 1240</t>
      </text>
    </comment>
    <comment ref="AF54" authorId="1" shapeId="0">
      <text>
        <t>Lam, Jarvis:
H122: 98</t>
      </text>
    </comment>
    <comment ref="AF55" authorId="1" shapeId="0">
      <text>
        <t xml:space="preserve">Lam, Jarvis:
H122: -126
</t>
      </text>
    </comment>
    <comment ref="X72" authorId="0" shapeId="0">
      <text>
        <t>Sun, Abigail:
2013 number includes 28,514m leased PPE - financial lease from CAPCO
This amount was reclassified as owned assets after the acquisition in 2014
Total NFA number do not change materially.</t>
      </text>
    </comment>
    <comment ref="Y77" authorId="0" shapeId="0">
      <text>
        <t>Sun, Abigail:
segment number:
before 2014: NFA
since 2015: NFA+IP+Leasehold land</t>
      </text>
    </comment>
    <comment ref="W81" authorId="0" shapeId="0">
      <text>
        <t>Sun, Abigail:
including leased assets</t>
      </text>
    </comment>
    <comment ref="Z89" authorId="0" shapeId="0">
      <text>
        <t>Sun, Abigail:
acquisition of Laguna Mall for HQ use: HK$1,238</t>
      </text>
    </comment>
    <comment ref="M95" authorId="0" shapeId="0">
      <text>
        <t>Sun, Abigail:
Consolidated Yallourn (92%)</t>
      </text>
    </comment>
    <comment ref="M97" authorId="0" shapeId="0">
      <text>
        <t xml:space="preserve">Sun, Abigail:
Consolidated GPEC (100%)
</t>
      </text>
    </comment>
    <comment ref="P103" authorId="0" shapeId="0">
      <text>
        <t>Sun, Abigail:
including finance charge under finance lease during 2006-2014</t>
      </text>
    </comment>
    <comment ref="W112" authorId="0" shapeId="0">
      <text>
        <t>Sun, Abigail:
before 2013: including ~HK$2bn "finance charges under finance leases" - arise from the power purchase arrangement with CAPCO in respect of operational generating plant and associated fixed assets,</t>
      </text>
    </comment>
    <comment ref="X112" authorId="0" shapeId="0">
      <text>
        <t>Sun, Abigail:
finance charge under finance leases: -922m</t>
      </text>
    </comment>
    <comment ref="Y112" authorId="0" shapeId="0">
      <text>
        <t>Sun, Abigail:
one-off losses from AU</t>
      </text>
    </comment>
    <comment ref="R119" authorId="3" shapeId="0">
      <text>
        <t>powda:
p.145 AR</t>
      </text>
    </comment>
    <comment ref="U120" authorId="4" shapeId="0">
      <text>
        <t>oldfiest:
includes the sale of EGCO and the reorganisation of OneEnergy</t>
      </text>
    </comment>
    <comment ref="W121" authorId="5" shapeId="0">
      <text>
        <t>Liu, Ken:
 page 215 of pdf</t>
      </text>
    </comment>
    <comment ref="L126" authorId="4" shapeId="0">
      <text>
        <t>oldfiest:
less $10 tax</t>
      </text>
    </comment>
    <comment ref="M126" authorId="4" shapeId="0">
      <text>
        <t>oldfiest:
$36 tax</t>
      </text>
    </comment>
    <comment ref="N126" authorId="4" shapeId="0">
      <text>
        <t>oldfiest:
$48 tax</t>
      </text>
    </comment>
    <comment ref="T126" authorId="6" shapeId="0">
      <text>
        <t>Peng Yuxiao:
In September 2009, the investment in Guangdong Nuclear Power Joint Venture Company, Limited (GNPJVC) has been reclassified from a jointly controlled entity to an associated company.</t>
      </text>
    </comment>
    <comment ref="X126" authorId="7" shapeId="0">
      <text>
        <t>William Li:
+25 to make up to 796 associate earnings</t>
      </text>
    </comment>
    <comment ref="V127" authorId="8" shapeId="0">
      <text>
        <t>Ken Liu:
includes available for sale investment: which is the dividend from CNG stations</t>
      </text>
    </comment>
  </commentList>
</comments>
</file>

<file path=xl/comments/comment4.xml><?xml version="1.0" encoding="utf-8"?>
<comments xmlns="http://schemas.openxmlformats.org/spreadsheetml/2006/main">
  <authors>
    <author>A satisfied Microsoft Office user</author>
    <author>powda</author>
    <author>Peng Yuxiao</author>
    <author>Stephen Oldfield</author>
    <author>Sun, Abigail</author>
    <author>Liu, Ken</author>
  </authors>
  <commentList>
    <comment ref="E11" authorId="0" shapeId="0">
      <text>
        <t xml:space="preserve">Tsing Yi decom expense
</t>
      </text>
    </comment>
    <comment ref="F11" authorId="0" shapeId="0">
      <text>
        <t>Tsing Yi decom expense</t>
      </text>
    </comment>
    <comment ref="G11" authorId="0" shapeId="0">
      <text>
        <t>238: Decom expense for Tsing Yi power station
317: Employee reduction payments
see pg63 of AR</t>
      </text>
    </comment>
    <comment ref="R11" authorId="1" shapeId="0">
      <text>
        <t>powda:
Provision for asset decommissioning
The new SoC provides a cost charging mechanism for CLP Power Hong Kong to charge an amount for the decommissioning
liabilities account for the settlement of future asset decommissioning costs.</t>
      </text>
    </comment>
    <comment ref="S11" authorId="1" shapeId="0">
      <text>
        <t>powda:
Provision for asset decommissioning</t>
      </text>
    </comment>
    <comment ref="T11" authorId="1" shapeId="0">
      <text>
        <t>powda:
Provision for asset decommissioning</t>
      </text>
    </comment>
    <comment ref="U11" authorId="2" shapeId="0">
      <text>
        <t>Peng Yuxiao:
HK$78m - expense for carry out power demand growth feasibility study</t>
      </text>
    </comment>
    <comment ref="K15" authorId="3" shapeId="0">
      <text>
        <t>Stephen Oldfield:
one time tax saving of HK$270 mn - relates to 1999 change in yearend. According to Donald Shang, the company can pay tax as if 1999 was 12 months long rather than 15 months. Rate to return to normal next year.</t>
      </text>
    </comment>
    <comment ref="T18" authorId="2" shapeId="0">
      <text>
        <t>Peng Yuxiao:
performance incentives: positive HK$43m</t>
      </text>
    </comment>
    <comment ref="T27" authorId="2" shapeId="0">
      <text>
        <t>Peng Yuxiao:
performance incentives: positive HK$43m</t>
      </text>
    </comment>
    <comment ref="AB41" authorId="4" shapeId="0">
      <text>
        <t>Sun, Abigail:
Net return after CESF/EEF contribution</t>
      </text>
    </comment>
    <comment ref="X45" authorId="5" shapeId="0">
      <text>
        <t>Liu, Ken:
expected to complete by 1 Jul 2014</t>
      </text>
    </comment>
  </commentList>
</comments>
</file>

<file path=xl/comments/comment5.xml><?xml version="1.0" encoding="utf-8"?>
<comments xmlns="http://schemas.openxmlformats.org/spreadsheetml/2006/main">
  <authors>
    <author>oldfiest</author>
    <author>William Li</author>
    <author>Li, William-W</author>
    <author>Stephen Oldfield</author>
    <author>Sun, Abigail</author>
    <author>Ken Liu</author>
  </authors>
  <commentList>
    <comment ref="R13" authorId="0" shapeId="0">
      <text>
        <t>oldfiest:
to reflect a cut from 1 Oct 2008</t>
      </text>
    </comment>
    <comment ref="Y16" authorId="1" shapeId="0">
      <text>
        <t xml:space="preserve">William Li:
-3.8 to account for the special fuel rebate paid in August 2015
page 263: *** The effective net tariff including the one-off special fuel rebate in 2015 is 110.3 cents per unit.
https://www.clponline.com.hk/faq/residentialcustomersfaq/Pages/ElectricityPrices.aspx?lang=en
</t>
      </text>
    </comment>
    <comment ref="Z16" authorId="2" shapeId="0">
      <text>
        <t xml:space="preserve">Li, William-W:
https://www.clp.com.hk/en/Documents/tariff2016/2016tariff-release-en.pdf?medias=Square&amp;campaign=2016Tariff  </t>
      </text>
    </comment>
    <comment ref="K22" authorId="3" shapeId="0">
      <text>
        <t>Stephen Oldfield:
$273 mil rebate for centenary per interim results</t>
      </text>
    </comment>
    <comment ref="L22" authorId="3" shapeId="0">
      <text>
        <t>Stephen Oldfield:
$220 per customer rebate per 21 Dec 2001 announcement</t>
      </text>
    </comment>
    <comment ref="K23" authorId="3" shapeId="0">
      <text>
        <t>Stephen Oldfield:
HK$99m special rebate per results presentation</t>
      </text>
    </comment>
    <comment ref="AB37" authorId="4" shapeId="0">
      <text>
        <t>Sun, Abigail:
Shekou electricity supply agreement expired in June 2018</t>
      </text>
    </comment>
    <comment ref="V41" authorId="5" shapeId="0">
      <text>
        <t>Ken Liu:
Jan to Aug 3.1% (from HK Census)</t>
      </text>
    </comment>
    <comment ref="V42" authorId="5" shapeId="0">
      <text>
        <t>Ken Liu:
Jan to Aug YTD = 5.5% (from HK census)
CLP Q1: 5.5%; Q2: 7.5%</t>
      </text>
    </comment>
    <comment ref="V43" authorId="5" shapeId="0">
      <text>
        <t>Ken Liu:
Jan to Aug YTD = 1.4%
CLP Q1: 3.7%; Q2: -2.1%</t>
      </text>
    </comment>
    <comment ref="V44" authorId="5" shapeId="0">
      <text>
        <t>Ken Liu:
CLP Q1: 5.9%; Q2: 5.4%</t>
      </text>
    </comment>
    <comment ref="V45" authorId="5" shapeId="0">
      <text>
        <t>Ken Liu:
CLP: Jan-Aug 3.2%</t>
      </text>
    </comment>
    <comment ref="V46" authorId="5" shapeId="0">
      <text>
        <t>Ken Liu:
Jan - Aug YTD sales -8.9%</t>
      </text>
    </comment>
    <comment ref="AA46" authorId="4" shapeId="0">
      <text>
        <t>Sun, Abigail:
Increased sales to Shekou since Q3</t>
      </text>
    </comment>
  </commentList>
</comments>
</file>

<file path=xl/comments/comment6.xml><?xml version="1.0" encoding="utf-8"?>
<comments xmlns="http://schemas.openxmlformats.org/spreadsheetml/2006/main">
  <authors>
    <author>Li, William-W</author>
    <author>powda</author>
    <author>Ken Liu</author>
    <author>huangdaa</author>
    <author>srivaspb</author>
    <author>Stephen Oldfield</author>
    <author>Peng Yuxiao</author>
    <author>William Li</author>
    <author>Wu, Sophie</author>
    <author>Liu, Ken</author>
  </authors>
  <commentList>
    <comment ref="Y6" authorId="0" shapeId="0">
      <text>
        <t>Li, William-W:
1264 of special fuel rebate</t>
      </text>
    </comment>
    <comment ref="R7" authorId="1" shapeId="0">
      <text>
        <t>powda:
AR p.140</t>
      </text>
    </comment>
    <comment ref="V7" authorId="2" shapeId="0">
      <text>
        <t>Ken Liu:
700m</t>
      </text>
    </comment>
    <comment ref="J20" authorId="3" shapeId="0">
      <text>
        <t>Danny:
Transfer to Special provision account</t>
      </text>
    </comment>
    <comment ref="R20" authorId="1" shapeId="0">
      <text>
        <t>powda:
Charge for asset decommissioning</t>
      </text>
    </comment>
    <comment ref="S20" authorId="4" shapeId="0">
      <text>
        <t>srivaspb:
charge for asset decomissioning.  Pg 185 note b.</t>
      </text>
    </comment>
    <comment ref="L21" authorId="5" shapeId="0">
      <text>
        <t>Stephen Oldfield:
HK$910 mn rebate split about 2/3,1/3 between dev fund and rate red resv (we've used 70%/30%)</t>
      </text>
    </comment>
    <comment ref="V21" authorId="2" shapeId="0">
      <text>
        <t>Ken Liu:
expects fund balance to be HK$700m (2013 tariff review)</t>
      </text>
    </comment>
    <comment ref="J25" authorId="3" shapeId="0">
      <text>
        <t>Danny:
Transfer from Development fund</t>
      </text>
    </comment>
    <comment ref="J26" authorId="3" shapeId="0">
      <text>
        <t>Danny:
Transfer to P&amp;L</t>
      </text>
    </comment>
    <comment ref="V38" authorId="6" shapeId="0">
      <text>
        <t xml:space="preserve">Peng Yuxiao:
Company guides that rents and rates refund is more than one year of rebate. 
Ken Liu
A CLP spokeswoman said the ruling meant they had been overcharged in rents and rates. "We will review the judgment in detail to assess its impact on CLP and our next steps," she said. It also means the department's actual refund to the firm depends on the valuation method favoured by the tribunal. Even before the case concluded, the government had refunded CLP HK$1.6 billion by the end of last year. (Apr 2013)
</t>
      </text>
    </comment>
    <comment ref="X38" authorId="7" shapeId="0">
      <text>
        <t>William Li:
The interim refunds received by CLP Power Hong Kong from the Hong Kong Government in 2012 and 2013 totalling HK$1,641 million had been fully expended in Rent and Rates Special Rebate provided to customers during 2012 and 2013. In 2014, a further interim refund of HK$72 million was received. These interim refunds were made by the Hong Kong Government without prejudice to the final outcome of the appeals which means that these amounts will be adjusted by reference to the decisions of the Lands Tribunal and subsequent appeals.</t>
      </text>
    </comment>
    <comment ref="V46" authorId="2" shapeId="0">
      <text>
        <t>Ken Liu:
should exclude the abnormal generation, think should be from pumped storage</t>
      </text>
    </comment>
    <comment ref="U48" authorId="6" shapeId="0">
      <text>
        <t xml:space="preserve">Peng Yuxiao:
H111 operating expenses up HK$113m, or 7% YoY
Company guidance for the full year 2012 of HK$3.9bn, up c.6% YoY
</t>
      </text>
    </comment>
    <comment ref="U50" authorId="6" shapeId="0">
      <text>
        <t>Peng Yuxiao:
H111 operating expenses up HK$113m, or 7% YoY</t>
      </text>
    </comment>
    <comment ref="V50" authorId="6" shapeId="0">
      <text>
        <t>Peng Yuxiao:
H111 operating expenses up HK$113m, or 7% YoY</t>
      </text>
    </comment>
    <comment ref="AC50" authorId="8" shapeId="0">
      <text>
        <t>Wu, Sophie:
power sales to China = 0</t>
      </text>
    </comment>
    <comment ref="V56" authorId="2" shapeId="0">
      <text>
        <t>Ken Liu:
increased import because of conveyor belt accident in August during typhoon</t>
      </text>
    </comment>
    <comment ref="A58" authorId="2" shapeId="0">
      <text>
        <t>Ken Liu:
https://www.clpgroup.com/ourvalues/report/Pages/sustainabilityreport.aspx
(on the RHS bar)</t>
      </text>
    </comment>
    <comment ref="Y58" authorId="9" shapeId="0">
      <text>
        <t>Liu, Ken:
CLP file to legco shws that they expect gas fired generation to reach 10900+5530 = 16430 GWh</t>
      </text>
    </comment>
    <comment ref="Y65" authorId="2" shapeId="0">
      <text>
        <t>Ken Liu:
government target is 52%
Company forecast, 45% (2013 tariff review)
We assume the desulphurisation equipments can perform better</t>
      </text>
    </comment>
    <comment ref="AD65" authorId="9" shapeId="0">
      <text>
        <t xml:space="preserve">Liu, Ken:
target to 45% </t>
      </text>
    </comment>
    <comment ref="AN65" authorId="9" shapeId="0">
      <text>
        <t>Liu, Ken:
around 60% according to company PPT 2017 Jun</t>
      </text>
    </comment>
    <comment ref="V69" authorId="2" shapeId="0">
      <text>
        <t>Ken Liu:
around 10bn (2013 tariff review)</t>
      </text>
    </comment>
    <comment ref="W76" authorId="9" shapeId="0">
      <text>
        <t>Liu, Ken:
Janis said coal was around 5.2bn. Others are included here for easier modelling</t>
      </text>
    </comment>
    <comment ref="AE76" authorId="9" shapeId="0">
      <text>
        <t>Liu, Ken:
 from ppt</t>
      </text>
    </comment>
    <comment ref="W82" authorId="9" shapeId="0">
      <text>
        <t xml:space="preserve">Liu, Ken:
Checked with Janis ~ 4bn </t>
      </text>
    </comment>
    <comment ref="U83" authorId="2" shapeId="0">
      <text>
        <t>Ken Liu:
company said Yacheng is around  US$6mmbtu</t>
      </text>
    </comment>
    <comment ref="V83" authorId="2" shapeId="0">
      <text>
        <t>Ken Liu:
implied, by assuming a smooth transition</t>
      </text>
    </comment>
    <comment ref="V84" authorId="2" shapeId="0">
      <text>
        <t>Ken Liu:
2013 tariff review presentation slides to the Legislative council</t>
      </text>
    </comment>
    <comment ref="V85" authorId="2" shapeId="0">
      <text>
        <t>Ken Liu:
2013 tariff review presentation slides to the Legislative council</t>
      </text>
    </comment>
    <comment ref="V86" authorId="2" shapeId="0">
      <text>
        <t>Ken Liu:
2013 tariff review presentation slides to the Legislative council</t>
      </text>
    </comment>
    <comment ref="AB88" authorId="9" shapeId="0">
      <text>
        <t>Liu, Ken:
from PPT slides 39</t>
      </text>
    </comment>
    <comment ref="AF89" authorId="9" shapeId="0">
      <text>
        <t>Liu, Ken:
CLP got its own LNG termal for cheaper gas</t>
      </text>
    </comment>
    <comment ref="X90" authorId="9" shapeId="0">
      <text>
        <t>Liu, Ken:
The mix was updated from CLP's doc to legco, page 8, in Dec 2013</t>
      </text>
    </comment>
    <comment ref="X91" authorId="7" shapeId="0">
      <text>
        <t>William Li:
Black Point facility performance stats</t>
      </text>
    </comment>
    <comment ref="V100" authorId="2" shapeId="0">
      <text>
        <t>Ken Liu:
Oil turned on, so more polluting</t>
      </text>
    </comment>
    <comment ref="Y115" authorId="0" shapeId="0">
      <text>
        <t>Li, William-W:
ok to fail. CLP said you can transfer emission cap from other power stations. As long as overall emissions does not fail</t>
      </text>
    </comment>
  </commentList>
</comments>
</file>

<file path=xl/comments/comment7.xml><?xml version="1.0" encoding="utf-8"?>
<comments xmlns="http://schemas.openxmlformats.org/spreadsheetml/2006/main">
  <authors>
    <author>Powell, Simon</author>
    <author>Liu, Ken</author>
    <author>Sun, Abigail</author>
    <author>Lam, Jarvis</author>
    <author>Peng Yuxiao</author>
    <author>Chow, David</author>
    <author>Eason Tang</author>
  </authors>
  <commentList>
    <comment ref="AB6" authorId="0" shapeId="0">
      <text>
        <t>Powell, Simon:
current SoC ends 30 Sept so 9 months at 9.99%
 and 3 months at 8%</t>
      </text>
    </comment>
    <comment ref="AC6" authorId="1" shapeId="0">
      <text>
        <t>Liu, Ken:
Assume a lower permitted return starting from 2019</t>
      </text>
    </comment>
    <comment ref="X19" authorId="1" shapeId="0">
      <text>
        <t>Liu, Ken:
goodwill of 7904, from 30% acquired, and 40% deemed disposal of goodwill</t>
      </text>
    </comment>
    <comment ref="S34" authorId="2" shapeId="0">
      <text>
        <t>Sun, Abigail:
200 from PSDC and Group level</t>
      </text>
    </comment>
    <comment ref="W34" authorId="2" shapeId="0">
      <text>
        <t>Sun, Abigail:
assume 200 are under PSDC/Group level</t>
      </text>
    </comment>
    <comment ref="AA34" authorId="2" shapeId="0">
      <text>
        <t xml:space="preserve">Sun, Abigail:
CAPCO issued US$500m bond at 3.25% rate on 26 July 2017
</t>
      </text>
    </comment>
    <comment ref="AG42" authorId="1" shapeId="0">
      <text>
        <t>Liu, Ken:
UBSe 4.2/1.4/1.9 in 23/24/25 for Hk 10 year bond yield, assume 0.75% preimum</t>
      </text>
    </comment>
    <comment ref="AH42" authorId="1" shapeId="0">
      <text>
        <t>Liu, Ken:
UBSe 4.2/1.4/1.9 in 23/24/25 for Hk 10 year bond yield, assume 0.75% preimum</t>
      </text>
    </comment>
    <comment ref="AI42" authorId="3" shapeId="0">
      <text>
        <t xml:space="preserve">Eason Tang:
UBSe HK policy rate 2.5/1.9% for 2025/26
Assume 0.75% premium
</t>
      </text>
    </comment>
    <comment ref="X46" authorId="2" shapeId="0">
      <text>
        <t xml:space="preserve">Sun, Abigail:
CLP consolidated CAPCO in 12 May 2014
</t>
      </text>
    </comment>
    <comment ref="W54" authorId="2" shapeId="0">
      <text>
        <t>Liu, Ken:
5459 = T&amp;D
171 = customer and corporate service development</t>
      </text>
    </comment>
    <comment ref="AA55" authorId="2" shapeId="0">
      <text>
        <t>Powell, Simon:
Company guides 5bn for a 550MW CCGT in Black Point over 17 /18 / 19 
(AR16 P37)
The total estimated capital expenditure (CAPEX) of the new gas unit is about $5,547 million. Of the $5,547 million CAPEX, $3,575 million will be incurred over the remaining period of the existing Scheme of Control Agreement (SCA), which will expire on September 30, 2018. After offsetting by adjustments and savings from other capital projects, the total CAPEX as approved in the CLP's 2014-18 Development Plan will increase from $34.1 billion to $37.1 billion.</t>
      </text>
    </comment>
    <comment ref="AC55" authorId="2" shapeId="0">
      <text>
        <t xml:space="preserve">Sun, Abigail:
LNG terminal 2800
</t>
      </text>
    </comment>
    <comment ref="A63" authorId="4" shapeId="0">
      <text>
        <t>Peng Yuxiao:
6,908MW from CAPCO
Others include Daya Bay and PSDC</t>
      </text>
    </comment>
    <comment ref="AH71" authorId="5" shapeId="0">
      <text>
        <t>Chow, David:
Units A1, A2 and A3 units of Castle Peak Power Station, with a combined capacity of 1,050MW, were retired as of 20 April 2024.</t>
      </text>
    </comment>
    <comment ref="AG72" authorId="2" shapeId="0">
      <text>
        <t>Sun, Abigail:
Approved under new PDP for 2018-23E</t>
      </text>
    </comment>
    <comment ref="AH72" authorId="5" shapeId="0">
      <text>
        <t>Chow, David:
Units A1, A2 and A3 units of Castle Peak Power Station, with a combined capacity of 1,050MW, were retired as of 20 April 2024.</t>
      </text>
    </comment>
    <comment ref="U90" authorId="2" shapeId="0">
      <text>
        <t>Sun, Abigail:
Oct 2018 - Dec 2023</t>
      </text>
    </comment>
    <comment ref="U92" authorId="6" shapeId="0">
      <text>
        <t xml:space="preserve">Eason Tang:
https://hk.news.yahoo.com/%E4%B8%AD%E9%9B%BB-00002-%E4%BA%94%E5%B9%B4%E7%99%BC%E5%B1%95%E8%A8%88%E5%8A%83%E7%8D%B2%E6%89%B931-52%E5%84%84%E5%85%83%E9%A1%8D%E5%A4%96%E8%B3%87%E6%9C%AC%E6%8A%95%E8%B3%87-085234204.html
</t>
      </text>
    </comment>
    <comment ref="V94" authorId="6" shapeId="0">
      <text>
        <t>Eason Tang:24-28 Development plan announced on 28th Nov 2023</t>
      </text>
    </comment>
  </commentList>
</comments>
</file>

<file path=xl/comments/comment8.xml><?xml version="1.0" encoding="utf-8"?>
<comments xmlns="http://schemas.openxmlformats.org/spreadsheetml/2006/main">
  <authors>
    <author>Eason Tang</author>
    <author>Sun, Abigail</author>
    <author>Lam, Jarvis</author>
    <author>Wu, Sophie</author>
    <author>Chow, David</author>
  </authors>
  <commentList>
    <comment ref="AH2" authorId="0" shapeId="0">
      <text>
        <t>Eason Tang:
UBSe</t>
      </text>
    </comment>
    <comment ref="AI2" authorId="0" shapeId="0">
      <text>
        <t>Eason Tang:
per H125</t>
      </text>
    </comment>
    <comment ref="X6" authorId="1" shapeId="0">
      <text>
        <t>Sun, Abigail:
Decline: reclassification of PSDC (49% to 100%);
Rise: new investment in ShenGang Natural Gas Pipeline</t>
      </text>
    </comment>
    <comment ref="Z7" authorId="1" shapeId="0">
      <text>
        <t>Sun, Abigail:
GNPJVC (25%)
Operates Daya Bay to generate electricity and supply to HK and Guangdong</t>
      </text>
    </comment>
    <comment ref="X10" authorId="1" shapeId="0">
      <text>
        <t>Sun, Abigail:
Amor of the capacity right to use 50% of PSDC until 2034;
such right was acquired through the PSDC acquisition in May 2014</t>
      </text>
    </comment>
    <comment ref="AF19" authorId="2" shapeId="0">
      <text>
        <t xml:space="preserve">Lam, Jarvis:
Loss on sale of Fangchenggang
</t>
      </text>
    </comment>
    <comment ref="AI26" authorId="0" shapeId="0">
      <text>
        <t xml:space="preserve">Eason Tang:
H125 -29% YoY despite capacity addition
</t>
      </text>
    </comment>
    <comment ref="AI27" authorId="0" shapeId="0">
      <text>
        <t>Eason Tang:
H125 39% YoY</t>
      </text>
    </comment>
    <comment ref="AI28" authorId="0" shapeId="0">
      <text>
        <t>Eason Tang:
H125 -3%YoY</t>
      </text>
    </comment>
    <comment ref="AA31" authorId="1" shapeId="0">
      <text>
        <t>Sun, Abigail:
2015 NP of 17% stake: HK$165m (1.5 units);
2017: 3 units - full year
1 units - March 2017
YJ expected to be consolidated in Dec 2017</t>
      </text>
    </comment>
    <comment ref="A41" authorId="1" shapeId="0">
      <text>
        <t>Sun, Abigail:
HKBL: the Shengang Natural Gas Pipeline (40% - JV)
transport gas from Petro China's pipeline to Black Point Power Station in HK</t>
      </text>
    </comment>
    <comment ref="AI42" authorId="0" shapeId="0">
      <text>
        <t xml:space="preserve">Eason Tang:
H125 12% decline due to power tariff cut in yangjiang and renewable portfolio weakness.
</t>
      </text>
    </comment>
    <comment ref="X55" authorId="1" shapeId="0">
      <text>
        <t>Sun, Abigail:
CLP shared no profit from Guohua &amp; Shenmu in 2014, under the Share Transfer Agreement.</t>
      </text>
    </comment>
    <comment ref="AC68" authorId="3" shapeId="0">
      <text>
        <t xml:space="preserve">Wu, Sophie:
acquisition of 100% stake in Meizhou Pingyuan Solar </t>
      </text>
    </comment>
    <comment ref="AH73" authorId="4" shapeId="0">
      <text>
        <t>Chow, David:
exited SZPC</t>
      </text>
    </comment>
    <comment ref="AG79" authorId="0" shapeId="0">
      <text>
        <t>Eason Tang:
5% down due to power tariff decline</t>
      </text>
    </comment>
    <comment ref="AH79" authorId="0" shapeId="0">
      <text>
        <t>Eason Tang:
5% down due to power tariff decline</t>
      </text>
    </comment>
    <comment ref="AG81" authorId="0" shapeId="0">
      <text>
        <t>Eason Tang:
5% down due to power tariff decline</t>
      </text>
    </comment>
    <comment ref="AH81" authorId="0" shapeId="0">
      <text>
        <t>Eason Tang:
5% down due to power tariff decline</t>
      </text>
    </comment>
    <comment ref="Z88" authorId="1" shapeId="0">
      <text>
        <t>Sun, Abigail:
Fangchenggang II only start operation in Dec 2016</t>
      </text>
    </comment>
    <comment ref="A125" authorId="1" shapeId="0">
      <text>
        <t>Sun, Abigail:
80% send to HK</t>
      </text>
    </comment>
    <comment ref="A126" authorId="1" shapeId="0">
      <text>
        <t>Sun, Abigail:
The generation facility serves HK</t>
      </text>
    </comment>
    <comment ref="Z127" authorId="1" shapeId="0">
      <text>
        <t>Sun, Abigail:
Fangchenggang II started operation in Dec 2016</t>
      </text>
    </comment>
    <comment ref="AF127" authorId="2" shapeId="0">
      <text>
        <t>Lam, Jarvis:
Disposed all of the 70% holdings in FCG to phase out coal based assets</t>
      </text>
    </comment>
    <comment ref="AF128" authorId="2" shapeId="0">
      <text>
        <t>Lam, Jarvis:
Transferred Shiheng (370MW) back to local partner at the end of Built-Operate-Transfer contract</t>
      </text>
    </comment>
    <comment ref="AH128" authorId="4" shapeId="0">
      <text>
        <t>Chow, David:
Exited SZPC</t>
      </text>
    </comment>
    <comment ref="AD132" authorId="3" shapeId="0">
      <text>
        <t>Wu, Sophie:
Laiwu III 50MW</t>
      </text>
    </comment>
    <comment ref="AF132" authorId="2" shapeId="0">
      <text>
        <t>Lam, Jarvis:
5MW battery storage project</t>
      </text>
    </comment>
    <comment ref="AG132" authorId="2" shapeId="0">
      <text>
        <t xml:space="preserve">Lam, Jarvis:
50MW addition in Yunnan
</t>
      </text>
    </comment>
    <comment ref="AH132" authorId="4" shapeId="0">
      <text>
        <t>Chow, David:
include 20MW wind BESS</t>
      </text>
    </comment>
    <comment ref="AH135" authorId="4" shapeId="0">
      <text>
        <t>Chow, David:
include 27MW solar BESS</t>
      </text>
    </comment>
    <comment ref="AA136" authorId="1" shapeId="0">
      <text>
        <t>Sun, Abigail:
Acquired 17% stake from CGN on 30 Nov 2016.
@HK$5.6bn
Capacity: 
six 1,086MW units
3 in operation in 2016
3 under construction, expecting to start operation in 2017-19.</t>
      </text>
    </comment>
    <comment ref="AG136" authorId="2" shapeId="0">
      <text>
        <t xml:space="preserve">Lam, Jarvis:
80MW addition in Jiangsu and 100MW in Guangdong
</t>
      </text>
    </comment>
    <comment ref="AI160" authorId="0" shapeId="0">
      <text>
        <t xml:space="preserve">Eason Tang:
aim to achieve 6GW renewable portfolio from 2.3GW by 2030
Management not plant to pursuing growth at all costs. Company are focusing on areas where they can have predicatable cash flow with reason able returns. </t>
      </text>
    </comment>
    <comment ref="AA163" authorId="1" shapeId="0">
      <text>
        <t>Sun, Abigail:
For YJ purchase</t>
      </text>
    </comment>
    <comment ref="AI164" authorId="0" shapeId="0">
      <text>
        <t>Eason Tang:
2025/26 UBSe 1.0%, down 0.2% from 1.5% in 2024</t>
      </text>
    </comment>
  </commentList>
</comments>
</file>

<file path=xl/comments/comment9.xml><?xml version="1.0" encoding="utf-8"?>
<comments xmlns="http://schemas.openxmlformats.org/spreadsheetml/2006/main">
  <authors>
    <author>Lam, Jarvis</author>
    <author>Peng Yuxiao</author>
    <author>Sun, Abigail</author>
    <author>Chow, David</author>
    <author>Ken Liu</author>
    <author>Liu, Ken</author>
    <author>Eason Tang</author>
    <author>Wu, Sophie</author>
  </authors>
  <commentList>
    <comment ref="AI2" authorId="0" shapeId="0">
      <text>
        <t>Lam, Jarvis:
per H125</t>
      </text>
    </comment>
    <comment ref="S5" authorId="1" shapeId="0">
      <text>
        <t>Peng Yuxiao:
The 420MW combined cycle gas-fi red Tallawarra Power Station began commercial operations on 23 January 2009 and offi cially
opened on 31 March</t>
      </text>
    </comment>
    <comment ref="S9" authorId="1" shapeId="0">
      <text>
        <t>Peng Yuxiao:
Due to loss of Roaring 40s of 31m
Availability at both Bluff Point and Studland Bay wind farms was lower than the previous year mainly due to a gearbox maintenance programme. Production was assisted by the removal of a transmission constraint in May 2009 and higher average wind speeds. 
Production from Cathedral Rocks was lower than the previous year due to transmission constraint and lower availability, in part due to a turbine fi re in February 2009.</t>
      </text>
    </comment>
    <comment ref="T9" authorId="1" shapeId="0">
      <text>
        <t>Peng Yuxiao:
incl. write off of goodwill of 258m</t>
      </text>
    </comment>
    <comment ref="S10" authorId="1" shapeId="0">
      <text>
        <t>Peng Yuxiao:
incl. provision for Solar Systems 346m</t>
      </text>
    </comment>
    <comment ref="Z10" authorId="2" shapeId="0">
      <text>
        <t xml:space="preserve">Sun, Abigail:
Redback Technologies </t>
      </text>
    </comment>
    <comment ref="T11" authorId="2" shapeId="0">
      <text>
        <t>Sun, Abigail:
-33: renewables</t>
      </text>
    </comment>
    <comment ref="AG11" authorId="3" shapeId="0">
      <text>
        <t>Chow, David:
use presentation figure, page 46 - Total EBITDAF</t>
      </text>
    </comment>
    <comment ref="V13" authorId="4" shapeId="0">
      <text>
        <t>Ken Liu:
adjusted to add another 2 months contribution</t>
      </text>
    </comment>
    <comment ref="O14" authorId="2" shapeId="0">
      <text>
        <t>Sun, Abigail:
arising from the long term hedge agreement with Ecogen from the acquisition of MEB in May 2005</t>
      </text>
    </comment>
    <comment ref="AC17" authorId="5" shapeId="0">
      <text>
        <t>Liu, Ken:
Sales to C&amp;I customers transferred from Energy to Customer
H219 could be zero, since regulatory changes on 1 July 2019 taking 240-300m HKD profit away from retail; that implies EBITF of around HK$350-430m reduction
H219 retail EBITF should be 470-400 = 70. But assume churn to stablise from here
H120: -303
H219: 209
H119: 470 (reallocated, now is 248)
H218: 530
H118: 1001
H217:1372
H117: 1618</t>
      </text>
    </comment>
    <comment ref="AE17" authorId="5" shapeId="0">
      <text>
        <t>Liu, Ken:
H221: 524 
H121: 295
H220: 567
H120: -303
H219: 209
H119: 470 (reallocated, now is 248)
H218: 530
H118: 1001
H217:1372
H117: 1618</t>
      </text>
    </comment>
    <comment ref="AF17" authorId="0" shapeId="0">
      <text>
        <t>Lam, Jarvis:
H122: 779
H221: 524 
H121: 295 (restated to 333)
H220: 567
H120: -303
H219: 209
H119: 470 (reallocated, now is 248)
H218: 530
H118: 1001
H217:1372
H117: 1618</t>
      </text>
    </comment>
    <comment ref="AG17" authorId="0" shapeId="0">
      <text>
        <t xml:space="preserve">Lam, Jarvis:
Change of disclosure since 2023, EBITDAF disclosed instead of EBITF </t>
      </text>
    </comment>
    <comment ref="AC19" authorId="5" shapeId="0">
      <text>
        <t xml:space="preserve">Liu, Ken:
H220 1.3bn
H120 2.3bn
H219 1.4bn
H119 2.2bn
H218 2.4bn
H118 3.0bn
1/3 of decline from lower pool prices
2/3 of decline from Yallourn and Mt piper outages
if we were to normalise, H119 could have been 2.7bn
CLP expects 1/2 of the problem could be fixed in H2, and the other 1/2 in H120
</t>
      </text>
    </comment>
    <comment ref="AE19" authorId="5" shapeId="0">
      <text>
        <t>Liu, Ken:
H221 -0.2bn
H121 1.6bn
H220 1.1bn
H120 2.3bn
H219 1.4bn
H119 2.2bn
H218 2.4bn
H118 3.0bn</t>
      </text>
    </comment>
    <comment ref="AF19" authorId="0" shapeId="0">
      <text>
        <t>Lam, Jarvis:
H122 -1.1bn
H221 -0.2bn
H121 1.6bn
H220 1.1bn
H120 2.3bn
H219 1.4bn
H119 2.2bn
H218 2.4bn
H118 3.0bn</t>
      </text>
    </comment>
    <comment ref="AF21" authorId="0" shapeId="0">
      <text>
        <t>Lam, Jarvis:
H122 -708
H121 -905</t>
      </text>
    </comment>
    <comment ref="V22" authorId="4" shapeId="0">
      <text>
        <t>Ken Liu:
Mark to H112</t>
      </text>
    </comment>
    <comment ref="AC22" authorId="5" shapeId="0">
      <text>
        <t>Liu, Ken:
fair value adjustment due to rising forward prices which adversely impact contracts to sell energy</t>
      </text>
    </comment>
    <comment ref="AG22" authorId="3" shapeId="0">
      <text>
        <t>Chow, David:
use presentation figure, page 46 - fair value movements, net of tax</t>
      </text>
    </comment>
    <comment ref="AH22" authorId="3" shapeId="0">
      <text>
        <t>Chow, David:
use presentation figure, page 46 - fair value movements, net of tax</t>
      </text>
    </comment>
    <comment ref="AF23" authorId="0" shapeId="0">
      <text>
        <t>Lam, Jarvis:
H122 -1049</t>
      </text>
    </comment>
    <comment ref="AE27" authorId="0" shapeId="0">
      <text>
        <t>Lam, Jarvis:
Tax credit</t>
      </text>
    </comment>
    <comment ref="AF27" authorId="0" shapeId="0">
      <text>
        <t>Lam, Jarvis:
Tax credit</t>
      </text>
    </comment>
    <comment ref="AG27" authorId="3" shapeId="0">
      <text>
        <t>Chow, David:
Tax credit - use presentation figure page 46</t>
      </text>
    </comment>
    <comment ref="AH27" authorId="3" shapeId="0">
      <text>
        <t>Chow, David:
Tax credit - use presentation figure page 46</t>
      </text>
    </comment>
    <comment ref="AF29" authorId="0" shapeId="0">
      <text>
        <t>Lam, Jarvis:
H122 net loss HK$726m</t>
      </text>
    </comment>
    <comment ref="AI29" authorId="6" shapeId="0">
      <text>
        <t>Eason Tang:
H125 73% YoY decline mainly due to retail</t>
      </text>
    </comment>
    <comment ref="AG30" authorId="3" shapeId="0">
      <text>
        <t>Chow, David:
Impairment of goodwill of Customer business</t>
      </text>
    </comment>
    <comment ref="AE31" authorId="0" shapeId="0">
      <text>
        <t xml:space="preserve">Lam, Jarvis:
litigationsettlementandYallournMorwellRiverDiversionsolution.
</t>
      </text>
    </comment>
    <comment ref="AC37" authorId="5" shapeId="0">
      <text>
        <t>Liu, Ken:
H119 down 2%</t>
      </text>
    </comment>
    <comment ref="Y40" authorId="2" shapeId="0">
      <text>
        <t xml:space="preserve">Sun, Abigail:
decreased volume due to lower sales to low margin C&amp;I customers
</t>
      </text>
    </comment>
    <comment ref="AH42" authorId="3" shapeId="0">
      <text>
        <t>Chow, David:
from presentation, page 49, Sales Revenue (A$m)</t>
      </text>
    </comment>
    <comment ref="AH50" authorId="3" shapeId="0">
      <text>
        <t>Chow, David:
from presentation, page 49, Sales Revenue (A$m)</t>
      </text>
    </comment>
    <comment ref="AD52" authorId="5" shapeId="0">
      <text>
        <t>Liu, Ken:
H119 HK$470 (reallocated to 209)
H219 had HK$209m H120 (303)</t>
      </text>
    </comment>
    <comment ref="AD61" authorId="7" shapeId="0">
      <text>
        <t>Wu, Sophie:
Capacity increased by 30MW in early 2020</t>
      </text>
    </comment>
    <comment ref="AB62" authorId="2" shapeId="0">
      <text>
        <t>Sun, Abigail:
EnergyAustralia acquired Ecogen in April 2018, which included Newport and Jeeralang</t>
      </text>
    </comment>
    <comment ref="A70" authorId="2" shapeId="0">
      <text>
        <t>Sun, Abigail:
Acquired in 2013</t>
      </text>
    </comment>
    <comment ref="AG71" authorId="3" shapeId="0">
      <text>
        <t>Chow, David:
doesn’t report starting 2023 assume same as 2022</t>
      </text>
    </comment>
    <comment ref="AH71" authorId="3" shapeId="0">
      <text>
        <t>Chow, David:
doesn’t report starting 2023 assume same as 2022</t>
      </text>
    </comment>
    <comment ref="AG72" authorId="3" shapeId="0">
      <text>
        <t>Chow, David:
doesn’t report starting 2023 assume same as 2022</t>
      </text>
    </comment>
    <comment ref="AH72" authorId="3" shapeId="0">
      <text>
        <t>Chow, David:
doesn’t report starting 2023 assume same as 2022</t>
      </text>
    </comment>
    <comment ref="AG73" authorId="3" shapeId="0">
      <text>
        <t>Chow, David:
doesn’t report starting 2023 assume same as 2022</t>
      </text>
    </comment>
    <comment ref="AH73" authorId="3" shapeId="0">
      <text>
        <t>Chow, David:
doesn’t report starting 2023 assume same as 2022</t>
      </text>
    </comment>
    <comment ref="AG74" authorId="3" shapeId="0">
      <text>
        <t>Chow, David:
doesn’t report starting 2023 assume same as 2022</t>
      </text>
    </comment>
    <comment ref="AH74" authorId="3" shapeId="0">
      <text>
        <t>Chow, David:
doesn’t report starting 2023 assume same as 2022</t>
      </text>
    </comment>
    <comment ref="AC77" authorId="5" shapeId="0">
      <text>
        <t xml:space="preserve">Liu, Ken:
unplanned outage in Mount Piper and Yallourn
</t>
      </text>
    </comment>
    <comment ref="AD77" authorId="5" shapeId="0">
      <text>
        <t xml:space="preserve">Liu, Ken:
unplanned outage in Mount Piper and Yallourn
</t>
      </text>
    </comment>
    <comment ref="AC81" authorId="5" shapeId="0">
      <text>
        <t>Liu, Ken:
higher prices volatility in 2019</t>
      </text>
    </comment>
    <comment ref="AD81" authorId="5" shapeId="0">
      <text>
        <t>Liu, Ken:
higher prices volatility in 2019</t>
      </text>
    </comment>
    <comment ref="AF81" authorId="0" shapeId="0">
      <text>
        <t>Lam, Jarvis:
-ve margin due to contract settlement for power generation shortfall which EA has to purchase eletricity from spot market at high price</t>
      </text>
    </comment>
    <comment ref="A84" authorId="1" shapeId="0">
      <text>
        <t>Peng Yuxiao:
adjusted for currency movement on "debt" page</t>
      </text>
    </comment>
    <comment ref="AA84" authorId="2" shapeId="0">
      <text>
        <t>Sun, Abigail:
the company issued AUD35m debt at 3.92% in end-Nov 2017</t>
      </text>
    </comment>
    <comment ref="U85" authorId="4" shapeId="0">
      <text>
        <t>Ken Liu:
10 months of contributioin from NSW in 2011</t>
      </text>
    </comment>
    <comment ref="AI85" authorId="0" shapeId="0">
      <text>
        <t>Lam, Jarvis:
UBS forecast 100bps rate cut in 2025</t>
      </text>
    </comment>
    <comment ref="W90" authorId="5" shapeId="0">
      <text>
        <t>Liu, Ken:
impairment happened at year end</t>
      </text>
    </comment>
    <comment ref="AI91" authorId="6" shapeId="0">
      <text>
        <t>Eason Tang:
expand contract renewable portfolio to up to 3GW by 2030 and 1.6GW flexible capacity by 2030. 
CapEx will need to increase in EnergyAustralia. 
Will conduct in joint venture to control the capex level.</t>
      </text>
    </comment>
    <comment ref="A101" authorId="2" shapeId="0">
      <text>
        <t>Sun, Abigail:
From AU team</t>
      </text>
    </comment>
  </commentList>
</comments>
</file>

<file path=xl/comments/comment10.xml><?xml version="1.0" encoding="utf-8"?>
<comments xmlns="http://schemas.openxmlformats.org/spreadsheetml/2006/main">
  <authors>
    <author>Sun, Abigail</author>
    <author>Lam, Jarvis</author>
    <author>Chow, David</author>
    <author>Wu, Sophie</author>
    <author>Liu, Ken</author>
    <author>Eason Tang</author>
  </authors>
  <commentList>
    <comment ref="L1" authorId="0" shapeId="0">
      <text>
        <t>Sun, Abigail:
Acquired 80% interest in GPEC - JV</t>
      </text>
    </comment>
    <comment ref="M1" authorId="0" shapeId="0">
      <text>
        <t>Sun, Abigail:
Acquired 100% interest in GPEC - Consolidated</t>
      </text>
    </comment>
    <comment ref="AB1" authorId="0" shapeId="0">
      <text>
        <t>Sun, Abigail:
Sell 40% of CLP India to CDPQ for INR26.4bn</t>
      </text>
    </comment>
    <comment ref="AE8" authorId="1" shapeId="0">
      <text>
        <t xml:space="preserve">Lam, Jarvis:
617m D&amp;A from report
</t>
      </text>
    </comment>
    <comment ref="AF8" authorId="1" shapeId="0">
      <text>
        <t xml:space="preserve">Lam, Jarvis:
283m D&amp;A from report
</t>
      </text>
    </comment>
    <comment ref="AG9" authorId="2" shapeId="0">
      <text>
        <t xml:space="preserve">Chow, David:
Does not report ACOI anymore
</t>
      </text>
    </comment>
    <comment ref="AH9" authorId="2" shapeId="0">
      <text>
        <t xml:space="preserve">Chow, David:
Does not report ACOI anymore
</t>
      </text>
    </comment>
    <comment ref="Z10" authorId="0" shapeId="0">
      <text>
        <t>Sun, Abigail:
Lower generation on lower demand;
Lower tariff effective Apr 2016 under PPA</t>
      </text>
    </comment>
    <comment ref="AG10" authorId="2" shapeId="0">
      <text>
        <t xml:space="preserve">Chow, David:
Does not report ACOI anymore
</t>
      </text>
    </comment>
    <comment ref="AH10" authorId="2" shapeId="0">
      <text>
        <t xml:space="preserve">Chow, David:
Does not report ACOI anymore
</t>
      </text>
    </comment>
    <comment ref="AC11" authorId="3" shapeId="0">
      <text>
        <t>Wu, Sophie:
PPA ended in 2019</t>
      </text>
    </comment>
    <comment ref="AG11" authorId="2" shapeId="0">
      <text>
        <t xml:space="preserve">Chow, David:
Does not report ACOI anymore
</t>
      </text>
    </comment>
    <comment ref="AH11" authorId="2" shapeId="0">
      <text>
        <t xml:space="preserve">Chow, David:
Does not report ACOI anymore
</t>
      </text>
    </comment>
    <comment ref="AG12" authorId="2" shapeId="0">
      <text>
        <t xml:space="preserve">Chow, David:
Does not report ACOI anymore
</t>
      </text>
    </comment>
    <comment ref="AH12" authorId="2" shapeId="0">
      <text>
        <t xml:space="preserve">Chow, David:
Does not report ACOI anymore
</t>
      </text>
    </comment>
    <comment ref="A13" authorId="3" shapeId="0">
      <text>
        <t>Wu, Sophie:
Acquired 1 transmission asset in 2019; plan to acquire the other two in 2020</t>
      </text>
    </comment>
    <comment ref="AG13" authorId="2" shapeId="0">
      <text>
        <t xml:space="preserve">Chow, David:
Does not report ACOI anymore
</t>
      </text>
    </comment>
    <comment ref="AH13" authorId="2" shapeId="0">
      <text>
        <t xml:space="preserve">Chow, David:
Does not report ACOI anymore
</t>
      </text>
    </comment>
    <comment ref="V20" authorId="0" shapeId="0">
      <text>
        <t>Sun, Abigail:
-554: operating loss</t>
      </text>
    </comment>
    <comment ref="AD23" authorId="4" shapeId="0">
      <text>
        <t>Liu, Ken:
assume 30% equity, and then 15% ROE on investment, and attributable earnings is 60%</t>
      </text>
    </comment>
    <comment ref="AB24" authorId="0" shapeId="0">
      <text>
        <t>Sun, Abigail:
provision for Paguthan's deemed generation receivables</t>
      </text>
    </comment>
    <comment ref="AI25" authorId="5" shapeId="0">
      <text>
        <t>Eason Tang:
H125 -61% YoY</t>
      </text>
    </comment>
    <comment ref="V35" authorId="0" shapeId="0">
      <text>
        <t>Sun, Abigail:
one in March
one in July</t>
      </text>
    </comment>
    <comment ref="Y37" authorId="0" shapeId="0">
      <text>
        <t>Sun, Abigail:
Start operation in H215</t>
      </text>
    </comment>
    <comment ref="AA37" authorId="0" shapeId="0">
      <text>
        <t>Sun, Abigail:
50MW solar project - commission by Aug-2017;
the other 50MW to be commissioned in Q4</t>
      </text>
    </comment>
    <comment ref="AC37" authorId="4" shapeId="0">
      <text>
        <t>Liu, Ken:
capex costs Rs60m/kW, so 1.5bn of HKD capex per year will grow capacity by around 250MW</t>
      </text>
    </comment>
    <comment ref="AD37" authorId="4" shapeId="0">
      <text>
        <t>Liu, Ken:
capex costs Rs60m/kW, so 1.5bn of HKD capex per year will grow capacity by around 250MW</t>
      </text>
    </comment>
    <comment ref="AE37" authorId="4" shapeId="0">
      <text>
        <t>Liu, Ken:
capex costs Rs60m/kW, so 1.5bn of HKD capex per year will grow capacity by around 250MW</t>
      </text>
    </comment>
    <comment ref="AH37" authorId="2" shapeId="0">
      <text>
        <t xml:space="preserve">Chow, David:
Construction Projects: 251MW new wind project in Gujarat
550MW solar
</t>
      </text>
    </comment>
    <comment ref="AC39" authorId="1" shapeId="0">
      <text>
        <t xml:space="preserve">Lam, Jarvis:
</t>
      </text>
    </comment>
    <comment ref="AA43" authorId="0" shapeId="0">
      <text>
        <t>Sun, Abigail:
The Yermala wind power project is discontinued in Q117</t>
      </text>
    </comment>
  </commentList>
</comments>
</file>

<file path=xl/comments/comment11.xml><?xml version="1.0" encoding="utf-8"?>
<comments xmlns="http://schemas.openxmlformats.org/spreadsheetml/2006/main">
  <authors>
    <author>Sun, Abigail</author>
    <author>Wu, Sophie</author>
    <author>Lam, Jarvis</author>
    <author>Eason Tang</author>
  </authors>
  <commentList>
    <comment ref="Z7" authorId="0" shapeId="0">
      <text>
        <t>Sun, Abigail:
OneEnergy Taiwan (50%), it owns 40% of Ho-Ping</t>
      </text>
    </comment>
    <comment ref="AC7" authorId="1" shapeId="0">
      <text>
        <t>Wu, Sophie:
lower coal costs and higher energy tariff for Ho-ping power station; Ho-ping's annual energy tariff was increased in 2019 under PPA</t>
      </text>
    </comment>
    <comment ref="A11" authorId="0" shapeId="0">
      <text>
        <t>Sun, Abigail:
Started commercial operation in 2002</t>
      </text>
    </comment>
    <comment ref="AD13" authorId="2" shapeId="0">
      <text>
        <t>Lam, Jarvis:
new classification</t>
      </text>
    </comment>
    <comment ref="R19" authorId="0" shapeId="0">
      <text>
        <t>Sun, Abigail:
high coal cost, and lower ownership from 40% to 20%</t>
      </text>
    </comment>
    <comment ref="P24" authorId="0" shapeId="0">
      <text>
        <t>Sun, Abigail:
disposal gain - injection of Ho-Ping into OneEnergy</t>
      </text>
    </comment>
    <comment ref="Q24" authorId="0" shapeId="0">
      <text>
        <t>Sun, Abigail:
disposal gain - injection of Ho-Ping into OneEnergy</t>
      </text>
    </comment>
    <comment ref="S24" authorId="0" shapeId="0">
      <text>
        <t>Sun, Abigail:
153: gain on sale of PGS
-131: Provision for OneEnergy</t>
      </text>
    </comment>
    <comment ref="U24" authorId="0" shapeId="0">
      <text>
        <t>Sun, Abigail:
Gain on sale of EGCO in Feb 2011</t>
      </text>
    </comment>
    <comment ref="AE24" authorId="2" shapeId="0">
      <text>
        <t>Lam, Jarvis:
Gain on sale of Vietnam project</t>
      </text>
    </comment>
    <comment ref="AI25" authorId="3" shapeId="0">
      <text>
        <t>Eason Tang:
-76% in H125</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image" Target="/xl/media/image1.png" Id="rId2"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23</col>
      <colOff>95250</colOff>
      <row>80</row>
      <rowOff>133350</rowOff>
    </from>
    <to>
      <col>28</col>
      <colOff>257175</colOff>
      <row>94</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41</col>
      <colOff>528060</colOff>
      <row>27</row>
      <rowOff>27842</rowOff>
    </from>
    <to>
      <col>50</col>
      <colOff>98632</colOff>
      <row>44</row>
      <rowOff>69117</rowOff>
    </to>
    <graphicFrame>
      <nvGraphicFramePr>
        <cNvPr id="1" name="Chart 1"/>
        <cNvGraphicFramePr/>
      </nvGraphicFramePr>
      <xfrm/>
      <a:graphic>
        <a:graphicData uri="http://schemas.openxmlformats.org/drawingml/2006/chart">
          <c:chart r:id="rId1"/>
        </a:graphicData>
      </a:graphic>
    </graphicFrame>
    <clientData/>
  </twoCellAnchor>
  <twoCellAnchor>
    <from>
      <col>0</col>
      <colOff>66675</colOff>
      <row>0</row>
      <rowOff>57150</rowOff>
    </from>
    <to>
      <col>0</col>
      <colOff>714375</colOff>
      <row>1</row>
      <rowOff>152400</rowOff>
    </to>
    <pic>
      <nvPicPr>
        <cNvPr id="4901130" name="CoverLogo"/>
        <cNvPicPr>
          <a:picLocks noChangeAspect="1" noChangeArrowheads="1"/>
        </cNvPicPr>
      </nvPicPr>
      <blipFill>
        <a:blip cstate="print" r:embed="rId2"/>
        <a:srcRect/>
        <a:stretch>
          <a:fillRect/>
        </a:stretch>
      </blipFill>
      <spPr bwMode="auto">
        <a:xfrm>
          <a:off x="66675" y="57150"/>
          <a:ext cx="647700" cy="266700"/>
        </a:xfrm>
        <a:prstGeom prst="rect">
          <avLst/>
        </a:prstGeom>
        <a:noFill/>
        <a:ln>
          <a:noFill/>
          <a:prstDash val="solid"/>
        </a:ln>
      </spPr>
    </pic>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40</col>
      <colOff>466725</colOff>
      <row>39</row>
      <rowOff>85725</rowOff>
    </from>
    <to>
      <col>47</col>
      <colOff>123825</colOff>
      <row>60</row>
      <rowOff>152400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42</col>
      <colOff>171450</colOff>
      <row>55</row>
      <rowOff>104775</rowOff>
    </from>
    <to>
      <col>49</col>
      <colOff>85725</colOff>
      <row>78</row>
      <rowOff>95250</rowOff>
    </to>
    <graphicFrame>
      <nvGraphicFramePr>
        <cNvPr id="1" name="Chart 1"/>
        <cNvGraphicFramePr/>
      </nvGraphicFramePr>
      <xfrm/>
      <a:graphic>
        <a:graphicData uri="http://schemas.openxmlformats.org/drawingml/2006/chart">
          <c:chart r:id="rId1"/>
        </a:graphicData>
      </a:graphic>
    </graphicFrame>
    <clientData/>
  </twoCellAnchor>
  <twoCellAnchor>
    <from>
      <col>45</col>
      <colOff>542925</colOff>
      <row>83</row>
      <rowOff>95250</rowOff>
    </from>
    <to>
      <col>53</col>
      <colOff>276225</colOff>
      <row>101</row>
      <rowOff>19050</rowOff>
    </to>
    <graphicFrame>
      <nvGraphicFramePr>
        <cNvPr id="2" name="Chart 2"/>
        <cNvGraphicFramePr/>
      </nvGraphicFramePr>
      <xfrm/>
      <a:graphic>
        <a:graphicData uri="http://schemas.openxmlformats.org/drawingml/2006/chart">
          <c:chart r:id="rId2"/>
        </a:graphicData>
      </a:graphic>
    </graphicFrame>
    <clientData/>
  </twoCellAnchor>
  <twoCellAnchor>
    <from>
      <col>55</col>
      <colOff>446942</colOff>
      <row>13</row>
      <rowOff>28575</rowOff>
    </from>
    <to>
      <col>65</col>
      <colOff>276957</colOff>
      <row>34</row>
      <rowOff>47625</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https://www.google.com/url?sa=t&amp;rct=j&amp;q=&amp;esrc=s&amp;source=web&amp;cd=1&amp;ved=2ahUKEwi649Oeo-PjAhWHPXAKHcpyCBUQFjAAegQIABAC&amp;url=https%3A%2F%2Fwww.clpgroup.com%2Fen%2FMedia-Resources-site%2FCurrent%2520Releases%2F20180703_en.pdf&amp;usg=AOvVaw3JugD4oY5Ns32PMBU-Giat" TargetMode="Externa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2.75"/>
  <sheetData/>
  <pageMargins left="0.7" right="0.7" top="0.75" bottom="0.75" header="0.3" footer="0.3"/>
</worksheet>
</file>

<file path=xl/worksheets/sheet2.xml><?xml version="1.0" encoding="utf-8"?>
<worksheet xmlns="http://schemas.openxmlformats.org/spreadsheetml/2006/main">
  <sheetPr codeName="Sheet2">
    <outlinePr summaryBelow="1" summaryRight="1"/>
    <pageSetUpPr fitToPage="1"/>
  </sheetPr>
  <dimension ref="A1:AA133"/>
  <sheetViews>
    <sheetView showOutlineSymbols="0" zoomScale="130" zoomScaleNormal="130" workbookViewId="0">
      <selection activeCell="V34" sqref="V34"/>
    </sheetView>
  </sheetViews>
  <sheetFormatPr baseColWidth="8" defaultColWidth="9.140625" defaultRowHeight="12.75" outlineLevelRow="1"/>
  <cols>
    <col width="46.140625" customWidth="1" style="285" min="1" max="1"/>
    <col width="10.85546875" customWidth="1" style="285" min="2" max="17"/>
    <col width="38.85546875" bestFit="1" customWidth="1" style="285" min="18" max="18"/>
    <col width="10.140625" bestFit="1" customWidth="1" style="285" min="19" max="19"/>
    <col width="12.42578125" customWidth="1" style="285" min="20" max="20"/>
    <col width="10.42578125" customWidth="1" style="285" min="21" max="21"/>
    <col width="10.7109375" customWidth="1" style="285" min="22" max="22"/>
    <col width="15.28515625" bestFit="1" customWidth="1" style="285" min="23" max="23"/>
    <col width="12.140625" customWidth="1" style="285" min="24" max="24"/>
    <col width="9.140625" customWidth="1" style="285" min="25" max="16384"/>
  </cols>
  <sheetData>
    <row r="1">
      <c r="B1" s="486" t="n"/>
      <c r="D1" s="286" t="n"/>
      <c r="E1" s="286" t="n"/>
      <c r="F1" s="286" t="n"/>
      <c r="G1" s="286" t="n"/>
      <c r="H1" s="286" t="n"/>
      <c r="I1" s="286" t="n"/>
      <c r="J1" s="286" t="n"/>
      <c r="K1" s="286" t="n"/>
      <c r="L1" s="286" t="n"/>
      <c r="M1" s="286" t="n"/>
      <c r="N1" s="286" t="n"/>
      <c r="O1" s="286" t="n"/>
      <c r="P1" s="286" t="n"/>
    </row>
    <row r="2">
      <c r="A2" s="287" t="inlineStr">
        <is>
          <t>Key Assumptions</t>
        </is>
      </c>
    </row>
    <row r="3">
      <c r="A3" s="288" t="inlineStr">
        <is>
          <t>Hong Kong risk-free rate</t>
        </is>
      </c>
      <c r="B3" s="494" t="n">
        <v>0.0372</v>
      </c>
      <c r="D3" s="290" t="inlineStr">
        <is>
          <t>PT</t>
        </is>
      </c>
      <c r="E3" s="495">
        <f>S37</f>
        <v/>
      </c>
      <c r="F3" s="441" t="n"/>
      <c r="R3" s="291" t="inlineStr">
        <is>
          <t>Terminal value and NPV</t>
        </is>
      </c>
    </row>
    <row r="4">
      <c r="A4" s="288" t="inlineStr">
        <is>
          <t>Hong Kong equity risk premium</t>
        </is>
      </c>
      <c r="B4" s="496" t="n">
        <v>0.05</v>
      </c>
      <c r="D4" s="285" t="inlineStr">
        <is>
          <t>Current price</t>
        </is>
      </c>
      <c r="E4" s="285" t="n">
        <v>67.25</v>
      </c>
      <c r="R4" s="285" t="inlineStr">
        <is>
          <t>WACC</t>
        </is>
      </c>
      <c r="S4" s="497">
        <f>B11</f>
        <v/>
      </c>
    </row>
    <row r="5">
      <c r="A5" s="288" t="inlineStr">
        <is>
          <t>CLP beta (X)</t>
        </is>
      </c>
      <c r="B5" s="498" t="n">
        <v>0.5600000000000001</v>
      </c>
      <c r="D5" s="285" t="inlineStr">
        <is>
          <t>Upside</t>
        </is>
      </c>
      <c r="E5" s="473">
        <f>E3/E4-1</f>
        <v/>
      </c>
      <c r="R5" s="285" t="inlineStr">
        <is>
          <t>Terminal return on capital</t>
        </is>
      </c>
      <c r="S5" s="497">
        <f>+B13</f>
        <v/>
      </c>
    </row>
    <row r="6">
      <c r="A6" s="288" t="inlineStr">
        <is>
          <t>CLP cost of equity (%)</t>
        </is>
      </c>
      <c r="B6" s="499">
        <f>B3+B4*B5</f>
        <v/>
      </c>
      <c r="R6" s="285" t="inlineStr">
        <is>
          <t>Terminal growth rate</t>
        </is>
      </c>
      <c r="S6" s="497">
        <f>B12</f>
        <v/>
      </c>
    </row>
    <row r="7">
      <c r="A7" s="288" t="inlineStr">
        <is>
          <t>CLP pre tax cost of debt (%)</t>
        </is>
      </c>
      <c r="B7" s="494" t="n">
        <v>0.03</v>
      </c>
      <c r="V7" s="296" t="inlineStr">
        <is>
          <t>Check</t>
        </is>
      </c>
    </row>
    <row r="8">
      <c r="A8" s="288" t="inlineStr">
        <is>
          <t>Effective tax rate (%)</t>
        </is>
      </c>
      <c r="B8" s="500" t="n">
        <v>0.25</v>
      </c>
      <c r="R8" s="285" t="inlineStr">
        <is>
          <t>NOPAT Multiple</t>
        </is>
      </c>
      <c r="S8" s="501">
        <f>(S5-S6)/(S5*(S4-S6))</f>
        <v/>
      </c>
      <c r="V8" s="299">
        <f>+S8-S23</f>
        <v/>
      </c>
    </row>
    <row r="9">
      <c r="A9" s="288" t="inlineStr">
        <is>
          <t>CLP after tax cost of debt (%)</t>
        </is>
      </c>
      <c r="B9" s="499">
        <f>B7*(1-B8)</f>
        <v/>
      </c>
    </row>
    <row r="10">
      <c r="A10" s="288" t="inlineStr">
        <is>
          <t>L/T debt to total capital ratio (%)</t>
        </is>
      </c>
      <c r="B10" s="502" t="n">
        <v>0.175</v>
      </c>
      <c r="R10" s="291" t="inlineStr">
        <is>
          <t>In 2030 - Group</t>
        </is>
      </c>
    </row>
    <row r="11">
      <c r="A11" s="288" t="inlineStr">
        <is>
          <t>Discount Rate (%)</t>
        </is>
      </c>
      <c r="B11" s="503">
        <f>B6*(1-B10)+B9*B10</f>
        <v/>
      </c>
      <c r="R11" s="285" t="inlineStr">
        <is>
          <t>EBIT, core</t>
        </is>
      </c>
      <c r="S11" s="504">
        <f>Final!AN15</f>
        <v/>
      </c>
      <c r="U11" s="302" t="n"/>
      <c r="V11" s="286" t="n"/>
    </row>
    <row r="12">
      <c r="A12" s="288" t="inlineStr">
        <is>
          <t>Long-term growth rate</t>
        </is>
      </c>
      <c r="B12" s="502" t="n">
        <v>0.02</v>
      </c>
      <c r="R12" s="285" t="inlineStr">
        <is>
          <t>Adjusted tax rate</t>
        </is>
      </c>
      <c r="S12" s="505">
        <f>-Final!AN23/(Final!AN22-Final!AN18-Final!AN19)</f>
        <v/>
      </c>
      <c r="U12" s="473" t="n"/>
      <c r="V12" s="473" t="n"/>
      <c r="W12" s="473" t="n"/>
      <c r="X12" s="473" t="n"/>
      <c r="Y12" s="473" t="n"/>
      <c r="Z12" s="473" t="n"/>
    </row>
    <row r="13">
      <c r="A13" s="285" t="inlineStr">
        <is>
          <t>Implied terminal ROIC</t>
        </is>
      </c>
      <c r="B13" s="506">
        <f>S21</f>
        <v/>
      </c>
      <c r="C13" s="302" t="n"/>
      <c r="D13" s="302" t="n"/>
      <c r="R13" s="285" t="inlineStr">
        <is>
          <t>NOPAT</t>
        </is>
      </c>
      <c r="S13" s="504">
        <f>+S11*(1-S12)</f>
        <v/>
      </c>
      <c r="U13" s="306" t="n"/>
      <c r="V13" s="499" t="n"/>
    </row>
    <row r="14">
      <c r="R14" s="285" t="inlineStr">
        <is>
          <t>Invested capital in 2029</t>
        </is>
      </c>
      <c r="S14" s="504">
        <f>+N77</f>
        <v/>
      </c>
      <c r="U14" s="286" t="n"/>
    </row>
    <row r="15">
      <c r="R15" s="285" t="inlineStr">
        <is>
          <t>Invested capital in 2030</t>
        </is>
      </c>
      <c r="S15" s="504">
        <f>+O77</f>
        <v/>
      </c>
      <c r="U15" s="302" t="n"/>
    </row>
    <row r="16">
      <c r="A16" s="291" t="inlineStr">
        <is>
          <t>Explicit cash flows forecasts</t>
        </is>
      </c>
      <c r="R16" s="285" t="inlineStr">
        <is>
          <t>Average invested capital</t>
        </is>
      </c>
      <c r="S16" s="504">
        <f>AVERAGE(S14:S15)</f>
        <v/>
      </c>
      <c r="U16" s="302" t="n"/>
    </row>
    <row r="17">
      <c r="B17" s="307" t="n"/>
      <c r="C17" s="307" t="n"/>
      <c r="D17" s="307" t="n"/>
      <c r="E17" s="307" t="n"/>
      <c r="F17" s="307" t="n"/>
      <c r="G17" s="307" t="n"/>
      <c r="H17" s="307" t="n"/>
      <c r="I17" s="307" t="n"/>
      <c r="J17" s="307" t="n"/>
      <c r="K17" s="307" t="n"/>
      <c r="L17" s="307" t="n"/>
      <c r="M17" s="307" t="n"/>
      <c r="N17" s="307" t="n"/>
      <c r="O17" s="307" t="n"/>
      <c r="P17" s="307" t="n"/>
      <c r="R17" s="285" t="inlineStr">
        <is>
          <t>Return on capital</t>
        </is>
      </c>
      <c r="S17" s="505">
        <f>S13/S16</f>
        <v/>
      </c>
      <c r="U17" s="302" t="n"/>
    </row>
    <row r="18">
      <c r="A18" s="287" t="inlineStr">
        <is>
          <t>HK$ Million</t>
        </is>
      </c>
      <c r="B18" s="308">
        <f>Final!AA2</f>
        <v/>
      </c>
      <c r="C18" s="308">
        <f>Final!AB2</f>
        <v/>
      </c>
      <c r="D18" s="308">
        <f>Final!AC2</f>
        <v/>
      </c>
      <c r="E18" s="308">
        <f>Final!AD2</f>
        <v/>
      </c>
      <c r="F18" s="308">
        <f>Final!AE2</f>
        <v/>
      </c>
      <c r="G18" s="308">
        <f>Final!AF2</f>
        <v/>
      </c>
      <c r="H18" s="308">
        <f>Final!AG2</f>
        <v/>
      </c>
      <c r="I18" s="308">
        <f>Final!AH2</f>
        <v/>
      </c>
      <c r="J18" s="308">
        <f>Final!AI2</f>
        <v/>
      </c>
      <c r="K18" s="308">
        <f>Final!AJ2</f>
        <v/>
      </c>
      <c r="L18" s="308">
        <f>Final!AK2</f>
        <v/>
      </c>
      <c r="M18" s="308">
        <f>Final!AL2</f>
        <v/>
      </c>
      <c r="N18" s="308">
        <f>Final!AM2</f>
        <v/>
      </c>
      <c r="O18" s="308">
        <f>Final!AN2</f>
        <v/>
      </c>
      <c r="P18" s="309" t="n"/>
      <c r="S18" s="310" t="n"/>
      <c r="T18" s="499" t="n"/>
    </row>
    <row r="19">
      <c r="A19" s="288" t="inlineStr">
        <is>
          <t>Years ahead</t>
        </is>
      </c>
      <c r="B19" s="311" t="n">
        <v>0</v>
      </c>
      <c r="C19" s="311" t="n">
        <v>0</v>
      </c>
      <c r="D19" s="311" t="n">
        <v>0</v>
      </c>
      <c r="E19" s="311" t="n">
        <v>0</v>
      </c>
      <c r="F19" s="311" t="n">
        <v>0</v>
      </c>
      <c r="G19" s="311" t="n">
        <v>0</v>
      </c>
      <c r="H19" s="311" t="n">
        <v>0</v>
      </c>
      <c r="I19" s="311" t="n">
        <v>0</v>
      </c>
      <c r="J19" s="311" t="n">
        <v>0</v>
      </c>
      <c r="K19" s="311" t="n">
        <v>0</v>
      </c>
      <c r="L19" s="311">
        <f>K19+1</f>
        <v/>
      </c>
      <c r="M19" s="311">
        <f>L19+1</f>
        <v/>
      </c>
      <c r="N19" s="311">
        <f>M19+1</f>
        <v/>
      </c>
      <c r="O19" s="311">
        <f>N19+1</f>
        <v/>
      </c>
      <c r="P19" s="312" t="n"/>
      <c r="R19" s="291" t="inlineStr">
        <is>
          <t>Terminal period - Group</t>
        </is>
      </c>
      <c r="S19" s="310" t="n"/>
    </row>
    <row r="20">
      <c r="A20" s="288" t="inlineStr">
        <is>
          <t>Discount factor</t>
        </is>
      </c>
      <c r="B20" s="313">
        <f>1/((1+$B11)^B19)</f>
        <v/>
      </c>
      <c r="C20" s="313">
        <f>1/((1+$B11)^C19)</f>
        <v/>
      </c>
      <c r="D20" s="313">
        <f>1/((1+$B11)^D19)</f>
        <v/>
      </c>
      <c r="E20" s="313">
        <f>1/((1+$B11)^E19)</f>
        <v/>
      </c>
      <c r="F20" s="313">
        <f>1/((1+$B11)^F19)</f>
        <v/>
      </c>
      <c r="G20" s="313">
        <f>1/((1+$B11)^G19)</f>
        <v/>
      </c>
      <c r="H20" s="313">
        <f>1/((1+$B11)^H19)</f>
        <v/>
      </c>
      <c r="I20" s="313">
        <f>1/((1+$B11)^I19)</f>
        <v/>
      </c>
      <c r="J20" s="313">
        <f>1/((1+$B11)^J19)</f>
        <v/>
      </c>
      <c r="K20" s="313">
        <f>1/((1+$B11)^K19)</f>
        <v/>
      </c>
      <c r="L20" s="313">
        <f>1/((1+$B11)^L19)</f>
        <v/>
      </c>
      <c r="M20" s="313">
        <f>1/((1+$B11)^M19)</f>
        <v/>
      </c>
      <c r="N20" s="313">
        <f>1/((1+$B11)^N19)</f>
        <v/>
      </c>
      <c r="O20" s="313">
        <f>1/((1+$B11)^O19)</f>
        <v/>
      </c>
      <c r="P20" s="314" t="n"/>
      <c r="R20" s="285" t="inlineStr">
        <is>
          <t>1st year avg invested capital</t>
        </is>
      </c>
      <c r="S20" s="504">
        <f>+AVERAGE(N77:O77)*(1+$B$12)</f>
        <v/>
      </c>
      <c r="T20" s="315" t="n"/>
      <c r="U20" s="473" t="n"/>
    </row>
    <row r="21">
      <c r="R21" s="285" t="inlineStr">
        <is>
          <t>Implied terminal return on capital</t>
        </is>
      </c>
      <c r="S21" s="507">
        <f>+S22/S20</f>
        <v/>
      </c>
      <c r="T21" s="508" t="n"/>
    </row>
    <row r="22">
      <c r="A22" s="288" t="inlineStr">
        <is>
          <t>Net cash flows from operations</t>
        </is>
      </c>
      <c r="B22" s="509">
        <f>Final!AA121</f>
        <v/>
      </c>
      <c r="C22" s="509">
        <f>Final!AB121</f>
        <v/>
      </c>
      <c r="D22" s="509">
        <f>Final!AC121</f>
        <v/>
      </c>
      <c r="E22" s="509">
        <f>Final!AD121</f>
        <v/>
      </c>
      <c r="F22" s="509">
        <f>Final!AE121</f>
        <v/>
      </c>
      <c r="G22" s="509">
        <f>Final!AF121</f>
        <v/>
      </c>
      <c r="H22" s="509">
        <f>Final!AG121</f>
        <v/>
      </c>
      <c r="I22" s="509">
        <f>Final!AH121</f>
        <v/>
      </c>
      <c r="J22" s="509">
        <f>Final!AI121</f>
        <v/>
      </c>
      <c r="K22" s="509">
        <f>Final!AJ121</f>
        <v/>
      </c>
      <c r="L22" s="509">
        <f>Final!AK121</f>
        <v/>
      </c>
      <c r="M22" s="509">
        <f>Final!AL121</f>
        <v/>
      </c>
      <c r="N22" s="509">
        <f>Final!AM121</f>
        <v/>
      </c>
      <c r="O22" s="509">
        <f>Final!AN121</f>
        <v/>
      </c>
      <c r="P22" s="306" t="n"/>
      <c r="R22" s="285" t="inlineStr">
        <is>
          <t>1st year NOPAT</t>
        </is>
      </c>
      <c r="S22" s="504">
        <f>+SUM(S65:U65)</f>
        <v/>
      </c>
      <c r="T22" s="315" t="n"/>
    </row>
    <row r="23">
      <c r="A23" s="288" t="inlineStr">
        <is>
          <t>add back interest</t>
        </is>
      </c>
      <c r="B23" s="509">
        <f>-Final!AA119</f>
        <v/>
      </c>
      <c r="C23" s="509">
        <f>-Final!AB119</f>
        <v/>
      </c>
      <c r="D23" s="509">
        <f>-Final!AC119</f>
        <v/>
      </c>
      <c r="E23" s="509">
        <f>-Final!AD119</f>
        <v/>
      </c>
      <c r="F23" s="509">
        <f>-Final!AE119</f>
        <v/>
      </c>
      <c r="G23" s="509">
        <f>-Final!AF119</f>
        <v/>
      </c>
      <c r="H23" s="509">
        <f>-Final!AG119</f>
        <v/>
      </c>
      <c r="I23" s="509">
        <f>-Final!AH119</f>
        <v/>
      </c>
      <c r="J23" s="509">
        <f>-Final!AI119</f>
        <v/>
      </c>
      <c r="K23" s="509">
        <f>-Final!AJ119</f>
        <v/>
      </c>
      <c r="L23" s="509">
        <f>-Final!AK119</f>
        <v/>
      </c>
      <c r="M23" s="509">
        <f>-Final!AL119</f>
        <v/>
      </c>
      <c r="N23" s="509">
        <f>-Final!AM119</f>
        <v/>
      </c>
      <c r="O23" s="509">
        <f>-Final!AN119</f>
        <v/>
      </c>
      <c r="P23" s="306" t="n"/>
      <c r="R23" s="285" t="inlineStr">
        <is>
          <t>Implied NOPAT multiple</t>
        </is>
      </c>
      <c r="S23" s="510">
        <f>+S24/S22</f>
        <v/>
      </c>
      <c r="T23" s="511" t="n"/>
    </row>
    <row r="24">
      <c r="A24" s="288" t="inlineStr">
        <is>
          <t>less tax shield on interest</t>
        </is>
      </c>
      <c r="B24" s="509">
        <f>-$B$8*B23</f>
        <v/>
      </c>
      <c r="C24" s="509">
        <f>-$B$8*C23</f>
        <v/>
      </c>
      <c r="D24" s="509">
        <f>-$B$8*D23</f>
        <v/>
      </c>
      <c r="E24" s="509">
        <f>-$B$8*E23</f>
        <v/>
      </c>
      <c r="F24" s="509">
        <f>-$B$8*F23</f>
        <v/>
      </c>
      <c r="G24" s="509">
        <f>-$B$8*G23</f>
        <v/>
      </c>
      <c r="H24" s="509">
        <f>-$B$8*H23</f>
        <v/>
      </c>
      <c r="I24" s="509">
        <f>-$B$8*I23</f>
        <v/>
      </c>
      <c r="J24" s="509">
        <f>-$B$8*J23</f>
        <v/>
      </c>
      <c r="K24" s="509">
        <f>-$B$8*K23</f>
        <v/>
      </c>
      <c r="L24" s="509">
        <f>-$B$8*L23</f>
        <v/>
      </c>
      <c r="M24" s="509">
        <f>-$B$8*M23</f>
        <v/>
      </c>
      <c r="N24" s="509">
        <f>-$B$8*N23</f>
        <v/>
      </c>
      <c r="O24" s="509">
        <f>-$B$8*O23</f>
        <v/>
      </c>
      <c r="P24" s="306" t="n"/>
      <c r="R24" s="285" t="inlineStr">
        <is>
          <t>Terminal value (undiscounted)</t>
        </is>
      </c>
      <c r="S24" s="504">
        <f>+SUM(S67:U67)</f>
        <v/>
      </c>
      <c r="T24" s="315" t="n"/>
    </row>
    <row r="25">
      <c r="A25" s="288" t="inlineStr">
        <is>
          <t>Dividends received</t>
        </is>
      </c>
      <c r="B25" s="509">
        <f>Final!AA126</f>
        <v/>
      </c>
      <c r="C25" s="509">
        <f>Final!AB126</f>
        <v/>
      </c>
      <c r="D25" s="509">
        <f>Final!AC126</f>
        <v/>
      </c>
      <c r="E25" s="509">
        <f>Final!AD126</f>
        <v/>
      </c>
      <c r="F25" s="509">
        <f>Final!AE126</f>
        <v/>
      </c>
      <c r="G25" s="509">
        <f>Final!AF126</f>
        <v/>
      </c>
      <c r="H25" s="509">
        <f>Final!AG126</f>
        <v/>
      </c>
      <c r="I25" s="512">
        <f>Final!AH126</f>
        <v/>
      </c>
      <c r="J25" s="512">
        <f>Final!AI126</f>
        <v/>
      </c>
      <c r="K25" s="512">
        <f>Final!AJ126</f>
        <v/>
      </c>
      <c r="L25" s="512">
        <f>Final!AK126</f>
        <v/>
      </c>
      <c r="M25" s="512">
        <f>Final!AL126</f>
        <v/>
      </c>
      <c r="N25" s="512">
        <f>Final!AM126</f>
        <v/>
      </c>
      <c r="O25" s="512">
        <f>Final!AN126</f>
        <v/>
      </c>
      <c r="P25" s="306" t="n"/>
      <c r="R25" s="285" t="inlineStr">
        <is>
          <t>Discount rate</t>
        </is>
      </c>
      <c r="S25" s="321">
        <f>O20</f>
        <v/>
      </c>
      <c r="T25" s="322" t="n"/>
    </row>
    <row r="26">
      <c r="A26" s="288" t="inlineStr">
        <is>
          <t>Investment in associates and investments</t>
        </is>
      </c>
      <c r="B26" s="509">
        <f>Final!AA125+Final!AA128</f>
        <v/>
      </c>
      <c r="C26" s="509">
        <f>Final!AB125+Final!AB128</f>
        <v/>
      </c>
      <c r="D26" s="509">
        <f>Final!AC125+Final!AC128</f>
        <v/>
      </c>
      <c r="E26" s="509">
        <f>Final!AD125+Final!AD128</f>
        <v/>
      </c>
      <c r="F26" s="509">
        <f>Final!AE125+Final!AE128</f>
        <v/>
      </c>
      <c r="G26" s="509">
        <f>Final!AF125+Final!AF128</f>
        <v/>
      </c>
      <c r="H26" s="509">
        <f>Final!AG125+Final!AG128</f>
        <v/>
      </c>
      <c r="I26" s="509">
        <f>Final!AH125+Final!AH128</f>
        <v/>
      </c>
      <c r="J26" s="509">
        <f>Final!AI125+Final!AI128</f>
        <v/>
      </c>
      <c r="K26" s="509">
        <f>Final!AJ125+Final!AJ128</f>
        <v/>
      </c>
      <c r="L26" s="509">
        <f>Final!AK125+Final!AK128</f>
        <v/>
      </c>
      <c r="M26" s="509">
        <f>Final!AL125+Final!AL128</f>
        <v/>
      </c>
      <c r="N26" s="509">
        <f>Final!AM125+Final!AM128</f>
        <v/>
      </c>
      <c r="O26" s="509">
        <f>Final!AN125+Final!AN128</f>
        <v/>
      </c>
      <c r="P26" s="306" t="n"/>
      <c r="R26" s="285" t="inlineStr">
        <is>
          <t>Terminal value</t>
        </is>
      </c>
      <c r="S26" s="504">
        <f>S24*S25</f>
        <v/>
      </c>
      <c r="T26" s="315" t="n"/>
    </row>
    <row r="27">
      <c r="A27" s="288" t="inlineStr">
        <is>
          <t>Capital expenditure</t>
        </is>
      </c>
      <c r="B27" s="509">
        <f>Final!AA124</f>
        <v/>
      </c>
      <c r="C27" s="509">
        <f>Final!AB124</f>
        <v/>
      </c>
      <c r="D27" s="509">
        <f>Final!AC124</f>
        <v/>
      </c>
      <c r="E27" s="509">
        <f>Final!AD124</f>
        <v/>
      </c>
      <c r="F27" s="509">
        <f>Final!AE124</f>
        <v/>
      </c>
      <c r="G27" s="509">
        <f>Final!AF124</f>
        <v/>
      </c>
      <c r="H27" s="509">
        <f>Final!AG124</f>
        <v/>
      </c>
      <c r="I27" s="509">
        <f>Final!AH124</f>
        <v/>
      </c>
      <c r="J27" s="509">
        <f>Final!AI124</f>
        <v/>
      </c>
      <c r="K27" s="509">
        <f>Final!AJ124</f>
        <v/>
      </c>
      <c r="L27" s="509">
        <f>Final!AK124</f>
        <v/>
      </c>
      <c r="M27" s="509">
        <f>Final!AL124</f>
        <v/>
      </c>
      <c r="N27" s="509">
        <f>Final!AM124</f>
        <v/>
      </c>
      <c r="O27" s="509">
        <f>Final!AN124</f>
        <v/>
      </c>
      <c r="P27" s="306" t="n"/>
      <c r="R27" s="285" t="inlineStr">
        <is>
          <t>Dividends and interest received</t>
        </is>
      </c>
      <c r="S27" s="513">
        <f>S42+S43</f>
        <v/>
      </c>
      <c r="T27" s="315" t="n"/>
    </row>
    <row r="28">
      <c r="A28" s="288" t="inlineStr">
        <is>
          <t>Other investing cash flows</t>
        </is>
      </c>
      <c r="B28" s="509">
        <f>Final!AA127</f>
        <v/>
      </c>
      <c r="C28" s="509">
        <f>Final!AB127</f>
        <v/>
      </c>
      <c r="D28" s="509">
        <f>Final!AC127</f>
        <v/>
      </c>
      <c r="E28" s="509">
        <f>Final!AD127</f>
        <v/>
      </c>
      <c r="F28" s="509">
        <f>Final!AE127</f>
        <v/>
      </c>
      <c r="G28" s="509">
        <f>Final!AF127</f>
        <v/>
      </c>
      <c r="H28" s="509">
        <f>Final!AG127</f>
        <v/>
      </c>
      <c r="I28" s="509">
        <f>Final!AH127</f>
        <v/>
      </c>
      <c r="J28" s="509">
        <f>Final!AI127</f>
        <v/>
      </c>
      <c r="K28" s="509">
        <f>Final!AJ127</f>
        <v/>
      </c>
      <c r="L28" s="509">
        <f>Final!AK127</f>
        <v/>
      </c>
      <c r="M28" s="509">
        <f>Final!AL127</f>
        <v/>
      </c>
      <c r="N28" s="509">
        <f>Final!AM127</f>
        <v/>
      </c>
      <c r="O28" s="509">
        <f>Final!AN127</f>
        <v/>
      </c>
      <c r="P28" s="306" t="n"/>
      <c r="R28" s="285" t="inlineStr">
        <is>
          <t>Explicit cash flows (2027-2030)</t>
        </is>
      </c>
      <c r="S28" s="504">
        <f>SUM(L30:O30)</f>
        <v/>
      </c>
      <c r="T28" s="315" t="n"/>
    </row>
    <row r="29">
      <c r="A29" s="287" t="inlineStr">
        <is>
          <t>Net cash flow</t>
        </is>
      </c>
      <c r="B29" s="514">
        <f>SUM(B22:B28)</f>
        <v/>
      </c>
      <c r="C29" s="514">
        <f>SUM(C22:C28)</f>
        <v/>
      </c>
      <c r="D29" s="514">
        <f>SUM(D22:D28)</f>
        <v/>
      </c>
      <c r="E29" s="514">
        <f>SUM(E22:E28)</f>
        <v/>
      </c>
      <c r="F29" s="514">
        <f>SUM(F22:F28)</f>
        <v/>
      </c>
      <c r="G29" s="514">
        <f>SUM(G22:G28)</f>
        <v/>
      </c>
      <c r="H29" s="514">
        <f>SUM(H22:H28)</f>
        <v/>
      </c>
      <c r="I29" s="514">
        <f>SUM(I22:I28)</f>
        <v/>
      </c>
      <c r="J29" s="514">
        <f>SUM(J22:J28)</f>
        <v/>
      </c>
      <c r="K29" s="514">
        <f>SUM(K22:K28)</f>
        <v/>
      </c>
      <c r="L29" s="514">
        <f>SUM(L22:L28)</f>
        <v/>
      </c>
      <c r="M29" s="514">
        <f>SUM(M22:M28)</f>
        <v/>
      </c>
      <c r="N29" s="514">
        <f>SUM(N22:N28)</f>
        <v/>
      </c>
      <c r="O29" s="514">
        <f>SUM(O22:O28)</f>
        <v/>
      </c>
      <c r="P29" s="323" t="n"/>
      <c r="S29" s="310" t="n"/>
      <c r="T29" s="325" t="n"/>
    </row>
    <row r="30">
      <c r="A30" s="287" t="inlineStr">
        <is>
          <t>Discounted cash flow</t>
        </is>
      </c>
      <c r="B30" s="514">
        <f>B29*B20</f>
        <v/>
      </c>
      <c r="C30" s="514">
        <f>C29*C20</f>
        <v/>
      </c>
      <c r="D30" s="514">
        <f>D29*D20</f>
        <v/>
      </c>
      <c r="E30" s="514">
        <f>E29*E20</f>
        <v/>
      </c>
      <c r="F30" s="514">
        <f>F29*F20</f>
        <v/>
      </c>
      <c r="G30" s="514">
        <f>G29*G20</f>
        <v/>
      </c>
      <c r="H30" s="514">
        <f>H29*H20</f>
        <v/>
      </c>
      <c r="I30" s="514">
        <f>I29*I20</f>
        <v/>
      </c>
      <c r="J30" s="514">
        <f>J29*J20</f>
        <v/>
      </c>
      <c r="K30" s="514">
        <f>K29*K20</f>
        <v/>
      </c>
      <c r="L30" s="514">
        <f>L29*L20</f>
        <v/>
      </c>
      <c r="M30" s="514">
        <f>M29*M20</f>
        <v/>
      </c>
      <c r="N30" s="514">
        <f>N29*N20</f>
        <v/>
      </c>
      <c r="O30" s="514">
        <f>O29*O20</f>
        <v/>
      </c>
      <c r="P30" s="323" t="n"/>
      <c r="R30" s="291" t="inlineStr">
        <is>
          <t>EV</t>
        </is>
      </c>
      <c r="S30" s="515">
        <f>SUM(S26:S28)</f>
        <v/>
      </c>
      <c r="T30" s="326" t="n"/>
    </row>
    <row r="31">
      <c r="R31" s="288" t="inlineStr">
        <is>
          <t>Cash on hand and securities</t>
        </is>
      </c>
      <c r="S31" s="504">
        <f>Final!AI57+Final!AI58</f>
        <v/>
      </c>
      <c r="T31" s="315" t="n"/>
    </row>
    <row r="32">
      <c r="A32" s="291" t="inlineStr">
        <is>
          <t>SOC component</t>
        </is>
      </c>
      <c r="B32" s="302" t="n"/>
      <c r="C32" s="302" t="n"/>
      <c r="D32" s="302" t="n"/>
      <c r="E32" s="302" t="n"/>
      <c r="F32" s="302" t="n"/>
      <c r="G32" s="302" t="n"/>
      <c r="H32" s="302" t="n"/>
      <c r="I32" s="302" t="n"/>
      <c r="J32" s="302" t="n"/>
      <c r="K32" s="302" t="n"/>
      <c r="L32" s="302" t="n"/>
      <c r="M32" s="302" t="n"/>
      <c r="N32" s="302" t="n"/>
      <c r="O32" s="302" t="n"/>
      <c r="R32" s="288" t="inlineStr">
        <is>
          <t>less finance lease obligations</t>
        </is>
      </c>
      <c r="S32" s="504">
        <f>-(Final!AI86+Final!AI77)</f>
        <v/>
      </c>
      <c r="T32" s="315" t="n"/>
    </row>
    <row r="33">
      <c r="A33" s="291" t="inlineStr">
        <is>
          <t>Hong Kong EBITDA (CAPCO + CLP HK)</t>
        </is>
      </c>
      <c r="B33" s="516">
        <f>+SUM(SOC!AA4:AA8,SOC!AA11)</f>
        <v/>
      </c>
      <c r="C33" s="516">
        <f>+SUM(SOC!AB4:AB8,SOC!AB11)</f>
        <v/>
      </c>
      <c r="D33" s="516">
        <f>+SUM(SOC!AC4:AC8,SOC!AC11)</f>
        <v/>
      </c>
      <c r="E33" s="516">
        <f>+SUM(SOC!AD4:AD8,SOC!AD11)</f>
        <v/>
      </c>
      <c r="F33" s="516">
        <f>+SUM(SOC!AE4:AE8,SOC!AE11)</f>
        <v/>
      </c>
      <c r="G33" s="516">
        <f>+SUM(SOC!AF4:AF8,SOC!AF11)</f>
        <v/>
      </c>
      <c r="H33" s="516">
        <f>+SUM(SOC!AG4:AG8,SOC!AG11)</f>
        <v/>
      </c>
      <c r="I33" s="516">
        <f>+SUM(SOC!AH4:AH8,SOC!AH11)</f>
        <v/>
      </c>
      <c r="J33" s="516">
        <f>+SUM(SOC!AI4:AI8,SOC!AI11)</f>
        <v/>
      </c>
      <c r="K33" s="516">
        <f>+SUM(SOC!AJ4:AJ8,SOC!AJ11)</f>
        <v/>
      </c>
      <c r="L33" s="516">
        <f>+SUM(SOC!AK4:AK8,SOC!AK11)</f>
        <v/>
      </c>
      <c r="M33" s="516">
        <f>+SUM(SOC!AL4:AL8,SOC!AL11)</f>
        <v/>
      </c>
      <c r="N33" s="516">
        <f>+SUM(SOC!AM4:AM8,SOC!AM11)</f>
        <v/>
      </c>
      <c r="O33" s="516">
        <f>+SUM(SOC!AN4:AN8,SOC!AN11)</f>
        <v/>
      </c>
      <c r="P33" s="302" t="n"/>
      <c r="R33" s="288" t="inlineStr">
        <is>
          <t>less debt</t>
        </is>
      </c>
      <c r="S33" s="504">
        <f>-(Final!AI76+Final!AI85+Final!AI91+Final!AI79+Final!AI82+Final!AI89)</f>
        <v/>
      </c>
      <c r="T33" s="315" t="n"/>
    </row>
    <row r="34">
      <c r="A34" s="285" t="inlineStr">
        <is>
          <t xml:space="preserve">less tax </t>
        </is>
      </c>
      <c r="B34" s="517">
        <f>+SOC!AA14</f>
        <v/>
      </c>
      <c r="C34" s="517">
        <f>+SOC!AB14</f>
        <v/>
      </c>
      <c r="D34" s="517">
        <f>+SOC!AC14</f>
        <v/>
      </c>
      <c r="E34" s="517">
        <f>+SOC!AD14</f>
        <v/>
      </c>
      <c r="F34" s="517">
        <f>+SOC!AE14</f>
        <v/>
      </c>
      <c r="G34" s="517">
        <f>+SOC!AF14</f>
        <v/>
      </c>
      <c r="H34" s="517">
        <f>+SOC!AG14</f>
        <v/>
      </c>
      <c r="I34" s="517">
        <f>+SOC!AH14</f>
        <v/>
      </c>
      <c r="J34" s="517">
        <f>+SOC!AI14</f>
        <v/>
      </c>
      <c r="K34" s="517">
        <f>+SOC!AJ14</f>
        <v/>
      </c>
      <c r="L34" s="517">
        <f>+SOC!AK14</f>
        <v/>
      </c>
      <c r="M34" s="517">
        <f>+SOC!AL14</f>
        <v/>
      </c>
      <c r="N34" s="517">
        <f>+SOC!AM14</f>
        <v/>
      </c>
      <c r="O34" s="517">
        <f>+SOC!AN14</f>
        <v/>
      </c>
      <c r="P34" s="302" t="n"/>
      <c r="R34" s="288" t="inlineStr">
        <is>
          <t>SOC liabilities</t>
        </is>
      </c>
      <c r="S34" s="504">
        <f>-(Final!AI90+Final!AI81+Final!AI87-Final!AI61)</f>
        <v/>
      </c>
      <c r="T34" s="315" t="n"/>
    </row>
    <row r="35">
      <c r="A35" s="285" t="inlineStr">
        <is>
          <t>less SOC Capex</t>
        </is>
      </c>
      <c r="B35" s="517">
        <f>-Driver!AA84</f>
        <v/>
      </c>
      <c r="C35" s="517">
        <f>-Driver!AB84</f>
        <v/>
      </c>
      <c r="D35" s="517">
        <f>-Driver!AC84</f>
        <v/>
      </c>
      <c r="E35" s="517">
        <f>-Driver!AD84</f>
        <v/>
      </c>
      <c r="F35" s="517">
        <f>-Driver!AE84</f>
        <v/>
      </c>
      <c r="G35" s="517">
        <f>-Driver!AF84</f>
        <v/>
      </c>
      <c r="H35" s="517">
        <f>-Driver!AG84</f>
        <v/>
      </c>
      <c r="I35" s="517">
        <f>-Driver!AH84</f>
        <v/>
      </c>
      <c r="J35" s="517">
        <f>-Driver!AI84</f>
        <v/>
      </c>
      <c r="K35" s="517">
        <f>-Driver!AJ84</f>
        <v/>
      </c>
      <c r="L35" s="517">
        <f>-Driver!AK84</f>
        <v/>
      </c>
      <c r="M35" s="517">
        <f>-Driver!AL84</f>
        <v/>
      </c>
      <c r="N35" s="517">
        <f>-Driver!AM84</f>
        <v/>
      </c>
      <c r="O35" s="517">
        <f>-Driver!AN84</f>
        <v/>
      </c>
      <c r="P35" s="302" t="n"/>
      <c r="R35" s="285" t="inlineStr">
        <is>
          <t>less minority interest</t>
        </is>
      </c>
      <c r="S35" s="504">
        <f>-Final!AI97</f>
        <v/>
      </c>
      <c r="T35" s="447" t="n"/>
      <c r="U35" s="473" t="n"/>
      <c r="V35" s="306" t="n"/>
    </row>
    <row r="36">
      <c r="A36" s="285" t="inlineStr">
        <is>
          <t>Add change in SOC accounts</t>
        </is>
      </c>
      <c r="B36" s="517">
        <f>+SUM(Final!AA110:AA116)</f>
        <v/>
      </c>
      <c r="C36" s="517">
        <f>+SUM(Final!AB110:AB116)</f>
        <v/>
      </c>
      <c r="D36" s="517">
        <f>+SUM(Final!AC110:AC116)</f>
        <v/>
      </c>
      <c r="E36" s="517">
        <f>+SUM(Final!AD110:AD116)</f>
        <v/>
      </c>
      <c r="F36" s="517">
        <f>+SUM(Final!AE110:AE116)</f>
        <v/>
      </c>
      <c r="G36" s="517">
        <f>+SUM(Final!AF110:AF116)</f>
        <v/>
      </c>
      <c r="H36" s="517">
        <f>+SUM(Final!AG110:AG116)</f>
        <v/>
      </c>
      <c r="I36" s="517">
        <f>+SUM(Final!AH110:AH116)</f>
        <v/>
      </c>
      <c r="J36" s="517">
        <f>+SUM(Final!AI110:AI116)</f>
        <v/>
      </c>
      <c r="K36" s="517">
        <f>+SUM(Final!AJ110:AJ116)</f>
        <v/>
      </c>
      <c r="L36" s="517">
        <f>+SUM(Final!AK110:AK116)</f>
        <v/>
      </c>
      <c r="M36" s="517">
        <f>+SUM(Final!AL110:AL116)</f>
        <v/>
      </c>
      <c r="N36" s="517">
        <f>+SUM(Final!AM110:AM116)</f>
        <v/>
      </c>
      <c r="O36" s="517">
        <f>+SUM(Final!AN110:AN116)</f>
        <v/>
      </c>
      <c r="P36" s="302" t="n"/>
      <c r="R36" s="291" t="inlineStr">
        <is>
          <t>NPV</t>
        </is>
      </c>
      <c r="S36" s="518">
        <f>SUM(S30:S35)</f>
        <v/>
      </c>
      <c r="T36" s="326" t="n"/>
      <c r="V36" s="417" t="n"/>
    </row>
    <row r="37">
      <c r="A37" s="291" t="inlineStr">
        <is>
          <t>Net SOC cash flows</t>
        </is>
      </c>
      <c r="B37" s="516">
        <f>SUM(B33:B36)</f>
        <v/>
      </c>
      <c r="C37" s="516">
        <f>SUM(C33:C36)</f>
        <v/>
      </c>
      <c r="D37" s="516">
        <f>SUM(D33:D36)</f>
        <v/>
      </c>
      <c r="E37" s="516">
        <f>SUM(E33:E36)</f>
        <v/>
      </c>
      <c r="F37" s="516">
        <f>SUM(F33:F36)</f>
        <v/>
      </c>
      <c r="G37" s="516">
        <f>SUM(G33:G36)</f>
        <v/>
      </c>
      <c r="H37" s="516">
        <f>SUM(H33:H36)</f>
        <v/>
      </c>
      <c r="I37" s="516">
        <f>SUM(I33:I36)</f>
        <v/>
      </c>
      <c r="J37" s="516">
        <f>SUM(J33:J36)</f>
        <v/>
      </c>
      <c r="K37" s="516">
        <f>SUM(K33:K36)</f>
        <v/>
      </c>
      <c r="L37" s="516">
        <f>SUM(L33:L36)</f>
        <v/>
      </c>
      <c r="M37" s="516">
        <f>SUM(M33:M36)</f>
        <v/>
      </c>
      <c r="N37" s="516">
        <f>SUM(N33:N36)</f>
        <v/>
      </c>
      <c r="O37" s="516">
        <f>SUM(O33:O36)</f>
        <v/>
      </c>
      <c r="P37" s="330" t="n"/>
      <c r="R37" s="291" t="inlineStr">
        <is>
          <t>NPV per share</t>
        </is>
      </c>
      <c r="S37" s="519">
        <f>ROUND(S36/Final!AI52,0)</f>
        <v/>
      </c>
      <c r="T37" s="437">
        <f>S37/86-1</f>
        <v/>
      </c>
      <c r="U37" s="473">
        <f>S37/58-1</f>
        <v/>
      </c>
      <c r="V37" s="520" t="n"/>
    </row>
    <row r="38">
      <c r="A38" s="291" t="inlineStr">
        <is>
          <t>Discounted cash flow</t>
        </is>
      </c>
      <c r="B38" s="514">
        <f>B37*B20</f>
        <v/>
      </c>
      <c r="C38" s="514">
        <f>C37*C20</f>
        <v/>
      </c>
      <c r="D38" s="514">
        <f>D37*D20</f>
        <v/>
      </c>
      <c r="E38" s="514">
        <f>E37*E20</f>
        <v/>
      </c>
      <c r="F38" s="514">
        <f>F37*F20</f>
        <v/>
      </c>
      <c r="G38" s="514">
        <f>G37*G20</f>
        <v/>
      </c>
      <c r="H38" s="514">
        <f>H37*H20</f>
        <v/>
      </c>
      <c r="I38" s="514">
        <f>I37*I20</f>
        <v/>
      </c>
      <c r="J38" s="514">
        <f>J37*J20</f>
        <v/>
      </c>
      <c r="K38" s="514">
        <f>K37*K20</f>
        <v/>
      </c>
      <c r="L38" s="514">
        <f>L37*L20</f>
        <v/>
      </c>
      <c r="M38" s="514">
        <f>M37*M20</f>
        <v/>
      </c>
      <c r="N38" s="514">
        <f>N37*N20</f>
        <v/>
      </c>
      <c r="O38" s="514">
        <f>O37*O20</f>
        <v/>
      </c>
      <c r="P38" s="306" t="n"/>
      <c r="R38" s="291" t="inlineStr">
        <is>
          <t>China IPPs and DayaBay</t>
        </is>
      </c>
      <c r="T38" s="325" t="n"/>
      <c r="U38" s="520" t="n"/>
      <c r="V38" s="520" t="n"/>
    </row>
    <row r="39">
      <c r="B39" s="517" t="n"/>
      <c r="C39" s="517" t="n"/>
      <c r="D39" s="517" t="n"/>
      <c r="E39" s="517" t="n"/>
      <c r="F39" s="517" t="n"/>
      <c r="G39" s="517" t="n"/>
      <c r="H39" s="517" t="n"/>
      <c r="I39" s="517" t="n"/>
      <c r="J39" s="517" t="n"/>
      <c r="K39" s="517" t="n"/>
      <c r="L39" s="517" t="n"/>
      <c r="M39" s="517" t="n"/>
      <c r="N39" s="517" t="n"/>
      <c r="O39" s="517" t="n"/>
      <c r="P39" s="302" t="n"/>
      <c r="R39" s="285" t="inlineStr">
        <is>
          <t>Dividend received in 2030</t>
        </is>
      </c>
      <c r="S39" s="517">
        <f>+O25</f>
        <v/>
      </c>
      <c r="T39" s="332" t="n"/>
    </row>
    <row r="40">
      <c r="A40" s="285" t="inlineStr">
        <is>
          <t>Implied others consolidated net cash flow</t>
        </is>
      </c>
      <c r="B40" s="517">
        <f>+B29-B37-B58-B25</f>
        <v/>
      </c>
      <c r="C40" s="517">
        <f>+C29-C37-C58-C25</f>
        <v/>
      </c>
      <c r="D40" s="517">
        <f>+D29-D37-D58-D25</f>
        <v/>
      </c>
      <c r="E40" s="517">
        <f>+E29-E37-E58-E25</f>
        <v/>
      </c>
      <c r="F40" s="517">
        <f>+F29-F37-F58-F25</f>
        <v/>
      </c>
      <c r="G40" s="517">
        <f>+G29-G37-G58-G25</f>
        <v/>
      </c>
      <c r="H40" s="517">
        <f>+H29-H37-H58-H25</f>
        <v/>
      </c>
      <c r="I40" s="517">
        <f>+I29-I37-I58-I25</f>
        <v/>
      </c>
      <c r="J40" s="517">
        <f>+J29-J37-J58-J25</f>
        <v/>
      </c>
      <c r="K40" s="517">
        <f>+K29-K37-K58-K25</f>
        <v/>
      </c>
      <c r="L40" s="517">
        <f>+L29-L37-L58-L25</f>
        <v/>
      </c>
      <c r="M40" s="517">
        <f>+M29-M37-M58-M25</f>
        <v/>
      </c>
      <c r="N40" s="517">
        <f>+N29-N37-N58-N25</f>
        <v/>
      </c>
      <c r="O40" s="517">
        <f>+O29-O37-O58-O25</f>
        <v/>
      </c>
      <c r="P40" s="330" t="n"/>
      <c r="R40" s="285" t="inlineStr">
        <is>
          <t>Terminal growth for div and int</t>
        </is>
      </c>
      <c r="S40" s="420" t="n">
        <v>0</v>
      </c>
      <c r="T40" s="333" t="n"/>
    </row>
    <row r="41">
      <c r="A41" s="285" t="inlineStr">
        <is>
          <t>Add capex</t>
        </is>
      </c>
      <c r="B41" s="517">
        <f>+-(B27-B57-B35)</f>
        <v/>
      </c>
      <c r="C41" s="517">
        <f>+-(C27-C57-C35)</f>
        <v/>
      </c>
      <c r="D41" s="517">
        <f>+-(D27-D57-D35)</f>
        <v/>
      </c>
      <c r="E41" s="517">
        <f>+-(E27-E57-E35)</f>
        <v/>
      </c>
      <c r="F41" s="517">
        <f>+-(F27-F57-F35)</f>
        <v/>
      </c>
      <c r="G41" s="517">
        <f>+-(G27-G57-G35)</f>
        <v/>
      </c>
      <c r="H41" s="517">
        <f>+-(H27-H57-H35)</f>
        <v/>
      </c>
      <c r="I41" s="517">
        <f>+-(I27-I57-I35)</f>
        <v/>
      </c>
      <c r="J41" s="517">
        <f>+-(J27-J57-J35)</f>
        <v/>
      </c>
      <c r="K41" s="517">
        <f>+-(K27-K57-K35)</f>
        <v/>
      </c>
      <c r="L41" s="517">
        <f>+-(L27-L57-L35)</f>
        <v/>
      </c>
      <c r="M41" s="517">
        <f>+-(M27-M57-M35)</f>
        <v/>
      </c>
      <c r="N41" s="517">
        <f>+-(N27-N57-N35)</f>
        <v/>
      </c>
      <c r="O41" s="517">
        <f>+-(O27-O57-O35)</f>
        <v/>
      </c>
      <c r="P41" s="323" t="n"/>
      <c r="R41" s="285" t="inlineStr">
        <is>
          <t xml:space="preserve">Dividends Termina value </t>
        </is>
      </c>
      <c r="S41" s="517">
        <f>S39*(1+S40)/(S4-S40)</f>
        <v/>
      </c>
      <c r="T41" s="315" t="n"/>
    </row>
    <row r="42">
      <c r="A42" s="285" t="inlineStr">
        <is>
          <t>Add back interests</t>
        </is>
      </c>
      <c r="B42" s="517">
        <f>-(Driver!AA109+Driver!AA110+Driver!AA111)</f>
        <v/>
      </c>
      <c r="C42" s="517">
        <f>-(Driver!AB109+Driver!AB110+Driver!AB111)</f>
        <v/>
      </c>
      <c r="D42" s="517">
        <f>-(Driver!AC109+Driver!AC110+Driver!AC111)</f>
        <v/>
      </c>
      <c r="E42" s="517">
        <f>-(Driver!AD109+Driver!AD110+Driver!AD111)</f>
        <v/>
      </c>
      <c r="F42" s="517">
        <f>-(Driver!AE109+Driver!AE110+Driver!AE111)</f>
        <v/>
      </c>
      <c r="G42" s="517">
        <f>-(Driver!AF109+Driver!AF110+Driver!AF111)</f>
        <v/>
      </c>
      <c r="H42" s="517">
        <f>-(Driver!AG109+Driver!AG110+Driver!AG111)</f>
        <v/>
      </c>
      <c r="I42" s="517">
        <f>-(Driver!AH109+Driver!AH110+Driver!AH111)</f>
        <v/>
      </c>
      <c r="J42" s="517">
        <f>-(Driver!AI109+Driver!AI110+Driver!AI111)</f>
        <v/>
      </c>
      <c r="K42" s="517">
        <f>-(Driver!AJ109+Driver!AJ110+Driver!AJ111)</f>
        <v/>
      </c>
      <c r="L42" s="517">
        <f>-(Driver!AK109+Driver!AK110+Driver!AK111)</f>
        <v/>
      </c>
      <c r="M42" s="517">
        <f>-(Driver!AL109+Driver!AL110+Driver!AL111)</f>
        <v/>
      </c>
      <c r="N42" s="517">
        <f>-(Driver!AM109+Driver!AM110+Driver!AM111)</f>
        <v/>
      </c>
      <c r="O42" s="517">
        <f>-(Driver!AN109+Driver!AN110+Driver!AN111)</f>
        <v/>
      </c>
      <c r="R42" s="285" t="inlineStr">
        <is>
          <t>Discounted dividends terminal value</t>
        </is>
      </c>
      <c r="S42" s="517">
        <f>+S41*O20</f>
        <v/>
      </c>
      <c r="T42" s="315" t="n"/>
    </row>
    <row r="43">
      <c r="A43" s="291" t="inlineStr">
        <is>
          <t>Implied others consolidated operating cash flow</t>
        </is>
      </c>
      <c r="B43" s="514">
        <f>+SUM(B40:B42)</f>
        <v/>
      </c>
      <c r="C43" s="514">
        <f>+SUM(C40:C42)</f>
        <v/>
      </c>
      <c r="D43" s="514">
        <f>+SUM(D40:D42)</f>
        <v/>
      </c>
      <c r="E43" s="514">
        <f>+SUM(E40:E42)</f>
        <v/>
      </c>
      <c r="F43" s="514">
        <f>+SUM(F40:F42)</f>
        <v/>
      </c>
      <c r="G43" s="514">
        <f>+SUM(G40:G42)</f>
        <v/>
      </c>
      <c r="H43" s="514">
        <f>+SUM(H40:H42)</f>
        <v/>
      </c>
      <c r="I43" s="514">
        <f>+SUM(I40:I42)</f>
        <v/>
      </c>
      <c r="J43" s="514">
        <f>+SUM(J40:J42)</f>
        <v/>
      </c>
      <c r="K43" s="514">
        <f>+SUM(K40:K42)</f>
        <v/>
      </c>
      <c r="L43" s="514">
        <f>+SUM(L40:L42)</f>
        <v/>
      </c>
      <c r="M43" s="514">
        <f>+SUM(M40:M42)</f>
        <v/>
      </c>
      <c r="N43" s="514">
        <f>+SUM(N40:N42)</f>
        <v/>
      </c>
      <c r="O43" s="514">
        <f>+SUM(O40:O42)</f>
        <v/>
      </c>
      <c r="R43" s="285" t="inlineStr">
        <is>
          <t>Discounted terminal value for interest income</t>
        </is>
      </c>
      <c r="S43" s="517">
        <f>Driver!AN104*(1+S40)/(B11-S40)*S25</f>
        <v/>
      </c>
      <c r="T43" s="332" t="n"/>
    </row>
    <row r="44">
      <c r="P44" s="302" t="n"/>
      <c r="T44" s="302" t="n"/>
    </row>
    <row r="45">
      <c r="A45" s="291" t="inlineStr">
        <is>
          <t>CAPCO</t>
        </is>
      </c>
      <c r="P45" s="302" t="n"/>
      <c r="R45" s="291" t="n"/>
      <c r="S45" s="429" t="inlineStr">
        <is>
          <t>Yield</t>
        </is>
      </c>
      <c r="T45" s="430" t="inlineStr">
        <is>
          <t>PE</t>
        </is>
      </c>
    </row>
    <row r="46">
      <c r="A46" s="285" t="inlineStr">
        <is>
          <t>2019E earnings</t>
        </is>
      </c>
      <c r="B46" s="306">
        <f>SOC!AC40</f>
        <v/>
      </c>
      <c r="C46" s="517" t="n"/>
      <c r="D46" s="517" t="n"/>
      <c r="E46" s="517" t="n"/>
      <c r="F46" s="517" t="n"/>
      <c r="G46" s="517" t="n"/>
      <c r="H46" s="517" t="n"/>
      <c r="I46" s="517" t="n"/>
      <c r="J46" s="517" t="n"/>
      <c r="K46" s="517" t="n"/>
      <c r="L46" s="517" t="n"/>
      <c r="M46" s="517" t="n"/>
      <c r="N46" s="517" t="n"/>
      <c r="O46" s="517" t="n"/>
      <c r="P46" s="302" t="n"/>
      <c r="R46" s="334" t="n">
        <v>2023</v>
      </c>
      <c r="S46" s="499">
        <f>+Final!AG48/$S$37</f>
        <v/>
      </c>
      <c r="T46" s="520">
        <f>$S$36/Final!AG31</f>
        <v/>
      </c>
      <c r="Z46" s="520" t="n"/>
    </row>
    <row r="47">
      <c r="A47" s="285" t="inlineStr">
        <is>
          <t>2019E PE</t>
        </is>
      </c>
      <c r="B47" s="306" t="n">
        <v>16</v>
      </c>
      <c r="C47" s="517" t="n"/>
      <c r="D47" s="517" t="n"/>
      <c r="E47" s="517" t="n"/>
      <c r="F47" s="517" t="n"/>
      <c r="G47" s="517" t="n"/>
      <c r="H47" s="517" t="n"/>
      <c r="I47" s="517" t="n"/>
      <c r="J47" s="517" t="n"/>
      <c r="K47" s="517" t="n"/>
      <c r="L47" s="517" t="n"/>
      <c r="M47" s="517" t="n"/>
      <c r="N47" s="517" t="n"/>
      <c r="O47" s="517" t="n"/>
      <c r="P47" s="302" t="n"/>
      <c r="R47" s="334" t="n">
        <v>2024</v>
      </c>
      <c r="S47" s="499">
        <f>+Final!AH48/$S$37</f>
        <v/>
      </c>
      <c r="T47" s="520">
        <f>$S$36/Final!AH31</f>
        <v/>
      </c>
    </row>
    <row r="48">
      <c r="A48" s="285" t="inlineStr">
        <is>
          <t>Market value</t>
        </is>
      </c>
      <c r="B48" s="306">
        <f>B46*B47</f>
        <v/>
      </c>
      <c r="P48" s="302" t="n"/>
      <c r="R48" s="334" t="n">
        <v>2025</v>
      </c>
      <c r="S48" s="499">
        <f>+Final!AI48/$S$37</f>
        <v/>
      </c>
      <c r="T48" s="520">
        <f>$S$36/Final!AI31</f>
        <v/>
      </c>
      <c r="U48" s="520" t="n"/>
      <c r="V48" s="520" t="n"/>
      <c r="W48" s="520" t="n"/>
    </row>
    <row r="49">
      <c r="G49" s="285">
        <f>37/4.3</f>
        <v/>
      </c>
      <c r="P49" s="302" t="n"/>
      <c r="R49" s="334" t="n">
        <v>2026</v>
      </c>
      <c r="S49" s="499">
        <f>+Final!AJ48/$S$37</f>
        <v/>
      </c>
      <c r="T49" s="520">
        <f>$S$36/Final!AJ31</f>
        <v/>
      </c>
    </row>
    <row r="50">
      <c r="P50" s="302" t="n"/>
      <c r="R50" s="334" t="n">
        <v>2027</v>
      </c>
      <c r="S50" s="499">
        <f>+Final!AK48/$S$37</f>
        <v/>
      </c>
      <c r="T50" s="520">
        <f>$S$36/Final!AK31</f>
        <v/>
      </c>
    </row>
    <row r="51">
      <c r="P51" s="302" t="n"/>
      <c r="R51" s="334" t="n">
        <v>2028</v>
      </c>
      <c r="S51" s="499">
        <f>+Final!AL48/$S$37</f>
        <v/>
      </c>
      <c r="T51" s="520">
        <f>$S$36/Final!AL31</f>
        <v/>
      </c>
    </row>
    <row r="52">
      <c r="A52" s="291" t="n"/>
      <c r="D52" s="302" t="n"/>
      <c r="E52" s="302" t="n"/>
      <c r="F52" s="302" t="n"/>
      <c r="G52" s="302" t="n"/>
      <c r="H52" s="302" t="n"/>
      <c r="I52" s="302" t="n"/>
      <c r="J52" s="302" t="n"/>
      <c r="K52" s="302" t="n"/>
      <c r="L52" s="302" t="n"/>
      <c r="M52" s="302" t="n"/>
      <c r="N52" s="302" t="n"/>
      <c r="O52" s="302" t="n"/>
    </row>
    <row r="53">
      <c r="A53" s="335" t="inlineStr">
        <is>
          <t>Australia</t>
        </is>
      </c>
      <c r="B53" s="336">
        <f>B18</f>
        <v/>
      </c>
      <c r="C53" s="336">
        <f>C18</f>
        <v/>
      </c>
      <c r="D53" s="336">
        <f>D18</f>
        <v/>
      </c>
      <c r="E53" s="336">
        <f>E18</f>
        <v/>
      </c>
      <c r="F53" s="336">
        <f>F18</f>
        <v/>
      </c>
      <c r="G53" s="336">
        <f>G18</f>
        <v/>
      </c>
      <c r="H53" s="336">
        <f>H18</f>
        <v/>
      </c>
      <c r="I53" s="336">
        <f>I18</f>
        <v/>
      </c>
      <c r="J53" s="336">
        <f>J18</f>
        <v/>
      </c>
      <c r="K53" s="336">
        <f>K18</f>
        <v/>
      </c>
      <c r="L53" s="336">
        <f>L18</f>
        <v/>
      </c>
      <c r="M53" s="336">
        <f>M18</f>
        <v/>
      </c>
      <c r="N53" s="336">
        <f>N18</f>
        <v/>
      </c>
      <c r="O53" s="336">
        <f>O18</f>
        <v/>
      </c>
      <c r="P53" s="336" t="n"/>
      <c r="Q53" s="337" t="n"/>
      <c r="R53" s="338" t="inlineStr">
        <is>
          <t>In 2030</t>
        </is>
      </c>
      <c r="S53" s="339" t="inlineStr">
        <is>
          <t>Australia</t>
        </is>
      </c>
      <c r="T53" s="339" t="inlineStr">
        <is>
          <t>HK SoC</t>
        </is>
      </c>
      <c r="U53" s="339" t="inlineStr">
        <is>
          <t>Others</t>
        </is>
      </c>
      <c r="V53" s="340" t="inlineStr">
        <is>
          <t>Weighted</t>
        </is>
      </c>
    </row>
    <row r="54">
      <c r="A54" s="341" t="inlineStr">
        <is>
          <t>EBIT</t>
        </is>
      </c>
      <c r="B54" s="521">
        <f>+Aus!AA23</f>
        <v/>
      </c>
      <c r="C54" s="521">
        <f>+Aus!AB23</f>
        <v/>
      </c>
      <c r="D54" s="521">
        <f>+Aus!AC23</f>
        <v/>
      </c>
      <c r="E54" s="521">
        <f>+Aus!AD23</f>
        <v/>
      </c>
      <c r="F54" s="521">
        <f>+Aus!AE23</f>
        <v/>
      </c>
      <c r="G54" s="521">
        <f>+Aus!AF23</f>
        <v/>
      </c>
      <c r="H54" s="521">
        <f>+Aus!AG23</f>
        <v/>
      </c>
      <c r="I54" s="521">
        <f>+Aus!AH23</f>
        <v/>
      </c>
      <c r="J54" s="521">
        <f>+Aus!AI23</f>
        <v/>
      </c>
      <c r="K54" s="521">
        <f>+Aus!AJ23</f>
        <v/>
      </c>
      <c r="L54" s="521">
        <f>+Aus!AK23</f>
        <v/>
      </c>
      <c r="M54" s="521">
        <f>+Aus!AL23</f>
        <v/>
      </c>
      <c r="N54" s="521">
        <f>+Aus!AM23</f>
        <v/>
      </c>
      <c r="O54" s="521">
        <f>+Aus!AN23</f>
        <v/>
      </c>
      <c r="P54" s="343" t="n"/>
      <c r="Q54" s="344" t="n"/>
      <c r="R54" s="344" t="inlineStr">
        <is>
          <t>EBIT</t>
        </is>
      </c>
      <c r="S54" s="521">
        <f>+O54</f>
        <v/>
      </c>
      <c r="T54" s="522">
        <f>+O33+SOC!AN10</f>
        <v/>
      </c>
      <c r="U54" s="521">
        <f>+S11-SUM(S54:T54)</f>
        <v/>
      </c>
      <c r="V54" s="523" t="n"/>
    </row>
    <row r="55">
      <c r="A55" s="341" t="inlineStr">
        <is>
          <t>D&amp;A</t>
        </is>
      </c>
      <c r="B55" s="517">
        <f>+Aus!AA13</f>
        <v/>
      </c>
      <c r="C55" s="517">
        <f>+Aus!AB13</f>
        <v/>
      </c>
      <c r="D55" s="517">
        <f>+Aus!AC13</f>
        <v/>
      </c>
      <c r="E55" s="517">
        <f>+Aus!AD13</f>
        <v/>
      </c>
      <c r="F55" s="517">
        <f>+Aus!AE13</f>
        <v/>
      </c>
      <c r="G55" s="517">
        <f>+Aus!AF13</f>
        <v/>
      </c>
      <c r="H55" s="517">
        <f>+Aus!AG13</f>
        <v/>
      </c>
      <c r="I55" s="517">
        <f>+Aus!AH13</f>
        <v/>
      </c>
      <c r="J55" s="517">
        <f>+Aus!AI13</f>
        <v/>
      </c>
      <c r="K55" s="517">
        <f>+Aus!AJ13</f>
        <v/>
      </c>
      <c r="L55" s="517">
        <f>+Aus!AK13</f>
        <v/>
      </c>
      <c r="M55" s="517">
        <f>+Aus!AL13</f>
        <v/>
      </c>
      <c r="N55" s="517">
        <f>+Aus!AM13</f>
        <v/>
      </c>
      <c r="O55" s="517">
        <f>+Aus!AN13</f>
        <v/>
      </c>
      <c r="P55" s="346" t="n"/>
      <c r="R55" s="285" t="inlineStr">
        <is>
          <t>Adjusted tax rate</t>
        </is>
      </c>
      <c r="S55" s="347">
        <f>Aus!AN28</f>
        <v/>
      </c>
      <c r="T55" s="348" t="n">
        <v>0.165</v>
      </c>
      <c r="U55" s="349">
        <f>1-U56/U54</f>
        <v/>
      </c>
      <c r="V55" s="345" t="n"/>
    </row>
    <row r="56">
      <c r="A56" s="341" t="inlineStr">
        <is>
          <t>EBITDA</t>
        </is>
      </c>
      <c r="B56" s="517">
        <f>+B54-B55</f>
        <v/>
      </c>
      <c r="C56" s="517">
        <f>+C54-C55</f>
        <v/>
      </c>
      <c r="D56" s="517">
        <f>+D54-D55</f>
        <v/>
      </c>
      <c r="E56" s="517">
        <f>+E54-E55</f>
        <v/>
      </c>
      <c r="F56" s="517">
        <f>+F54-F55</f>
        <v/>
      </c>
      <c r="G56" s="517">
        <f>+G54-G55</f>
        <v/>
      </c>
      <c r="H56" s="517">
        <f>+H54-H55</f>
        <v/>
      </c>
      <c r="I56" s="517">
        <f>+I54-I55</f>
        <v/>
      </c>
      <c r="J56" s="517">
        <f>+J54-J55</f>
        <v/>
      </c>
      <c r="K56" s="517">
        <f>+K54-K55</f>
        <v/>
      </c>
      <c r="L56" s="517">
        <f>+L54-L55</f>
        <v/>
      </c>
      <c r="M56" s="517">
        <f>+M54-M55</f>
        <v/>
      </c>
      <c r="N56" s="517">
        <f>+N54-N55</f>
        <v/>
      </c>
      <c r="O56" s="517">
        <f>+O54-O55</f>
        <v/>
      </c>
      <c r="P56" s="346" t="n"/>
      <c r="R56" s="285" t="inlineStr">
        <is>
          <t>NOPAT</t>
        </is>
      </c>
      <c r="S56" s="524">
        <f>+S54*(1-S55)</f>
        <v/>
      </c>
      <c r="T56" s="522">
        <f>+T54*(1-T55)</f>
        <v/>
      </c>
      <c r="U56" s="522">
        <f>+S13-SUM(S56:T56)</f>
        <v/>
      </c>
      <c r="V56" s="523" t="n"/>
      <c r="W56" s="296" t="inlineStr">
        <is>
          <t>check:</t>
        </is>
      </c>
    </row>
    <row r="57">
      <c r="A57" s="341" t="inlineStr">
        <is>
          <t>Capex</t>
        </is>
      </c>
      <c r="B57" s="517">
        <f>-Driver!AA85</f>
        <v/>
      </c>
      <c r="C57" s="517">
        <f>-Driver!AB85</f>
        <v/>
      </c>
      <c r="D57" s="517">
        <f>-Driver!AC85</f>
        <v/>
      </c>
      <c r="E57" s="517">
        <f>-Driver!AD85</f>
        <v/>
      </c>
      <c r="F57" s="517">
        <f>-Driver!AE85</f>
        <v/>
      </c>
      <c r="G57" s="517">
        <f>-Driver!AF85</f>
        <v/>
      </c>
      <c r="H57" s="517">
        <f>-Driver!AG85</f>
        <v/>
      </c>
      <c r="I57" s="517">
        <f>-Driver!AH85</f>
        <v/>
      </c>
      <c r="J57" s="517">
        <f>-Driver!AI85</f>
        <v/>
      </c>
      <c r="K57" s="517">
        <f>-Driver!AJ85</f>
        <v/>
      </c>
      <c r="L57" s="517">
        <f>-Driver!AK85</f>
        <v/>
      </c>
      <c r="M57" s="517">
        <f>-Driver!AL85</f>
        <v/>
      </c>
      <c r="N57" s="517">
        <f>-Driver!AM85</f>
        <v/>
      </c>
      <c r="O57" s="517">
        <f>-Driver!AN85</f>
        <v/>
      </c>
      <c r="P57" s="302" t="n"/>
      <c r="R57" s="285" t="inlineStr">
        <is>
          <t>Invested capital in 2029</t>
        </is>
      </c>
      <c r="S57" s="525">
        <f>+N79</f>
        <v/>
      </c>
      <c r="T57" s="525">
        <f>+N78</f>
        <v/>
      </c>
      <c r="U57" s="517">
        <f>+N80</f>
        <v/>
      </c>
      <c r="V57" s="523" t="n"/>
      <c r="W57" s="299">
        <f>+S14-SUM(S57:U57)</f>
        <v/>
      </c>
    </row>
    <row r="58">
      <c r="A58" s="341" t="inlineStr">
        <is>
          <t>Net cash flows</t>
        </is>
      </c>
      <c r="B58" s="517">
        <f>+B56+B57</f>
        <v/>
      </c>
      <c r="C58" s="517">
        <f>+C56+C57</f>
        <v/>
      </c>
      <c r="D58" s="517">
        <f>+D56+D57</f>
        <v/>
      </c>
      <c r="E58" s="517">
        <f>+E56+E57</f>
        <v/>
      </c>
      <c r="F58" s="517">
        <f>+F56+F57</f>
        <v/>
      </c>
      <c r="G58" s="517">
        <f>+G56+G57</f>
        <v/>
      </c>
      <c r="H58" s="517">
        <f>+H56+H57</f>
        <v/>
      </c>
      <c r="I58" s="517">
        <f>+I56+I57</f>
        <v/>
      </c>
      <c r="J58" s="517">
        <f>+J56+J57</f>
        <v/>
      </c>
      <c r="K58" s="517">
        <f>+K56+K57</f>
        <v/>
      </c>
      <c r="L58" s="517">
        <f>+L56+L57</f>
        <v/>
      </c>
      <c r="M58" s="517">
        <f>+M56+M57</f>
        <v/>
      </c>
      <c r="N58" s="517">
        <f>+N56+N57</f>
        <v/>
      </c>
      <c r="O58" s="517">
        <f>+O56+O57</f>
        <v/>
      </c>
      <c r="P58" s="302" t="n"/>
      <c r="R58" s="285" t="inlineStr">
        <is>
          <t>Invested capital in 2030</t>
        </is>
      </c>
      <c r="S58" s="526">
        <f>+O79</f>
        <v/>
      </c>
      <c r="T58" s="525">
        <f>+O78</f>
        <v/>
      </c>
      <c r="U58" s="517">
        <f>+O80</f>
        <v/>
      </c>
      <c r="V58" s="523" t="n"/>
      <c r="W58" s="299">
        <f>+S15-SUM(S58:U58)</f>
        <v/>
      </c>
    </row>
    <row r="59">
      <c r="A59" s="341" t="inlineStr">
        <is>
          <t>Discounted cashflow</t>
        </is>
      </c>
      <c r="B59" s="517">
        <f>+B58*B20</f>
        <v/>
      </c>
      <c r="C59" s="517">
        <f>+C58*C20</f>
        <v/>
      </c>
      <c r="D59" s="517">
        <f>+D58*D20</f>
        <v/>
      </c>
      <c r="E59" s="517">
        <f>+E58*E20</f>
        <v/>
      </c>
      <c r="F59" s="517">
        <f>+F58*F20</f>
        <v/>
      </c>
      <c r="G59" s="517">
        <f>+G58*G20</f>
        <v/>
      </c>
      <c r="H59" s="517">
        <f>+H58*H20</f>
        <v/>
      </c>
      <c r="I59" s="517">
        <f>+I58*I20</f>
        <v/>
      </c>
      <c r="J59" s="517">
        <f>+J58*J20</f>
        <v/>
      </c>
      <c r="K59" s="517">
        <f>+K58*K20</f>
        <v/>
      </c>
      <c r="L59" s="517">
        <f>+L58*L20</f>
        <v/>
      </c>
      <c r="M59" s="517">
        <f>+M58*M20</f>
        <v/>
      </c>
      <c r="N59" s="517">
        <f>+N58*N20</f>
        <v/>
      </c>
      <c r="O59" s="517">
        <f>+O58*O20</f>
        <v/>
      </c>
      <c r="P59" s="302" t="n"/>
      <c r="R59" s="285" t="inlineStr">
        <is>
          <t>Average invested capital</t>
        </is>
      </c>
      <c r="S59" s="517">
        <f>AVERAGE(S57:S58)</f>
        <v/>
      </c>
      <c r="T59" s="517">
        <f>AVERAGE(T57:T58)</f>
        <v/>
      </c>
      <c r="U59" s="517">
        <f>+S16-SUM(S59:T59)</f>
        <v/>
      </c>
      <c r="V59" s="523" t="n"/>
    </row>
    <row r="60">
      <c r="A60" s="341" t="n"/>
      <c r="B60" s="517" t="n"/>
      <c r="C60" s="517" t="n"/>
      <c r="D60" s="517" t="n"/>
      <c r="E60" s="517" t="n"/>
      <c r="F60" s="517" t="n"/>
      <c r="G60" s="517" t="n"/>
      <c r="H60" s="517" t="n"/>
      <c r="I60" s="517" t="n"/>
      <c r="J60" s="517" t="n"/>
      <c r="K60" s="517" t="n"/>
      <c r="L60" s="517" t="n"/>
      <c r="M60" s="517" t="n"/>
      <c r="N60" s="517" t="n"/>
      <c r="O60" s="517" t="n"/>
      <c r="S60" s="499">
        <f>+S56/S59</f>
        <v/>
      </c>
      <c r="T60" s="499">
        <f>+T56/T59</f>
        <v/>
      </c>
      <c r="U60" s="499">
        <f>+U56/U59</f>
        <v/>
      </c>
      <c r="V60" s="345" t="n"/>
    </row>
    <row r="61">
      <c r="A61" s="341" t="inlineStr">
        <is>
          <t>Total assets</t>
        </is>
      </c>
      <c r="B61" s="509" t="n">
        <v>44072</v>
      </c>
      <c r="C61" s="527">
        <f>+B61-C57+C55</f>
        <v/>
      </c>
      <c r="D61" s="527">
        <f>+C61-D57+D55</f>
        <v/>
      </c>
      <c r="E61" s="527">
        <f>+D61-E57+E55</f>
        <v/>
      </c>
      <c r="F61" s="512" t="n">
        <v>37839</v>
      </c>
      <c r="G61" s="512" t="n">
        <v>41673</v>
      </c>
      <c r="H61" s="528">
        <f>+G61-H57+H55</f>
        <v/>
      </c>
      <c r="I61" s="528">
        <f>+H61-I57+I55</f>
        <v/>
      </c>
      <c r="J61" s="529">
        <f>+I61-J57+J55</f>
        <v/>
      </c>
      <c r="K61" s="529">
        <f>+J61-K57+K55</f>
        <v/>
      </c>
      <c r="L61" s="529">
        <f>+K61-L57+L55</f>
        <v/>
      </c>
      <c r="M61" s="529">
        <f>+L61-M57+M55</f>
        <v/>
      </c>
      <c r="N61" s="529">
        <f>+M61-N57+N55</f>
        <v/>
      </c>
      <c r="O61" s="529">
        <f>+N61-O57+O55</f>
        <v/>
      </c>
      <c r="P61" s="306" t="n"/>
      <c r="V61" s="345" t="n"/>
    </row>
    <row r="62">
      <c r="A62" s="341" t="inlineStr">
        <is>
          <t>Fixed assets</t>
        </is>
      </c>
      <c r="B62" s="509">
        <f>Aus!AA88</f>
        <v/>
      </c>
      <c r="C62" s="509">
        <f>Aus!AB88</f>
        <v/>
      </c>
      <c r="D62" s="509">
        <f>Aus!AC88</f>
        <v/>
      </c>
      <c r="E62" s="509">
        <f>Aus!AD88</f>
        <v/>
      </c>
      <c r="F62" s="509">
        <f>Aus!AE88</f>
        <v/>
      </c>
      <c r="G62" s="509">
        <f>Aus!AF88</f>
        <v/>
      </c>
      <c r="H62" s="509">
        <f>Aus!AG88</f>
        <v/>
      </c>
      <c r="I62" s="509">
        <f>Aus!AH88</f>
        <v/>
      </c>
      <c r="J62" s="509">
        <f>Aus!AI88</f>
        <v/>
      </c>
      <c r="K62" s="509">
        <f>Aus!AJ88</f>
        <v/>
      </c>
      <c r="L62" s="509">
        <f>Aus!AK88</f>
        <v/>
      </c>
      <c r="M62" s="509">
        <f>Aus!AL88</f>
        <v/>
      </c>
      <c r="N62" s="509">
        <f>Aus!AM88</f>
        <v/>
      </c>
      <c r="O62" s="509">
        <f>Aus!AN88</f>
        <v/>
      </c>
      <c r="P62" s="306" t="n"/>
      <c r="R62" s="344" t="n"/>
      <c r="S62" s="530" t="n"/>
      <c r="T62" s="531" t="n"/>
      <c r="U62" s="532" t="n"/>
      <c r="V62" s="533" t="n"/>
    </row>
    <row r="63">
      <c r="A63" s="341" t="inlineStr">
        <is>
          <t>Total liabilities</t>
        </is>
      </c>
      <c r="B63" s="509" t="n">
        <v>10742</v>
      </c>
      <c r="C63" s="527">
        <f>+B63/B61*C61</f>
        <v/>
      </c>
      <c r="D63" s="527">
        <f>+C63/C61*D61</f>
        <v/>
      </c>
      <c r="E63" s="527">
        <f>+D63/D61*E61</f>
        <v/>
      </c>
      <c r="F63" s="509" t="n">
        <v>11160</v>
      </c>
      <c r="G63" s="509" t="n">
        <v>20143</v>
      </c>
      <c r="H63" s="529">
        <f>+G63/G61*H61</f>
        <v/>
      </c>
      <c r="I63" s="529">
        <f>+H63/H61*I61</f>
        <v/>
      </c>
      <c r="J63" s="529">
        <f>+I63/I61*J61</f>
        <v/>
      </c>
      <c r="K63" s="529">
        <f>+J63/J61*K61</f>
        <v/>
      </c>
      <c r="L63" s="529">
        <f>+K63/K61*L61</f>
        <v/>
      </c>
      <c r="M63" s="529">
        <f>+L63/L61*M61</f>
        <v/>
      </c>
      <c r="N63" s="529">
        <f>+M63/M61*N61</f>
        <v/>
      </c>
      <c r="O63" s="529">
        <f>+N63/N61*O61</f>
        <v/>
      </c>
      <c r="P63" s="306" t="n"/>
      <c r="R63" s="285" t="inlineStr">
        <is>
          <t>1st year avg invested capital</t>
        </is>
      </c>
      <c r="S63" s="509">
        <f>S59*(1+$B$12)</f>
        <v/>
      </c>
      <c r="T63" s="509">
        <f>T59*(1+$B$12)</f>
        <v/>
      </c>
      <c r="U63" s="509">
        <f>U59*(1+$B$12)</f>
        <v/>
      </c>
      <c r="V63" s="355" t="inlineStr">
        <is>
          <t>Weighted Average</t>
        </is>
      </c>
    </row>
    <row r="64">
      <c r="A64" s="285" t="inlineStr">
        <is>
          <t>Total debt</t>
        </is>
      </c>
      <c r="B64" s="517">
        <f>+Aus!AA84</f>
        <v/>
      </c>
      <c r="C64" s="517">
        <f>+Aus!AB84</f>
        <v/>
      </c>
      <c r="D64" s="517">
        <f>+Aus!AC84</f>
        <v/>
      </c>
      <c r="E64" s="517">
        <f>+Aus!AD84</f>
        <v/>
      </c>
      <c r="F64" s="517">
        <f>+Aus!AE84</f>
        <v/>
      </c>
      <c r="G64" s="517">
        <f>+Aus!AF84</f>
        <v/>
      </c>
      <c r="H64" s="517">
        <f>+Aus!AG84</f>
        <v/>
      </c>
      <c r="I64" s="517">
        <f>+Aus!AH84</f>
        <v/>
      </c>
      <c r="J64" s="517">
        <f>+Aus!AI84</f>
        <v/>
      </c>
      <c r="K64" s="517">
        <f>+Aus!AJ84</f>
        <v/>
      </c>
      <c r="L64" s="517">
        <f>+Aus!AK84</f>
        <v/>
      </c>
      <c r="M64" s="517">
        <f>+Aus!AL84</f>
        <v/>
      </c>
      <c r="N64" s="517">
        <f>+Aus!AM84</f>
        <v/>
      </c>
      <c r="O64" s="517">
        <f>+Aus!AN84</f>
        <v/>
      </c>
      <c r="P64" s="499" t="n"/>
      <c r="R64" s="285" t="inlineStr">
        <is>
          <t>Terminal return on capital</t>
        </is>
      </c>
      <c r="S64" s="534" t="n">
        <v>0.02</v>
      </c>
      <c r="T64" s="535" t="n">
        <v>0.08</v>
      </c>
      <c r="U64" s="536" t="n">
        <v>0.06</v>
      </c>
      <c r="V64" s="537">
        <f>+SUMPRODUCT(S64:U64,S59:U59)/SUM(S59:U59)</f>
        <v/>
      </c>
    </row>
    <row r="65">
      <c r="B65" s="517" t="n"/>
      <c r="C65" s="517" t="n"/>
      <c r="D65" s="517" t="n"/>
      <c r="E65" s="517" t="n"/>
      <c r="F65" s="517" t="n"/>
      <c r="G65" s="517" t="n"/>
      <c r="H65" s="517" t="n"/>
      <c r="I65" s="517" t="n"/>
      <c r="J65" s="517" t="n"/>
      <c r="K65" s="517" t="n"/>
      <c r="L65" s="517" t="n"/>
      <c r="M65" s="517" t="n"/>
      <c r="N65" s="517" t="n"/>
      <c r="O65" s="517" t="n"/>
      <c r="R65" s="285" t="inlineStr">
        <is>
          <t>1st year NOPAT</t>
        </is>
      </c>
      <c r="S65" s="517">
        <f>S63*S64</f>
        <v/>
      </c>
      <c r="T65" s="517">
        <f>T63*T64</f>
        <v/>
      </c>
      <c r="U65" s="517">
        <f>+U63*U64</f>
        <v/>
      </c>
      <c r="V65" s="345" t="n"/>
      <c r="W65" s="306" t="n"/>
      <c r="X65" s="306" t="n"/>
      <c r="Y65" s="306" t="n"/>
    </row>
    <row r="66">
      <c r="A66" s="341" t="inlineStr">
        <is>
          <t>ROIC (incl. carbon tax impact)</t>
        </is>
      </c>
      <c r="B66" s="499">
        <f>Aus!AA94</f>
        <v/>
      </c>
      <c r="C66" s="499">
        <f>Aus!AB94</f>
        <v/>
      </c>
      <c r="D66" s="499">
        <f>Aus!AC94</f>
        <v/>
      </c>
      <c r="E66" s="499">
        <f>Aus!AD94</f>
        <v/>
      </c>
      <c r="F66" s="499">
        <f>Aus!AE94</f>
        <v/>
      </c>
      <c r="G66" s="499">
        <f>Aus!AF94</f>
        <v/>
      </c>
      <c r="H66" s="499">
        <f>Aus!AG94</f>
        <v/>
      </c>
      <c r="I66" s="499">
        <f>Aus!AH94</f>
        <v/>
      </c>
      <c r="J66" s="499">
        <f>Aus!AI94</f>
        <v/>
      </c>
      <c r="K66" s="499">
        <f>Aus!AJ94</f>
        <v/>
      </c>
      <c r="L66" s="499">
        <f>Aus!AK94</f>
        <v/>
      </c>
      <c r="M66" s="499">
        <f>Aus!AL94</f>
        <v/>
      </c>
      <c r="N66" s="499">
        <f>Aus!AM94</f>
        <v/>
      </c>
      <c r="O66" s="499">
        <f>Aus!AN94</f>
        <v/>
      </c>
      <c r="R66" s="285" t="inlineStr">
        <is>
          <t>NOPAT multiple</t>
        </is>
      </c>
      <c r="S66" s="538">
        <f>(S64-$B$12)/(S64*($S$4-$B$12))</f>
        <v/>
      </c>
      <c r="T66" s="538">
        <f>(T64-$B$12)/(T64*($S$4-$B$12))</f>
        <v/>
      </c>
      <c r="U66" s="538">
        <f>(U64-$B$12)/(U64*($S$4-$B$12))</f>
        <v/>
      </c>
      <c r="V66" s="345" t="n"/>
    </row>
    <row r="67">
      <c r="A67" s="341" t="n"/>
      <c r="B67" s="539" t="n"/>
      <c r="C67" s="539" t="n"/>
      <c r="D67" s="539" t="n"/>
      <c r="E67" s="539" t="n"/>
      <c r="F67" s="539" t="n"/>
      <c r="G67" s="539" t="n"/>
      <c r="H67" s="539" t="n"/>
      <c r="I67" s="539" t="n"/>
      <c r="J67" s="539" t="n"/>
      <c r="K67" s="539" t="n"/>
      <c r="L67" s="539" t="n"/>
      <c r="M67" s="539" t="n"/>
      <c r="N67" s="539" t="n"/>
      <c r="O67" s="539" t="n"/>
      <c r="R67" s="285" t="inlineStr">
        <is>
          <t>Terminal value (undiscounted)</t>
        </is>
      </c>
      <c r="S67" s="517">
        <f>S65*S66</f>
        <v/>
      </c>
      <c r="T67" s="517">
        <f>T65*T66</f>
        <v/>
      </c>
      <c r="U67" s="517">
        <f>U65*U66</f>
        <v/>
      </c>
      <c r="V67" s="345" t="n"/>
      <c r="W67" s="538" t="n"/>
    </row>
    <row r="68">
      <c r="B68" s="517" t="n"/>
      <c r="C68" s="517" t="n"/>
      <c r="D68" s="517" t="n"/>
      <c r="E68" s="517" t="n"/>
      <c r="F68" s="517" t="n"/>
      <c r="G68" s="517" t="n"/>
      <c r="H68" s="517" t="n"/>
      <c r="I68" s="517" t="n"/>
      <c r="J68" s="517" t="n"/>
      <c r="K68" s="517" t="n"/>
      <c r="L68" s="517" t="n"/>
      <c r="M68" s="517" t="n"/>
      <c r="N68" s="517" t="n"/>
      <c r="O68" s="517" t="n"/>
      <c r="P68" s="302" t="n"/>
      <c r="R68" s="285" t="inlineStr">
        <is>
          <t>Discount rate</t>
        </is>
      </c>
      <c r="S68" s="360">
        <f>+S25</f>
        <v/>
      </c>
      <c r="T68" s="360">
        <f>+S68</f>
        <v/>
      </c>
      <c r="U68" s="360">
        <f>+T68</f>
        <v/>
      </c>
      <c r="V68" s="345" t="n"/>
    </row>
    <row r="69">
      <c r="A69" s="361" t="inlineStr">
        <is>
          <t>Total assets breakdown</t>
        </is>
      </c>
      <c r="B69" s="517">
        <f>+Final!AA75</f>
        <v/>
      </c>
      <c r="C69" s="517">
        <f>+Final!AB75</f>
        <v/>
      </c>
      <c r="D69" s="517">
        <f>+Final!AC75</f>
        <v/>
      </c>
      <c r="E69" s="517">
        <f>+Final!AD75</f>
        <v/>
      </c>
      <c r="F69" s="517">
        <f>+Final!AE75</f>
        <v/>
      </c>
      <c r="G69" s="517">
        <f>+Final!AF75</f>
        <v/>
      </c>
      <c r="H69" s="517">
        <f>+Final!AG75</f>
        <v/>
      </c>
      <c r="I69" s="517">
        <f>+Final!AH75</f>
        <v/>
      </c>
      <c r="J69" s="517">
        <f>+Final!AI75</f>
        <v/>
      </c>
      <c r="K69" s="517">
        <f>+Final!AJ75</f>
        <v/>
      </c>
      <c r="L69" s="517">
        <f>+Final!AK75</f>
        <v/>
      </c>
      <c r="M69" s="517">
        <f>+Final!AL75</f>
        <v/>
      </c>
      <c r="N69" s="517">
        <f>+Final!AM75</f>
        <v/>
      </c>
      <c r="O69" s="517">
        <f>+Final!AN75</f>
        <v/>
      </c>
      <c r="P69" s="302" t="n"/>
      <c r="Q69" s="473" t="n"/>
      <c r="R69" s="285" t="inlineStr">
        <is>
          <t>Terminal value (discounted)</t>
        </is>
      </c>
      <c r="S69" s="509">
        <f>+S67*S68</f>
        <v/>
      </c>
      <c r="T69" s="509">
        <f>+T67*T68</f>
        <v/>
      </c>
      <c r="U69" s="509">
        <f>+S26-SUM(S69:T69)</f>
        <v/>
      </c>
      <c r="V69" s="345" t="n"/>
    </row>
    <row r="70">
      <c r="A70" s="341" t="inlineStr">
        <is>
          <t>HK (CAPCO and CLP)</t>
        </is>
      </c>
      <c r="B70" s="517">
        <f>ROAFNA!AA18</f>
        <v/>
      </c>
      <c r="C70" s="517">
        <f>ROAFNA!AB18</f>
        <v/>
      </c>
      <c r="D70" s="517">
        <f>ROAFNA!AC18</f>
        <v/>
      </c>
      <c r="E70" s="517">
        <f>ROAFNA!AD18</f>
        <v/>
      </c>
      <c r="F70" s="517">
        <f>ROAFNA!AE18</f>
        <v/>
      </c>
      <c r="G70" s="517">
        <f>ROAFNA!AF18</f>
        <v/>
      </c>
      <c r="H70" s="517">
        <f>ROAFNA!AG18</f>
        <v/>
      </c>
      <c r="I70" s="517">
        <f>ROAFNA!AH18</f>
        <v/>
      </c>
      <c r="J70" s="517">
        <f>ROAFNA!AI18</f>
        <v/>
      </c>
      <c r="K70" s="517">
        <f>ROAFNA!AJ18</f>
        <v/>
      </c>
      <c r="L70" s="517">
        <f>ROAFNA!AK18</f>
        <v/>
      </c>
      <c r="M70" s="517">
        <f>ROAFNA!AL18</f>
        <v/>
      </c>
      <c r="N70" s="517">
        <f>ROAFNA!AM18</f>
        <v/>
      </c>
      <c r="O70" s="517">
        <f>ROAFNA!AN18</f>
        <v/>
      </c>
      <c r="P70" s="302" t="n"/>
      <c r="S70" s="517" t="n"/>
      <c r="T70" s="517" t="n"/>
      <c r="U70" s="517" t="n"/>
      <c r="V70" s="345" t="n"/>
    </row>
    <row r="71">
      <c r="A71" s="341" t="inlineStr">
        <is>
          <t>Australia</t>
        </is>
      </c>
      <c r="B71" s="517">
        <f>+B61</f>
        <v/>
      </c>
      <c r="C71" s="517">
        <f>+C61</f>
        <v/>
      </c>
      <c r="D71" s="517">
        <f>+D61</f>
        <v/>
      </c>
      <c r="E71" s="517">
        <f>+E61</f>
        <v/>
      </c>
      <c r="F71" s="517">
        <f>+F61</f>
        <v/>
      </c>
      <c r="G71" s="517">
        <f>+G61</f>
        <v/>
      </c>
      <c r="H71" s="517">
        <f>+H61</f>
        <v/>
      </c>
      <c r="I71" s="517">
        <f>+I61</f>
        <v/>
      </c>
      <c r="J71" s="517">
        <f>+J61</f>
        <v/>
      </c>
      <c r="K71" s="517">
        <f>+K61</f>
        <v/>
      </c>
      <c r="L71" s="517">
        <f>+L61</f>
        <v/>
      </c>
      <c r="M71" s="517">
        <f>+M61</f>
        <v/>
      </c>
      <c r="N71" s="517">
        <f>+N61</f>
        <v/>
      </c>
      <c r="O71" s="517">
        <f>+O61</f>
        <v/>
      </c>
      <c r="P71" s="302" t="n"/>
      <c r="R71" s="285" t="inlineStr">
        <is>
          <t>Explicit cash flows (2019-2030)</t>
        </is>
      </c>
      <c r="S71" s="509">
        <f>SUM(I59:O59)*$V$72</f>
        <v/>
      </c>
      <c r="T71" s="509">
        <f>SUM(I38:O38)*$V$72</f>
        <v/>
      </c>
      <c r="U71" s="509">
        <f>+S28-SUM(S71:T71)</f>
        <v/>
      </c>
      <c r="V71" s="345" t="n"/>
    </row>
    <row r="72">
      <c r="A72" s="341" t="inlineStr">
        <is>
          <t>Others</t>
        </is>
      </c>
      <c r="B72" s="517">
        <f>+B69-SUM(B70:B71)</f>
        <v/>
      </c>
      <c r="C72" s="517">
        <f>+C69-SUM(C70:C71)</f>
        <v/>
      </c>
      <c r="D72" s="517">
        <f>+D69-SUM(D70:D71)</f>
        <v/>
      </c>
      <c r="E72" s="517">
        <f>+E69-SUM(E70:E71)</f>
        <v/>
      </c>
      <c r="F72" s="517">
        <f>+F69-SUM(F70:F71)</f>
        <v/>
      </c>
      <c r="G72" s="517">
        <f>+G69-SUM(G70:G71)</f>
        <v/>
      </c>
      <c r="H72" s="517">
        <f>+H69-SUM(H70:H71)</f>
        <v/>
      </c>
      <c r="I72" s="517">
        <f>+I69-SUM(I70:I71)</f>
        <v/>
      </c>
      <c r="J72" s="517">
        <f>+J69-SUM(J70:J71)</f>
        <v/>
      </c>
      <c r="K72" s="517">
        <f>+K69-SUM(K70:K71)</f>
        <v/>
      </c>
      <c r="L72" s="517">
        <f>+L69-SUM(L70:L71)</f>
        <v/>
      </c>
      <c r="M72" s="517">
        <f>+M69-SUM(M70:M71)</f>
        <v/>
      </c>
      <c r="N72" s="517">
        <f>+N69-SUM(N70:N71)</f>
        <v/>
      </c>
      <c r="O72" s="517">
        <f>+O69-SUM(O70:O71)</f>
        <v/>
      </c>
      <c r="R72" s="285" t="inlineStr">
        <is>
          <t>Dividend + interests income</t>
        </is>
      </c>
      <c r="S72" s="509" t="n">
        <v>0</v>
      </c>
      <c r="T72" s="509" t="n">
        <v>0</v>
      </c>
      <c r="U72" s="509">
        <f>+S27</f>
        <v/>
      </c>
      <c r="V72" s="362" t="n">
        <v>1</v>
      </c>
    </row>
    <row r="73">
      <c r="B73" s="517" t="n"/>
      <c r="C73" s="517" t="n"/>
      <c r="D73" s="517" t="n"/>
      <c r="E73" s="517" t="n"/>
      <c r="F73" s="517" t="n"/>
      <c r="G73" s="517" t="n"/>
      <c r="H73" s="517" t="n"/>
      <c r="I73" s="517" t="n"/>
      <c r="J73" s="517" t="n"/>
      <c r="K73" s="517" t="n"/>
      <c r="L73" s="517" t="n"/>
      <c r="M73" s="517" t="n"/>
      <c r="N73" s="517" t="n"/>
      <c r="O73" s="517" t="n"/>
      <c r="P73" s="302" t="n"/>
      <c r="S73" s="509" t="n"/>
      <c r="T73" s="517" t="n"/>
      <c r="U73" s="517" t="n"/>
      <c r="V73" s="345" t="n"/>
    </row>
    <row r="74">
      <c r="B74" s="517" t="n"/>
      <c r="C74" s="517" t="n"/>
      <c r="D74" s="517" t="n"/>
      <c r="E74" s="517" t="n"/>
      <c r="F74" s="517" t="n"/>
      <c r="G74" s="517" t="n"/>
      <c r="H74" s="517" t="n"/>
      <c r="I74" s="517" t="n"/>
      <c r="J74" s="517" t="n"/>
      <c r="K74" s="517" t="n"/>
      <c r="L74" s="517" t="n"/>
      <c r="M74" s="517" t="n"/>
      <c r="N74" s="517" t="n"/>
      <c r="O74" s="517" t="n"/>
      <c r="R74" s="285" t="inlineStr">
        <is>
          <t>EV</t>
        </is>
      </c>
      <c r="S74" s="517">
        <f>+S71+S69+S72</f>
        <v/>
      </c>
      <c r="T74" s="517">
        <f>+T71+T69+T72</f>
        <v/>
      </c>
      <c r="U74" s="517">
        <f>+U71+U69+U72</f>
        <v/>
      </c>
      <c r="V74" s="345" t="n"/>
      <c r="W74" s="296" t="inlineStr">
        <is>
          <t>check:</t>
        </is>
      </c>
    </row>
    <row r="75">
      <c r="A75" s="341" t="inlineStr">
        <is>
          <t>Non-fixed assets</t>
        </is>
      </c>
      <c r="B75" s="517">
        <f>+B69-SUM(Final!AA65,Final!AA66,Final!AA67,Final!AA68)</f>
        <v/>
      </c>
      <c r="C75" s="517">
        <f>+C69-SUM(Final!AB65,Final!AB66,Final!AB67,Final!AB68)</f>
        <v/>
      </c>
      <c r="D75" s="517">
        <f>+D69-SUM(Final!AC65,Final!AC66,Final!AC67,Final!AC68)</f>
        <v/>
      </c>
      <c r="E75" s="517">
        <f>+E69-SUM(Final!AD65,Final!AD66,Final!AD67,Final!AD68)</f>
        <v/>
      </c>
      <c r="F75" s="517">
        <f>+F69-SUM(Final!AE65,Final!AE66,Final!AE67,Final!AE68)</f>
        <v/>
      </c>
      <c r="G75" s="517">
        <f>+G69-SUM(Final!AF65,Final!AF66,Final!AF67,Final!AF68)</f>
        <v/>
      </c>
      <c r="H75" s="517">
        <f>+H69-SUM(Final!AG65,Final!AG66,Final!AG67,Final!AG68)</f>
        <v/>
      </c>
      <c r="I75" s="517">
        <f>+I69-SUM(Final!AH65,Final!AH66,Final!AH67,Final!AH68)</f>
        <v/>
      </c>
      <c r="J75" s="517">
        <f>+J69-SUM(Final!AI65,Final!AI66,Final!AI67,Final!AI68)</f>
        <v/>
      </c>
      <c r="K75" s="517">
        <f>+K69-SUM(Final!AJ65,Final!AJ66,Final!AJ67,Final!AJ68)</f>
        <v/>
      </c>
      <c r="L75" s="517">
        <f>+L69-SUM(Final!AK65,Final!AK66,Final!AK67,Final!AK68)</f>
        <v/>
      </c>
      <c r="M75" s="517">
        <f>+M69-SUM(Final!AL65,Final!AL66,Final!AL67,Final!AL68)</f>
        <v/>
      </c>
      <c r="N75" s="517">
        <f>+N69-SUM(Final!AM65,Final!AM66,Final!AM67,Final!AM68)</f>
        <v/>
      </c>
      <c r="O75" s="517">
        <f>+O69-SUM(Final!AN65,Final!AN66,Final!AN67,Final!AN68)</f>
        <v/>
      </c>
      <c r="P75" s="291" t="n"/>
      <c r="R75" s="285" t="inlineStr">
        <is>
          <t xml:space="preserve">Net debt </t>
        </is>
      </c>
      <c r="S75" s="517">
        <f>-G64</f>
        <v/>
      </c>
      <c r="T75" s="517">
        <f>S32+S33+S34-S75+S31-U75</f>
        <v/>
      </c>
      <c r="U75" s="540">
        <f>-5573-6785</f>
        <v/>
      </c>
      <c r="V75" s="363" t="n"/>
      <c r="W75" s="299">
        <f>SUM(S74:U74)-S30</f>
        <v/>
      </c>
    </row>
    <row r="76">
      <c r="A76" s="341" t="n"/>
      <c r="B76" s="517" t="n"/>
      <c r="C76" s="517" t="n"/>
      <c r="D76" s="517" t="n"/>
      <c r="E76" s="517" t="n"/>
      <c r="F76" s="517" t="n"/>
      <c r="G76" s="517" t="n"/>
      <c r="H76" s="517" t="n"/>
      <c r="I76" s="517" t="n"/>
      <c r="J76" s="517" t="n"/>
      <c r="K76" s="517" t="n"/>
      <c r="L76" s="517" t="n"/>
      <c r="M76" s="517" t="n"/>
      <c r="N76" s="517" t="n"/>
      <c r="O76" s="517" t="n"/>
      <c r="P76" s="306" t="n"/>
      <c r="R76" s="285" t="inlineStr">
        <is>
          <t>MI</t>
        </is>
      </c>
      <c r="S76" s="517" t="n"/>
      <c r="T76" s="517">
        <f>+S35-U76</f>
        <v/>
      </c>
      <c r="U76" s="517">
        <f>-Final!AC127</f>
        <v/>
      </c>
      <c r="V76" s="345" t="n"/>
      <c r="Y76" s="285" t="inlineStr">
        <is>
          <t>NPV by segments:</t>
        </is>
      </c>
    </row>
    <row r="77">
      <c r="A77" s="361" t="inlineStr">
        <is>
          <t>Estimated Invested capital breakdown</t>
        </is>
      </c>
      <c r="B77" s="517">
        <f>+Final!AA144</f>
        <v/>
      </c>
      <c r="C77" s="517">
        <f>+Final!AB144</f>
        <v/>
      </c>
      <c r="D77" s="517">
        <f>+Final!AC144</f>
        <v/>
      </c>
      <c r="E77" s="517">
        <f>+Final!AD144</f>
        <v/>
      </c>
      <c r="F77" s="517">
        <f>+Final!AE144</f>
        <v/>
      </c>
      <c r="G77" s="517">
        <f>+Final!AF144</f>
        <v/>
      </c>
      <c r="H77" s="517">
        <f>+Final!AG144</f>
        <v/>
      </c>
      <c r="I77" s="517">
        <f>+Final!AH144</f>
        <v/>
      </c>
      <c r="J77" s="517">
        <f>+Final!AI144</f>
        <v/>
      </c>
      <c r="K77" s="517">
        <f>+Final!AJ144</f>
        <v/>
      </c>
      <c r="L77" s="517">
        <f>+Final!AK144</f>
        <v/>
      </c>
      <c r="M77" s="517">
        <f>+Final!AL144</f>
        <v/>
      </c>
      <c r="N77" s="517">
        <f>+Final!AM144</f>
        <v/>
      </c>
      <c r="O77" s="517">
        <f>+Final!AN144</f>
        <v/>
      </c>
      <c r="P77" s="306" t="n"/>
      <c r="R77" s="291" t="inlineStr">
        <is>
          <t>NPV</t>
        </is>
      </c>
      <c r="S77" s="518">
        <f>+S74+S75+S76</f>
        <v/>
      </c>
      <c r="T77" s="518">
        <f>+T74+T75+T76</f>
        <v/>
      </c>
      <c r="U77" s="518">
        <f>+U74+U75+U76</f>
        <v/>
      </c>
      <c r="V77" s="345" t="n"/>
      <c r="Y77" s="285" t="inlineStr">
        <is>
          <t>Australia</t>
        </is>
      </c>
      <c r="Z77" s="302">
        <f>S77</f>
        <v/>
      </c>
      <c r="AA77" s="347">
        <f>Z77/SUM($Z$77:$Z$79)</f>
        <v/>
      </c>
    </row>
    <row r="78">
      <c r="A78" s="341" t="inlineStr">
        <is>
          <t>Hong Kong</t>
        </is>
      </c>
      <c r="B78" s="509">
        <f>+B70</f>
        <v/>
      </c>
      <c r="C78" s="509">
        <f>+C70</f>
        <v/>
      </c>
      <c r="D78" s="509">
        <f>+D70</f>
        <v/>
      </c>
      <c r="E78" s="509">
        <f>+E70</f>
        <v/>
      </c>
      <c r="F78" s="509">
        <f>+F70</f>
        <v/>
      </c>
      <c r="G78" s="509">
        <f>+G70</f>
        <v/>
      </c>
      <c r="H78" s="509">
        <f>+H70</f>
        <v/>
      </c>
      <c r="I78" s="509">
        <f>+I70</f>
        <v/>
      </c>
      <c r="J78" s="509">
        <f>+J70</f>
        <v/>
      </c>
      <c r="K78" s="509">
        <f>+K70</f>
        <v/>
      </c>
      <c r="L78" s="509">
        <f>+L70</f>
        <v/>
      </c>
      <c r="M78" s="509">
        <f>+M70</f>
        <v/>
      </c>
      <c r="N78" s="509">
        <f>+N70</f>
        <v/>
      </c>
      <c r="O78" s="509">
        <f>+O70</f>
        <v/>
      </c>
      <c r="P78" s="306" t="n"/>
      <c r="R78" s="291" t="inlineStr">
        <is>
          <t>NPV per share</t>
        </is>
      </c>
      <c r="S78" s="541">
        <f>ROUND(2*S77/Final!AB52,0)/2</f>
        <v/>
      </c>
      <c r="T78" s="541">
        <f>ROUND(2*T77/Final!AB52,0)/2</f>
        <v/>
      </c>
      <c r="U78" s="541">
        <f>ROUND(2*U77/Final!AB52,0)/2</f>
        <v/>
      </c>
      <c r="V78" s="345" t="n"/>
      <c r="Y78" s="285" t="inlineStr">
        <is>
          <t>Hong Kong</t>
        </is>
      </c>
      <c r="Z78" s="302">
        <f>T77</f>
        <v/>
      </c>
      <c r="AA78" s="347">
        <f>Z78/SUM($Z$77:$Z$79)</f>
        <v/>
      </c>
    </row>
    <row r="79">
      <c r="A79" s="285" t="inlineStr">
        <is>
          <t>Australia</t>
        </is>
      </c>
      <c r="B79" s="509">
        <f>Aus!AA88+Aus!AA93</f>
        <v/>
      </c>
      <c r="C79" s="509">
        <f>Aus!AB88+Aus!AB93</f>
        <v/>
      </c>
      <c r="D79" s="509">
        <f>Aus!AC88+Aus!AC93</f>
        <v/>
      </c>
      <c r="E79" s="509">
        <f>Aus!AD88+Aus!AD93</f>
        <v/>
      </c>
      <c r="F79" s="509">
        <f>Aus!AE88+Aus!AE93</f>
        <v/>
      </c>
      <c r="G79" s="509">
        <f>Aus!AF88+Aus!AF93</f>
        <v/>
      </c>
      <c r="H79" s="509">
        <f>Aus!AG88+Aus!AG93</f>
        <v/>
      </c>
      <c r="I79" s="509">
        <f>Aus!AH88+Aus!AH93</f>
        <v/>
      </c>
      <c r="J79" s="509">
        <f>Aus!AI88+Aus!AI93</f>
        <v/>
      </c>
      <c r="K79" s="509">
        <f>Aus!AJ88+Aus!AJ93</f>
        <v/>
      </c>
      <c r="L79" s="509">
        <f>Aus!AK88+Aus!AK93</f>
        <v/>
      </c>
      <c r="M79" s="509">
        <f>Aus!AL88+Aus!AL93</f>
        <v/>
      </c>
      <c r="N79" s="509">
        <f>Aus!AM88+Aus!AM93</f>
        <v/>
      </c>
      <c r="O79" s="509">
        <f>Aus!AN88+Aus!AN93</f>
        <v/>
      </c>
      <c r="P79" s="306" t="n"/>
      <c r="R79" s="291" t="n"/>
      <c r="S79" s="473">
        <f>+S78/SUM($S$78:$U$78)</f>
        <v/>
      </c>
      <c r="T79" s="473">
        <f>+T78/SUM($S$78:$U$78)</f>
        <v/>
      </c>
      <c r="U79" s="473">
        <f>+U78/SUM($S$78:$U$78)</f>
        <v/>
      </c>
      <c r="V79" s="345" t="n"/>
      <c r="Y79" s="285" t="inlineStr">
        <is>
          <t>Others</t>
        </is>
      </c>
      <c r="Z79" s="302">
        <f>U77</f>
        <v/>
      </c>
      <c r="AA79" s="347">
        <f>Z79/SUM($Z$77:$Z$79)</f>
        <v/>
      </c>
    </row>
    <row r="80">
      <c r="A80" s="341" t="inlineStr">
        <is>
          <t>Others</t>
        </is>
      </c>
      <c r="B80" s="517">
        <f>+B77-SUM(B78:B79)</f>
        <v/>
      </c>
      <c r="C80" s="517">
        <f>+C77-SUM(C78:C79)</f>
        <v/>
      </c>
      <c r="D80" s="517">
        <f>+D77-SUM(D78:D79)</f>
        <v/>
      </c>
      <c r="E80" s="517">
        <f>+E77-SUM(E78:E79)</f>
        <v/>
      </c>
      <c r="F80" s="517">
        <f>+F77-SUM(F78:F79)</f>
        <v/>
      </c>
      <c r="G80" s="517">
        <f>+G77-SUM(G78:G79)</f>
        <v/>
      </c>
      <c r="H80" s="517">
        <f>+H77-SUM(H78:H79)</f>
        <v/>
      </c>
      <c r="I80" s="517">
        <f>+I77-SUM(I78:I79)</f>
        <v/>
      </c>
      <c r="J80" s="517">
        <f>+J77-SUM(J78:J79)</f>
        <v/>
      </c>
      <c r="K80" s="517">
        <f>+K77-SUM(K78:K79)</f>
        <v/>
      </c>
      <c r="L80" s="517">
        <f>+L77-SUM(L78:L79)</f>
        <v/>
      </c>
      <c r="M80" s="517">
        <f>+M77-SUM(M78:M79)</f>
        <v/>
      </c>
      <c r="N80" s="517">
        <f>+N77-SUM(N78:N79)</f>
        <v/>
      </c>
      <c r="O80" s="517">
        <f>+O77-SUM(O78:O79)</f>
        <v/>
      </c>
      <c r="P80" s="306" t="n"/>
      <c r="S80" s="520">
        <f>+S77/7.8</f>
        <v/>
      </c>
      <c r="V80" s="345" t="n"/>
    </row>
    <row r="81">
      <c r="A81" s="341" t="n"/>
      <c r="B81" s="539" t="n"/>
      <c r="C81" s="539" t="n"/>
      <c r="D81" s="539" t="n"/>
      <c r="E81" s="539" t="n"/>
      <c r="F81" s="539" t="n"/>
      <c r="G81" s="539" t="n"/>
      <c r="H81" s="539" t="n"/>
      <c r="I81" s="539" t="n"/>
      <c r="J81" s="539" t="n"/>
      <c r="K81" s="539" t="n"/>
      <c r="L81" s="539" t="n"/>
      <c r="M81" s="539" t="n"/>
      <c r="N81" s="539" t="n"/>
      <c r="O81" s="539" t="n"/>
      <c r="P81" s="306" t="n"/>
      <c r="R81" s="344" t="n"/>
      <c r="S81" s="542" t="n"/>
      <c r="T81" s="542" t="n"/>
      <c r="V81" s="345" t="n"/>
    </row>
    <row r="82">
      <c r="A82" s="361" t="inlineStr">
        <is>
          <t>NOPAT breakdown</t>
        </is>
      </c>
      <c r="B82" s="514">
        <f>(Final!AA20-Final!AA19-Final!AA18)*(1+Final!AA23/(Final!AA22-Final!AA18-Final!AA19))</f>
        <v/>
      </c>
      <c r="C82" s="514">
        <f>(Final!AB20-Final!AB19-Final!AB18)*(1+Final!AB23/(Final!AB22-Final!AB18-Final!AB19))</f>
        <v/>
      </c>
      <c r="D82" s="514">
        <f>(Final!AC20-Final!AC19-Final!AC18)*(1+Final!AC23/(Final!AC22-Final!AC18-Final!AC19))</f>
        <v/>
      </c>
      <c r="E82" s="514">
        <f>(Final!AD20-Final!AD19-Final!AD18)*(1+Final!AD23/(Final!AD22-Final!AD18-Final!AD19))</f>
        <v/>
      </c>
      <c r="F82" s="514">
        <f>(Final!AE20-Final!AE19-Final!AE18)*(1+Final!AE23/(Final!AE22-Final!AE18-Final!AE19))</f>
        <v/>
      </c>
      <c r="G82" s="514">
        <f>(Final!AF20-Final!AF19-Final!AF18)*(1+Final!AF23/(Final!AF22-Final!AF18-Final!AF19))</f>
        <v/>
      </c>
      <c r="H82" s="514">
        <f>(Final!AG20-Final!AG19-Final!AG18)*(1+Final!AG23/(Final!AG22-Final!AG18-Final!AG19))</f>
        <v/>
      </c>
      <c r="I82" s="514">
        <f>(Final!AH20-Final!AH19-Final!AH18)*(1+Final!AH23/(Final!AH22-Final!AH18-Final!AH19))</f>
        <v/>
      </c>
      <c r="J82" s="514">
        <f>(Final!AI20-Final!AI19-Final!AI18)*(1+Final!AI23/(Final!AI22-Final!AI18-Final!AI19))</f>
        <v/>
      </c>
      <c r="K82" s="514">
        <f>(Final!AJ20-Final!AJ19-Final!AJ18)*(1+Final!AJ23/(Final!AJ22-Final!AJ18-Final!AJ19))</f>
        <v/>
      </c>
      <c r="L82" s="514">
        <f>(Final!AK20-Final!AK19-Final!AK18)*(1+Final!AK23/(Final!AK22-Final!AK18-Final!AK19))</f>
        <v/>
      </c>
      <c r="M82" s="514">
        <f>(Final!AL20-Final!AL19-Final!AL18)*(1+Final!AL23/(Final!AL22-Final!AL18-Final!AL19))</f>
        <v/>
      </c>
      <c r="N82" s="514">
        <f>(Final!AM20-Final!AM19-Final!AM18)*(1+Final!AM23/(Final!AM22-Final!AM18-Final!AM19))</f>
        <v/>
      </c>
      <c r="O82" s="514">
        <f>(Final!AN20-Final!AN19-Final!AN18)*(1+Final!AN23/(Final!AN22-Final!AN18-Final!AN19))</f>
        <v/>
      </c>
      <c r="P82" s="306" t="n"/>
      <c r="R82" s="344" t="inlineStr">
        <is>
          <t>EV/EBITDA 2024E</t>
        </is>
      </c>
      <c r="S82" s="542">
        <f>+S74/I56</f>
        <v/>
      </c>
      <c r="T82" s="542">
        <f>T74/I33</f>
        <v/>
      </c>
      <c r="V82" s="345" t="n"/>
      <c r="W82" s="296" t="inlineStr">
        <is>
          <t>check:</t>
        </is>
      </c>
    </row>
    <row r="83">
      <c r="A83" s="341" t="inlineStr">
        <is>
          <t>Hong Kong (CLP and CAPCO)</t>
        </is>
      </c>
      <c r="B83" s="524">
        <f>+(B33+SOC!AA10)*(1-16.5%)</f>
        <v/>
      </c>
      <c r="C83" s="524">
        <f>+(C33+SOC!AB10)*(1-16.5%)</f>
        <v/>
      </c>
      <c r="D83" s="524">
        <f>+(D33+SOC!AC10)*(1-16.5%)</f>
        <v/>
      </c>
      <c r="E83" s="524">
        <f>+(E33+SOC!AD10)*(1-16.5%)</f>
        <v/>
      </c>
      <c r="F83" s="524">
        <f>+(F33+SOC!AE10)*(1-16.5%)</f>
        <v/>
      </c>
      <c r="G83" s="524">
        <f>+(G33+SOC!AF10)*(1-16.5%)</f>
        <v/>
      </c>
      <c r="H83" s="524">
        <f>+(H33+SOC!AG10)*(1-16.5%)</f>
        <v/>
      </c>
      <c r="I83" s="524">
        <f>+(I33+SOC!AH10)*(1-16.5%)</f>
        <v/>
      </c>
      <c r="J83" s="524">
        <f>+(J33+SOC!AI10)*(1-16.5%)</f>
        <v/>
      </c>
      <c r="K83" s="524">
        <f>+(K33+SOC!AJ10)*(1-16.5%)</f>
        <v/>
      </c>
      <c r="L83" s="524">
        <f>+(L33+SOC!AK10)*(1-16.5%)</f>
        <v/>
      </c>
      <c r="M83" s="524">
        <f>+(M33+SOC!AL10)*(1-16.5%)</f>
        <v/>
      </c>
      <c r="N83" s="524">
        <f>+(N33+SOC!AM10)*(1-16.5%)</f>
        <v/>
      </c>
      <c r="O83" s="524">
        <f>+(O33+SOC!AN10)*(1-16.5%)</f>
        <v/>
      </c>
      <c r="P83" s="306" t="n"/>
      <c r="R83" s="344" t="inlineStr">
        <is>
          <t>EV/EBITDA 2025E</t>
        </is>
      </c>
      <c r="S83" s="542">
        <f>+S74/J56</f>
        <v/>
      </c>
      <c r="T83" s="542">
        <f>+T74/J33</f>
        <v/>
      </c>
      <c r="V83" s="363" t="n"/>
      <c r="W83" s="299">
        <f>+S36-SUM(S77:U77)</f>
        <v/>
      </c>
      <c r="X83" s="286" t="n"/>
    </row>
    <row r="84">
      <c r="A84" s="341" t="inlineStr">
        <is>
          <t>Australia</t>
        </is>
      </c>
      <c r="B84" s="524">
        <f>+B54*(1-Aus!AA28)</f>
        <v/>
      </c>
      <c r="C84" s="524">
        <f>+C54*(1-Aus!AB28)</f>
        <v/>
      </c>
      <c r="D84" s="524">
        <f>+D54*(1-Aus!AC28)</f>
        <v/>
      </c>
      <c r="E84" s="524">
        <f>+E54*(1-Aus!AD28)</f>
        <v/>
      </c>
      <c r="F84" s="524">
        <f>+F54*(1-Aus!AE28)</f>
        <v/>
      </c>
      <c r="G84" s="524">
        <f>+G54*(1-Aus!AF28)</f>
        <v/>
      </c>
      <c r="H84" s="524">
        <f>+H54*(1-Aus!AG28)</f>
        <v/>
      </c>
      <c r="I84" s="524">
        <f>+I54*(1-Aus!AH28)</f>
        <v/>
      </c>
      <c r="J84" s="524">
        <f>+J54*(1-Aus!AI28)</f>
        <v/>
      </c>
      <c r="K84" s="524">
        <f>+K54*(1-Aus!AJ28)</f>
        <v/>
      </c>
      <c r="L84" s="524">
        <f>+L54*(1-Aus!AK28)</f>
        <v/>
      </c>
      <c r="M84" s="524">
        <f>+M54*(1-Aus!AL28)</f>
        <v/>
      </c>
      <c r="N84" s="524">
        <f>+N54*(1-Aus!AM28)</f>
        <v/>
      </c>
      <c r="O84" s="524">
        <f>+O54*(1-Aus!AN28)</f>
        <v/>
      </c>
      <c r="R84" s="344" t="inlineStr">
        <is>
          <t>PE-2024E</t>
        </is>
      </c>
      <c r="S84" s="542">
        <f>S77/Aus!AH29</f>
        <v/>
      </c>
      <c r="T84" s="542">
        <f>T$77/Driver!AH51</f>
        <v/>
      </c>
      <c r="U84" s="542">
        <f>U77/SUM(Driver!AA53:AA57)</f>
        <v/>
      </c>
      <c r="V84" s="345" t="n"/>
      <c r="W84" s="543" t="n"/>
    </row>
    <row r="85">
      <c r="A85" s="341" t="inlineStr">
        <is>
          <t>Others</t>
        </is>
      </c>
      <c r="B85" s="524">
        <f>B82-B83-B84</f>
        <v/>
      </c>
      <c r="C85" s="524">
        <f>C82-C83-C84</f>
        <v/>
      </c>
      <c r="D85" s="524">
        <f>D82-D83-D84</f>
        <v/>
      </c>
      <c r="E85" s="524">
        <f>E82-E83-E84</f>
        <v/>
      </c>
      <c r="F85" s="524">
        <f>F82-F83-F84</f>
        <v/>
      </c>
      <c r="G85" s="524">
        <f>G82-G83-G84</f>
        <v/>
      </c>
      <c r="H85" s="524">
        <f>H82-H83-H84</f>
        <v/>
      </c>
      <c r="I85" s="524">
        <f>I82-I83-I84</f>
        <v/>
      </c>
      <c r="J85" s="524">
        <f>J82-J83-J84</f>
        <v/>
      </c>
      <c r="K85" s="524">
        <f>K82-K83-K84</f>
        <v/>
      </c>
      <c r="L85" s="524">
        <f>L82-L83-L84</f>
        <v/>
      </c>
      <c r="M85" s="524">
        <f>M82-M83-M84</f>
        <v/>
      </c>
      <c r="N85" s="524">
        <f>N82-N83-N84</f>
        <v/>
      </c>
      <c r="O85" s="524">
        <f>O82-O83-O84</f>
        <v/>
      </c>
      <c r="P85" s="291" t="n"/>
      <c r="R85" s="344" t="inlineStr">
        <is>
          <t>PE-2025E</t>
        </is>
      </c>
      <c r="S85" s="542">
        <f>S77/Aus!AI29</f>
        <v/>
      </c>
      <c r="T85" s="542">
        <f>T$77/Driver!AI51</f>
        <v/>
      </c>
      <c r="U85" s="542">
        <f>U77/SUM(Driver!AB53:AB57)</f>
        <v/>
      </c>
      <c r="V85" s="345" t="n"/>
    </row>
    <row r="86">
      <c r="A86" s="341" t="n"/>
      <c r="B86" s="544">
        <f>+B82-SUM(B83:B85)</f>
        <v/>
      </c>
      <c r="C86" s="544">
        <f>+C82-SUM(C83:C85)</f>
        <v/>
      </c>
      <c r="D86" s="544">
        <f>+D82-SUM(D83:D85)</f>
        <v/>
      </c>
      <c r="E86" s="544">
        <f>+E82-SUM(E83:E85)</f>
        <v/>
      </c>
      <c r="F86" s="544">
        <f>+F82-SUM(F83:F85)</f>
        <v/>
      </c>
      <c r="G86" s="544">
        <f>+G82-SUM(G83:G85)</f>
        <v/>
      </c>
      <c r="H86" s="544">
        <f>+H82-SUM(H83:H85)</f>
        <v/>
      </c>
      <c r="I86" s="544">
        <f>+I82-SUM(I83:I85)</f>
        <v/>
      </c>
      <c r="J86" s="544">
        <f>+J82-SUM(J83:J85)</f>
        <v/>
      </c>
      <c r="K86" s="544">
        <f>+K82-SUM(K83:K85)</f>
        <v/>
      </c>
      <c r="L86" s="544">
        <f>+L82-SUM(L83:L85)</f>
        <v/>
      </c>
      <c r="M86" s="544">
        <f>+M82-SUM(M83:M85)</f>
        <v/>
      </c>
      <c r="N86" s="544">
        <f>+N82-SUM(N83:N85)</f>
        <v/>
      </c>
      <c r="O86" s="544">
        <f>+O82-SUM(O83:O85)</f>
        <v/>
      </c>
      <c r="P86" s="499" t="n"/>
      <c r="R86" s="344" t="inlineStr">
        <is>
          <t>PE-2026E</t>
        </is>
      </c>
      <c r="S86" s="542">
        <f>S77/Aus!AJ29</f>
        <v/>
      </c>
      <c r="T86" s="542">
        <f>T$77/Driver!AJ51</f>
        <v/>
      </c>
      <c r="U86" s="542">
        <f>U77/SUM(Driver!AC53:AC57)</f>
        <v/>
      </c>
      <c r="V86" s="345" t="n"/>
    </row>
    <row r="87">
      <c r="A87" s="361" t="inlineStr">
        <is>
          <t>ROIC</t>
        </is>
      </c>
      <c r="B87" s="518" t="n"/>
      <c r="C87" s="518" t="n"/>
      <c r="D87" s="518" t="n"/>
      <c r="E87" s="518" t="n"/>
      <c r="F87" s="518" t="n"/>
      <c r="G87" s="518" t="n"/>
      <c r="H87" s="518" t="n"/>
      <c r="I87" s="518" t="n"/>
      <c r="J87" s="518" t="n"/>
      <c r="K87" s="518" t="n"/>
      <c r="L87" s="518" t="n"/>
      <c r="M87" s="518" t="n"/>
      <c r="N87" s="518" t="n"/>
      <c r="O87" s="518" t="n"/>
      <c r="P87" s="499" t="n"/>
      <c r="R87" s="285" t="inlineStr">
        <is>
          <t>EV/NFA - 2025</t>
        </is>
      </c>
      <c r="T87" s="385">
        <f>T74/ROAFNA!AI3</f>
        <v/>
      </c>
      <c r="V87" s="345" t="n"/>
    </row>
    <row r="88">
      <c r="A88" s="341" t="inlineStr">
        <is>
          <t>Group</t>
        </is>
      </c>
      <c r="B88" s="499">
        <f>B82/AVERAGE(B77:B77)</f>
        <v/>
      </c>
      <c r="C88" s="499">
        <f>C82/AVERAGE(B77:C77)</f>
        <v/>
      </c>
      <c r="D88" s="499">
        <f>D82/AVERAGE(C77:D77)</f>
        <v/>
      </c>
      <c r="E88" s="499">
        <f>E82/AVERAGE(D77:E77)</f>
        <v/>
      </c>
      <c r="F88" s="499">
        <f>F82/AVERAGE(E77:F77)</f>
        <v/>
      </c>
      <c r="G88" s="499">
        <f>G82/AVERAGE(F77:G77)</f>
        <v/>
      </c>
      <c r="H88" s="499">
        <f>H82/AVERAGE(G77:H77)</f>
        <v/>
      </c>
      <c r="I88" s="499">
        <f>I82/AVERAGE(H77:I77)</f>
        <v/>
      </c>
      <c r="J88" s="499">
        <f>J82/AVERAGE(I77:J77)</f>
        <v/>
      </c>
      <c r="K88" s="499">
        <f>K82/AVERAGE(J77:K77)</f>
        <v/>
      </c>
      <c r="L88" s="499">
        <f>L82/AVERAGE(K77:L77)</f>
        <v/>
      </c>
      <c r="M88" s="499">
        <f>M82/AVERAGE(L77:M77)</f>
        <v/>
      </c>
      <c r="N88" s="499">
        <f>N82/AVERAGE(M77:N77)</f>
        <v/>
      </c>
      <c r="O88" s="499">
        <f>O82/AVERAGE(N77:O77)</f>
        <v/>
      </c>
      <c r="P88" s="499" t="n"/>
      <c r="V88" s="345" t="n"/>
    </row>
    <row r="89">
      <c r="A89" s="341" t="inlineStr">
        <is>
          <t>HK</t>
        </is>
      </c>
      <c r="B89" s="545">
        <f>B83/(AVERAGE(B78:B78))</f>
        <v/>
      </c>
      <c r="C89" s="545">
        <f>C83/(AVERAGE(B78:C78))</f>
        <v/>
      </c>
      <c r="D89" s="545">
        <f>D83/(AVERAGE(C78:D78))</f>
        <v/>
      </c>
      <c r="E89" s="545">
        <f>E83/(AVERAGE(D78:E78))</f>
        <v/>
      </c>
      <c r="F89" s="545">
        <f>F83/(AVERAGE(E78:F78))</f>
        <v/>
      </c>
      <c r="G89" s="545">
        <f>G83/(AVERAGE(F78:G78))</f>
        <v/>
      </c>
      <c r="H89" s="545">
        <f>H83/(AVERAGE(G78:H78))</f>
        <v/>
      </c>
      <c r="I89" s="545">
        <f>I83/(AVERAGE(H78:I78))</f>
        <v/>
      </c>
      <c r="J89" s="545">
        <f>J83/(AVERAGE(I78:J78))</f>
        <v/>
      </c>
      <c r="K89" s="545">
        <f>K83/(AVERAGE(J78:K78))</f>
        <v/>
      </c>
      <c r="L89" s="545">
        <f>L83/(AVERAGE(K78:L78))</f>
        <v/>
      </c>
      <c r="M89" s="545">
        <f>M83/(AVERAGE(L78:M78))</f>
        <v/>
      </c>
      <c r="N89" s="545">
        <f>N83/(AVERAGE(M78:N78))</f>
        <v/>
      </c>
      <c r="O89" s="545">
        <f>O83/(AVERAGE(N78:O78))</f>
        <v/>
      </c>
      <c r="P89" s="499" t="n"/>
      <c r="T89" s="517" t="n"/>
      <c r="U89" s="517" t="n"/>
      <c r="V89" s="345" t="n"/>
    </row>
    <row r="90">
      <c r="A90" s="341" t="inlineStr">
        <is>
          <t>Australia</t>
        </is>
      </c>
      <c r="B90" s="499">
        <f>+B66</f>
        <v/>
      </c>
      <c r="C90" s="499">
        <f>+C66</f>
        <v/>
      </c>
      <c r="D90" s="499">
        <f>+D66</f>
        <v/>
      </c>
      <c r="E90" s="499">
        <f>+E66</f>
        <v/>
      </c>
      <c r="F90" s="499">
        <f>+F66</f>
        <v/>
      </c>
      <c r="G90" s="499">
        <f>+G66</f>
        <v/>
      </c>
      <c r="H90" s="499">
        <f>+H66</f>
        <v/>
      </c>
      <c r="I90" s="499">
        <f>+I66</f>
        <v/>
      </c>
      <c r="J90" s="499">
        <f>+J66</f>
        <v/>
      </c>
      <c r="K90" s="499">
        <f>+K66</f>
        <v/>
      </c>
      <c r="L90" s="499">
        <f>+L66</f>
        <v/>
      </c>
      <c r="M90" s="499">
        <f>+M66</f>
        <v/>
      </c>
      <c r="N90" s="499">
        <f>+N66</f>
        <v/>
      </c>
      <c r="O90" s="499">
        <f>+O66</f>
        <v/>
      </c>
      <c r="P90" s="499" t="n"/>
      <c r="V90" s="345" t="n"/>
    </row>
    <row r="91">
      <c r="A91" s="370" t="inlineStr">
        <is>
          <t>Others</t>
        </is>
      </c>
      <c r="B91" s="546">
        <f>+B85/AVERAGE(B80:B80)</f>
        <v/>
      </c>
      <c r="C91" s="546">
        <f>+C85/AVERAGE(B80:C80)</f>
        <v/>
      </c>
      <c r="D91" s="546">
        <f>+D85/AVERAGE(C80:D80)</f>
        <v/>
      </c>
      <c r="E91" s="546">
        <f>+E85/AVERAGE(D80:E80)</f>
        <v/>
      </c>
      <c r="F91" s="546">
        <f>+F85/AVERAGE(E80:F80)</f>
        <v/>
      </c>
      <c r="G91" s="546">
        <f>+G85/AVERAGE(F80:G80)</f>
        <v/>
      </c>
      <c r="H91" s="546">
        <f>+H85/AVERAGE(G80:H80)</f>
        <v/>
      </c>
      <c r="I91" s="546">
        <f>+I85/AVERAGE(H80:I80)</f>
        <v/>
      </c>
      <c r="J91" s="546">
        <f>+J85/AVERAGE(I80:J80)</f>
        <v/>
      </c>
      <c r="K91" s="546">
        <f>+K85/AVERAGE(J80:K80)</f>
        <v/>
      </c>
      <c r="L91" s="546">
        <f>+L85/AVERAGE(K80:L80)</f>
        <v/>
      </c>
      <c r="M91" s="546">
        <f>+M85/AVERAGE(L80:M80)</f>
        <v/>
      </c>
      <c r="N91" s="546">
        <f>+N85/AVERAGE(M80:N80)</f>
        <v/>
      </c>
      <c r="O91" s="546">
        <f>+O85/AVERAGE(N80:O80)</f>
        <v/>
      </c>
      <c r="P91" s="546" t="n"/>
      <c r="Q91" s="372" t="n"/>
      <c r="R91" s="373" t="n"/>
      <c r="S91" s="373" t="n"/>
      <c r="T91" s="373" t="n"/>
      <c r="U91" s="373" t="n"/>
      <c r="V91" s="374" t="n"/>
    </row>
    <row r="92">
      <c r="P92" s="344" t="n"/>
      <c r="Q92" s="344" t="n"/>
      <c r="R92" s="344" t="n"/>
      <c r="S92" s="344" t="n"/>
      <c r="T92" s="344" t="inlineStr">
        <is>
          <t>incl. CAPCO for HK</t>
        </is>
      </c>
      <c r="U92" s="344" t="n"/>
      <c r="V92" s="344" t="n"/>
    </row>
    <row r="93">
      <c r="A93" s="291" t="inlineStr">
        <is>
          <t>Effective tax rate</t>
        </is>
      </c>
      <c r="B93" s="473">
        <f>-Final!AA23/(Final!AA22-Final!AA18-Final!AA19)</f>
        <v/>
      </c>
      <c r="C93" s="473">
        <f>-Final!AB23/(Final!AB22-Final!AB18-Final!AB19)</f>
        <v/>
      </c>
      <c r="D93" s="473">
        <f>-Final!AC23/(Final!AC22-Final!AC18-Final!AC19)</f>
        <v/>
      </c>
      <c r="E93" s="473">
        <f>-Final!AD23/(Final!AD22-Final!AD18-Final!AD19)</f>
        <v/>
      </c>
      <c r="F93" s="473">
        <f>-Final!AE23/(Final!AE22-Final!AE18-Final!AE19)</f>
        <v/>
      </c>
      <c r="G93" s="473">
        <f>-Final!AF23/(Final!AF22-Final!AF18-Final!AF19)</f>
        <v/>
      </c>
      <c r="H93" s="473">
        <f>-Final!AG23/(Final!AG22-Final!AG18-Final!AG19)</f>
        <v/>
      </c>
      <c r="I93" s="473">
        <f>-Final!AH23/(Final!AH22-Final!AH18-Final!AH19)</f>
        <v/>
      </c>
      <c r="J93" s="473">
        <f>-Final!AI23/(Final!AI22-Final!AI18-Final!AI19)</f>
        <v/>
      </c>
      <c r="K93" s="473">
        <f>-Final!AJ23/(Final!AJ22-Final!AJ18-Final!AJ19)</f>
        <v/>
      </c>
      <c r="L93" s="473">
        <f>-Final!AK23/(Final!AK22-Final!AK18-Final!AK19)</f>
        <v/>
      </c>
      <c r="M93" s="473">
        <f>-Final!AL23/(Final!AL22-Final!AL18-Final!AL19)</f>
        <v/>
      </c>
      <c r="N93" s="473">
        <f>-Final!AM23/(Final!AM22-Final!AM18-Final!AM19)</f>
        <v/>
      </c>
      <c r="O93" s="473">
        <f>-Final!AN23/(Final!AN22-Final!AN18-Final!AN19)</f>
        <v/>
      </c>
      <c r="P93" s="344" t="n"/>
      <c r="Q93" s="344" t="n"/>
      <c r="R93" s="344" t="inlineStr">
        <is>
          <t>EV mix</t>
        </is>
      </c>
      <c r="S93" s="349">
        <f>S74/$S$30</f>
        <v/>
      </c>
      <c r="T93" s="349">
        <f>T74/$S$30</f>
        <v/>
      </c>
      <c r="U93" s="349">
        <f>U74/$S$30</f>
        <v/>
      </c>
      <c r="V93" s="344" t="n"/>
    </row>
    <row r="94">
      <c r="A94" s="341" t="n"/>
      <c r="D94" s="375" t="n"/>
      <c r="E94" s="375" t="n"/>
      <c r="F94" s="375" t="n"/>
      <c r="G94" s="375" t="n"/>
      <c r="H94" s="375" t="n"/>
      <c r="I94" s="375" t="n"/>
      <c r="J94" s="375" t="n"/>
      <c r="K94" s="375" t="n"/>
      <c r="L94" s="375" t="n"/>
      <c r="M94" s="375" t="n"/>
      <c r="N94" s="375" t="n"/>
      <c r="O94" s="375" t="n"/>
      <c r="P94" s="344" t="n"/>
      <c r="Q94" s="344" t="n"/>
      <c r="R94" s="344" t="n"/>
      <c r="S94" s="344" t="n"/>
      <c r="T94" s="344" t="n"/>
      <c r="U94" s="344" t="n"/>
      <c r="V94" s="344" t="n"/>
    </row>
    <row r="95">
      <c r="S95" s="499" t="n"/>
      <c r="T95" s="499" t="n"/>
      <c r="U95" s="499" t="n"/>
      <c r="V95" s="499" t="n"/>
    </row>
    <row r="96" hidden="1" outlineLevel="1"/>
    <row r="97" hidden="1" outlineLevel="1">
      <c r="A97" s="376" t="inlineStr">
        <is>
          <t>Valuation of CAPCO</t>
        </is>
      </c>
      <c r="B97" s="377" t="n"/>
      <c r="C97" s="377" t="n"/>
      <c r="D97" s="377" t="n"/>
      <c r="E97" s="377" t="n"/>
      <c r="F97" s="377" t="n"/>
      <c r="G97" s="377" t="n"/>
      <c r="H97" s="377" t="n"/>
      <c r="I97" s="377" t="n"/>
      <c r="J97" s="377" t="n"/>
      <c r="K97" s="377" t="n"/>
      <c r="L97" s="377" t="n"/>
      <c r="M97" s="377" t="n"/>
      <c r="N97" s="377" t="n"/>
      <c r="O97" s="377" t="n"/>
      <c r="P97" s="377" t="n"/>
      <c r="Q97" s="377" t="n"/>
      <c r="R97" s="377" t="n"/>
      <c r="S97" s="377" t="n"/>
      <c r="T97" s="377" t="n"/>
      <c r="U97" s="378" t="n"/>
    </row>
    <row r="98" hidden="1" outlineLevel="1">
      <c r="A98" s="379" t="inlineStr">
        <is>
          <t>(HK$ m)</t>
        </is>
      </c>
      <c r="B98" s="308">
        <f>B53</f>
        <v/>
      </c>
      <c r="C98" s="308">
        <f>C53</f>
        <v/>
      </c>
      <c r="D98" s="308">
        <f>D53</f>
        <v/>
      </c>
      <c r="E98" s="308">
        <f>E53</f>
        <v/>
      </c>
      <c r="F98" s="308">
        <f>F53</f>
        <v/>
      </c>
      <c r="G98" s="308">
        <f>G53</f>
        <v/>
      </c>
      <c r="H98" s="308">
        <f>H53</f>
        <v/>
      </c>
      <c r="I98" s="308">
        <f>I53</f>
        <v/>
      </c>
      <c r="J98" s="308">
        <f>J53</f>
        <v/>
      </c>
      <c r="K98" s="308">
        <f>K53</f>
        <v/>
      </c>
      <c r="L98" s="308">
        <f>L53</f>
        <v/>
      </c>
      <c r="M98" s="308">
        <f>M53</f>
        <v/>
      </c>
      <c r="N98" s="308">
        <f>N53</f>
        <v/>
      </c>
      <c r="O98" s="308">
        <f>O53</f>
        <v/>
      </c>
      <c r="P98" s="308" t="n"/>
      <c r="U98" s="380" t="n"/>
    </row>
    <row r="99" hidden="1" outlineLevel="1">
      <c r="A99" s="381" t="inlineStr">
        <is>
          <t>100% CAPCO earnings</t>
        </is>
      </c>
      <c r="B99" s="509">
        <f>SOC!AA40</f>
        <v/>
      </c>
      <c r="C99" s="509">
        <f>SOC!AB40</f>
        <v/>
      </c>
      <c r="D99" s="509">
        <f>SOC!AC40</f>
        <v/>
      </c>
      <c r="E99" s="509">
        <f>SOC!AD40</f>
        <v/>
      </c>
      <c r="F99" s="509">
        <f>SOC!AE40</f>
        <v/>
      </c>
      <c r="G99" s="509">
        <f>SOC!AF40</f>
        <v/>
      </c>
      <c r="H99" s="509">
        <f>SOC!AG40</f>
        <v/>
      </c>
      <c r="I99" s="509">
        <f>SOC!AH40</f>
        <v/>
      </c>
      <c r="J99" s="509">
        <f>SOC!AI40</f>
        <v/>
      </c>
      <c r="K99" s="509">
        <f>SOC!AJ40</f>
        <v/>
      </c>
      <c r="L99" s="509">
        <f>SOC!AK40</f>
        <v/>
      </c>
      <c r="M99" s="509">
        <f>SOC!AL40</f>
        <v/>
      </c>
      <c r="N99" s="509">
        <f>SOC!AM40</f>
        <v/>
      </c>
      <c r="O99" s="509">
        <f>SOC!AN40</f>
        <v/>
      </c>
      <c r="P99" s="382" t="n"/>
      <c r="U99" s="380" t="n"/>
    </row>
    <row r="100" hidden="1" outlineLevel="1">
      <c r="A100" s="381" t="inlineStr">
        <is>
          <t>Add: interest expenses</t>
        </is>
      </c>
      <c r="B100" s="509">
        <f>-SOC!AA9*SOC!AA37</f>
        <v/>
      </c>
      <c r="C100" s="509">
        <f>-SOC!AB9*SOC!AB37</f>
        <v/>
      </c>
      <c r="D100" s="509">
        <f>-SOC!AC9*SOC!AC37</f>
        <v/>
      </c>
      <c r="E100" s="509">
        <f>-SOC!AD9*SOC!AD37</f>
        <v/>
      </c>
      <c r="F100" s="509">
        <f>-SOC!AE9*SOC!AE37</f>
        <v/>
      </c>
      <c r="G100" s="509">
        <f>-SOC!AF9*SOC!AF37</f>
        <v/>
      </c>
      <c r="H100" s="509">
        <f>-SOC!AG9*SOC!AG37</f>
        <v/>
      </c>
      <c r="I100" s="509">
        <f>-SOC!AH9*SOC!AH37</f>
        <v/>
      </c>
      <c r="J100" s="509">
        <f>-SOC!AI9*SOC!AI37</f>
        <v/>
      </c>
      <c r="K100" s="509">
        <f>-SOC!AJ9*SOC!AJ37</f>
        <v/>
      </c>
      <c r="L100" s="509">
        <f>-SOC!AK9*SOC!AK37</f>
        <v/>
      </c>
      <c r="M100" s="509">
        <f>-SOC!AL9*SOC!AL37</f>
        <v/>
      </c>
      <c r="N100" s="509">
        <f>-SOC!AM9*SOC!AM37</f>
        <v/>
      </c>
      <c r="O100" s="509">
        <f>-SOC!AN9*SOC!AN37</f>
        <v/>
      </c>
      <c r="P100" s="382" t="n"/>
      <c r="U100" s="380" t="n"/>
    </row>
    <row r="101" hidden="1" outlineLevel="1">
      <c r="A101" s="381" t="inlineStr">
        <is>
          <t>Less: tax shield on interest</t>
        </is>
      </c>
      <c r="B101" s="509">
        <f>-SOC!AA15*B100</f>
        <v/>
      </c>
      <c r="C101" s="509">
        <f>-SOC!AB15*C100</f>
        <v/>
      </c>
      <c r="D101" s="509">
        <f>-SOC!AC15*D100</f>
        <v/>
      </c>
      <c r="E101" s="509">
        <f>-SOC!AD15*E100</f>
        <v/>
      </c>
      <c r="F101" s="509">
        <f>-SOC!AE15*F100</f>
        <v/>
      </c>
      <c r="G101" s="509">
        <f>-SOC!AF15*G100</f>
        <v/>
      </c>
      <c r="H101" s="509">
        <f>-SOC!AG15*H100</f>
        <v/>
      </c>
      <c r="I101" s="509">
        <f>-SOC!AH15*I100</f>
        <v/>
      </c>
      <c r="J101" s="509">
        <f>-SOC!AI15*J100</f>
        <v/>
      </c>
      <c r="K101" s="509">
        <f>-SOC!AJ15*K100</f>
        <v/>
      </c>
      <c r="L101" s="509">
        <f>-SOC!AK15*L100</f>
        <v/>
      </c>
      <c r="M101" s="509">
        <f>-SOC!AL15*M100</f>
        <v/>
      </c>
      <c r="N101" s="509">
        <f>-SOC!AM15*N100</f>
        <v/>
      </c>
      <c r="O101" s="509">
        <f>-SOC!AN15*O100</f>
        <v/>
      </c>
      <c r="P101" s="382" t="n"/>
      <c r="U101" s="380" t="n"/>
    </row>
    <row r="102" hidden="1" outlineLevel="1">
      <c r="A102" s="379" t="inlineStr">
        <is>
          <t>CAPCO cash earnings</t>
        </is>
      </c>
      <c r="B102" s="547">
        <f>SUM(B99:B101)</f>
        <v/>
      </c>
      <c r="C102" s="547">
        <f>SUM(C99:C101)</f>
        <v/>
      </c>
      <c r="D102" s="547">
        <f>SUM(D99:D101)</f>
        <v/>
      </c>
      <c r="E102" s="547">
        <f>SUM(E99:E101)</f>
        <v/>
      </c>
      <c r="F102" s="547">
        <f>SUM(F99:F101)</f>
        <v/>
      </c>
      <c r="G102" s="547">
        <f>SUM(G99:G101)</f>
        <v/>
      </c>
      <c r="H102" s="547">
        <f>SUM(H99:H101)</f>
        <v/>
      </c>
      <c r="I102" s="547">
        <f>SUM(I99:I101)</f>
        <v/>
      </c>
      <c r="J102" s="547">
        <f>SUM(J99:J101)</f>
        <v/>
      </c>
      <c r="K102" s="547">
        <f>SUM(K99:K101)</f>
        <v/>
      </c>
      <c r="L102" s="547">
        <f>SUM(L99:L101)</f>
        <v/>
      </c>
      <c r="M102" s="547">
        <f>SUM(M99:M101)</f>
        <v/>
      </c>
      <c r="N102" s="547">
        <f>SUM(N99:N101)</f>
        <v/>
      </c>
      <c r="O102" s="547">
        <f>SUM(O99:O101)</f>
        <v/>
      </c>
      <c r="P102" s="323" t="n"/>
      <c r="U102" s="380" t="n"/>
    </row>
    <row r="103" hidden="1" outlineLevel="1">
      <c r="A103" s="381" t="inlineStr">
        <is>
          <t>Less: Capex</t>
        </is>
      </c>
      <c r="B103" s="548">
        <f>-ROAFNA!AA56</f>
        <v/>
      </c>
      <c r="C103" s="548">
        <f>-ROAFNA!AB56</f>
        <v/>
      </c>
      <c r="D103" s="548">
        <f>-ROAFNA!AC56</f>
        <v/>
      </c>
      <c r="E103" s="548">
        <f>-ROAFNA!AD56</f>
        <v/>
      </c>
      <c r="F103" s="548">
        <f>-ROAFNA!AE56</f>
        <v/>
      </c>
      <c r="G103" s="548">
        <f>-ROAFNA!AF56</f>
        <v/>
      </c>
      <c r="H103" s="548">
        <f>-ROAFNA!AG56</f>
        <v/>
      </c>
      <c r="I103" s="548">
        <f>-ROAFNA!AH56</f>
        <v/>
      </c>
      <c r="J103" s="548">
        <f>-ROAFNA!AI56</f>
        <v/>
      </c>
      <c r="K103" s="548">
        <f>-ROAFNA!AJ56</f>
        <v/>
      </c>
      <c r="L103" s="548">
        <f>-ROAFNA!AK56</f>
        <v/>
      </c>
      <c r="M103" s="548">
        <f>-ROAFNA!AL56</f>
        <v/>
      </c>
      <c r="N103" s="548">
        <f>-ROAFNA!AM56</f>
        <v/>
      </c>
      <c r="O103" s="548">
        <f>-ROAFNA!AN56</f>
        <v/>
      </c>
      <c r="P103" s="382" t="n"/>
      <c r="U103" s="380" t="n"/>
    </row>
    <row r="104" hidden="1" outlineLevel="1">
      <c r="A104" s="379" t="inlineStr">
        <is>
          <t>Free cash flows</t>
        </is>
      </c>
      <c r="B104" s="514">
        <f>SUM(B102:B103)</f>
        <v/>
      </c>
      <c r="C104" s="514">
        <f>SUM(C102:C103)</f>
        <v/>
      </c>
      <c r="D104" s="514">
        <f>SUM(D102:D103)</f>
        <v/>
      </c>
      <c r="E104" s="514">
        <f>SUM(E102:E103)</f>
        <v/>
      </c>
      <c r="F104" s="514">
        <f>SUM(F102:F103)</f>
        <v/>
      </c>
      <c r="G104" s="514">
        <f>SUM(G102:G103)</f>
        <v/>
      </c>
      <c r="H104" s="514">
        <f>SUM(H102:H103)</f>
        <v/>
      </c>
      <c r="I104" s="514">
        <f>SUM(I102:I103)</f>
        <v/>
      </c>
      <c r="J104" s="514">
        <f>SUM(J102:J103)</f>
        <v/>
      </c>
      <c r="K104" s="514">
        <f>SUM(K102:K103)</f>
        <v/>
      </c>
      <c r="L104" s="514">
        <f>SUM(L102:L103)</f>
        <v/>
      </c>
      <c r="M104" s="514">
        <f>SUM(M102:M103)</f>
        <v/>
      </c>
      <c r="N104" s="514">
        <f>SUM(N102:N103)</f>
        <v/>
      </c>
      <c r="O104" s="514">
        <f>SUM(O102:O103)</f>
        <v/>
      </c>
      <c r="P104" s="383" t="n"/>
      <c r="U104" s="380" t="n"/>
    </row>
    <row r="105" hidden="1" outlineLevel="1">
      <c r="A105" s="384" t="inlineStr">
        <is>
          <t>Discount factor</t>
        </is>
      </c>
      <c r="B105" s="549">
        <f>+B20</f>
        <v/>
      </c>
      <c r="C105" s="549">
        <f>+C20</f>
        <v/>
      </c>
      <c r="D105" s="549">
        <f>+D20</f>
        <v/>
      </c>
      <c r="E105" s="549">
        <f>+E20</f>
        <v/>
      </c>
      <c r="F105" s="549">
        <f>+F20</f>
        <v/>
      </c>
      <c r="G105" s="549">
        <f>+G20</f>
        <v/>
      </c>
      <c r="H105" s="549">
        <f>+H20</f>
        <v/>
      </c>
      <c r="I105" s="549">
        <f>+I20</f>
        <v/>
      </c>
      <c r="J105" s="549">
        <f>+J20</f>
        <v/>
      </c>
      <c r="K105" s="549">
        <f>+K20</f>
        <v/>
      </c>
      <c r="L105" s="549">
        <f>+L20</f>
        <v/>
      </c>
      <c r="M105" s="549">
        <f>+M20</f>
        <v/>
      </c>
      <c r="N105" s="549">
        <f>+N20</f>
        <v/>
      </c>
      <c r="O105" s="549">
        <f>+O20</f>
        <v/>
      </c>
      <c r="P105" s="385" t="n"/>
      <c r="U105" s="380" t="n"/>
    </row>
    <row r="106" hidden="1" outlineLevel="1">
      <c r="A106" s="379" t="inlineStr">
        <is>
          <t>Discounted free cash flows</t>
        </is>
      </c>
      <c r="B106" s="514">
        <f>B104*B20</f>
        <v/>
      </c>
      <c r="C106" s="514">
        <f>C104*C20</f>
        <v/>
      </c>
      <c r="D106" s="514">
        <f>D104*D20</f>
        <v/>
      </c>
      <c r="E106" s="514">
        <f>E104*E20</f>
        <v/>
      </c>
      <c r="F106" s="514">
        <f>F104*F20</f>
        <v/>
      </c>
      <c r="G106" s="514">
        <f>G104*G20</f>
        <v/>
      </c>
      <c r="H106" s="514">
        <f>H104*H20</f>
        <v/>
      </c>
      <c r="I106" s="514">
        <f>I104*I20</f>
        <v/>
      </c>
      <c r="J106" s="514">
        <f>J104*J20</f>
        <v/>
      </c>
      <c r="K106" s="514">
        <f>K104*K20</f>
        <v/>
      </c>
      <c r="L106" s="514">
        <f>L104*L20</f>
        <v/>
      </c>
      <c r="M106" s="514">
        <f>M104*M20</f>
        <v/>
      </c>
      <c r="N106" s="514">
        <f>N104*N20</f>
        <v/>
      </c>
      <c r="O106" s="514">
        <f>O104*O20</f>
        <v/>
      </c>
      <c r="P106" s="323" t="n"/>
      <c r="U106" s="380" t="n"/>
    </row>
    <row r="107" hidden="1" outlineLevel="1">
      <c r="A107" s="381" t="n"/>
      <c r="B107" s="517" t="n"/>
      <c r="C107" s="517" t="n"/>
      <c r="D107" s="517" t="n"/>
      <c r="E107" s="517" t="n"/>
      <c r="F107" s="517" t="n"/>
      <c r="G107" s="517" t="n"/>
      <c r="H107" s="517" t="n"/>
      <c r="I107" s="517" t="n"/>
      <c r="J107" s="517" t="n"/>
      <c r="K107" s="517" t="n"/>
      <c r="L107" s="517" t="n"/>
      <c r="M107" s="517" t="n"/>
      <c r="N107" s="517" t="n"/>
      <c r="O107" s="517" t="n"/>
      <c r="T107" s="291" t="n"/>
      <c r="U107" s="380" t="n"/>
    </row>
    <row r="108" hidden="1" outlineLevel="1">
      <c r="A108" s="291" t="inlineStr">
        <is>
          <t>Terminal period:</t>
        </is>
      </c>
      <c r="B108" s="517" t="n"/>
      <c r="C108" s="517" t="n"/>
      <c r="D108" s="517" t="n"/>
      <c r="E108" s="517" t="n"/>
      <c r="F108" s="517" t="n"/>
      <c r="G108" s="517" t="n"/>
      <c r="H108" s="517" t="n"/>
      <c r="I108" s="517" t="n"/>
      <c r="J108" s="517" t="n"/>
      <c r="K108" s="517" t="n"/>
      <c r="L108" s="517" t="n"/>
      <c r="M108" s="517" t="n"/>
      <c r="N108" s="517" t="n"/>
      <c r="O108" s="517" t="n"/>
      <c r="U108" s="380" t="n"/>
    </row>
    <row r="109" hidden="1" outlineLevel="1">
      <c r="A109" s="285" t="inlineStr">
        <is>
          <t>Average net fixed assets in 2022</t>
        </is>
      </c>
      <c r="B109" s="517" t="n"/>
      <c r="C109" s="517" t="n"/>
      <c r="D109" s="517" t="n"/>
      <c r="E109" s="517" t="n"/>
      <c r="F109" s="517" t="n"/>
      <c r="G109" s="517" t="n"/>
      <c r="H109" s="517" t="n"/>
      <c r="I109" s="517" t="n"/>
      <c r="J109" s="517" t="n"/>
      <c r="K109" s="517" t="n"/>
      <c r="L109" s="517" t="n"/>
      <c r="M109" s="517" t="n"/>
      <c r="N109" s="517" t="n"/>
      <c r="O109" s="517" t="n"/>
      <c r="U109" s="380" t="n"/>
    </row>
    <row r="110" hidden="1" outlineLevel="1">
      <c r="A110" s="285" t="inlineStr">
        <is>
          <t>Terminal return on capital</t>
        </is>
      </c>
      <c r="U110" s="380" t="n"/>
    </row>
    <row r="111" hidden="1" outlineLevel="1">
      <c r="A111" s="285" t="inlineStr">
        <is>
          <t>NOPAT in 2022E</t>
        </is>
      </c>
      <c r="U111" s="380" t="n"/>
    </row>
    <row r="112" hidden="1" outlineLevel="1">
      <c r="A112" s="285" t="inlineStr">
        <is>
          <t>NOPAT multiple</t>
        </is>
      </c>
      <c r="U112" s="380" t="n"/>
    </row>
    <row r="113" hidden="1" outlineLevel="1">
      <c r="A113" s="291" t="inlineStr">
        <is>
          <t>Terminal value (undiscounted)</t>
        </is>
      </c>
      <c r="U113" s="380" t="n"/>
    </row>
    <row r="114" hidden="1" outlineLevel="1">
      <c r="A114" s="285" t="inlineStr">
        <is>
          <t>Discount factor</t>
        </is>
      </c>
      <c r="U114" s="380" t="n"/>
    </row>
    <row r="115" hidden="1" outlineLevel="1">
      <c r="A115" s="291" t="inlineStr">
        <is>
          <t>Discounted terminal value</t>
        </is>
      </c>
      <c r="U115" s="380" t="n"/>
    </row>
    <row r="116" hidden="1" outlineLevel="1">
      <c r="A116" s="381" t="n"/>
      <c r="U116" s="380" t="n"/>
    </row>
    <row r="117" hidden="1" outlineLevel="1">
      <c r="A117" s="379" t="inlineStr">
        <is>
          <t xml:space="preserve">NPV calculation: </t>
        </is>
      </c>
      <c r="S117" s="382" t="n"/>
      <c r="U117" s="380" t="n"/>
    </row>
    <row r="118" hidden="1" outlineLevel="1">
      <c r="A118" s="381" t="inlineStr">
        <is>
          <t>Sum of discounted free cash flows</t>
        </is>
      </c>
      <c r="U118" s="380" t="n"/>
    </row>
    <row r="119" hidden="1" outlineLevel="1">
      <c r="A119" s="381" t="inlineStr">
        <is>
          <t>Discounted terminal value</t>
        </is>
      </c>
      <c r="U119" s="380" t="n"/>
    </row>
    <row r="120" hidden="1" outlineLevel="1">
      <c r="A120" s="379" t="inlineStr">
        <is>
          <t>EV</t>
        </is>
      </c>
      <c r="U120" s="380" t="n"/>
    </row>
    <row r="121" hidden="1" outlineLevel="1">
      <c r="A121" s="381" t="inlineStr">
        <is>
          <t>Less: Debt</t>
        </is>
      </c>
      <c r="U121" s="380" t="n"/>
    </row>
    <row r="122" hidden="1" outlineLevel="1">
      <c r="A122" s="379" t="inlineStr">
        <is>
          <t>NPV of 100% of CAPCO (HK$ m)</t>
        </is>
      </c>
      <c r="U122" s="380" t="n"/>
    </row>
    <row r="123" hidden="1" outlineLevel="1">
      <c r="A123" s="381" t="inlineStr">
        <is>
          <t>NPV of 30% of CAPCO owned by EMC (HK$ m)</t>
        </is>
      </c>
      <c r="U123" s="380" t="n"/>
    </row>
    <row r="124" hidden="1" outlineLevel="1">
      <c r="A124" s="381" t="inlineStr">
        <is>
          <t>NPV of 30% of CAPCO owned by EMC (US$ m)</t>
        </is>
      </c>
      <c r="U124" s="380" t="n"/>
    </row>
    <row r="125" hidden="1" outlineLevel="1">
      <c r="A125" s="381" t="n"/>
      <c r="U125" s="380" t="n"/>
    </row>
    <row r="126" hidden="1" outlineLevel="1">
      <c r="A126" s="381" t="n"/>
      <c r="U126" s="380" t="n"/>
    </row>
    <row r="127" hidden="1" outlineLevel="1">
      <c r="A127" s="381" t="n"/>
      <c r="U127" s="380" t="n"/>
    </row>
    <row r="128" hidden="1" outlineLevel="1">
      <c r="A128" s="381" t="inlineStr">
        <is>
          <t>Return</t>
        </is>
      </c>
      <c r="B128" s="499">
        <f>+SUM(B99:B101)/B129</f>
        <v/>
      </c>
      <c r="C128" s="499">
        <f>+SUM(C99:C101)/C129</f>
        <v/>
      </c>
      <c r="D128" s="499">
        <f>+SUM(D99:D101)/D129</f>
        <v/>
      </c>
      <c r="E128" s="499">
        <f>+SUM(E99:E101)/E129</f>
        <v/>
      </c>
      <c r="F128" s="499">
        <f>+SUM(F99:F101)/F129</f>
        <v/>
      </c>
      <c r="G128" s="499">
        <f>+SUM(G99:G101)/G129</f>
        <v/>
      </c>
      <c r="H128" s="499">
        <f>+SUM(H99:H101)/H129</f>
        <v/>
      </c>
      <c r="I128" s="499">
        <f>+SUM(I99:I101)/I129</f>
        <v/>
      </c>
      <c r="J128" s="499">
        <f>+SUM(J99:J101)/J129</f>
        <v/>
      </c>
      <c r="K128" s="499">
        <f>+SUM(K99:K101)/K129</f>
        <v/>
      </c>
      <c r="L128" s="499">
        <f>+SUM(L99:L101)/L129</f>
        <v/>
      </c>
      <c r="M128" s="499">
        <f>+SUM(M99:M101)/M129</f>
        <v/>
      </c>
      <c r="N128" s="499">
        <f>+SUM(N99:N101)/N129</f>
        <v/>
      </c>
      <c r="O128" s="499">
        <f>+SUM(O99:O101)/O129</f>
        <v/>
      </c>
      <c r="U128" s="380" t="n"/>
    </row>
    <row r="129" hidden="1" outlineLevel="1">
      <c r="A129" s="310" t="inlineStr">
        <is>
          <t>Average net fixed assets (100%)</t>
        </is>
      </c>
      <c r="B129" s="504">
        <f>ROAFNA!AA47</f>
        <v/>
      </c>
      <c r="C129" s="504">
        <f>ROAFNA!AB47</f>
        <v/>
      </c>
      <c r="D129" s="504">
        <f>ROAFNA!AC47</f>
        <v/>
      </c>
      <c r="E129" s="504">
        <f>ROAFNA!AD47</f>
        <v/>
      </c>
      <c r="F129" s="504">
        <f>ROAFNA!AE47</f>
        <v/>
      </c>
      <c r="G129" s="504">
        <f>ROAFNA!AF47</f>
        <v/>
      </c>
      <c r="H129" s="504">
        <f>ROAFNA!AG47</f>
        <v/>
      </c>
      <c r="I129" s="504">
        <f>ROAFNA!AH47</f>
        <v/>
      </c>
      <c r="J129" s="504">
        <f>ROAFNA!AI47</f>
        <v/>
      </c>
      <c r="K129" s="504">
        <f>ROAFNA!AJ47</f>
        <v/>
      </c>
      <c r="L129" s="504">
        <f>ROAFNA!AK47</f>
        <v/>
      </c>
      <c r="M129" s="504">
        <f>ROAFNA!AL47</f>
        <v/>
      </c>
      <c r="N129" s="504">
        <f>ROAFNA!AM47</f>
        <v/>
      </c>
      <c r="O129" s="504">
        <f>ROAFNA!AN47</f>
        <v/>
      </c>
      <c r="U129" s="380" t="n"/>
    </row>
    <row r="130" hidden="1" outlineLevel="1">
      <c r="A130" s="310" t="inlineStr">
        <is>
          <t>Invested capital</t>
        </is>
      </c>
      <c r="B130" s="550">
        <f>#REF!+ROAFNA!AA34-ROAFNA!Z34</f>
        <v/>
      </c>
      <c r="C130" s="550">
        <f>B130+ROAFNA!AB34-ROAFNA!AA34</f>
        <v/>
      </c>
      <c r="D130" s="550">
        <f>C130+ROAFNA!AC34-ROAFNA!AB34</f>
        <v/>
      </c>
      <c r="E130" s="550">
        <f>D130+ROAFNA!AD34-ROAFNA!AC34</f>
        <v/>
      </c>
      <c r="F130" s="550">
        <f>E130+ROAFNA!AE34-ROAFNA!AD34</f>
        <v/>
      </c>
      <c r="G130" s="550">
        <f>G129</f>
        <v/>
      </c>
      <c r="H130" s="550">
        <f>H129</f>
        <v/>
      </c>
      <c r="I130" s="550">
        <f>I129</f>
        <v/>
      </c>
      <c r="J130" s="550">
        <f>J129</f>
        <v/>
      </c>
      <c r="K130" s="550">
        <f>K129</f>
        <v/>
      </c>
      <c r="L130" s="550">
        <f>L129</f>
        <v/>
      </c>
      <c r="M130" s="550">
        <f>M129</f>
        <v/>
      </c>
      <c r="N130" s="550">
        <f>N129</f>
        <v/>
      </c>
      <c r="O130" s="550">
        <f>O129</f>
        <v/>
      </c>
      <c r="P130" s="306" t="n"/>
      <c r="U130" s="380" t="n"/>
    </row>
    <row r="131" hidden="1" outlineLevel="1">
      <c r="A131" s="381" t="n"/>
      <c r="U131" s="380" t="n"/>
    </row>
    <row r="132" hidden="1" outlineLevel="1">
      <c r="A132" s="381" t="inlineStr">
        <is>
          <t>Implied EV/MW</t>
        </is>
      </c>
      <c r="S132" s="551" t="n"/>
      <c r="U132" s="380" t="n"/>
    </row>
    <row r="133" hidden="1" outlineLevel="1" ht="13.5" customHeight="1" thickBot="1">
      <c r="A133" s="387" t="n"/>
      <c r="B133" s="388" t="n"/>
      <c r="C133" s="388" t="n"/>
      <c r="D133" s="388" t="n"/>
      <c r="E133" s="388" t="n"/>
      <c r="F133" s="388" t="n"/>
      <c r="G133" s="388" t="n"/>
      <c r="H133" s="388" t="n"/>
      <c r="I133" s="388" t="n"/>
      <c r="J133" s="388" t="n"/>
      <c r="K133" s="388" t="n"/>
      <c r="L133" s="388" t="n"/>
      <c r="M133" s="388" t="n"/>
      <c r="N133" s="388" t="n"/>
      <c r="O133" s="388" t="n"/>
      <c r="P133" s="388" t="n"/>
      <c r="Q133" s="388" t="n"/>
      <c r="R133" s="388" t="n"/>
      <c r="S133" s="388" t="n"/>
      <c r="T133" s="388" t="n"/>
      <c r="U133" s="389" t="n"/>
    </row>
    <row r="134" hidden="1" outlineLevel="1"/>
    <row r="135" collapsed="1"/>
  </sheetData>
  <pageMargins left="0.7480314960629921" right="0.7480314960629921" top="0.5118110236220472" bottom="0.7086614173228347" header="0.5118110236220472" footer="0.5118110236220472"/>
  <pageSetup orientation="landscape" paperSize="9"/>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codeName="Sheet4">
    <outlinePr summaryBelow="1" summaryRight="1"/>
    <pageSetUpPr fitToPage="1"/>
  </sheetPr>
  <dimension ref="A1:AX297"/>
  <sheetViews>
    <sheetView showOutlineSymbols="0" zoomScale="145" zoomScaleNormal="145" workbookViewId="0">
      <pane xSplit="28" ySplit="2" topLeftCell="AC117" activePane="bottomRight" state="frozen"/>
      <selection pane="topRight" activeCell="AC1" sqref="AC1"/>
      <selection pane="bottomLeft" activeCell="A3" sqref="A3"/>
      <selection pane="bottomRight" activeCell="AH141" sqref="AH141"/>
    </sheetView>
  </sheetViews>
  <sheetFormatPr baseColWidth="8" defaultColWidth="9.140625" defaultRowHeight="12.75"/>
  <cols>
    <col width="38.5703125" bestFit="1" customWidth="1" style="12" min="1" max="1"/>
    <col hidden="1" outlineLevel="6" width="10.28515625" customWidth="1" style="11" min="2" max="2"/>
    <col hidden="1" outlineLevel="6" width="10.28515625" customWidth="1" style="12" min="3" max="4"/>
    <col hidden="1" outlineLevel="6" width="9.140625" customWidth="1" style="12" min="5" max="6"/>
    <col hidden="1" outlineLevel="6" width="10.28515625" customWidth="1" style="12" min="7" max="13"/>
    <col hidden="1" outlineLevel="6" width="9.140625" customWidth="1" style="12" min="14" max="18"/>
    <col hidden="1" outlineLevel="6" width="9.5703125" customWidth="1" style="12" min="19" max="19"/>
    <col hidden="1" outlineLevel="5" width="9.42578125" customWidth="1" style="12" min="20" max="25"/>
    <col hidden="1" outlineLevel="5" width="9.42578125" customWidth="1" style="220" min="26" max="27"/>
    <col hidden="1" outlineLevel="2" width="9.42578125" customWidth="1" style="220" min="28" max="28"/>
    <col collapsed="1" width="9.42578125" customWidth="1" style="220" min="29" max="29"/>
    <col width="9.42578125" customWidth="1" style="220" min="30" max="40"/>
    <col width="2.85546875" customWidth="1" style="12" min="41" max="41"/>
    <col width="9.140625" customWidth="1" style="12" min="42" max="16384"/>
  </cols>
  <sheetData>
    <row r="1" ht="13.5" customHeight="1" thickBot="1">
      <c r="A1" s="283" t="n"/>
      <c r="I1" s="552" t="inlineStr">
        <is>
          <t>* = 15 months to 31 December 1999</t>
        </is>
      </c>
      <c r="U1" s="446" t="n"/>
      <c r="AA1" s="411" t="n"/>
      <c r="AC1" s="457" t="inlineStr">
        <is>
          <t>DCF</t>
        </is>
      </c>
      <c r="AD1" s="458">
        <f>DCF!E3</f>
        <v/>
      </c>
      <c r="AE1" s="411">
        <f>AE99</f>
        <v/>
      </c>
      <c r="AF1" s="411">
        <f>AF99</f>
        <v/>
      </c>
      <c r="AG1" s="411">
        <f>AG99</f>
        <v/>
      </c>
      <c r="AH1" s="411">
        <f>AH99</f>
        <v/>
      </c>
      <c r="AI1" s="411">
        <f>AI99</f>
        <v/>
      </c>
      <c r="AJ1" s="411">
        <f>AJ99</f>
        <v/>
      </c>
      <c r="AK1" s="411">
        <f>AK99</f>
        <v/>
      </c>
      <c r="AL1" s="411">
        <f>AL99</f>
        <v/>
      </c>
      <c r="AM1" s="411">
        <f>AM99</f>
        <v/>
      </c>
      <c r="AN1" s="411">
        <f>AN99</f>
        <v/>
      </c>
    </row>
    <row r="2" ht="13.5" customHeight="1">
      <c r="A2" s="284" t="n"/>
      <c r="B2" s="15" t="n">
        <v>1992</v>
      </c>
      <c r="C2" s="15" t="n">
        <v>1993</v>
      </c>
      <c r="D2" s="15" t="n">
        <v>1994</v>
      </c>
      <c r="E2" s="15" t="n">
        <v>1995</v>
      </c>
      <c r="F2" s="15" t="n">
        <v>1996</v>
      </c>
      <c r="G2" s="15" t="n">
        <v>1997</v>
      </c>
      <c r="H2" s="15" t="n">
        <v>1998</v>
      </c>
      <c r="I2" s="15" t="inlineStr">
        <is>
          <t>1999*</t>
        </is>
      </c>
      <c r="J2" s="15" t="n">
        <v>2000</v>
      </c>
      <c r="K2" s="15" t="n">
        <v>2001</v>
      </c>
      <c r="L2" s="15" t="n">
        <v>2002</v>
      </c>
      <c r="M2" s="15" t="n">
        <v>2003</v>
      </c>
      <c r="N2" s="15" t="n">
        <v>2004</v>
      </c>
      <c r="O2" s="15" t="n">
        <v>2005</v>
      </c>
      <c r="P2" s="15" t="n">
        <v>2006</v>
      </c>
      <c r="Q2" s="15" t="n">
        <v>2007</v>
      </c>
      <c r="R2" s="15" t="n">
        <v>2008</v>
      </c>
      <c r="S2" s="15" t="n">
        <v>2009</v>
      </c>
      <c r="T2" s="15" t="n">
        <v>2010</v>
      </c>
      <c r="U2" s="15" t="n">
        <v>2011</v>
      </c>
      <c r="V2" s="15" t="n">
        <v>2012</v>
      </c>
      <c r="W2" s="15" t="n">
        <v>2013</v>
      </c>
      <c r="X2" s="15" t="n">
        <v>2014</v>
      </c>
      <c r="Y2" s="15" t="n">
        <v>2015</v>
      </c>
      <c r="Z2" s="15" t="n">
        <v>2016</v>
      </c>
      <c r="AA2" s="15" t="n">
        <v>2017</v>
      </c>
      <c r="AB2" s="15" t="n">
        <v>2018</v>
      </c>
      <c r="AC2" s="15" t="n">
        <v>2019</v>
      </c>
      <c r="AD2" s="15" t="n">
        <v>2020</v>
      </c>
      <c r="AE2" s="15" t="n">
        <v>2021</v>
      </c>
      <c r="AF2" s="15" t="n">
        <v>2022</v>
      </c>
      <c r="AG2" s="15" t="n">
        <v>2023</v>
      </c>
      <c r="AH2" s="15" t="n">
        <v>2024</v>
      </c>
      <c r="AI2" s="15" t="inlineStr">
        <is>
          <t>2025E</t>
        </is>
      </c>
      <c r="AJ2" s="15" t="inlineStr">
        <is>
          <t>2026E</t>
        </is>
      </c>
      <c r="AK2" s="15" t="inlineStr">
        <is>
          <t>2027E</t>
        </is>
      </c>
      <c r="AL2" s="15" t="inlineStr">
        <is>
          <t>2028E</t>
        </is>
      </c>
      <c r="AM2" s="15" t="inlineStr">
        <is>
          <t>2029E</t>
        </is>
      </c>
      <c r="AN2" s="15" t="inlineStr">
        <is>
          <t>2030E</t>
        </is>
      </c>
      <c r="AO2" s="15" t="n"/>
      <c r="AQ2" s="15" t="n"/>
      <c r="AR2" s="15" t="n"/>
      <c r="AS2" s="15" t="n"/>
      <c r="AT2" s="15" t="n"/>
      <c r="AU2" s="15" t="n"/>
      <c r="AV2" s="15" t="n"/>
      <c r="AW2" s="15" t="n"/>
    </row>
    <row r="3" customFormat="1" s="526">
      <c r="A3" s="157" t="inlineStr">
        <is>
          <t>Income Statement</t>
        </is>
      </c>
      <c r="B3" s="553" t="n"/>
      <c r="C3" s="553" t="n"/>
      <c r="D3" s="553" t="n"/>
      <c r="E3" s="553" t="n"/>
      <c r="F3" s="553" t="n"/>
      <c r="G3" s="553" t="n"/>
      <c r="H3" s="553" t="n"/>
      <c r="I3" s="553" t="n"/>
      <c r="J3" s="553" t="n"/>
      <c r="K3" s="553" t="n"/>
      <c r="L3" s="553" t="n"/>
      <c r="M3" s="553" t="n"/>
      <c r="N3" s="553" t="n"/>
      <c r="O3" s="553" t="n"/>
      <c r="P3" s="553" t="n"/>
      <c r="Q3" s="553" t="n"/>
      <c r="R3" s="553" t="n"/>
      <c r="S3" s="553" t="n"/>
      <c r="T3" s="553" t="n"/>
      <c r="U3" s="553" t="n"/>
      <c r="V3" s="553" t="n"/>
      <c r="W3" s="553" t="n"/>
      <c r="X3" s="553" t="n"/>
      <c r="Y3" s="553" t="n"/>
      <c r="Z3" s="553" t="n"/>
      <c r="AA3" s="553" t="n"/>
      <c r="AB3" s="553" t="n"/>
      <c r="AC3" s="553" t="n"/>
      <c r="AD3" s="553" t="n"/>
      <c r="AE3" s="553" t="n"/>
      <c r="AF3" s="553" t="n"/>
      <c r="AG3" s="553" t="n"/>
      <c r="AH3" s="553" t="n"/>
      <c r="AI3" s="553" t="n"/>
      <c r="AJ3" s="553" t="n"/>
      <c r="AK3" s="553" t="n"/>
      <c r="AL3" s="553" t="n"/>
      <c r="AM3" s="553" t="n"/>
      <c r="AN3" s="553" t="n"/>
    </row>
    <row r="4" customFormat="1" s="554">
      <c r="A4" s="554" t="inlineStr">
        <is>
          <t>SOC revenue</t>
        </is>
      </c>
      <c r="B4" s="512">
        <f>Driver!B4+Driver!B5</f>
        <v/>
      </c>
      <c r="C4" s="512">
        <f>Driver!C4+Driver!C5</f>
        <v/>
      </c>
      <c r="D4" s="512">
        <f>Driver!D4+Driver!D5</f>
        <v/>
      </c>
      <c r="E4" s="512">
        <f>Driver!E4+Driver!E5</f>
        <v/>
      </c>
      <c r="F4" s="512">
        <f>Driver!F4+Driver!F5</f>
        <v/>
      </c>
      <c r="G4" s="512">
        <f>Driver!G4+Driver!G5</f>
        <v/>
      </c>
      <c r="H4" s="512">
        <f>Driver!H4+Driver!H5</f>
        <v/>
      </c>
      <c r="I4" s="512">
        <f>Driver!I4+Driver!I5</f>
        <v/>
      </c>
      <c r="J4" s="512">
        <f>Driver!J4+Driver!J5</f>
        <v/>
      </c>
      <c r="K4" s="512">
        <f>Driver!K4+Driver!K5</f>
        <v/>
      </c>
      <c r="L4" s="512">
        <f>Driver!L4+Driver!L5</f>
        <v/>
      </c>
      <c r="M4" s="512">
        <f>Driver!M4+Driver!M5</f>
        <v/>
      </c>
      <c r="N4" s="512">
        <f>Driver!N4+Driver!N5</f>
        <v/>
      </c>
      <c r="O4" s="512">
        <f>Driver!O4+Driver!O5</f>
        <v/>
      </c>
      <c r="P4" s="512">
        <f>Driver!P4+Driver!P5</f>
        <v/>
      </c>
      <c r="Q4" s="512">
        <f>Driver!Q4+Driver!Q5</f>
        <v/>
      </c>
      <c r="R4" s="512">
        <f>Driver!R4+Driver!R5</f>
        <v/>
      </c>
      <c r="S4" s="512">
        <f>Driver!S4+Driver!S5</f>
        <v/>
      </c>
      <c r="T4" s="512">
        <f>Driver!T4+Driver!T5</f>
        <v/>
      </c>
      <c r="U4" s="512">
        <f>Driver!U4+Driver!U5</f>
        <v/>
      </c>
      <c r="V4" s="512">
        <f>Driver!V4+Driver!V5</f>
        <v/>
      </c>
      <c r="W4" s="512">
        <f>Driver!W4+Driver!W5</f>
        <v/>
      </c>
      <c r="X4" s="512">
        <f>Driver!X4+Driver!X5</f>
        <v/>
      </c>
      <c r="Y4" s="512">
        <f>Driver!Y4+Driver!Y5</f>
        <v/>
      </c>
      <c r="Z4" s="512">
        <f>Driver!Z4+Driver!Z5</f>
        <v/>
      </c>
      <c r="AA4" s="512">
        <f>Driver!AA4+Driver!AA5</f>
        <v/>
      </c>
      <c r="AB4" s="512">
        <f>Driver!AB4+Driver!AB5</f>
        <v/>
      </c>
      <c r="AC4" s="512">
        <f>Driver!AC4+Driver!AC5</f>
        <v/>
      </c>
      <c r="AD4" s="512">
        <f>Driver!AD4+Driver!AD5</f>
        <v/>
      </c>
      <c r="AE4" s="512">
        <f>Driver!AE4+Driver!AE5</f>
        <v/>
      </c>
      <c r="AF4" s="512">
        <f>Driver!AF4+Driver!AF5</f>
        <v/>
      </c>
      <c r="AG4" s="512">
        <f>Driver!AG4+Driver!AG5</f>
        <v/>
      </c>
      <c r="AH4" s="512">
        <f>Driver!AH4+Driver!AH5</f>
        <v/>
      </c>
      <c r="AI4" s="512">
        <f>Driver!AI4+Driver!AI5</f>
        <v/>
      </c>
      <c r="AJ4" s="512">
        <f>Driver!AJ4+Driver!AJ5</f>
        <v/>
      </c>
      <c r="AK4" s="512">
        <f>Driver!AK4+Driver!AK5</f>
        <v/>
      </c>
      <c r="AL4" s="512">
        <f>Driver!AL4+Driver!AL5</f>
        <v/>
      </c>
      <c r="AM4" s="512">
        <f>Driver!AM4+Driver!AM5</f>
        <v/>
      </c>
      <c r="AN4" s="512">
        <f>Driver!AN4+Driver!AN5</f>
        <v/>
      </c>
      <c r="AO4" s="18" t="n"/>
      <c r="AP4" s="555" t="n"/>
      <c r="AQ4" s="464" t="n"/>
      <c r="AR4" s="18" t="n"/>
      <c r="AS4" s="18" t="n"/>
      <c r="AT4" s="18" t="n"/>
      <c r="AU4" s="18" t="n"/>
      <c r="AV4" s="18" t="n"/>
      <c r="AW4" s="18" t="n"/>
    </row>
    <row r="5" customFormat="1" s="554">
      <c r="A5" s="554" t="inlineStr">
        <is>
          <t>Overseas power revenues</t>
        </is>
      </c>
      <c r="B5" s="512">
        <f>SUM(Driver!B6:B9)</f>
        <v/>
      </c>
      <c r="C5" s="512">
        <f>SUM(Driver!C6:C9)</f>
        <v/>
      </c>
      <c r="D5" s="512">
        <f>SUM(Driver!D6:D9)</f>
        <v/>
      </c>
      <c r="E5" s="512">
        <f>SUM(Driver!E6:E9)</f>
        <v/>
      </c>
      <c r="F5" s="512">
        <f>SUM(Driver!F6:F9)</f>
        <v/>
      </c>
      <c r="G5" s="512">
        <f>SUM(Driver!G6:G9)</f>
        <v/>
      </c>
      <c r="H5" s="512">
        <f>SUM(Driver!H6:H9)</f>
        <v/>
      </c>
      <c r="I5" s="512">
        <f>SUM(Driver!I6:I9)</f>
        <v/>
      </c>
      <c r="J5" s="512">
        <f>SUM(Driver!J6:J9)</f>
        <v/>
      </c>
      <c r="K5" s="512">
        <f>SUM(Driver!K6:K9)</f>
        <v/>
      </c>
      <c r="L5" s="512">
        <f>SUM(Driver!L6:L9)</f>
        <v/>
      </c>
      <c r="M5" s="512">
        <f>SUM(Driver!M6:M9)</f>
        <v/>
      </c>
      <c r="N5" s="512">
        <f>SUM(Driver!N6:N9)</f>
        <v/>
      </c>
      <c r="O5" s="512">
        <f>SUM(Driver!O6:O9)</f>
        <v/>
      </c>
      <c r="P5" s="512">
        <f>SUM(Driver!P6:P9)</f>
        <v/>
      </c>
      <c r="Q5" s="512">
        <f>SUM(Driver!Q6:Q9)</f>
        <v/>
      </c>
      <c r="R5" s="512">
        <f>SUM(Driver!R6:R9)</f>
        <v/>
      </c>
      <c r="S5" s="512">
        <f>SUM(Driver!S6:S9)</f>
        <v/>
      </c>
      <c r="T5" s="512">
        <f>SUM(Driver!T6:T9)</f>
        <v/>
      </c>
      <c r="U5" s="512">
        <f>SUM(Driver!U6:U9)</f>
        <v/>
      </c>
      <c r="V5" s="512">
        <f>SUM(Driver!V6:V9)</f>
        <v/>
      </c>
      <c r="W5" s="512">
        <f>SUM(Driver!W6:W9)</f>
        <v/>
      </c>
      <c r="X5" s="512">
        <f>SUM(Driver!X6:X9)</f>
        <v/>
      </c>
      <c r="Y5" s="512">
        <f>SUM(Driver!Y6:Y9)</f>
        <v/>
      </c>
      <c r="Z5" s="512">
        <f>SUM(Driver!Z6:Z9)</f>
        <v/>
      </c>
      <c r="AA5" s="512">
        <f>SUM(Driver!AA6:AA9)</f>
        <v/>
      </c>
      <c r="AB5" s="512">
        <f>SUM(Driver!AB6:AB9)</f>
        <v/>
      </c>
      <c r="AC5" s="512">
        <f>SUM(Driver!AC6:AC9)</f>
        <v/>
      </c>
      <c r="AD5" s="512">
        <f>SUM(Driver!AD6:AD9)</f>
        <v/>
      </c>
      <c r="AE5" s="512">
        <f>SUM(Driver!AE6:AE9)</f>
        <v/>
      </c>
      <c r="AF5" s="512">
        <f>SUM(Driver!AF6:AF9)</f>
        <v/>
      </c>
      <c r="AG5" s="512">
        <f>SUM(Driver!AG6:AG9)</f>
        <v/>
      </c>
      <c r="AH5" s="512">
        <f>SUM(Driver!AH6:AH9)</f>
        <v/>
      </c>
      <c r="AI5" s="512">
        <f>SUM(Driver!AI6:AI9)</f>
        <v/>
      </c>
      <c r="AJ5" s="512">
        <f>SUM(Driver!AJ6:AJ9)</f>
        <v/>
      </c>
      <c r="AK5" s="512">
        <f>SUM(Driver!AK6:AK9)</f>
        <v/>
      </c>
      <c r="AL5" s="512">
        <f>SUM(Driver!AL6:AL9)</f>
        <v/>
      </c>
      <c r="AM5" s="512">
        <f>SUM(Driver!AM6:AM9)</f>
        <v/>
      </c>
      <c r="AN5" s="512">
        <f>SUM(Driver!AN6:AN9)</f>
        <v/>
      </c>
      <c r="AO5" s="18" t="n"/>
      <c r="AP5" s="555" t="n"/>
      <c r="AQ5" s="18" t="n"/>
      <c r="AR5" s="18" t="n"/>
      <c r="AS5" s="18" t="n"/>
      <c r="AT5" s="18" t="n"/>
      <c r="AU5" s="18" t="n"/>
      <c r="AV5" s="18" t="n"/>
      <c r="AW5" s="18" t="n"/>
    </row>
    <row r="6" customFormat="1" s="554">
      <c r="A6" s="554" t="inlineStr">
        <is>
          <t>Other non-SOC revenue</t>
        </is>
      </c>
      <c r="B6" s="512">
        <f>B7-SUM(B4:B5)</f>
        <v/>
      </c>
      <c r="C6" s="512">
        <f>C7-SUM(C4:C5)</f>
        <v/>
      </c>
      <c r="D6" s="512">
        <f>D7-SUM(D4:D5)</f>
        <v/>
      </c>
      <c r="E6" s="512">
        <f>E7-SUM(E4:E5)</f>
        <v/>
      </c>
      <c r="F6" s="512">
        <f>F7-SUM(F4:F5)</f>
        <v/>
      </c>
      <c r="G6" s="512">
        <f>G7-SUM(G4:G5)</f>
        <v/>
      </c>
      <c r="H6" s="512">
        <f>H7-SUM(H4:H5)</f>
        <v/>
      </c>
      <c r="I6" s="512">
        <f>I7-SUM(I4:I5)</f>
        <v/>
      </c>
      <c r="J6" s="512">
        <f>J7-SUM(J4:J5)</f>
        <v/>
      </c>
      <c r="K6" s="512">
        <f>K7-SUM(K4:K5)</f>
        <v/>
      </c>
      <c r="L6" s="512">
        <f>L7-SUM(L4:L5)</f>
        <v/>
      </c>
      <c r="M6" s="512">
        <f>M7-SUM(M4:M5)</f>
        <v/>
      </c>
      <c r="N6" s="512">
        <f>N7-SUM(N4:N5)</f>
        <v/>
      </c>
      <c r="O6" s="512">
        <f>O7-SUM(O4:O5)</f>
        <v/>
      </c>
      <c r="P6" s="512">
        <f>P7-SUM(P4:P5)</f>
        <v/>
      </c>
      <c r="Q6" s="512">
        <f>Q7-SUM(Q4:Q5)</f>
        <v/>
      </c>
      <c r="R6" s="512">
        <f>R7-SUM(R4:R5)</f>
        <v/>
      </c>
      <c r="S6" s="512">
        <f>S7-SUM(S4:S5)</f>
        <v/>
      </c>
      <c r="T6" s="512">
        <f>T7-SUM(T4:T5)</f>
        <v/>
      </c>
      <c r="U6" s="512">
        <f>U7-SUM(U4:U5)</f>
        <v/>
      </c>
      <c r="V6" s="512">
        <f>V7-SUM(V4:V5)</f>
        <v/>
      </c>
      <c r="W6" s="512">
        <f>W7-SUM(W4:W5)</f>
        <v/>
      </c>
      <c r="X6" s="512">
        <f>X7-SUM(X4:X5)</f>
        <v/>
      </c>
      <c r="Y6" s="512">
        <f>Y7-SUM(Y4:Y5)</f>
        <v/>
      </c>
      <c r="Z6" s="512">
        <f>Z7-SUM(Z4:Z5)</f>
        <v/>
      </c>
      <c r="AA6" s="512">
        <f>AA7-SUM(AA4:AA5)</f>
        <v/>
      </c>
      <c r="AB6" s="512">
        <f>AB7-SUM(AB4:AB5)</f>
        <v/>
      </c>
      <c r="AC6" s="512">
        <f>AC7-SUM(AC4:AC5)</f>
        <v/>
      </c>
      <c r="AD6" s="512">
        <f>Driver!AD10</f>
        <v/>
      </c>
      <c r="AE6" s="512">
        <f>Driver!AE10</f>
        <v/>
      </c>
      <c r="AF6" s="512">
        <f>Driver!AF10</f>
        <v/>
      </c>
      <c r="AG6" s="512">
        <f>Driver!AG10</f>
        <v/>
      </c>
      <c r="AH6" s="512">
        <f>Driver!AH10</f>
        <v/>
      </c>
      <c r="AI6" s="512">
        <f>Driver!AI10</f>
        <v/>
      </c>
      <c r="AJ6" s="512">
        <f>Driver!AJ10</f>
        <v/>
      </c>
      <c r="AK6" s="512">
        <f>Driver!AK10</f>
        <v/>
      </c>
      <c r="AL6" s="512">
        <f>Driver!AL10</f>
        <v/>
      </c>
      <c r="AM6" s="512">
        <f>Driver!AM10</f>
        <v/>
      </c>
      <c r="AN6" s="512">
        <f>Driver!AN10</f>
        <v/>
      </c>
      <c r="AO6" s="18" t="n"/>
      <c r="AP6" s="555" t="n"/>
      <c r="AQ6" s="18" t="n"/>
      <c r="AR6" s="18" t="n"/>
      <c r="AS6" s="18" t="n"/>
      <c r="AT6" s="18" t="n"/>
      <c r="AU6" s="18" t="n"/>
      <c r="AV6" s="18" t="n"/>
      <c r="AW6" s="18" t="n"/>
    </row>
    <row r="7" customFormat="1" s="556">
      <c r="A7" s="557" t="inlineStr">
        <is>
          <t>Total revenue</t>
        </is>
      </c>
      <c r="B7" s="558" t="n">
        <v>13402</v>
      </c>
      <c r="C7" s="558" t="n">
        <v>14745</v>
      </c>
      <c r="D7" s="558" t="n">
        <v>15345</v>
      </c>
      <c r="E7" s="558" t="n">
        <v>16960</v>
      </c>
      <c r="F7" s="558" t="n">
        <v>18534</v>
      </c>
      <c r="G7" s="558" t="n">
        <v>20900</v>
      </c>
      <c r="H7" s="558" t="n">
        <v>22869</v>
      </c>
      <c r="I7" s="558" t="n">
        <v>29035</v>
      </c>
      <c r="J7" s="558" t="n">
        <v>24451</v>
      </c>
      <c r="K7" s="558" t="n">
        <v>24999</v>
      </c>
      <c r="L7" s="558" t="n">
        <v>26134</v>
      </c>
      <c r="M7" s="558" t="n">
        <v>28248</v>
      </c>
      <c r="N7" s="558" t="n">
        <v>30784</v>
      </c>
      <c r="O7" s="558" t="n">
        <v>38584</v>
      </c>
      <c r="P7" s="558" t="n">
        <v>45702</v>
      </c>
      <c r="Q7" s="558" t="n">
        <v>50789</v>
      </c>
      <c r="R7" s="558" t="n">
        <v>54297</v>
      </c>
      <c r="S7" s="558" t="n">
        <v>50668</v>
      </c>
      <c r="T7" s="558" t="n">
        <v>58410</v>
      </c>
      <c r="U7" s="558" t="n">
        <v>91634</v>
      </c>
      <c r="V7" s="558" t="n">
        <v>104861</v>
      </c>
      <c r="W7" s="558" t="n">
        <v>104530</v>
      </c>
      <c r="X7" s="558" t="n">
        <v>92259</v>
      </c>
      <c r="Y7" s="558" t="n">
        <v>80700</v>
      </c>
      <c r="Z7" s="558" t="n">
        <v>79434</v>
      </c>
      <c r="AA7" s="558" t="n">
        <v>92073</v>
      </c>
      <c r="AB7" s="558" t="n">
        <v>91425</v>
      </c>
      <c r="AC7" s="558" t="n">
        <v>85689</v>
      </c>
      <c r="AD7" s="558" t="n">
        <v>79590</v>
      </c>
      <c r="AE7" s="558" t="n">
        <v>83959</v>
      </c>
      <c r="AF7" s="558" t="n">
        <v>100662</v>
      </c>
      <c r="AG7" s="558" t="n">
        <v>87169</v>
      </c>
      <c r="AH7" s="558" t="n">
        <v>90964</v>
      </c>
      <c r="AI7" s="559">
        <f>SUM(AI4:AI6)</f>
        <v/>
      </c>
      <c r="AJ7" s="559">
        <f>SUM(AJ4:AJ6)</f>
        <v/>
      </c>
      <c r="AK7" s="559">
        <f>SUM(AK4:AK6)</f>
        <v/>
      </c>
      <c r="AL7" s="559">
        <f>SUM(AL4:AL6)</f>
        <v/>
      </c>
      <c r="AM7" s="559">
        <f>SUM(AM4:AM6)</f>
        <v/>
      </c>
      <c r="AN7" s="559">
        <f>SUM(AN4:AN6)</f>
        <v/>
      </c>
      <c r="AO7" s="18" t="n"/>
      <c r="AP7" s="555" t="n"/>
      <c r="AQ7" s="18" t="n"/>
      <c r="AR7" s="18" t="n"/>
      <c r="AS7" s="18" t="n"/>
      <c r="AT7" s="18" t="n"/>
      <c r="AU7" s="18" t="n"/>
      <c r="AV7" s="18" t="n"/>
      <c r="AW7" s="18" t="n"/>
    </row>
    <row r="8" customFormat="1" s="556">
      <c r="B8" s="560" t="n"/>
      <c r="C8" s="560" t="n"/>
      <c r="D8" s="560" t="n"/>
      <c r="E8" s="560" t="n"/>
      <c r="F8" s="560" t="n"/>
      <c r="G8" s="560" t="n"/>
      <c r="H8" s="560" t="n"/>
      <c r="I8" s="560" t="n"/>
      <c r="J8" s="560" t="n"/>
      <c r="K8" s="560" t="n"/>
      <c r="L8" s="560" t="n"/>
      <c r="M8" s="560" t="n"/>
      <c r="N8" s="560" t="n"/>
      <c r="O8" s="560" t="n"/>
      <c r="P8" s="560" t="n"/>
      <c r="Q8" s="560" t="n"/>
      <c r="R8" s="560" t="n"/>
      <c r="S8" s="560" t="n"/>
      <c r="T8" s="560" t="n"/>
      <c r="U8" s="560" t="n"/>
      <c r="V8" s="560" t="n"/>
      <c r="W8" s="560" t="n"/>
      <c r="X8" s="560" t="n"/>
      <c r="Y8" s="560" t="n"/>
      <c r="Z8" s="560" t="n"/>
      <c r="AA8" s="560" t="n"/>
      <c r="AB8" s="560" t="n"/>
      <c r="AC8" s="560" t="n"/>
      <c r="AD8" s="436" t="n"/>
      <c r="AE8" s="560" t="n"/>
      <c r="AF8" s="560" t="n"/>
      <c r="AG8" s="560" t="n"/>
      <c r="AH8" s="560" t="n"/>
      <c r="AI8" s="560" t="n"/>
      <c r="AJ8" s="560" t="n"/>
      <c r="AK8" s="560" t="n"/>
      <c r="AL8" s="560" t="n"/>
      <c r="AM8" s="560" t="n"/>
      <c r="AN8" s="560" t="n"/>
      <c r="AO8" s="18" t="n"/>
      <c r="AP8" s="489" t="n"/>
      <c r="AQ8" s="18" t="n"/>
      <c r="AR8" s="18" t="n"/>
      <c r="AS8" s="18" t="n"/>
      <c r="AT8" s="18" t="n"/>
      <c r="AU8" s="18" t="n"/>
      <c r="AV8" s="18" t="n"/>
      <c r="AW8" s="18" t="n"/>
    </row>
    <row r="9" customFormat="1" s="554">
      <c r="A9" s="561" t="inlineStr">
        <is>
          <t>Operating costs</t>
        </is>
      </c>
      <c r="B9" s="512">
        <f>B14-B13-B12</f>
        <v/>
      </c>
      <c r="C9" s="512">
        <f>C14-C13-C12</f>
        <v/>
      </c>
      <c r="D9" s="512">
        <f>D14-D13-D12</f>
        <v/>
      </c>
      <c r="E9" s="512">
        <f>E14-E13-E12</f>
        <v/>
      </c>
      <c r="F9" s="512">
        <f>F14-F13-F12</f>
        <v/>
      </c>
      <c r="G9" s="512">
        <f>G14-G13-G12</f>
        <v/>
      </c>
      <c r="H9" s="512">
        <f>H14-H13-H12</f>
        <v/>
      </c>
      <c r="I9" s="512">
        <f>I14-I13-I12</f>
        <v/>
      </c>
      <c r="J9" s="512">
        <f>J14-J13-J12</f>
        <v/>
      </c>
      <c r="K9" s="512">
        <f>K14-K13-K12</f>
        <v/>
      </c>
      <c r="L9" s="512">
        <f>L14-L13-L12</f>
        <v/>
      </c>
      <c r="M9" s="512">
        <f>M14-M13-M12</f>
        <v/>
      </c>
      <c r="N9" s="512">
        <f>N14-N13-N12</f>
        <v/>
      </c>
      <c r="O9" s="512">
        <f>O14-O13-O12</f>
        <v/>
      </c>
      <c r="P9" s="512">
        <f>P14-P13-P12</f>
        <v/>
      </c>
      <c r="Q9" s="512">
        <f>Q14-Q13-Q12</f>
        <v/>
      </c>
      <c r="R9" s="512">
        <f>R14-R13-R12</f>
        <v/>
      </c>
      <c r="S9" s="512">
        <f>S14-S13-S12</f>
        <v/>
      </c>
      <c r="T9" s="512">
        <f>T14-T13-T12</f>
        <v/>
      </c>
      <c r="U9" s="512">
        <f>U14-U13-U12</f>
        <v/>
      </c>
      <c r="V9" s="512">
        <f>V14-V13-V12</f>
        <v/>
      </c>
      <c r="W9" s="512">
        <f>W14-W13-W12</f>
        <v/>
      </c>
      <c r="X9" s="512">
        <f>X14-X13-X12</f>
        <v/>
      </c>
      <c r="Y9" s="512">
        <f>Y14-Y13-Y12</f>
        <v/>
      </c>
      <c r="Z9" s="512">
        <f>Z14-Z13-Z12</f>
        <v/>
      </c>
      <c r="AA9" s="512">
        <f>AA14-AA13-AA12</f>
        <v/>
      </c>
      <c r="AB9" s="512">
        <f>AB14-AB13-AB12</f>
        <v/>
      </c>
      <c r="AC9" s="512">
        <f>AC14-AC13-AC12</f>
        <v/>
      </c>
      <c r="AD9" s="512">
        <f>AD14-AD13-AD12</f>
        <v/>
      </c>
      <c r="AE9" s="512">
        <f>AE14-AE13-AE12</f>
        <v/>
      </c>
      <c r="AF9" s="512">
        <f>AF14-AF13-AF12</f>
        <v/>
      </c>
      <c r="AG9" s="512">
        <f>AG14-AG13-AG12</f>
        <v/>
      </c>
      <c r="AH9" s="512">
        <f>AH14-AH13-AH12</f>
        <v/>
      </c>
      <c r="AI9" s="512">
        <f>AI10-AI7</f>
        <v/>
      </c>
      <c r="AJ9" s="512">
        <f>AJ10-AJ7</f>
        <v/>
      </c>
      <c r="AK9" s="512">
        <f>AK10-AK7</f>
        <v/>
      </c>
      <c r="AL9" s="512">
        <f>AL10-AL7</f>
        <v/>
      </c>
      <c r="AM9" s="512">
        <f>AM10-AM7</f>
        <v/>
      </c>
      <c r="AN9" s="512">
        <f>AN10-AN7</f>
        <v/>
      </c>
      <c r="AO9" s="18" t="n"/>
      <c r="AP9" s="555" t="n"/>
      <c r="AQ9" s="18" t="n"/>
      <c r="AR9" s="18" t="n"/>
      <c r="AS9" s="18" t="n"/>
      <c r="AT9" s="18" t="n"/>
      <c r="AU9" s="18" t="n"/>
      <c r="AV9" s="18" t="n"/>
      <c r="AW9" s="18" t="n"/>
    </row>
    <row r="10" customFormat="1" s="554">
      <c r="A10" s="557" t="inlineStr">
        <is>
          <t>EBITDA</t>
        </is>
      </c>
      <c r="B10" s="558">
        <f>B7+B9</f>
        <v/>
      </c>
      <c r="C10" s="558">
        <f>C7+C9</f>
        <v/>
      </c>
      <c r="D10" s="558">
        <f>D7+D9</f>
        <v/>
      </c>
      <c r="E10" s="558">
        <f>E7+E9</f>
        <v/>
      </c>
      <c r="F10" s="558">
        <f>F7+F9</f>
        <v/>
      </c>
      <c r="G10" s="558">
        <f>G7+G9</f>
        <v/>
      </c>
      <c r="H10" s="558">
        <f>H7+H9</f>
        <v/>
      </c>
      <c r="I10" s="558">
        <f>I7+I9</f>
        <v/>
      </c>
      <c r="J10" s="558">
        <f>J7+J9</f>
        <v/>
      </c>
      <c r="K10" s="558">
        <f>K7+K9</f>
        <v/>
      </c>
      <c r="L10" s="558">
        <f>L7+L9</f>
        <v/>
      </c>
      <c r="M10" s="558">
        <f>M7+M9</f>
        <v/>
      </c>
      <c r="N10" s="558">
        <f>N7+N9</f>
        <v/>
      </c>
      <c r="O10" s="558">
        <f>O7+O9</f>
        <v/>
      </c>
      <c r="P10" s="558">
        <f>P7+P9</f>
        <v/>
      </c>
      <c r="Q10" s="558">
        <f>Q7+Q9</f>
        <v/>
      </c>
      <c r="R10" s="558">
        <f>R7+R9</f>
        <v/>
      </c>
      <c r="S10" s="558">
        <f>S7+S9</f>
        <v/>
      </c>
      <c r="T10" s="558">
        <f>T7+T9</f>
        <v/>
      </c>
      <c r="U10" s="558">
        <f>U7+U9</f>
        <v/>
      </c>
      <c r="V10" s="558">
        <f>V7+V9</f>
        <v/>
      </c>
      <c r="W10" s="558">
        <f>W7+W9</f>
        <v/>
      </c>
      <c r="X10" s="558">
        <f>X7+X9</f>
        <v/>
      </c>
      <c r="Y10" s="558">
        <f>Y7+Y9</f>
        <v/>
      </c>
      <c r="Z10" s="558">
        <f>Z7+Z9</f>
        <v/>
      </c>
      <c r="AA10" s="558">
        <f>AA7+AA9</f>
        <v/>
      </c>
      <c r="AB10" s="558">
        <f>AB7+AB9</f>
        <v/>
      </c>
      <c r="AC10" s="558">
        <f>AC7+AC9</f>
        <v/>
      </c>
      <c r="AD10" s="558">
        <f>AD7+AD9</f>
        <v/>
      </c>
      <c r="AE10" s="558">
        <f>AE7+AE9</f>
        <v/>
      </c>
      <c r="AF10" s="558">
        <f>AF7+AF9</f>
        <v/>
      </c>
      <c r="AG10" s="558">
        <f>AG7+AG9</f>
        <v/>
      </c>
      <c r="AH10" s="558">
        <f>AH7+AH9</f>
        <v/>
      </c>
      <c r="AI10" s="558">
        <f>AI15-AI12</f>
        <v/>
      </c>
      <c r="AJ10" s="558">
        <f>AJ15-AJ12</f>
        <v/>
      </c>
      <c r="AK10" s="558">
        <f>AK15-AK12</f>
        <v/>
      </c>
      <c r="AL10" s="558">
        <f>AL15-AL12</f>
        <v/>
      </c>
      <c r="AM10" s="558">
        <f>AM15-AM12</f>
        <v/>
      </c>
      <c r="AN10" s="558">
        <f>AN15-AN12</f>
        <v/>
      </c>
      <c r="AO10" s="18" t="n"/>
      <c r="AP10" s="555" t="n"/>
      <c r="AQ10" s="18" t="n"/>
      <c r="AR10" s="18" t="n"/>
      <c r="AS10" s="18" t="n"/>
      <c r="AT10" s="18" t="n"/>
      <c r="AU10" s="18" t="n"/>
      <c r="AV10" s="18" t="n"/>
      <c r="AW10" s="18" t="n"/>
    </row>
    <row r="11" customFormat="1" s="554">
      <c r="A11" s="561" t="n"/>
      <c r="B11" s="512" t="n"/>
      <c r="C11" s="512" t="n"/>
      <c r="D11" s="512" t="n"/>
      <c r="E11" s="512" t="n"/>
      <c r="F11" s="512" t="n"/>
      <c r="G11" s="512" t="n"/>
      <c r="H11" s="512" t="n"/>
      <c r="I11" s="512" t="n"/>
      <c r="J11" s="512" t="n"/>
      <c r="K11" s="512" t="n"/>
      <c r="L11" s="512" t="n"/>
      <c r="M11" s="512" t="n"/>
      <c r="N11" s="512" t="n"/>
      <c r="O11" s="512" t="n"/>
      <c r="P11" s="512" t="n"/>
      <c r="Q11" s="512" t="n"/>
      <c r="R11" s="512" t="n"/>
      <c r="S11" s="512" t="n"/>
      <c r="T11" s="512" t="n"/>
      <c r="U11" s="512" t="n"/>
      <c r="V11" s="512" t="n"/>
      <c r="W11" s="512" t="n"/>
      <c r="X11" s="512" t="n"/>
      <c r="Y11" s="512" t="n"/>
      <c r="Z11" s="512" t="n"/>
      <c r="AA11" s="512" t="n"/>
      <c r="AB11" s="512" t="n"/>
      <c r="AC11" s="512" t="n"/>
      <c r="AD11" s="512" t="n"/>
      <c r="AE11" s="512" t="n"/>
      <c r="AF11" s="512" t="n"/>
      <c r="AG11" s="512" t="n"/>
      <c r="AH11" s="512" t="n"/>
      <c r="AI11" s="512" t="n"/>
      <c r="AJ11" s="512" t="n"/>
      <c r="AK11" s="512" t="n"/>
      <c r="AL11" s="512" t="n"/>
      <c r="AM11" s="512" t="n"/>
      <c r="AN11" s="512" t="n"/>
      <c r="AO11" s="18" t="n"/>
      <c r="AP11" s="555" t="n"/>
      <c r="AQ11" s="18" t="n"/>
      <c r="AR11" s="18" t="n"/>
      <c r="AS11" s="18" t="n"/>
      <c r="AT11" s="18" t="n"/>
      <c r="AU11" s="18" t="n"/>
      <c r="AV11" s="18" t="n"/>
      <c r="AW11" s="18" t="n"/>
    </row>
    <row r="12" customFormat="1" s="554">
      <c r="A12" s="562" t="inlineStr">
        <is>
          <t>Depreciation and amortisation</t>
        </is>
      </c>
      <c r="B12" s="512" t="n">
        <v>-852</v>
      </c>
      <c r="C12" s="512" t="n">
        <v>-953</v>
      </c>
      <c r="D12" s="512" t="n">
        <v>-783</v>
      </c>
      <c r="E12" s="512" t="n">
        <v>-888</v>
      </c>
      <c r="F12" s="512" t="n">
        <v>-1002</v>
      </c>
      <c r="G12" s="512" t="n">
        <v>-1155</v>
      </c>
      <c r="H12" s="512" t="n">
        <v>-1270</v>
      </c>
      <c r="I12" s="512" t="n">
        <v>-1704</v>
      </c>
      <c r="J12" s="512" t="n">
        <v>-1474</v>
      </c>
      <c r="K12" s="512" t="n">
        <v>-1624</v>
      </c>
      <c r="L12" s="512" t="n">
        <v>-1749</v>
      </c>
      <c r="M12" s="512" t="n">
        <v>-2357</v>
      </c>
      <c r="N12" s="512">
        <f>-2529-41</f>
        <v/>
      </c>
      <c r="O12" s="512" t="n">
        <v>-2896</v>
      </c>
      <c r="P12" s="512" t="n">
        <v>-4968</v>
      </c>
      <c r="Q12" s="512" t="n">
        <v>-4650</v>
      </c>
      <c r="R12" s="512" t="n">
        <v>-4055</v>
      </c>
      <c r="S12" s="512" t="n">
        <v>-4332</v>
      </c>
      <c r="T12" s="512" t="n">
        <v>-5065</v>
      </c>
      <c r="U12" s="512" t="n">
        <v>-6353</v>
      </c>
      <c r="V12" s="512" t="n">
        <v>-7021</v>
      </c>
      <c r="W12" s="512" t="n">
        <v>-7592</v>
      </c>
      <c r="X12" s="512" t="n">
        <v>-6791</v>
      </c>
      <c r="Y12" s="512" t="n">
        <v>-6765</v>
      </c>
      <c r="Z12" s="512" t="n">
        <v>-6909</v>
      </c>
      <c r="AA12" s="512" t="n">
        <v>-7368</v>
      </c>
      <c r="AB12" s="512" t="n">
        <v>-8005</v>
      </c>
      <c r="AC12" s="512" t="n">
        <v>-8118</v>
      </c>
      <c r="AD12" s="512" t="n">
        <v>-8476</v>
      </c>
      <c r="AE12" s="512" t="n">
        <v>-9308</v>
      </c>
      <c r="AF12" s="512" t="n">
        <v>-8904</v>
      </c>
      <c r="AG12" s="512" t="n">
        <v>-8594</v>
      </c>
      <c r="AH12" s="512" t="n">
        <v>-9276</v>
      </c>
      <c r="AI12" s="528">
        <f>Driver!AI26</f>
        <v/>
      </c>
      <c r="AJ12" s="528">
        <f>Driver!AJ26</f>
        <v/>
      </c>
      <c r="AK12" s="528">
        <f>Driver!AK26</f>
        <v/>
      </c>
      <c r="AL12" s="528">
        <f>Driver!AL26</f>
        <v/>
      </c>
      <c r="AM12" s="528">
        <f>Driver!AM26</f>
        <v/>
      </c>
      <c r="AN12" s="528">
        <f>Driver!AN26</f>
        <v/>
      </c>
      <c r="AO12" s="18" t="n"/>
      <c r="AP12" s="555" t="n"/>
      <c r="AQ12" s="18" t="n"/>
      <c r="AR12" s="18" t="n"/>
      <c r="AS12" s="18" t="n"/>
      <c r="AT12" s="18" t="n"/>
      <c r="AU12" s="18" t="n"/>
      <c r="AV12" s="18" t="n"/>
      <c r="AW12" s="18" t="n"/>
    </row>
    <row r="13" customFormat="1" s="554">
      <c r="A13" s="554" t="inlineStr">
        <is>
          <t>SOC adjustments (until 2004)</t>
        </is>
      </c>
      <c r="B13" s="512" t="n">
        <v>-616</v>
      </c>
      <c r="C13" s="512" t="n">
        <v>-908</v>
      </c>
      <c r="D13" s="512" t="n">
        <v>221</v>
      </c>
      <c r="E13" s="512" t="n">
        <v>310</v>
      </c>
      <c r="F13" s="512" t="n">
        <v>319</v>
      </c>
      <c r="G13" s="512" t="n">
        <v>186.5010000000011</v>
      </c>
      <c r="H13" s="512" t="n">
        <v>-1714.282136363638</v>
      </c>
      <c r="I13" s="512" t="n">
        <v>-1787</v>
      </c>
      <c r="J13" s="512" t="n">
        <v>-2276</v>
      </c>
      <c r="K13" s="512" t="n">
        <v>-1506</v>
      </c>
      <c r="L13" s="512" t="n">
        <v>-1643</v>
      </c>
      <c r="M13" s="512" t="n">
        <v>-835</v>
      </c>
      <c r="N13" s="512" t="n">
        <v>-348</v>
      </c>
      <c r="O13" s="512" t="n">
        <v>0</v>
      </c>
      <c r="P13" s="512" t="n">
        <v>0</v>
      </c>
      <c r="Q13" s="512" t="n">
        <v>0</v>
      </c>
      <c r="R13" s="512" t="n">
        <v>0</v>
      </c>
      <c r="S13" s="512" t="n">
        <v>0</v>
      </c>
      <c r="T13" s="512" t="n">
        <v>0</v>
      </c>
      <c r="U13" s="512" t="n">
        <v>0</v>
      </c>
      <c r="V13" s="512" t="n">
        <v>0</v>
      </c>
      <c r="W13" s="512" t="n">
        <v>0</v>
      </c>
      <c r="X13" s="512" t="n">
        <v>0</v>
      </c>
      <c r="Y13" s="512" t="n">
        <v>0</v>
      </c>
      <c r="Z13" s="512" t="n">
        <v>0</v>
      </c>
      <c r="AA13" s="512">
        <f>Z13</f>
        <v/>
      </c>
      <c r="AB13" s="512">
        <f>AA13</f>
        <v/>
      </c>
      <c r="AC13" s="512">
        <f>AB13</f>
        <v/>
      </c>
      <c r="AD13" s="512">
        <f>AC13</f>
        <v/>
      </c>
      <c r="AE13" s="512">
        <f>AD13</f>
        <v/>
      </c>
      <c r="AF13" s="512">
        <f>AE13</f>
        <v/>
      </c>
      <c r="AG13" s="512">
        <f>AF13</f>
        <v/>
      </c>
      <c r="AH13" s="512">
        <f>AG13</f>
        <v/>
      </c>
      <c r="AI13" s="512">
        <f>AH13</f>
        <v/>
      </c>
      <c r="AJ13" s="512">
        <f>AI13</f>
        <v/>
      </c>
      <c r="AK13" s="512">
        <f>AJ13</f>
        <v/>
      </c>
      <c r="AL13" s="512">
        <f>AK13</f>
        <v/>
      </c>
      <c r="AM13" s="512">
        <f>AL13</f>
        <v/>
      </c>
      <c r="AN13" s="512">
        <f>AM13</f>
        <v/>
      </c>
      <c r="AO13" s="18" t="n"/>
      <c r="AP13" s="555" t="n"/>
      <c r="AQ13" s="18" t="n"/>
      <c r="AR13" s="18" t="n"/>
      <c r="AS13" s="18" t="n"/>
      <c r="AT13" s="18" t="n"/>
      <c r="AU13" s="18" t="n"/>
      <c r="AV13" s="18" t="n"/>
      <c r="AW13" s="18" t="n"/>
    </row>
    <row r="14" customFormat="1" s="556">
      <c r="A14" s="556" t="inlineStr">
        <is>
          <t>Total operating expenses</t>
        </is>
      </c>
      <c r="B14" s="560" t="n">
        <v>-10591</v>
      </c>
      <c r="C14" s="560" t="n">
        <v>-11554</v>
      </c>
      <c r="D14" s="560" t="n">
        <v>-12089</v>
      </c>
      <c r="E14" s="560" t="n">
        <v>-13611</v>
      </c>
      <c r="F14" s="560" t="n">
        <v>-14805</v>
      </c>
      <c r="G14" s="560" t="n">
        <v>-16909.499</v>
      </c>
      <c r="H14" s="560" t="n">
        <v>-18331.28213636364</v>
      </c>
      <c r="I14" s="560" t="n">
        <v>-23200</v>
      </c>
      <c r="J14" s="560" t="n">
        <v>-20406</v>
      </c>
      <c r="K14" s="560" t="n">
        <v>-20557</v>
      </c>
      <c r="L14" s="560" t="n">
        <v>-20941</v>
      </c>
      <c r="M14" s="560" t="n">
        <v>-22471</v>
      </c>
      <c r="N14" s="560" t="n">
        <v>-23028</v>
      </c>
      <c r="O14" s="560" t="n">
        <v>-29889</v>
      </c>
      <c r="P14" s="560" t="n">
        <v>-33590</v>
      </c>
      <c r="Q14" s="560" t="n">
        <v>-39607</v>
      </c>
      <c r="R14" s="560" t="n">
        <v>-41717</v>
      </c>
      <c r="S14" s="560" t="n">
        <v>-39880</v>
      </c>
      <c r="T14" s="560" t="n">
        <v>-46413</v>
      </c>
      <c r="U14" s="560" t="n">
        <v>-76461</v>
      </c>
      <c r="V14" s="560" t="n">
        <v>-91760</v>
      </c>
      <c r="W14" s="560" t="n">
        <v>-95624</v>
      </c>
      <c r="X14" s="560">
        <f>-79389+2025</f>
        <v/>
      </c>
      <c r="Y14" s="560" t="n">
        <v>-58680</v>
      </c>
      <c r="Z14" s="560" t="n">
        <v>-62288</v>
      </c>
      <c r="AA14" s="560" t="n">
        <v>-73375</v>
      </c>
      <c r="AB14" s="560" t="n">
        <v>-73263</v>
      </c>
      <c r="AC14" s="560" t="n">
        <v>-71659</v>
      </c>
      <c r="AD14" s="560" t="n">
        <v>-64874</v>
      </c>
      <c r="AE14" s="560" t="n">
        <v>-71748</v>
      </c>
      <c r="AF14" s="560" t="n">
        <v>-95378</v>
      </c>
      <c r="AG14" s="560" t="n">
        <v>-71985</v>
      </c>
      <c r="AH14" s="560" t="n">
        <v>-76061</v>
      </c>
      <c r="AI14" s="563">
        <f>AI9+AI12</f>
        <v/>
      </c>
      <c r="AJ14" s="563">
        <f>AJ9+AJ12</f>
        <v/>
      </c>
      <c r="AK14" s="563">
        <f>AK9+AK12</f>
        <v/>
      </c>
      <c r="AL14" s="563">
        <f>AL9+AL12</f>
        <v/>
      </c>
      <c r="AM14" s="563">
        <f>AM9+AM12</f>
        <v/>
      </c>
      <c r="AN14" s="563">
        <f>AN9+AN12</f>
        <v/>
      </c>
      <c r="AO14" s="18" t="n"/>
      <c r="AP14" s="555" t="n"/>
      <c r="AQ14" s="18" t="n"/>
      <c r="AR14" s="18" t="n"/>
      <c r="AS14" s="18" t="n"/>
      <c r="AT14" s="18" t="n"/>
      <c r="AU14" s="18" t="n"/>
      <c r="AV14" s="18" t="n"/>
      <c r="AW14" s="18" t="n"/>
    </row>
    <row r="15" customFormat="1" s="556">
      <c r="A15" s="557" t="inlineStr">
        <is>
          <t>Net operating income</t>
        </is>
      </c>
      <c r="B15" s="558">
        <f>B10+B12+B13</f>
        <v/>
      </c>
      <c r="C15" s="558">
        <f>C10+C12+C13</f>
        <v/>
      </c>
      <c r="D15" s="558">
        <f>D10+D12+D13</f>
        <v/>
      </c>
      <c r="E15" s="558">
        <f>E10+E12+E13</f>
        <v/>
      </c>
      <c r="F15" s="558">
        <f>F10+F12+F13</f>
        <v/>
      </c>
      <c r="G15" s="558">
        <f>G10+G12+G13</f>
        <v/>
      </c>
      <c r="H15" s="558">
        <f>H10+H12+H13</f>
        <v/>
      </c>
      <c r="I15" s="558">
        <f>I10+I12+I13</f>
        <v/>
      </c>
      <c r="J15" s="558">
        <f>J10+J12+J13</f>
        <v/>
      </c>
      <c r="K15" s="558">
        <f>K10+K12+K13</f>
        <v/>
      </c>
      <c r="L15" s="558">
        <f>L10+L12+L13</f>
        <v/>
      </c>
      <c r="M15" s="558">
        <f>M10+M12+M13</f>
        <v/>
      </c>
      <c r="N15" s="558">
        <f>N10+N12+N13</f>
        <v/>
      </c>
      <c r="O15" s="558">
        <f>O10+O12+O13</f>
        <v/>
      </c>
      <c r="P15" s="558">
        <f>P10+P12+P13</f>
        <v/>
      </c>
      <c r="Q15" s="558">
        <f>Q10+Q12+Q13</f>
        <v/>
      </c>
      <c r="R15" s="558">
        <f>R10+R12+R13</f>
        <v/>
      </c>
      <c r="S15" s="558">
        <f>S10+S12+S13</f>
        <v/>
      </c>
      <c r="T15" s="558">
        <f>T10+T12+T13</f>
        <v/>
      </c>
      <c r="U15" s="558">
        <f>U10+U12+U13</f>
        <v/>
      </c>
      <c r="V15" s="558">
        <f>V10+V12+V13</f>
        <v/>
      </c>
      <c r="W15" s="558">
        <f>W10+W12+W13</f>
        <v/>
      </c>
      <c r="X15" s="558">
        <f>X10+X12+X13</f>
        <v/>
      </c>
      <c r="Y15" s="558">
        <f>Y10+Y12+Y13</f>
        <v/>
      </c>
      <c r="Z15" s="558">
        <f>Z10+Z12+Z13</f>
        <v/>
      </c>
      <c r="AA15" s="558">
        <f>AA10+AA12+AA13</f>
        <v/>
      </c>
      <c r="AB15" s="558">
        <f>AB10+AB12+AB13</f>
        <v/>
      </c>
      <c r="AC15" s="558">
        <f>AC10+AC12+AC13</f>
        <v/>
      </c>
      <c r="AD15" s="558">
        <f>AD10+AD12+AD13</f>
        <v/>
      </c>
      <c r="AE15" s="558">
        <f>AE10+AE12+AE13</f>
        <v/>
      </c>
      <c r="AF15" s="558">
        <f>AF10+AF12+AF13</f>
        <v/>
      </c>
      <c r="AG15" s="558">
        <f>AG10+AG12+AG13</f>
        <v/>
      </c>
      <c r="AH15" s="558">
        <f>AH10+AH12+AH13</f>
        <v/>
      </c>
      <c r="AI15" s="558">
        <f>AI20-AI16-AI17-AI18-AI19</f>
        <v/>
      </c>
      <c r="AJ15" s="558">
        <f>AJ20-AJ16-AJ17-AJ18-AJ19</f>
        <v/>
      </c>
      <c r="AK15" s="558">
        <f>AK20-AK16-AK17-AK18-AK19</f>
        <v/>
      </c>
      <c r="AL15" s="558">
        <f>AL20-AL16-AL17-AL18-AL19</f>
        <v/>
      </c>
      <c r="AM15" s="558">
        <f>AM20-AM16-AM17-AM18-AM19</f>
        <v/>
      </c>
      <c r="AN15" s="558">
        <f>AN20-AN16-AN17-AN18-AN19</f>
        <v/>
      </c>
      <c r="AO15" s="18" t="n"/>
      <c r="AP15" s="555" t="n"/>
      <c r="AQ15" s="18" t="n"/>
      <c r="AR15" s="18" t="n"/>
      <c r="AS15" s="18" t="n"/>
      <c r="AT15" s="18" t="n"/>
      <c r="AU15" s="18" t="n"/>
      <c r="AV15" s="18" t="n"/>
      <c r="AW15" s="18" t="n"/>
    </row>
    <row r="16" customFormat="1" s="554">
      <c r="A16" s="554" t="inlineStr">
        <is>
          <t>Other Income, net</t>
        </is>
      </c>
      <c r="B16" s="512" t="n">
        <v>67</v>
      </c>
      <c r="C16" s="512" t="n">
        <v>70</v>
      </c>
      <c r="D16" s="512" t="n">
        <v>116</v>
      </c>
      <c r="E16" s="512" t="n">
        <v>160</v>
      </c>
      <c r="F16" s="512" t="n">
        <v>136</v>
      </c>
      <c r="G16" s="512" t="n">
        <v>137.8989999999997</v>
      </c>
      <c r="H16" s="512" t="n">
        <v>186.3341863981595</v>
      </c>
      <c r="I16" s="512" t="n">
        <v>-0.4759988918926865</v>
      </c>
      <c r="J16" s="512" t="n">
        <v>517.3652732695655</v>
      </c>
      <c r="K16" s="512" t="n">
        <v>56.60000000000036</v>
      </c>
      <c r="L16" s="512" t="n">
        <v>-256.7999999999993</v>
      </c>
      <c r="M16" s="512" t="n">
        <v>469.7329699931215</v>
      </c>
      <c r="N16" s="512" t="n">
        <v>52</v>
      </c>
      <c r="O16" s="512" t="n">
        <v>66</v>
      </c>
      <c r="P16" s="512" t="n">
        <v>55</v>
      </c>
      <c r="Q16" s="512" t="n">
        <v>2122</v>
      </c>
      <c r="R16" s="512" t="n">
        <v>727</v>
      </c>
      <c r="S16" s="512" t="n">
        <v>153</v>
      </c>
      <c r="T16" s="512" t="n">
        <v>400</v>
      </c>
      <c r="U16" s="512" t="n">
        <v>-1985</v>
      </c>
      <c r="V16" s="512" t="n">
        <v>0</v>
      </c>
      <c r="W16" s="512" t="n">
        <v>0</v>
      </c>
      <c r="X16" s="512" t="n">
        <v>0</v>
      </c>
      <c r="Y16" s="512" t="n">
        <v>0</v>
      </c>
      <c r="Z16" s="512" t="n">
        <v>0</v>
      </c>
      <c r="AA16" s="512">
        <f>Z16</f>
        <v/>
      </c>
      <c r="AB16" s="512">
        <f>AA16</f>
        <v/>
      </c>
      <c r="AC16" s="512" t="n">
        <v>-6381</v>
      </c>
      <c r="AD16" s="512" t="n">
        <v>0</v>
      </c>
      <c r="AE16" s="512" t="n">
        <v>-1110</v>
      </c>
      <c r="AF16" s="512" t="n">
        <v>-4312</v>
      </c>
      <c r="AG16" s="512" t="n">
        <v>-5868</v>
      </c>
      <c r="AH16" s="512" t="n">
        <v>0</v>
      </c>
      <c r="AI16" s="528">
        <f>AH16</f>
        <v/>
      </c>
      <c r="AJ16" s="528">
        <f>AI16</f>
        <v/>
      </c>
      <c r="AK16" s="528">
        <f>AJ16</f>
        <v/>
      </c>
      <c r="AL16" s="528">
        <f>AK16</f>
        <v/>
      </c>
      <c r="AM16" s="528">
        <f>AL16</f>
        <v/>
      </c>
      <c r="AN16" s="528">
        <f>AM16</f>
        <v/>
      </c>
      <c r="AO16" s="18" t="n"/>
      <c r="AP16" s="555" t="n"/>
      <c r="AQ16" s="18" t="n"/>
      <c r="AR16" s="18" t="n"/>
      <c r="AS16" s="18" t="n"/>
      <c r="AT16" s="18" t="n"/>
      <c r="AU16" s="18" t="n"/>
      <c r="AV16" s="18" t="n"/>
      <c r="AW16" s="18" t="n"/>
    </row>
    <row r="17" customFormat="1" s="554">
      <c r="A17" s="554" t="inlineStr">
        <is>
          <t>Property</t>
        </is>
      </c>
      <c r="B17" s="512" t="n">
        <v>0</v>
      </c>
      <c r="C17" s="512" t="n">
        <v>0</v>
      </c>
      <c r="D17" s="512" t="n">
        <v>0</v>
      </c>
      <c r="E17" s="512" t="n">
        <v>1286</v>
      </c>
      <c r="F17" s="512" t="n">
        <v>0</v>
      </c>
      <c r="G17" s="512" t="n">
        <v>0</v>
      </c>
      <c r="H17" s="512" t="n">
        <v>1837</v>
      </c>
      <c r="I17" s="512" t="n">
        <v>626</v>
      </c>
      <c r="J17" s="512" t="n">
        <v>1357</v>
      </c>
      <c r="K17" s="512" t="n">
        <v>1752</v>
      </c>
      <c r="L17" s="512" t="n">
        <v>595</v>
      </c>
      <c r="M17" s="512" t="n">
        <v>291</v>
      </c>
      <c r="N17" s="512" t="n">
        <v>187</v>
      </c>
      <c r="O17" s="512" t="n">
        <v>267</v>
      </c>
      <c r="P17" s="512" t="n">
        <v>44</v>
      </c>
      <c r="Q17" s="512" t="n">
        <v>0</v>
      </c>
      <c r="R17" s="512" t="n">
        <v>0</v>
      </c>
      <c r="S17" s="512" t="n">
        <v>0</v>
      </c>
      <c r="T17" s="512" t="n">
        <v>0</v>
      </c>
      <c r="U17" s="512" t="n">
        <v>0</v>
      </c>
      <c r="V17" s="512" t="n">
        <v>0</v>
      </c>
      <c r="W17" s="512" t="n">
        <v>0</v>
      </c>
      <c r="X17" s="512" t="n">
        <v>0</v>
      </c>
      <c r="Y17" s="512" t="n">
        <v>0</v>
      </c>
      <c r="Z17" s="512" t="n">
        <v>0</v>
      </c>
      <c r="AA17" s="512" t="n">
        <v>0</v>
      </c>
      <c r="AB17" s="512" t="n">
        <v>0</v>
      </c>
      <c r="AC17" s="512">
        <f>+AB17</f>
        <v/>
      </c>
      <c r="AD17" s="512">
        <f>+AC17</f>
        <v/>
      </c>
      <c r="AE17" s="512">
        <f>+AD17</f>
        <v/>
      </c>
      <c r="AF17" s="512">
        <f>+AE17</f>
        <v/>
      </c>
      <c r="AG17" s="512">
        <f>+AF17</f>
        <v/>
      </c>
      <c r="AH17" s="512">
        <f>+AG17</f>
        <v/>
      </c>
      <c r="AI17" s="528">
        <f>+AH17</f>
        <v/>
      </c>
      <c r="AJ17" s="528">
        <f>+AI17</f>
        <v/>
      </c>
      <c r="AK17" s="528">
        <f>+AJ17</f>
        <v/>
      </c>
      <c r="AL17" s="528">
        <f>+AK17</f>
        <v/>
      </c>
      <c r="AM17" s="528">
        <f>+AL17</f>
        <v/>
      </c>
      <c r="AN17" s="528">
        <f>+AM17</f>
        <v/>
      </c>
      <c r="AO17" s="18" t="n"/>
      <c r="AP17" s="555" t="n"/>
      <c r="AQ17" s="18" t="n"/>
      <c r="AR17" s="18" t="n"/>
      <c r="AS17" s="18" t="n"/>
      <c r="AT17" s="18" t="n"/>
      <c r="AU17" s="18" t="n"/>
      <c r="AV17" s="18" t="n"/>
      <c r="AW17" s="18" t="n"/>
    </row>
    <row r="18" customFormat="1" s="554">
      <c r="A18" s="554" t="inlineStr">
        <is>
          <t>Other jointly controlled entities</t>
        </is>
      </c>
      <c r="B18" s="512" t="n">
        <v>1100</v>
      </c>
      <c r="C18" s="512" t="n">
        <v>1195</v>
      </c>
      <c r="D18" s="512" t="n">
        <v>1433</v>
      </c>
      <c r="E18" s="512" t="n">
        <v>1653</v>
      </c>
      <c r="F18" s="512" t="n">
        <v>1847</v>
      </c>
      <c r="G18" s="512" t="n">
        <v>1972.6</v>
      </c>
      <c r="H18" s="512" t="n">
        <v>2097.8</v>
      </c>
      <c r="I18" s="512" t="n">
        <v>2732.291891891892</v>
      </c>
      <c r="J18" s="512" t="n">
        <v>2215.6</v>
      </c>
      <c r="K18" s="512" t="n">
        <v>2339</v>
      </c>
      <c r="L18" s="512" t="n">
        <v>2992</v>
      </c>
      <c r="M18" s="512" t="n">
        <v>3399</v>
      </c>
      <c r="N18" s="512" t="n">
        <v>3181</v>
      </c>
      <c r="O18" s="512" t="n">
        <v>2832</v>
      </c>
      <c r="P18" s="512" t="n">
        <v>2892</v>
      </c>
      <c r="Q18" s="512" t="n">
        <v>3024</v>
      </c>
      <c r="R18" s="512" t="n">
        <v>2624</v>
      </c>
      <c r="S18" s="512" t="n">
        <v>2675</v>
      </c>
      <c r="T18" s="512" t="n">
        <v>2080</v>
      </c>
      <c r="U18" s="512" t="n">
        <v>2929</v>
      </c>
      <c r="V18" s="512" t="n">
        <v>2405</v>
      </c>
      <c r="W18" s="512" t="n">
        <v>2671</v>
      </c>
      <c r="X18" s="512" t="n">
        <v>1562</v>
      </c>
      <c r="Y18" s="512" t="n">
        <v>1357</v>
      </c>
      <c r="Z18" s="512" t="n">
        <v>737</v>
      </c>
      <c r="AA18" s="512" t="n">
        <v>508</v>
      </c>
      <c r="AB18" s="512" t="n">
        <v>518</v>
      </c>
      <c r="AC18" s="512" t="n">
        <v>885</v>
      </c>
      <c r="AD18" s="512" t="n">
        <v>797</v>
      </c>
      <c r="AE18" s="512" t="n">
        <v>-97</v>
      </c>
      <c r="AF18" s="512" t="n">
        <v>325</v>
      </c>
      <c r="AG18" s="512" t="n">
        <v>1147</v>
      </c>
      <c r="AH18" s="512" t="n">
        <v>845</v>
      </c>
      <c r="AI18" s="512">
        <f>Driver!AI38</f>
        <v/>
      </c>
      <c r="AJ18" s="512">
        <f>Driver!AJ38</f>
        <v/>
      </c>
      <c r="AK18" s="512">
        <f>Driver!AK38</f>
        <v/>
      </c>
      <c r="AL18" s="512">
        <f>Driver!AL38</f>
        <v/>
      </c>
      <c r="AM18" s="512">
        <f>Driver!AM38</f>
        <v/>
      </c>
      <c r="AN18" s="512">
        <f>Driver!AN38</f>
        <v/>
      </c>
      <c r="AO18" s="18" t="n"/>
      <c r="AP18" s="555" t="n"/>
      <c r="AQ18" s="18" t="n"/>
      <c r="AR18" s="18" t="n"/>
      <c r="AS18" s="18" t="n"/>
      <c r="AT18" s="18" t="n"/>
      <c r="AU18" s="18" t="n"/>
      <c r="AV18" s="18" t="n"/>
      <c r="AW18" s="18" t="n"/>
    </row>
    <row r="19" customFormat="1" s="554">
      <c r="A19" s="554" t="inlineStr">
        <is>
          <t>Electricity associates</t>
        </is>
      </c>
      <c r="B19" s="512" t="n">
        <v>0</v>
      </c>
      <c r="C19" s="512" t="n">
        <v>0</v>
      </c>
      <c r="D19" s="512" t="n">
        <v>0</v>
      </c>
      <c r="E19" s="512" t="n">
        <v>0</v>
      </c>
      <c r="F19" s="512" t="n">
        <v>0</v>
      </c>
      <c r="G19" s="512" t="n">
        <v>0</v>
      </c>
      <c r="H19" s="512" t="n">
        <v>15</v>
      </c>
      <c r="I19" s="512" t="n">
        <v>7</v>
      </c>
      <c r="J19" s="512" t="n">
        <v>-895.3652732695653</v>
      </c>
      <c r="K19" s="512" t="n">
        <v>14</v>
      </c>
      <c r="L19" s="512" t="n">
        <v>30</v>
      </c>
      <c r="M19" s="512" t="n">
        <v>102</v>
      </c>
      <c r="N19" s="512" t="n">
        <v>236</v>
      </c>
      <c r="O19" s="512" t="n">
        <v>140</v>
      </c>
      <c r="P19" s="512" t="n">
        <v>114</v>
      </c>
      <c r="Q19" s="512" t="n">
        <v>1</v>
      </c>
      <c r="R19" s="512" t="n">
        <v>-27</v>
      </c>
      <c r="S19" s="512" t="n">
        <v>-354</v>
      </c>
      <c r="T19" s="512" t="n">
        <v>813</v>
      </c>
      <c r="U19" s="512" t="n">
        <v>681</v>
      </c>
      <c r="V19" s="512" t="n">
        <v>579</v>
      </c>
      <c r="W19" s="512" t="n">
        <v>612</v>
      </c>
      <c r="X19" s="512" t="n">
        <v>796</v>
      </c>
      <c r="Y19" s="512" t="n">
        <v>888</v>
      </c>
      <c r="Z19" s="512" t="n">
        <v>904</v>
      </c>
      <c r="AA19" s="512" t="n">
        <v>950</v>
      </c>
      <c r="AB19" s="512" t="n">
        <v>1818</v>
      </c>
      <c r="AC19" s="512" t="n">
        <v>1828</v>
      </c>
      <c r="AD19" s="512" t="n">
        <v>1725</v>
      </c>
      <c r="AE19" s="512" t="n">
        <v>2071</v>
      </c>
      <c r="AF19" s="512" t="n">
        <v>2135</v>
      </c>
      <c r="AG19" s="512" t="n">
        <v>2049</v>
      </c>
      <c r="AH19" s="512" t="n">
        <v>1810</v>
      </c>
      <c r="AI19" s="512">
        <f>Driver!AI39</f>
        <v/>
      </c>
      <c r="AJ19" s="512">
        <f>Driver!AJ39</f>
        <v/>
      </c>
      <c r="AK19" s="512">
        <f>Driver!AK39</f>
        <v/>
      </c>
      <c r="AL19" s="512">
        <f>Driver!AL39</f>
        <v/>
      </c>
      <c r="AM19" s="512">
        <f>Driver!AM39</f>
        <v/>
      </c>
      <c r="AN19" s="512">
        <f>Driver!AN39</f>
        <v/>
      </c>
      <c r="AO19" s="18" t="n"/>
      <c r="AP19" s="555" t="n"/>
      <c r="AQ19" s="18" t="n"/>
      <c r="AR19" s="18" t="n"/>
      <c r="AS19" s="18" t="n"/>
      <c r="AT19" s="18" t="n"/>
      <c r="AU19" s="18" t="n"/>
      <c r="AV19" s="18" t="n"/>
      <c r="AW19" s="18" t="n"/>
    </row>
    <row r="20" customFormat="1" s="556">
      <c r="A20" s="556" t="inlineStr">
        <is>
          <t>EBIT</t>
        </is>
      </c>
      <c r="B20" s="560">
        <f>SUM(B15:B19)</f>
        <v/>
      </c>
      <c r="C20" s="560">
        <f>SUM(C15:C19)</f>
        <v/>
      </c>
      <c r="D20" s="560">
        <f>SUM(D15:D19)</f>
        <v/>
      </c>
      <c r="E20" s="560">
        <f>SUM(E15:E19)</f>
        <v/>
      </c>
      <c r="F20" s="560">
        <f>SUM(F15:F19)</f>
        <v/>
      </c>
      <c r="G20" s="560">
        <f>SUM(G15:G19)</f>
        <v/>
      </c>
      <c r="H20" s="560">
        <f>SUM(H15:H19)</f>
        <v/>
      </c>
      <c r="I20" s="560">
        <f>SUM(I15:I19)</f>
        <v/>
      </c>
      <c r="J20" s="560">
        <f>SUM(J15:J19)</f>
        <v/>
      </c>
      <c r="K20" s="560">
        <f>SUM(K15:K19)</f>
        <v/>
      </c>
      <c r="L20" s="560">
        <f>SUM(L15:L19)</f>
        <v/>
      </c>
      <c r="M20" s="560">
        <f>SUM(M15:M19)</f>
        <v/>
      </c>
      <c r="N20" s="560">
        <f>SUM(N15:N19)</f>
        <v/>
      </c>
      <c r="O20" s="560">
        <f>SUM(O15:O19)</f>
        <v/>
      </c>
      <c r="P20" s="560">
        <f>SUM(P15:P19)</f>
        <v/>
      </c>
      <c r="Q20" s="560">
        <f>SUM(Q15:Q19)</f>
        <v/>
      </c>
      <c r="R20" s="560">
        <f>SUM(R15:R19)</f>
        <v/>
      </c>
      <c r="S20" s="560">
        <f>SUM(S15:S19)</f>
        <v/>
      </c>
      <c r="T20" s="560">
        <f>SUM(T15:T19)</f>
        <v/>
      </c>
      <c r="U20" s="560">
        <f>SUM(U15:U19)</f>
        <v/>
      </c>
      <c r="V20" s="560">
        <f>SUM(V15:V19)</f>
        <v/>
      </c>
      <c r="W20" s="560">
        <f>SUM(W15:W19)</f>
        <v/>
      </c>
      <c r="X20" s="560">
        <f>SUM(X15:X19)</f>
        <v/>
      </c>
      <c r="Y20" s="560">
        <f>SUM(Y15:Y19)</f>
        <v/>
      </c>
      <c r="Z20" s="560">
        <f>SUM(Z15:Z19)</f>
        <v/>
      </c>
      <c r="AA20" s="560">
        <f>SUM(AA15:AA19)</f>
        <v/>
      </c>
      <c r="AB20" s="560">
        <f>SUM(AB15:AB19)</f>
        <v/>
      </c>
      <c r="AC20" s="560">
        <f>SUM(AC15:AC19)</f>
        <v/>
      </c>
      <c r="AD20" s="560">
        <f>SUM(AD15:AD19)</f>
        <v/>
      </c>
      <c r="AE20" s="560">
        <f>SUM(AE15:AE19)</f>
        <v/>
      </c>
      <c r="AF20" s="560">
        <f>SUM(AF15:AF19)</f>
        <v/>
      </c>
      <c r="AG20" s="560">
        <f>SUM(AG15:AG19)</f>
        <v/>
      </c>
      <c r="AH20" s="560">
        <f>SUM(AH15:AH19)</f>
        <v/>
      </c>
      <c r="AI20" s="560">
        <f>AI22-AI21</f>
        <v/>
      </c>
      <c r="AJ20" s="560">
        <f>AJ22-AJ21</f>
        <v/>
      </c>
      <c r="AK20" s="560">
        <f>AK22-AK21</f>
        <v/>
      </c>
      <c r="AL20" s="560">
        <f>AL22-AL21</f>
        <v/>
      </c>
      <c r="AM20" s="560">
        <f>AM22-AM21</f>
        <v/>
      </c>
      <c r="AN20" s="560">
        <f>AN22-AN21</f>
        <v/>
      </c>
      <c r="AO20" s="18" t="n"/>
      <c r="AP20" s="555" t="n"/>
      <c r="AQ20" s="18" t="n"/>
      <c r="AR20" s="18" t="n"/>
      <c r="AS20" s="18" t="n"/>
      <c r="AT20" s="18" t="n"/>
      <c r="AU20" s="18" t="n"/>
      <c r="AV20" s="18" t="n"/>
      <c r="AW20" s="18" t="n"/>
    </row>
    <row r="21" customFormat="1" s="554">
      <c r="A21" s="554" t="inlineStr">
        <is>
          <t>Net finance costs</t>
        </is>
      </c>
      <c r="B21" s="512" t="n">
        <v>-67</v>
      </c>
      <c r="C21" s="512" t="n">
        <v>-48</v>
      </c>
      <c r="D21" s="512" t="n">
        <v>-16</v>
      </c>
      <c r="E21" s="512" t="n">
        <v>-48</v>
      </c>
      <c r="F21" s="512" t="n">
        <v>-50</v>
      </c>
      <c r="G21" s="512" t="n">
        <v>565</v>
      </c>
      <c r="H21" s="512" t="n">
        <v>973</v>
      </c>
      <c r="I21" s="512" t="n">
        <v>612</v>
      </c>
      <c r="J21" s="512" t="n">
        <v>-94</v>
      </c>
      <c r="K21" s="512" t="n">
        <v>-158</v>
      </c>
      <c r="L21" s="512" t="n">
        <v>-156</v>
      </c>
      <c r="M21" s="512" t="n">
        <v>-640.2206927175844</v>
      </c>
      <c r="N21" s="512" t="n">
        <v>-983</v>
      </c>
      <c r="O21" s="512" t="n">
        <v>-1489</v>
      </c>
      <c r="P21" s="512" t="n">
        <v>-4624</v>
      </c>
      <c r="Q21" s="512" t="n">
        <v>-4881</v>
      </c>
      <c r="R21" s="512" t="n">
        <v>-4121</v>
      </c>
      <c r="S21" s="512" t="n">
        <v>-3408</v>
      </c>
      <c r="T21" s="512" t="n">
        <v>-4111</v>
      </c>
      <c r="U21" s="512" t="n">
        <v>-5859</v>
      </c>
      <c r="V21" s="512" t="n">
        <v>-6101</v>
      </c>
      <c r="W21" s="512" t="n">
        <v>-6349</v>
      </c>
      <c r="X21" s="512" t="n">
        <v>-4049</v>
      </c>
      <c r="Y21" s="512" t="n">
        <v>-3936</v>
      </c>
      <c r="Z21" s="512" t="n">
        <v>-2124</v>
      </c>
      <c r="AA21" s="512">
        <f>-2180+151</f>
        <v/>
      </c>
      <c r="AB21" s="512">
        <f>-2049+192</f>
        <v/>
      </c>
      <c r="AC21" s="512">
        <f>-1983+162</f>
        <v/>
      </c>
      <c r="AD21" s="512">
        <f>-1873+136</f>
        <v/>
      </c>
      <c r="AE21" s="512">
        <f>-1744+108</f>
        <v/>
      </c>
      <c r="AF21" s="512">
        <f>-2085+243</f>
        <v/>
      </c>
      <c r="AG21" s="512">
        <f>-2139+270</f>
        <v/>
      </c>
      <c r="AH21" s="512">
        <f>+-2254+235</f>
        <v/>
      </c>
      <c r="AI21" s="512">
        <f>Driver!AI106</f>
        <v/>
      </c>
      <c r="AJ21" s="512">
        <f>Driver!AJ106</f>
        <v/>
      </c>
      <c r="AK21" s="512">
        <f>Driver!AK106</f>
        <v/>
      </c>
      <c r="AL21" s="512">
        <f>Driver!AL106</f>
        <v/>
      </c>
      <c r="AM21" s="512">
        <f>Driver!AM106</f>
        <v/>
      </c>
      <c r="AN21" s="512">
        <f>Driver!AN106</f>
        <v/>
      </c>
      <c r="AO21" s="18" t="n"/>
      <c r="AP21" s="555" t="n"/>
      <c r="AQ21" s="18" t="n"/>
      <c r="AR21" s="18" t="n"/>
      <c r="AS21" s="18" t="n"/>
      <c r="AT21" s="18" t="n"/>
      <c r="AU21" s="18" t="n"/>
      <c r="AV21" s="18" t="n"/>
      <c r="AW21" s="18" t="n"/>
    </row>
    <row r="22" customFormat="1" s="556">
      <c r="A22" s="556" t="inlineStr">
        <is>
          <t>Pretax profits</t>
        </is>
      </c>
      <c r="B22" s="560">
        <f>B20+B21</f>
        <v/>
      </c>
      <c r="C22" s="560">
        <f>C20+C21</f>
        <v/>
      </c>
      <c r="D22" s="560">
        <f>D20+D21</f>
        <v/>
      </c>
      <c r="E22" s="560">
        <f>E20+E21</f>
        <v/>
      </c>
      <c r="F22" s="560">
        <f>F20+F21</f>
        <v/>
      </c>
      <c r="G22" s="560">
        <f>G20+G21</f>
        <v/>
      </c>
      <c r="H22" s="560">
        <f>H20+H21</f>
        <v/>
      </c>
      <c r="I22" s="560">
        <f>I20+I21</f>
        <v/>
      </c>
      <c r="J22" s="560">
        <f>J20+J21</f>
        <v/>
      </c>
      <c r="K22" s="560">
        <f>K20+K21</f>
        <v/>
      </c>
      <c r="L22" s="560">
        <f>L20+L21</f>
        <v/>
      </c>
      <c r="M22" s="560">
        <f>M20+M21</f>
        <v/>
      </c>
      <c r="N22" s="560">
        <f>N20+N21</f>
        <v/>
      </c>
      <c r="O22" s="560">
        <f>O20+O21</f>
        <v/>
      </c>
      <c r="P22" s="560">
        <f>P20+P21</f>
        <v/>
      </c>
      <c r="Q22" s="560">
        <f>Q20+Q21</f>
        <v/>
      </c>
      <c r="R22" s="560">
        <f>R20+R21</f>
        <v/>
      </c>
      <c r="S22" s="560">
        <f>S20+S21</f>
        <v/>
      </c>
      <c r="T22" s="560">
        <f>T20+T21</f>
        <v/>
      </c>
      <c r="U22" s="560">
        <f>U20+U21</f>
        <v/>
      </c>
      <c r="V22" s="560">
        <f>V20+V21</f>
        <v/>
      </c>
      <c r="W22" s="560">
        <f>W20+W21</f>
        <v/>
      </c>
      <c r="X22" s="560">
        <f>X20+X21</f>
        <v/>
      </c>
      <c r="Y22" s="560">
        <f>Y20+Y21</f>
        <v/>
      </c>
      <c r="Z22" s="560">
        <f>Z20+Z21</f>
        <v/>
      </c>
      <c r="AA22" s="560">
        <f>AA20+AA21</f>
        <v/>
      </c>
      <c r="AB22" s="560">
        <f>AB20+AB21</f>
        <v/>
      </c>
      <c r="AC22" s="560">
        <f>AC20+AC21</f>
        <v/>
      </c>
      <c r="AD22" s="560">
        <f>AD20+AD21</f>
        <v/>
      </c>
      <c r="AE22" s="560">
        <f>AE20+AE21</f>
        <v/>
      </c>
      <c r="AF22" s="560">
        <f>AF20+AF21</f>
        <v/>
      </c>
      <c r="AG22" s="560">
        <f>AG20+AG21</f>
        <v/>
      </c>
      <c r="AH22" s="560">
        <f>AH20+AH21</f>
        <v/>
      </c>
      <c r="AI22" s="560">
        <f>AI24-AI23</f>
        <v/>
      </c>
      <c r="AJ22" s="560">
        <f>AJ24-AJ23</f>
        <v/>
      </c>
      <c r="AK22" s="560">
        <f>AK24-AK23</f>
        <v/>
      </c>
      <c r="AL22" s="560">
        <f>AL24-AL23</f>
        <v/>
      </c>
      <c r="AM22" s="560">
        <f>AM24-AM23</f>
        <v/>
      </c>
      <c r="AN22" s="560">
        <f>AN24-AN23</f>
        <v/>
      </c>
      <c r="AO22" s="18" t="n"/>
      <c r="AP22" s="555" t="n"/>
      <c r="AQ22" s="18" t="n"/>
      <c r="AR22" s="18" t="n"/>
      <c r="AS22" s="18" t="n"/>
      <c r="AT22" s="18" t="n"/>
      <c r="AU22" s="18" t="n"/>
      <c r="AV22" s="18" t="n"/>
      <c r="AW22" s="18" t="n"/>
    </row>
    <row r="23" customFormat="1" s="554">
      <c r="A23" s="554" t="inlineStr">
        <is>
          <t>Tax</t>
        </is>
      </c>
      <c r="B23" s="512" t="n">
        <v>-738</v>
      </c>
      <c r="C23" s="512" t="n">
        <v>-856</v>
      </c>
      <c r="D23" s="512" t="n">
        <v>-583</v>
      </c>
      <c r="E23" s="512" t="n">
        <v>-726</v>
      </c>
      <c r="F23" s="512" t="n">
        <v>-826</v>
      </c>
      <c r="G23" s="512" t="n">
        <v>-892</v>
      </c>
      <c r="H23" s="512" t="n">
        <v>-1509</v>
      </c>
      <c r="I23" s="512" t="n">
        <v>-1483</v>
      </c>
      <c r="J23" s="512" t="n">
        <v>-1378</v>
      </c>
      <c r="K23" s="512" t="n">
        <v>-1189</v>
      </c>
      <c r="L23" s="512" t="n">
        <v>-1293</v>
      </c>
      <c r="M23" s="512" t="n">
        <v>-1712</v>
      </c>
      <c r="N23" s="512" t="n">
        <v>-1815</v>
      </c>
      <c r="O23" s="512" t="n">
        <v>922</v>
      </c>
      <c r="P23" s="512" t="n">
        <v>-683</v>
      </c>
      <c r="Q23" s="512" t="n">
        <v>-837</v>
      </c>
      <c r="R23" s="512" t="n">
        <v>-1349</v>
      </c>
      <c r="S23" s="512" t="n">
        <v>-1665</v>
      </c>
      <c r="T23" s="512" t="n">
        <v>-844</v>
      </c>
      <c r="U23" s="512" t="n">
        <v>-1650</v>
      </c>
      <c r="V23" s="512" t="n">
        <v>-1692</v>
      </c>
      <c r="W23" s="512" t="n">
        <v>232</v>
      </c>
      <c r="X23" s="512" t="n">
        <v>-1268</v>
      </c>
      <c r="Y23" s="512" t="n">
        <v>-3580</v>
      </c>
      <c r="Z23" s="512" t="n">
        <v>-2855</v>
      </c>
      <c r="AA23" s="512" t="n">
        <v>-2780</v>
      </c>
      <c r="AB23" s="512" t="n">
        <v>-4014</v>
      </c>
      <c r="AC23" s="512" t="n">
        <v>-2787</v>
      </c>
      <c r="AD23" s="512" t="n">
        <v>-2993</v>
      </c>
      <c r="AE23" s="512" t="n">
        <v>-1965</v>
      </c>
      <c r="AF23" s="512" t="n">
        <v>-103</v>
      </c>
      <c r="AG23" s="512" t="n">
        <v>-2973</v>
      </c>
      <c r="AH23" s="512" t="n">
        <v>-2821</v>
      </c>
      <c r="AI23" s="512">
        <f>Driver!AI48</f>
        <v/>
      </c>
      <c r="AJ23" s="512">
        <f>Driver!AJ48</f>
        <v/>
      </c>
      <c r="AK23" s="512">
        <f>Driver!AK48</f>
        <v/>
      </c>
      <c r="AL23" s="512">
        <f>Driver!AL48</f>
        <v/>
      </c>
      <c r="AM23" s="512">
        <f>Driver!AM48</f>
        <v/>
      </c>
      <c r="AN23" s="512">
        <f>Driver!AN48</f>
        <v/>
      </c>
      <c r="AO23" s="18" t="n"/>
      <c r="AP23" s="555" t="n"/>
      <c r="AQ23" s="18" t="n"/>
      <c r="AR23" s="18" t="n"/>
      <c r="AS23" s="18" t="n"/>
      <c r="AT23" s="18" t="n"/>
      <c r="AU23" s="18" t="n"/>
      <c r="AV23" s="18" t="n"/>
      <c r="AW23" s="18" t="n"/>
    </row>
    <row r="24" customFormat="1" s="554">
      <c r="A24" s="557" t="inlineStr">
        <is>
          <t>Profit after tax</t>
        </is>
      </c>
      <c r="B24" s="558">
        <f>B22+B23</f>
        <v/>
      </c>
      <c r="C24" s="558">
        <f>C22+C23</f>
        <v/>
      </c>
      <c r="D24" s="558">
        <f>D22+D23</f>
        <v/>
      </c>
      <c r="E24" s="558">
        <f>E22+E23</f>
        <v/>
      </c>
      <c r="F24" s="558">
        <f>F22+F23</f>
        <v/>
      </c>
      <c r="G24" s="558">
        <f>G22+G23</f>
        <v/>
      </c>
      <c r="H24" s="558">
        <f>H22+H23</f>
        <v/>
      </c>
      <c r="I24" s="558">
        <f>I22+I23</f>
        <v/>
      </c>
      <c r="J24" s="558">
        <f>J22+J23</f>
        <v/>
      </c>
      <c r="K24" s="558">
        <f>K22+K23</f>
        <v/>
      </c>
      <c r="L24" s="558">
        <f>L22+L23</f>
        <v/>
      </c>
      <c r="M24" s="558">
        <f>M22+M23</f>
        <v/>
      </c>
      <c r="N24" s="558">
        <f>N22+N23</f>
        <v/>
      </c>
      <c r="O24" s="558">
        <f>O22+O23</f>
        <v/>
      </c>
      <c r="P24" s="558">
        <f>P22+P23</f>
        <v/>
      </c>
      <c r="Q24" s="558">
        <f>Q22+Q23</f>
        <v/>
      </c>
      <c r="R24" s="558">
        <f>R22+R23</f>
        <v/>
      </c>
      <c r="S24" s="558">
        <f>S22+S23</f>
        <v/>
      </c>
      <c r="T24" s="558">
        <f>T22+T23</f>
        <v/>
      </c>
      <c r="U24" s="558">
        <f>U22+U23</f>
        <v/>
      </c>
      <c r="V24" s="558">
        <f>V22+V23</f>
        <v/>
      </c>
      <c r="W24" s="558">
        <f>W22+W23</f>
        <v/>
      </c>
      <c r="X24" s="558">
        <f>X22+X23</f>
        <v/>
      </c>
      <c r="Y24" s="558">
        <f>Y22+Y23</f>
        <v/>
      </c>
      <c r="Z24" s="558">
        <f>Z22+Z23</f>
        <v/>
      </c>
      <c r="AA24" s="558">
        <f>AA22+AA23</f>
        <v/>
      </c>
      <c r="AB24" s="558">
        <f>AB22+AB23</f>
        <v/>
      </c>
      <c r="AC24" s="558">
        <f>AC22+AC23</f>
        <v/>
      </c>
      <c r="AD24" s="558">
        <f>AD22+AD23</f>
        <v/>
      </c>
      <c r="AE24" s="558">
        <f>AE22+AE23</f>
        <v/>
      </c>
      <c r="AF24" s="558">
        <f>AF22+AF23</f>
        <v/>
      </c>
      <c r="AG24" s="558">
        <f>AG22+AG23</f>
        <v/>
      </c>
      <c r="AH24" s="558">
        <f>AH22+AH23</f>
        <v/>
      </c>
      <c r="AI24" s="558">
        <f>AI27-AI25-AI26</f>
        <v/>
      </c>
      <c r="AJ24" s="558">
        <f>AJ27-AJ25-AJ26</f>
        <v/>
      </c>
      <c r="AK24" s="558">
        <f>AK27-AK25-AK26</f>
        <v/>
      </c>
      <c r="AL24" s="558">
        <f>AL27-AL25-AL26</f>
        <v/>
      </c>
      <c r="AM24" s="558">
        <f>AM27-AM25-AM26</f>
        <v/>
      </c>
      <c r="AN24" s="558">
        <f>AN27-AN25-AN26</f>
        <v/>
      </c>
      <c r="AO24" s="18" t="n"/>
      <c r="AP24" s="555" t="n"/>
      <c r="AQ24" s="18" t="n"/>
      <c r="AR24" s="18" t="n"/>
      <c r="AS24" s="18" t="n"/>
      <c r="AT24" s="18" t="n"/>
      <c r="AU24" s="18" t="n"/>
      <c r="AV24" s="18" t="n"/>
      <c r="AW24" s="18" t="n"/>
    </row>
    <row r="25" customFormat="1" s="554">
      <c r="A25" s="554" t="inlineStr">
        <is>
          <t>Minority interests</t>
        </is>
      </c>
      <c r="B25" s="512" t="n">
        <v>0</v>
      </c>
      <c r="C25" s="512" t="n">
        <v>0</v>
      </c>
      <c r="D25" s="512" t="n">
        <v>0</v>
      </c>
      <c r="E25" s="512" t="n">
        <v>0</v>
      </c>
      <c r="F25" s="512" t="n">
        <v>0</v>
      </c>
      <c r="G25" s="512" t="n">
        <v>0</v>
      </c>
      <c r="H25" s="512" t="n">
        <v>0</v>
      </c>
      <c r="I25" s="512" t="n">
        <v>0</v>
      </c>
      <c r="J25" s="512" t="n">
        <v>0</v>
      </c>
      <c r="K25" s="512" t="n">
        <v>0</v>
      </c>
      <c r="L25" s="512" t="n">
        <v>0</v>
      </c>
      <c r="M25" s="512" t="n">
        <v>0</v>
      </c>
      <c r="N25" s="512" t="n">
        <v>0</v>
      </c>
      <c r="O25" s="512" t="n">
        <v>1</v>
      </c>
      <c r="P25" s="512" t="n">
        <v>-10</v>
      </c>
      <c r="Q25" s="512" t="n">
        <v>-3</v>
      </c>
      <c r="R25" s="512" t="n">
        <v>-11</v>
      </c>
      <c r="S25" s="512" t="n">
        <v>7</v>
      </c>
      <c r="T25" s="512" t="n">
        <v>-3</v>
      </c>
      <c r="U25" s="512" t="n">
        <v>-1</v>
      </c>
      <c r="V25" s="512" t="n">
        <v>20</v>
      </c>
      <c r="W25" s="512" t="n">
        <v>-12</v>
      </c>
      <c r="X25" s="512">
        <f>-563</f>
        <v/>
      </c>
      <c r="Y25" s="512">
        <f>-846</f>
        <v/>
      </c>
      <c r="Z25" s="512">
        <f>-850</f>
        <v/>
      </c>
      <c r="AA25" s="512" t="n">
        <v>-849</v>
      </c>
      <c r="AB25" s="512" t="n">
        <v>-827</v>
      </c>
      <c r="AC25" s="512" t="n">
        <v>-885</v>
      </c>
      <c r="AD25" s="512" t="n">
        <v>-914</v>
      </c>
      <c r="AE25" s="512" t="n">
        <v>-845</v>
      </c>
      <c r="AF25" s="512" t="n">
        <v>-424</v>
      </c>
      <c r="AG25" s="512" t="n">
        <v>-876</v>
      </c>
      <c r="AH25" s="512" t="n">
        <v>-840</v>
      </c>
      <c r="AI25" s="512">
        <f>-SOC!AI40*30%+CN!AI17+India!AI18</f>
        <v/>
      </c>
      <c r="AJ25" s="512">
        <f>-SOC!AJ40*30%+CN!AJ17+India!AJ18</f>
        <v/>
      </c>
      <c r="AK25" s="512">
        <f>-SOC!AK40*30%+CN!AK17+India!AK18</f>
        <v/>
      </c>
      <c r="AL25" s="512">
        <f>-SOC!AL40*30%+CN!AL17+India!AL18</f>
        <v/>
      </c>
      <c r="AM25" s="512">
        <f>-SOC!AM40*30%+CN!AM17+India!AM18</f>
        <v/>
      </c>
      <c r="AN25" s="512">
        <f>-SOC!AN40*30%+CN!AN17+India!AN18</f>
        <v/>
      </c>
      <c r="AO25" s="18" t="n"/>
      <c r="AP25" s="555" t="n"/>
      <c r="AQ25" s="18" t="n"/>
      <c r="AR25" s="18" t="n"/>
      <c r="AS25" s="18" t="n"/>
      <c r="AT25" s="18" t="n"/>
      <c r="AU25" s="18" t="n"/>
      <c r="AV25" s="18" t="n"/>
      <c r="AW25" s="18" t="n"/>
    </row>
    <row r="26" customFormat="1" s="554">
      <c r="A26" s="554" t="inlineStr">
        <is>
          <t>Perpetual capital costs</t>
        </is>
      </c>
      <c r="B26" s="512" t="n">
        <v>0</v>
      </c>
      <c r="C26" s="512" t="n">
        <v>0</v>
      </c>
      <c r="D26" s="512" t="n">
        <v>0</v>
      </c>
      <c r="E26" s="512" t="n">
        <v>0</v>
      </c>
      <c r="F26" s="512" t="n">
        <v>0</v>
      </c>
      <c r="G26" s="512" t="n">
        <v>0</v>
      </c>
      <c r="H26" s="512" t="n">
        <v>0</v>
      </c>
      <c r="I26" s="512" t="n">
        <v>0</v>
      </c>
      <c r="J26" s="512" t="n">
        <v>0</v>
      </c>
      <c r="K26" s="512" t="n">
        <v>0</v>
      </c>
      <c r="L26" s="512" t="n">
        <v>0</v>
      </c>
      <c r="M26" s="512" t="n">
        <v>0</v>
      </c>
      <c r="N26" s="512" t="n">
        <v>0</v>
      </c>
      <c r="O26" s="512" t="n">
        <v>0</v>
      </c>
      <c r="P26" s="512" t="n">
        <v>0</v>
      </c>
      <c r="Q26" s="512" t="n">
        <v>0</v>
      </c>
      <c r="R26" s="512" t="n">
        <v>0</v>
      </c>
      <c r="S26" s="512" t="n">
        <v>0</v>
      </c>
      <c r="T26" s="512" t="n">
        <v>0</v>
      </c>
      <c r="U26" s="512" t="n">
        <v>0</v>
      </c>
      <c r="V26" s="512" t="n">
        <v>0</v>
      </c>
      <c r="W26" s="512" t="n">
        <v>0</v>
      </c>
      <c r="X26" s="512" t="n">
        <v>-152</v>
      </c>
      <c r="Y26" s="512" t="n">
        <v>-247</v>
      </c>
      <c r="Z26" s="512" t="n">
        <v>-247</v>
      </c>
      <c r="AA26" s="512" t="n">
        <v>-249</v>
      </c>
      <c r="AB26" s="512" t="n">
        <v>-250</v>
      </c>
      <c r="AC26" s="512" t="n">
        <v>-212</v>
      </c>
      <c r="AD26" s="512" t="n">
        <v>-138</v>
      </c>
      <c r="AE26" s="512" t="n">
        <v>-138</v>
      </c>
      <c r="AF26" s="512" t="n">
        <v>-139</v>
      </c>
      <c r="AG26" s="512" t="n">
        <v>-139</v>
      </c>
      <c r="AH26" s="512" t="n">
        <v>-136</v>
      </c>
      <c r="AI26" s="528">
        <f>AH26</f>
        <v/>
      </c>
      <c r="AJ26" s="528">
        <f>AI26</f>
        <v/>
      </c>
      <c r="AK26" s="528">
        <f>AJ26</f>
        <v/>
      </c>
      <c r="AL26" s="528">
        <f>AK26</f>
        <v/>
      </c>
      <c r="AM26" s="528">
        <f>AL26</f>
        <v/>
      </c>
      <c r="AN26" s="528">
        <f>AM26</f>
        <v/>
      </c>
      <c r="AO26" s="18" t="n"/>
      <c r="AP26" s="555" t="n"/>
      <c r="AQ26" s="18" t="n"/>
      <c r="AR26" s="18" t="n"/>
      <c r="AS26" s="18" t="n"/>
      <c r="AT26" s="18" t="n"/>
      <c r="AU26" s="18" t="n"/>
      <c r="AV26" s="18" t="n"/>
      <c r="AW26" s="18" t="n"/>
    </row>
    <row r="27" customFormat="1" s="556">
      <c r="A27" s="557" t="inlineStr">
        <is>
          <t>Net profits (reported)</t>
        </is>
      </c>
      <c r="B27" s="558">
        <f>B24+B25+B26</f>
        <v/>
      </c>
      <c r="C27" s="558">
        <f>C24+C25+C26</f>
        <v/>
      </c>
      <c r="D27" s="558">
        <f>D24+D25+D26</f>
        <v/>
      </c>
      <c r="E27" s="558">
        <f>E24+E25+E26</f>
        <v/>
      </c>
      <c r="F27" s="558">
        <f>F24+F25+F26</f>
        <v/>
      </c>
      <c r="G27" s="558">
        <f>G24+G25+G26</f>
        <v/>
      </c>
      <c r="H27" s="558">
        <f>H24+H25+H26</f>
        <v/>
      </c>
      <c r="I27" s="558">
        <f>I24+I25+I26</f>
        <v/>
      </c>
      <c r="J27" s="558">
        <f>J24+J25+J26</f>
        <v/>
      </c>
      <c r="K27" s="558">
        <f>K24+K25+K26</f>
        <v/>
      </c>
      <c r="L27" s="558">
        <f>L24+L25+L26</f>
        <v/>
      </c>
      <c r="M27" s="558">
        <f>M24+M25+M26</f>
        <v/>
      </c>
      <c r="N27" s="558">
        <f>N24+N25+N26</f>
        <v/>
      </c>
      <c r="O27" s="558">
        <f>O24+O25+O26</f>
        <v/>
      </c>
      <c r="P27" s="558">
        <f>P24+P25+P26</f>
        <v/>
      </c>
      <c r="Q27" s="558">
        <f>Q24+Q25+Q26</f>
        <v/>
      </c>
      <c r="R27" s="558">
        <f>R24+R25+R26</f>
        <v/>
      </c>
      <c r="S27" s="558">
        <f>S24+S25+S26</f>
        <v/>
      </c>
      <c r="T27" s="558">
        <f>T24+T25+T26</f>
        <v/>
      </c>
      <c r="U27" s="558">
        <f>U24+U25+U26</f>
        <v/>
      </c>
      <c r="V27" s="558">
        <f>V24+V25+V26</f>
        <v/>
      </c>
      <c r="W27" s="558">
        <f>W24+W25+W26</f>
        <v/>
      </c>
      <c r="X27" s="558">
        <f>X24+X25+X26</f>
        <v/>
      </c>
      <c r="Y27" s="558">
        <f>Y24+Y25+Y26</f>
        <v/>
      </c>
      <c r="Z27" s="558">
        <f>Z24+Z25+Z26</f>
        <v/>
      </c>
      <c r="AA27" s="558">
        <f>AA24+AA25+AA26</f>
        <v/>
      </c>
      <c r="AB27" s="558">
        <f>AB24+AB25+AB26</f>
        <v/>
      </c>
      <c r="AC27" s="558">
        <f>AC24+AC25+AC26</f>
        <v/>
      </c>
      <c r="AD27" s="558">
        <f>AD24+AD25+AD26</f>
        <v/>
      </c>
      <c r="AE27" s="558">
        <f>AE24+AE25+AE26</f>
        <v/>
      </c>
      <c r="AF27" s="558">
        <f>AF24+AF25+AF26</f>
        <v/>
      </c>
      <c r="AG27" s="558">
        <f>AG24+AG25+AG26</f>
        <v/>
      </c>
      <c r="AH27" s="558">
        <f>AH24+AH25+AH26</f>
        <v/>
      </c>
      <c r="AI27" s="558">
        <f>AI31+SUM(AI28:AI30)</f>
        <v/>
      </c>
      <c r="AJ27" s="558">
        <f>AJ31+SUM(AJ28:AJ30)</f>
        <v/>
      </c>
      <c r="AK27" s="558">
        <f>AK31+SUM(AK28:AK30)</f>
        <v/>
      </c>
      <c r="AL27" s="558">
        <f>AL31+SUM(AL28:AL30)</f>
        <v/>
      </c>
      <c r="AM27" s="558">
        <f>AM31+SUM(AM28:AM30)</f>
        <v/>
      </c>
      <c r="AN27" s="558">
        <f>AN31+SUM(AN28:AN30)</f>
        <v/>
      </c>
      <c r="AO27" s="18" t="n"/>
      <c r="AP27" s="555" t="n"/>
      <c r="AQ27" s="18" t="n"/>
      <c r="AR27" s="18" t="n"/>
      <c r="AS27" s="18" t="n"/>
      <c r="AT27" s="18" t="n"/>
      <c r="AU27" s="18" t="n"/>
      <c r="AV27" s="18" t="n"/>
      <c r="AW27" s="18" t="n"/>
    </row>
    <row r="28" customFormat="1" s="43">
      <c r="A28" s="43" t="inlineStr">
        <is>
          <t>Disposal or tax consolidation gains</t>
        </is>
      </c>
      <c r="B28" s="526" t="n"/>
      <c r="C28" s="526" t="n"/>
      <c r="D28" s="526" t="n"/>
      <c r="E28" s="526" t="n"/>
      <c r="F28" s="526" t="n"/>
      <c r="G28" s="526" t="n"/>
      <c r="H28" s="526" t="n"/>
      <c r="I28" s="526" t="n"/>
      <c r="J28" s="526" t="n"/>
      <c r="K28" s="526" t="n"/>
      <c r="L28" s="526" t="n"/>
      <c r="M28" s="526" t="n"/>
      <c r="N28" s="526" t="n">
        <v>0</v>
      </c>
      <c r="O28" s="526" t="n">
        <v>2004</v>
      </c>
      <c r="P28" s="526">
        <f>343+888-823+204</f>
        <v/>
      </c>
      <c r="Q28" s="526">
        <f>1030+1146-457-299-126</f>
        <v/>
      </c>
      <c r="R28" s="526">
        <f>432+127-108+225+389-24</f>
        <v/>
      </c>
      <c r="S28" s="526">
        <f>-1-16-346-15+171+153+39-131</f>
        <v/>
      </c>
      <c r="T28" s="526" t="n">
        <v>1345</v>
      </c>
      <c r="U28" s="526" t="n">
        <v>876</v>
      </c>
      <c r="V28" s="526" t="n">
        <v>105</v>
      </c>
      <c r="W28" s="526" t="n">
        <v>600</v>
      </c>
      <c r="X28" s="526">
        <f>1953</f>
        <v/>
      </c>
      <c r="Y28" s="526" t="n">
        <v>6619</v>
      </c>
      <c r="Z28" s="526">
        <f>643-146+83</f>
        <v/>
      </c>
      <c r="AA28" s="526" t="n">
        <v>0</v>
      </c>
      <c r="AB28" s="526" t="n">
        <v>0</v>
      </c>
      <c r="AC28" s="526" t="n">
        <v>0</v>
      </c>
      <c r="AD28" s="526" t="n">
        <v>0</v>
      </c>
      <c r="AE28" s="526" t="n">
        <v>0</v>
      </c>
      <c r="AF28" s="526" t="n">
        <v>0</v>
      </c>
      <c r="AG28" s="526" t="n">
        <v>0</v>
      </c>
      <c r="AH28" s="526" t="n">
        <v>0</v>
      </c>
      <c r="AI28" s="526" t="n">
        <v>0</v>
      </c>
      <c r="AJ28" s="526" t="n">
        <v>0</v>
      </c>
      <c r="AK28" s="526" t="n">
        <v>0</v>
      </c>
      <c r="AL28" s="526" t="n">
        <v>0</v>
      </c>
      <c r="AM28" s="526" t="n">
        <v>0</v>
      </c>
      <c r="AN28" s="526" t="n">
        <v>0</v>
      </c>
      <c r="AO28" s="18" t="n"/>
      <c r="AP28" s="555" t="n"/>
    </row>
    <row r="29" customFormat="1" s="43">
      <c r="A29" s="43" t="inlineStr">
        <is>
          <t>Write-down of investments</t>
        </is>
      </c>
      <c r="B29" s="526" t="n"/>
      <c r="C29" s="526" t="n"/>
      <c r="D29" s="526" t="n"/>
      <c r="E29" s="526" t="n"/>
      <c r="F29" s="526" t="n"/>
      <c r="G29" s="526" t="n"/>
      <c r="H29" s="526" t="n"/>
      <c r="I29" s="526" t="n"/>
      <c r="J29" s="526">
        <f>-130-900</f>
        <v/>
      </c>
      <c r="K29" s="526" t="n"/>
      <c r="L29" s="526" t="n"/>
      <c r="M29" s="526" t="n"/>
      <c r="N29" s="526" t="n">
        <v>0</v>
      </c>
      <c r="O29" s="526" t="n"/>
      <c r="P29" s="526" t="n"/>
      <c r="Q29" s="526" t="n"/>
      <c r="R29" s="526" t="n"/>
      <c r="S29" s="526" t="n"/>
      <c r="T29" s="526" t="n">
        <v>-258</v>
      </c>
      <c r="U29" s="526" t="n">
        <v>-2125</v>
      </c>
      <c r="V29" s="526" t="n">
        <v>-409</v>
      </c>
      <c r="W29" s="526" t="n">
        <v>-372</v>
      </c>
      <c r="X29" s="526" t="n">
        <v>-158</v>
      </c>
      <c r="Y29" s="526" t="n">
        <v>-243</v>
      </c>
      <c r="Z29" s="526" t="n">
        <v>-174</v>
      </c>
      <c r="AA29" s="526" t="n">
        <v>0</v>
      </c>
      <c r="AB29" s="526" t="n">
        <v>0</v>
      </c>
      <c r="AC29" s="526" t="n">
        <v>0</v>
      </c>
      <c r="AD29" s="526" t="n">
        <v>0</v>
      </c>
      <c r="AE29" s="526" t="n">
        <v>0</v>
      </c>
      <c r="AF29" s="526" t="n">
        <v>0</v>
      </c>
      <c r="AG29" s="526" t="n">
        <v>0</v>
      </c>
      <c r="AH29" s="526" t="n">
        <v>0</v>
      </c>
      <c r="AI29" s="526" t="n">
        <v>0</v>
      </c>
      <c r="AJ29" s="526" t="n">
        <v>0</v>
      </c>
      <c r="AK29" s="526" t="n">
        <v>0</v>
      </c>
      <c r="AL29" s="526" t="n">
        <v>0</v>
      </c>
      <c r="AM29" s="526" t="n">
        <v>0</v>
      </c>
      <c r="AN29" s="526" t="n">
        <v>0</v>
      </c>
      <c r="AO29" s="18" t="n"/>
      <c r="AP29" s="555" t="n"/>
    </row>
    <row r="30" customFormat="1" s="43">
      <c r="A30" s="43" t="inlineStr">
        <is>
          <t>Other one-offs</t>
        </is>
      </c>
      <c r="B30" s="526" t="n"/>
      <c r="C30" s="526" t="n"/>
      <c r="D30" s="526" t="n">
        <v>0</v>
      </c>
      <c r="E30" s="526" t="n">
        <v>1286</v>
      </c>
      <c r="F30" s="526" t="n"/>
      <c r="G30" s="526" t="n"/>
      <c r="H30" s="526">
        <f>2729.05205003452-1186</f>
        <v/>
      </c>
      <c r="I30" s="526">
        <f>521.84-2</f>
        <v/>
      </c>
      <c r="J30" s="526" t="n">
        <v>1132</v>
      </c>
      <c r="K30" s="526" t="n">
        <v>1468</v>
      </c>
      <c r="L30" s="526" t="n">
        <v>546</v>
      </c>
      <c r="M30" s="526" t="n">
        <v>240</v>
      </c>
      <c r="N30" s="526" t="n">
        <v>373</v>
      </c>
      <c r="O30" s="526" t="n">
        <v>267</v>
      </c>
      <c r="P30" s="526" t="n">
        <v>44</v>
      </c>
      <c r="Q30" s="526" t="n"/>
      <c r="R30" s="526" t="n"/>
      <c r="S30" s="526" t="n"/>
      <c r="T30" s="526" t="n">
        <v>-19</v>
      </c>
      <c r="U30" s="526" t="n">
        <v>225</v>
      </c>
      <c r="V30" s="526" t="n">
        <v>-790</v>
      </c>
      <c r="W30" s="526" t="n">
        <v>-3475</v>
      </c>
      <c r="X30" s="526" t="n">
        <v>-636</v>
      </c>
      <c r="Y30" s="526" t="n">
        <v>-2239</v>
      </c>
      <c r="Z30" s="526">
        <f>377-Z28-Z29</f>
        <v/>
      </c>
      <c r="AA30" s="526">
        <f>369+573-AA29-AA28</f>
        <v/>
      </c>
      <c r="AB30" s="526">
        <f>18-450-AB29-AB28</f>
        <v/>
      </c>
      <c r="AC30" s="526">
        <f>-6381-83-AC29-AC28</f>
        <v/>
      </c>
      <c r="AD30" s="526">
        <f>-121-AD29-AD28</f>
        <v/>
      </c>
      <c r="AE30" s="526">
        <f>-1026-AE29-AE28</f>
        <v/>
      </c>
      <c r="AF30" s="526">
        <f>-3699-AF29-AF28</f>
        <v/>
      </c>
      <c r="AG30" s="526">
        <f>-5597-AG29-AG28</f>
        <v/>
      </c>
      <c r="AH30" s="526">
        <f>94-AH29-AH28</f>
        <v/>
      </c>
      <c r="AI30" s="564" t="n">
        <v>0</v>
      </c>
      <c r="AJ30" s="564" t="n">
        <v>0</v>
      </c>
      <c r="AK30" s="564" t="n">
        <v>0</v>
      </c>
      <c r="AL30" s="564" t="n">
        <v>0</v>
      </c>
      <c r="AM30" s="564" t="n">
        <v>0</v>
      </c>
      <c r="AN30" s="564" t="n">
        <v>0</v>
      </c>
      <c r="AO30" s="18" t="n"/>
      <c r="AP30" s="555" t="n"/>
    </row>
    <row r="31" customFormat="1" s="554">
      <c r="A31" s="557" t="inlineStr">
        <is>
          <t>Net profits (recurring)</t>
        </is>
      </c>
      <c r="B31" s="558">
        <f>B27-SUM(B28:B30)</f>
        <v/>
      </c>
      <c r="C31" s="558">
        <f>C27-SUM(C28:C30)</f>
        <v/>
      </c>
      <c r="D31" s="558">
        <f>D27-SUM(D28:D30)</f>
        <v/>
      </c>
      <c r="E31" s="558">
        <f>E27-SUM(E28:E30)</f>
        <v/>
      </c>
      <c r="F31" s="558">
        <f>F27-SUM(F28:F30)</f>
        <v/>
      </c>
      <c r="G31" s="558">
        <f>G27-SUM(G28:G30)</f>
        <v/>
      </c>
      <c r="H31" s="558">
        <f>H27-SUM(H28:H30)</f>
        <v/>
      </c>
      <c r="I31" s="558">
        <f>I27-SUM(I28:I30)</f>
        <v/>
      </c>
      <c r="J31" s="558">
        <f>J27-SUM(J28:J30)</f>
        <v/>
      </c>
      <c r="K31" s="558">
        <f>K27-SUM(K28:K30)</f>
        <v/>
      </c>
      <c r="L31" s="558">
        <f>L27-SUM(L28:L30)</f>
        <v/>
      </c>
      <c r="M31" s="558">
        <f>M27-SUM(M28:M30)</f>
        <v/>
      </c>
      <c r="N31" s="558">
        <f>N27-SUM(N28:N30)</f>
        <v/>
      </c>
      <c r="O31" s="558">
        <f>O27-SUM(O28:O30)</f>
        <v/>
      </c>
      <c r="P31" s="558">
        <f>P27-SUM(P28:P30)</f>
        <v/>
      </c>
      <c r="Q31" s="558">
        <f>Q27-SUM(Q28:Q30)</f>
        <v/>
      </c>
      <c r="R31" s="558">
        <f>R27-SUM(R28:R30)</f>
        <v/>
      </c>
      <c r="S31" s="558">
        <f>S27-SUM(S28:S30)</f>
        <v/>
      </c>
      <c r="T31" s="558">
        <f>T27-SUM(T28:T30)</f>
        <v/>
      </c>
      <c r="U31" s="558">
        <f>U27-SUM(U28:U30)</f>
        <v/>
      </c>
      <c r="V31" s="558">
        <f>V27-SUM(V28:V30)</f>
        <v/>
      </c>
      <c r="W31" s="558">
        <f>W27-SUM(W28:W30)</f>
        <v/>
      </c>
      <c r="X31" s="558">
        <f>X27-SUM(X28:X30)</f>
        <v/>
      </c>
      <c r="Y31" s="558">
        <f>Y27-SUM(Y28:Y30)</f>
        <v/>
      </c>
      <c r="Z31" s="558">
        <f>Z27-SUM(Z28:Z30)</f>
        <v/>
      </c>
      <c r="AA31" s="558">
        <f>AA27-SUM(AA28:AA30)</f>
        <v/>
      </c>
      <c r="AB31" s="558">
        <f>AB27-SUM(AB28:AB30)</f>
        <v/>
      </c>
      <c r="AC31" s="558">
        <f>AC27-SUM(AC28:AC30)</f>
        <v/>
      </c>
      <c r="AD31" s="558">
        <f>AD27-SUM(AD28:AD30)</f>
        <v/>
      </c>
      <c r="AE31" s="558">
        <f>AE27-SUM(AE28:AE30)</f>
        <v/>
      </c>
      <c r="AF31" s="558">
        <f>AF27-SUM(AF28:AF30)</f>
        <v/>
      </c>
      <c r="AG31" s="558">
        <f>AG27-SUM(AG28:AG30)</f>
        <v/>
      </c>
      <c r="AH31" s="558">
        <f>AH27-SUM(AH28:AH30)</f>
        <v/>
      </c>
      <c r="AI31" s="559">
        <f>Driver!AI58</f>
        <v/>
      </c>
      <c r="AJ31" s="559">
        <f>Driver!AJ58</f>
        <v/>
      </c>
      <c r="AK31" s="559">
        <f>Driver!AK58</f>
        <v/>
      </c>
      <c r="AL31" s="559">
        <f>Driver!AL58</f>
        <v/>
      </c>
      <c r="AM31" s="559">
        <f>Driver!AM58</f>
        <v/>
      </c>
      <c r="AN31" s="559">
        <f>Driver!AN58</f>
        <v/>
      </c>
      <c r="AO31" s="18" t="n"/>
      <c r="AP31" s="555" t="n"/>
      <c r="AQ31" s="18" t="n"/>
      <c r="AR31" s="18" t="n"/>
      <c r="AS31" s="18" t="n"/>
      <c r="AT31" s="18" t="n"/>
      <c r="AU31" s="18" t="n"/>
      <c r="AV31" s="18" t="n"/>
      <c r="AW31" s="18" t="n"/>
    </row>
    <row r="32" customFormat="1" s="565">
      <c r="A32" s="566" t="inlineStr">
        <is>
          <t>YoY</t>
        </is>
      </c>
      <c r="B32" s="512" t="n"/>
      <c r="C32" s="72">
        <f>C31/B31-1</f>
        <v/>
      </c>
      <c r="D32" s="72">
        <f>D31/C31-1</f>
        <v/>
      </c>
      <c r="E32" s="72">
        <f>E31/D31-1</f>
        <v/>
      </c>
      <c r="F32" s="72">
        <f>F31/E31-1</f>
        <v/>
      </c>
      <c r="G32" s="72">
        <f>G31/F31-1</f>
        <v/>
      </c>
      <c r="H32" s="72">
        <f>H31/G31-1</f>
        <v/>
      </c>
      <c r="I32" s="72">
        <f>I31/H31-1</f>
        <v/>
      </c>
      <c r="J32" s="72">
        <f>J31/I31-1</f>
        <v/>
      </c>
      <c r="K32" s="72">
        <f>K31/J31-1</f>
        <v/>
      </c>
      <c r="L32" s="72">
        <f>L31/K31-1</f>
        <v/>
      </c>
      <c r="M32" s="72">
        <f>M31/L31-1</f>
        <v/>
      </c>
      <c r="N32" s="72">
        <f>N31/M31-1</f>
        <v/>
      </c>
      <c r="O32" s="72">
        <f>O31/N31-1</f>
        <v/>
      </c>
      <c r="P32" s="72">
        <f>P31/O31-1</f>
        <v/>
      </c>
      <c r="Q32" s="72">
        <f>Q31/P31-1</f>
        <v/>
      </c>
      <c r="R32" s="72">
        <f>R31/Q31-1</f>
        <v/>
      </c>
      <c r="S32" s="72">
        <f>S31/R31-1</f>
        <v/>
      </c>
      <c r="T32" s="72">
        <f>T31/S31-1</f>
        <v/>
      </c>
      <c r="U32" s="72">
        <f>U31/T31-1</f>
        <v/>
      </c>
      <c r="V32" s="72">
        <f>V31/U31-1</f>
        <v/>
      </c>
      <c r="W32" s="72">
        <f>W31/V31-1</f>
        <v/>
      </c>
      <c r="X32" s="72">
        <f>X31/W31-1</f>
        <v/>
      </c>
      <c r="Y32" s="72">
        <f>Y31/X31-1</f>
        <v/>
      </c>
      <c r="Z32" s="72">
        <f>Z31/Y31-1</f>
        <v/>
      </c>
      <c r="AA32" s="72">
        <f>AA31/Z31-1</f>
        <v/>
      </c>
      <c r="AB32" s="72">
        <f>AB31/AA31-1</f>
        <v/>
      </c>
      <c r="AC32" s="72">
        <f>AC31/AB31-1</f>
        <v/>
      </c>
      <c r="AD32" s="72">
        <f>AD31/AC31-1</f>
        <v/>
      </c>
      <c r="AE32" s="72">
        <f>AE31/AD31-1</f>
        <v/>
      </c>
      <c r="AF32" s="72">
        <f>AF31/AE31-1</f>
        <v/>
      </c>
      <c r="AG32" s="72">
        <f>AG31/AF31-1</f>
        <v/>
      </c>
      <c r="AH32" s="72">
        <f>AH31/AG31-1</f>
        <v/>
      </c>
      <c r="AI32" s="72">
        <f>AI31/AH31-1</f>
        <v/>
      </c>
      <c r="AJ32" s="72">
        <f>AJ31/AI31-1</f>
        <v/>
      </c>
      <c r="AK32" s="72">
        <f>AK31/AJ31-1</f>
        <v/>
      </c>
      <c r="AL32" s="72">
        <f>AL31/AK31-1</f>
        <v/>
      </c>
      <c r="AM32" s="72">
        <f>AM31/AL31-1</f>
        <v/>
      </c>
      <c r="AN32" s="72">
        <f>AN31/AM31-1</f>
        <v/>
      </c>
      <c r="AO32" s="18" t="n"/>
      <c r="AP32" s="555" t="n"/>
      <c r="AQ32" s="18" t="n"/>
      <c r="AR32" s="18" t="n"/>
      <c r="AS32" s="18" t="n"/>
      <c r="AT32" s="18" t="n"/>
      <c r="AU32" s="18" t="n"/>
      <c r="AV32" s="18" t="n"/>
      <c r="AW32" s="18" t="n"/>
    </row>
    <row r="33" customFormat="1" s="554">
      <c r="B33" s="567" t="n"/>
      <c r="C33" s="567" t="n"/>
      <c r="D33" s="567" t="n"/>
      <c r="E33" s="567" t="n"/>
      <c r="F33" s="567" t="n"/>
      <c r="G33" s="567" t="n"/>
      <c r="H33" s="567" t="n"/>
      <c r="I33" s="567" t="n"/>
      <c r="J33" s="567" t="n"/>
      <c r="K33" s="567" t="n"/>
      <c r="L33" s="567" t="n"/>
      <c r="M33" s="567" t="n"/>
      <c r="N33" s="567" t="n"/>
      <c r="O33" s="567" t="n"/>
      <c r="P33" s="567" t="n"/>
      <c r="Q33" s="567" t="n"/>
      <c r="R33" s="567" t="n"/>
      <c r="S33" s="567" t="n"/>
      <c r="T33" s="567" t="n"/>
      <c r="U33" s="567" t="n"/>
      <c r="V33" s="567" t="n"/>
      <c r="W33" s="567" t="n"/>
      <c r="X33" s="567" t="n"/>
      <c r="Y33" s="567" t="n"/>
      <c r="Z33" s="512" t="n"/>
      <c r="AA33" s="446">
        <f>5914/AA31</f>
        <v/>
      </c>
      <c r="AB33" s="446">
        <f>7886/AB31</f>
        <v/>
      </c>
      <c r="AC33" s="568">
        <f>5474/AC31</f>
        <v/>
      </c>
      <c r="AD33" s="567" t="n"/>
      <c r="AE33" s="567" t="n"/>
      <c r="AF33" s="567" t="n"/>
      <c r="AG33" s="567" t="n"/>
      <c r="AH33" s="567" t="n"/>
      <c r="AI33" s="567" t="n"/>
      <c r="AJ33" s="567" t="n"/>
      <c r="AK33" s="567" t="n"/>
      <c r="AL33" s="567" t="n"/>
      <c r="AM33" s="567" t="n"/>
      <c r="AN33" s="567" t="n"/>
      <c r="AO33" s="18" t="n"/>
      <c r="AP33" s="555" t="n"/>
      <c r="AQ33" s="18" t="n"/>
      <c r="AR33" s="18" t="n"/>
      <c r="AS33" s="18" t="n"/>
      <c r="AT33" s="18" t="n"/>
      <c r="AU33" s="18" t="n"/>
      <c r="AV33" s="18" t="n"/>
      <c r="AW33" s="18" t="n"/>
    </row>
    <row r="34" customFormat="1" s="556">
      <c r="A34" s="569" t="inlineStr">
        <is>
          <t>EPS (recurring)</t>
        </is>
      </c>
      <c r="B34" s="570">
        <f>B31/B53</f>
        <v/>
      </c>
      <c r="C34" s="570">
        <f>C31/C53</f>
        <v/>
      </c>
      <c r="D34" s="570">
        <f>D31/D53</f>
        <v/>
      </c>
      <c r="E34" s="570">
        <f>E31/E53</f>
        <v/>
      </c>
      <c r="F34" s="570">
        <f>F31/F53</f>
        <v/>
      </c>
      <c r="G34" s="570">
        <f>G31/G53</f>
        <v/>
      </c>
      <c r="H34" s="570">
        <f>H31/H53</f>
        <v/>
      </c>
      <c r="I34" s="570">
        <f>I31/I53</f>
        <v/>
      </c>
      <c r="J34" s="570">
        <f>J31/J53</f>
        <v/>
      </c>
      <c r="K34" s="570">
        <f>K31/K51</f>
        <v/>
      </c>
      <c r="L34" s="570">
        <f>L31/L51</f>
        <v/>
      </c>
      <c r="M34" s="570">
        <f>M31/M51</f>
        <v/>
      </c>
      <c r="N34" s="570">
        <f>N31/N51</f>
        <v/>
      </c>
      <c r="O34" s="570">
        <f>O31/O51</f>
        <v/>
      </c>
      <c r="P34" s="570">
        <f>P31/P51</f>
        <v/>
      </c>
      <c r="Q34" s="570">
        <f>Q31/Q51</f>
        <v/>
      </c>
      <c r="R34" s="570">
        <f>R31/R51</f>
        <v/>
      </c>
      <c r="S34" s="570">
        <f>S31/S51</f>
        <v/>
      </c>
      <c r="T34" s="570">
        <f>T31/T51</f>
        <v/>
      </c>
      <c r="U34" s="570">
        <f>U31/U51</f>
        <v/>
      </c>
      <c r="V34" s="570">
        <f>V31/V51</f>
        <v/>
      </c>
      <c r="W34" s="570">
        <f>W31/W51</f>
        <v/>
      </c>
      <c r="X34" s="570">
        <f>X31/X51</f>
        <v/>
      </c>
      <c r="Y34" s="570">
        <f>Y31/Y51</f>
        <v/>
      </c>
      <c r="Z34" s="570">
        <f>Z31/Z51</f>
        <v/>
      </c>
      <c r="AA34" s="570">
        <f>AA31/AA51</f>
        <v/>
      </c>
      <c r="AB34" s="570">
        <f>AB31/AB51</f>
        <v/>
      </c>
      <c r="AC34" s="570">
        <f>AC31/AC51</f>
        <v/>
      </c>
      <c r="AD34" s="570">
        <f>AD31/AD51</f>
        <v/>
      </c>
      <c r="AE34" s="570">
        <f>AE31/AE51</f>
        <v/>
      </c>
      <c r="AF34" s="570">
        <f>AF31/AF51</f>
        <v/>
      </c>
      <c r="AG34" s="570">
        <f>AG31/AG51</f>
        <v/>
      </c>
      <c r="AH34" s="570">
        <f>AH31/AH51</f>
        <v/>
      </c>
      <c r="AI34" s="570">
        <f>AI31/AI51</f>
        <v/>
      </c>
      <c r="AJ34" s="570">
        <f>AJ31/AJ51</f>
        <v/>
      </c>
      <c r="AK34" s="570">
        <f>AK31/AK51</f>
        <v/>
      </c>
      <c r="AL34" s="570">
        <f>AL31/AL51</f>
        <v/>
      </c>
      <c r="AM34" s="570">
        <f>AM31/AM51</f>
        <v/>
      </c>
      <c r="AN34" s="570">
        <f>AN31/AN51</f>
        <v/>
      </c>
      <c r="AO34" s="18" t="n"/>
      <c r="AP34" s="555" t="n"/>
      <c r="AQ34" s="18" t="n"/>
      <c r="AR34" s="18" t="n"/>
      <c r="AS34" s="18" t="n"/>
      <c r="AT34" s="18" t="n"/>
      <c r="AU34" s="18" t="n"/>
      <c r="AV34" s="18" t="n"/>
      <c r="AW34" s="18" t="n"/>
    </row>
    <row r="35" customFormat="1" s="137">
      <c r="A35" s="220" t="inlineStr">
        <is>
          <t>EPS (reported)</t>
        </is>
      </c>
      <c r="B35" s="571">
        <f>B27/B53</f>
        <v/>
      </c>
      <c r="C35" s="571">
        <f>C27/C53</f>
        <v/>
      </c>
      <c r="D35" s="571">
        <f>D27/D53</f>
        <v/>
      </c>
      <c r="E35" s="571">
        <f>E27/E53</f>
        <v/>
      </c>
      <c r="F35" s="571">
        <f>F27/F53</f>
        <v/>
      </c>
      <c r="G35" s="571">
        <f>G27/G53</f>
        <v/>
      </c>
      <c r="H35" s="571">
        <f>H27/H53</f>
        <v/>
      </c>
      <c r="I35" s="571">
        <f>I27/I53</f>
        <v/>
      </c>
      <c r="J35" s="571">
        <f>J27/J53</f>
        <v/>
      </c>
      <c r="K35" s="571">
        <f>K27/K51</f>
        <v/>
      </c>
      <c r="L35" s="571">
        <f>L27/L51</f>
        <v/>
      </c>
      <c r="M35" s="571">
        <f>M27/M51</f>
        <v/>
      </c>
      <c r="N35" s="571">
        <f>N27/N51</f>
        <v/>
      </c>
      <c r="O35" s="571">
        <f>O27/O51</f>
        <v/>
      </c>
      <c r="P35" s="571">
        <f>P27/P51</f>
        <v/>
      </c>
      <c r="Q35" s="571">
        <f>Q27/Q51</f>
        <v/>
      </c>
      <c r="R35" s="571">
        <f>R27/R51</f>
        <v/>
      </c>
      <c r="S35" s="571">
        <f>S27/S51</f>
        <v/>
      </c>
      <c r="T35" s="571">
        <f>T27/T51</f>
        <v/>
      </c>
      <c r="U35" s="571">
        <f>U27/U51</f>
        <v/>
      </c>
      <c r="V35" s="571">
        <f>V27/V51</f>
        <v/>
      </c>
      <c r="W35" s="571">
        <f>W27/W51</f>
        <v/>
      </c>
      <c r="X35" s="571">
        <f>X27/X51</f>
        <v/>
      </c>
      <c r="Y35" s="571">
        <f>Y27/Y51</f>
        <v/>
      </c>
      <c r="Z35" s="571">
        <f>Z27/Z51</f>
        <v/>
      </c>
      <c r="AA35" s="571">
        <f>AA27/AA51</f>
        <v/>
      </c>
      <c r="AB35" s="571">
        <f>AB27/AB51</f>
        <v/>
      </c>
      <c r="AC35" s="571">
        <f>AC27/AC51</f>
        <v/>
      </c>
      <c r="AD35" s="571">
        <f>AD27/AD51</f>
        <v/>
      </c>
      <c r="AE35" s="571">
        <f>AE27/AE51</f>
        <v/>
      </c>
      <c r="AF35" s="571">
        <f>AF27/AF51</f>
        <v/>
      </c>
      <c r="AG35" s="571">
        <f>AG27/AG51</f>
        <v/>
      </c>
      <c r="AH35" s="571">
        <f>AH27/AH51</f>
        <v/>
      </c>
      <c r="AI35" s="571">
        <f>AI27/AI51</f>
        <v/>
      </c>
      <c r="AJ35" s="571">
        <f>AJ27/AJ51</f>
        <v/>
      </c>
      <c r="AK35" s="571">
        <f>AK27/AK51</f>
        <v/>
      </c>
      <c r="AL35" s="571">
        <f>AL27/AL51</f>
        <v/>
      </c>
      <c r="AM35" s="571">
        <f>AM27/AM51</f>
        <v/>
      </c>
      <c r="AN35" s="571">
        <f>AN27/AN51</f>
        <v/>
      </c>
      <c r="AO35" s="18" t="n"/>
      <c r="AP35" s="555" t="n"/>
      <c r="AQ35" s="18" t="n"/>
      <c r="AR35" s="18" t="n"/>
      <c r="AS35" s="18" t="n"/>
      <c r="AT35" s="18" t="n"/>
      <c r="AU35" s="18" t="n"/>
      <c r="AV35" s="18" t="n"/>
      <c r="AW35" s="18" t="n"/>
    </row>
    <row r="36" customFormat="1" s="572">
      <c r="A36" s="573" t="n"/>
      <c r="B36" s="574" t="n"/>
      <c r="C36" s="574" t="n"/>
      <c r="D36" s="574" t="n"/>
      <c r="E36" s="574" t="n"/>
      <c r="F36" s="574" t="n"/>
      <c r="G36" s="574" t="n"/>
      <c r="H36" s="574" t="n"/>
      <c r="I36" s="574" t="n"/>
      <c r="J36" s="567" t="n"/>
      <c r="K36" s="574" t="n"/>
      <c r="L36" s="574" t="n"/>
      <c r="M36" s="574" t="n"/>
      <c r="N36" s="574" t="n"/>
      <c r="O36" s="574" t="n"/>
      <c r="P36" s="574" t="n"/>
      <c r="Q36" s="574" t="n"/>
      <c r="R36" s="574" t="n"/>
      <c r="S36" s="574" t="n"/>
      <c r="T36" s="574" t="n"/>
      <c r="U36" s="574" t="n"/>
      <c r="V36" s="574" t="n"/>
      <c r="W36" s="567" t="n"/>
      <c r="X36" s="567" t="n"/>
      <c r="Y36" s="574" t="n"/>
      <c r="Z36" s="73" t="n"/>
      <c r="AA36" s="73" t="n"/>
      <c r="AB36" s="73" t="n"/>
      <c r="AC36" s="73" t="n"/>
      <c r="AD36" s="73" t="n"/>
      <c r="AE36" s="73" t="n"/>
      <c r="AF36" s="73" t="n"/>
      <c r="AG36" s="73" t="n"/>
      <c r="AH36" s="73" t="n"/>
      <c r="AI36" s="73" t="n"/>
      <c r="AJ36" s="73" t="n"/>
      <c r="AK36" s="73" t="n"/>
      <c r="AL36" s="73" t="n"/>
      <c r="AM36" s="73" t="n"/>
      <c r="AN36" s="73" t="n"/>
      <c r="AO36" s="18" t="n"/>
      <c r="AP36" s="555" t="n"/>
      <c r="AQ36" s="18" t="n"/>
      <c r="AR36" s="18" t="n"/>
      <c r="AS36" s="18" t="n"/>
      <c r="AT36" s="18" t="n"/>
      <c r="AU36" s="18" t="n"/>
      <c r="AV36" s="18" t="n"/>
      <c r="AW36" s="18" t="n"/>
    </row>
    <row r="37" customFormat="1" s="572">
      <c r="A37" s="575" t="inlineStr">
        <is>
          <t>Dividend</t>
        </is>
      </c>
      <c r="B37" s="574" t="n"/>
      <c r="C37" s="574" t="n"/>
      <c r="D37" s="574" t="n"/>
      <c r="E37" s="574" t="n"/>
      <c r="F37" s="574" t="n"/>
      <c r="G37" s="574" t="n"/>
      <c r="H37" s="574" t="n"/>
      <c r="I37" s="574" t="n"/>
      <c r="J37" s="567" t="n"/>
      <c r="K37" s="574" t="n"/>
      <c r="L37" s="574" t="n"/>
      <c r="M37" s="574" t="n"/>
      <c r="N37" s="574" t="n"/>
      <c r="O37" s="574" t="n"/>
      <c r="P37" s="574" t="n"/>
      <c r="Q37" s="574" t="n"/>
      <c r="R37" s="574" t="n"/>
      <c r="S37" s="574" t="n"/>
      <c r="T37" s="574" t="n"/>
      <c r="U37" s="574" t="n"/>
      <c r="V37" s="574" t="n"/>
      <c r="W37" s="567" t="n"/>
      <c r="X37" s="567" t="n"/>
      <c r="Y37" s="574" t="n"/>
      <c r="Z37" s="73" t="n"/>
      <c r="AA37" s="73" t="n"/>
      <c r="AB37" s="73" t="n"/>
      <c r="AC37" s="73" t="n"/>
      <c r="AD37" s="73" t="n"/>
      <c r="AE37" s="73" t="n"/>
      <c r="AF37" s="73" t="n"/>
      <c r="AG37" s="73" t="n"/>
      <c r="AH37" s="73" t="n"/>
      <c r="AI37" s="73" t="n"/>
      <c r="AJ37" s="73" t="n"/>
      <c r="AK37" s="73" t="n"/>
      <c r="AL37" s="73" t="n"/>
      <c r="AM37" s="73" t="n"/>
      <c r="AN37" s="73" t="n"/>
      <c r="AO37" s="18" t="n"/>
      <c r="AP37" s="555" t="n"/>
      <c r="AQ37" s="18" t="n"/>
      <c r="AR37" s="18" t="n"/>
      <c r="AS37" s="18" t="n"/>
      <c r="AT37" s="18" t="n"/>
      <c r="AU37" s="18" t="n"/>
      <c r="AV37" s="18" t="n"/>
      <c r="AW37" s="18" t="n"/>
    </row>
    <row r="38" customFormat="1" s="565">
      <c r="A38" s="49" t="inlineStr">
        <is>
          <t>Interim ordinary dividend</t>
        </is>
      </c>
      <c r="B38" s="512" t="n">
        <v>1095</v>
      </c>
      <c r="C38" s="512" t="n">
        <v>1294</v>
      </c>
      <c r="D38" s="512" t="n">
        <v>1553</v>
      </c>
      <c r="E38" s="512" t="n">
        <v>1792</v>
      </c>
      <c r="F38" s="512" t="n">
        <v>1911</v>
      </c>
      <c r="G38" s="512" t="n">
        <v>2369</v>
      </c>
      <c r="H38" s="512" t="n">
        <v>2673</v>
      </c>
      <c r="I38" s="512" t="n">
        <v>3582</v>
      </c>
      <c r="J38" s="512" t="n">
        <v>2497</v>
      </c>
      <c r="K38" s="512" t="n">
        <v>2605</v>
      </c>
      <c r="L38" s="512" t="n">
        <v>2746</v>
      </c>
      <c r="M38" s="512" t="n">
        <v>2962</v>
      </c>
      <c r="N38" s="512" t="n">
        <v>3251</v>
      </c>
      <c r="O38" s="512" t="n">
        <v>3468</v>
      </c>
      <c r="P38" s="512" t="n">
        <v>3612</v>
      </c>
      <c r="Q38" s="512" t="n">
        <v>3757</v>
      </c>
      <c r="R38" s="512" t="n">
        <v>3757</v>
      </c>
      <c r="S38" s="512" t="n">
        <v>3753</v>
      </c>
      <c r="T38" s="512">
        <f>1251*3</f>
        <v/>
      </c>
      <c r="U38" s="512" t="n">
        <v>3753</v>
      </c>
      <c r="V38" s="512" t="n">
        <v>3825</v>
      </c>
      <c r="W38" s="512" t="n">
        <v>4017</v>
      </c>
      <c r="X38" s="512" t="n">
        <v>4093</v>
      </c>
      <c r="Y38" s="512" t="n">
        <v>4169</v>
      </c>
      <c r="Z38" s="512" t="n">
        <v>4320</v>
      </c>
      <c r="AA38" s="512" t="n">
        <v>4472</v>
      </c>
      <c r="AB38" s="512" t="n">
        <v>4623</v>
      </c>
      <c r="AC38" s="512" t="n">
        <v>4775</v>
      </c>
      <c r="AD38" s="512" t="n">
        <v>4775</v>
      </c>
      <c r="AE38" s="512" t="n">
        <v>4775</v>
      </c>
      <c r="AF38" s="512" t="n">
        <v>4775</v>
      </c>
      <c r="AG38" s="512" t="n">
        <v>4775</v>
      </c>
      <c r="AH38" s="512" t="n">
        <v>4775</v>
      </c>
      <c r="AI38" s="528">
        <f>AH38/AH41*AI41</f>
        <v/>
      </c>
      <c r="AJ38" s="528">
        <f>AI38/AI41*AJ41</f>
        <v/>
      </c>
      <c r="AK38" s="528">
        <f>AJ38/AJ41*AK41</f>
        <v/>
      </c>
      <c r="AL38" s="528">
        <f>AK38/AK41*AL41</f>
        <v/>
      </c>
      <c r="AM38" s="528">
        <f>AL38/AL41*AM41</f>
        <v/>
      </c>
      <c r="AN38" s="528">
        <f>AM38/AM41*AN41</f>
        <v/>
      </c>
      <c r="AO38" s="18" t="n"/>
      <c r="AP38" s="555" t="n"/>
      <c r="AQ38" s="18" t="n"/>
      <c r="AR38" s="18" t="n"/>
      <c r="AS38" s="18" t="n"/>
      <c r="AT38" s="18" t="n"/>
      <c r="AU38" s="18" t="n"/>
      <c r="AV38" s="18" t="n"/>
      <c r="AW38" s="18" t="n"/>
    </row>
    <row r="39" customFormat="1" s="565">
      <c r="A39" s="49" t="inlineStr">
        <is>
          <t>Final ordinary dividend</t>
        </is>
      </c>
      <c r="B39" s="512" t="n">
        <v>630</v>
      </c>
      <c r="C39" s="512" t="n">
        <v>697</v>
      </c>
      <c r="D39" s="512" t="n">
        <v>736</v>
      </c>
      <c r="E39" s="512" t="n">
        <v>736</v>
      </c>
      <c r="F39" s="512" t="n">
        <v>876</v>
      </c>
      <c r="G39" s="512" t="n">
        <v>1145</v>
      </c>
      <c r="H39" s="512" t="n">
        <v>1175</v>
      </c>
      <c r="I39" s="512" t="n">
        <v>1041</v>
      </c>
      <c r="J39" s="512" t="n">
        <v>1040</v>
      </c>
      <c r="K39" s="512" t="n">
        <v>1059</v>
      </c>
      <c r="L39" s="512" t="n">
        <v>1228</v>
      </c>
      <c r="M39" s="512" t="n">
        <v>1565</v>
      </c>
      <c r="N39" s="512" t="n">
        <v>1758</v>
      </c>
      <c r="O39" s="512" t="n">
        <v>1999</v>
      </c>
      <c r="P39" s="512" t="n">
        <v>2144</v>
      </c>
      <c r="Q39" s="512" t="n">
        <v>2216</v>
      </c>
      <c r="R39" s="512" t="n">
        <v>2214</v>
      </c>
      <c r="S39" s="512" t="n">
        <v>2214</v>
      </c>
      <c r="T39" s="512" t="n">
        <v>2214</v>
      </c>
      <c r="U39" s="512" t="n">
        <v>2310</v>
      </c>
      <c r="V39" s="512" t="n">
        <v>2476</v>
      </c>
      <c r="W39" s="512" t="n">
        <v>2476</v>
      </c>
      <c r="X39" s="512" t="n">
        <v>2526</v>
      </c>
      <c r="Y39" s="512" t="n">
        <v>2653</v>
      </c>
      <c r="Z39" s="512" t="n">
        <v>2754</v>
      </c>
      <c r="AA39" s="512" t="n">
        <v>2880</v>
      </c>
      <c r="AB39" s="512" t="n">
        <v>3007</v>
      </c>
      <c r="AC39" s="512" t="n">
        <v>3007</v>
      </c>
      <c r="AD39" s="512" t="n">
        <v>3057</v>
      </c>
      <c r="AE39" s="512" t="n">
        <v>3057</v>
      </c>
      <c r="AF39" s="512" t="n">
        <v>3057</v>
      </c>
      <c r="AG39" s="512" t="n">
        <v>3057</v>
      </c>
      <c r="AH39" s="512" t="n">
        <v>3183</v>
      </c>
      <c r="AI39" s="528">
        <f>AI41-AI38</f>
        <v/>
      </c>
      <c r="AJ39" s="528">
        <f>AJ41-AJ38</f>
        <v/>
      </c>
      <c r="AK39" s="528">
        <f>AK41-AK38</f>
        <v/>
      </c>
      <c r="AL39" s="528">
        <f>AL41-AL38</f>
        <v/>
      </c>
      <c r="AM39" s="528">
        <f>AM41-AM38</f>
        <v/>
      </c>
      <c r="AN39" s="528">
        <f>AN41-AN38</f>
        <v/>
      </c>
      <c r="AO39" s="18" t="n"/>
      <c r="AP39" s="555" t="n"/>
      <c r="AQ39" s="18" t="n"/>
      <c r="AR39" s="18" t="n"/>
      <c r="AS39" s="18" t="n"/>
      <c r="AT39" s="18" t="n"/>
      <c r="AU39" s="18" t="n"/>
      <c r="AV39" s="18" t="n"/>
      <c r="AW39" s="18" t="n"/>
    </row>
    <row r="40" customFormat="1" s="565">
      <c r="A40" s="49" t="inlineStr">
        <is>
          <t>Special dividend</t>
        </is>
      </c>
      <c r="B40" s="512" t="n">
        <v>0</v>
      </c>
      <c r="C40" s="512" t="n">
        <v>0</v>
      </c>
      <c r="D40" s="512" t="n">
        <v>0</v>
      </c>
      <c r="E40" s="512" t="n">
        <v>697</v>
      </c>
      <c r="F40" s="512" t="n">
        <v>0</v>
      </c>
      <c r="G40" s="512" t="n">
        <v>0</v>
      </c>
      <c r="H40" s="512">
        <f>1293+245</f>
        <v/>
      </c>
      <c r="I40" s="512" t="n">
        <v>520</v>
      </c>
      <c r="J40" s="512">
        <f>562+562</f>
        <v/>
      </c>
      <c r="K40" s="512" t="n">
        <v>1469</v>
      </c>
      <c r="L40" s="512" t="n">
        <v>554</v>
      </c>
      <c r="M40" s="512" t="n">
        <v>241</v>
      </c>
      <c r="N40" s="512" t="n">
        <v>361</v>
      </c>
      <c r="O40" s="512" t="n">
        <v>265</v>
      </c>
      <c r="P40" s="512" t="n">
        <v>48</v>
      </c>
      <c r="Q40" s="512" t="n">
        <v>0</v>
      </c>
      <c r="R40" s="512" t="n">
        <v>0</v>
      </c>
      <c r="S40" s="512" t="n">
        <v>0</v>
      </c>
      <c r="T40" s="512" t="n">
        <v>0</v>
      </c>
      <c r="U40" s="512" t="n">
        <v>0</v>
      </c>
      <c r="V40" s="512" t="n">
        <v>0</v>
      </c>
      <c r="W40" s="512" t="n">
        <v>0</v>
      </c>
      <c r="X40" s="512" t="n">
        <v>0</v>
      </c>
      <c r="Y40" s="512" t="n">
        <v>0</v>
      </c>
      <c r="Z40" s="512" t="n">
        <v>0</v>
      </c>
      <c r="AA40" s="512" t="n"/>
      <c r="AB40" s="512" t="n"/>
      <c r="AC40" s="512" t="n"/>
      <c r="AD40" s="512" t="n"/>
      <c r="AE40" s="512" t="n"/>
      <c r="AF40" s="512" t="n"/>
      <c r="AG40" s="512" t="n"/>
      <c r="AH40" s="512" t="n"/>
      <c r="AI40" s="512" t="n"/>
      <c r="AJ40" s="512" t="n"/>
      <c r="AK40" s="512" t="n"/>
      <c r="AL40" s="512" t="n"/>
      <c r="AM40" s="512" t="n"/>
      <c r="AN40" s="512" t="n"/>
      <c r="AO40" s="18" t="n"/>
      <c r="AP40" s="555" t="n"/>
      <c r="AQ40" s="18" t="n"/>
      <c r="AR40" s="18" t="n"/>
      <c r="AS40" s="18" t="n"/>
      <c r="AT40" s="18" t="n"/>
      <c r="AU40" s="18" t="n"/>
      <c r="AV40" s="18" t="n"/>
      <c r="AW40" s="18" t="n"/>
    </row>
    <row r="41" customFormat="1" s="565">
      <c r="A41" s="557" t="inlineStr">
        <is>
          <t>Total dividend</t>
        </is>
      </c>
      <c r="B41" s="558">
        <f>SUM(B38:B40)</f>
        <v/>
      </c>
      <c r="C41" s="558">
        <f>SUM(C38:C40)</f>
        <v/>
      </c>
      <c r="D41" s="558">
        <f>SUM(D38:D40)</f>
        <v/>
      </c>
      <c r="E41" s="558">
        <f>SUM(E38:E40)</f>
        <v/>
      </c>
      <c r="F41" s="558">
        <f>SUM(F38:F40)</f>
        <v/>
      </c>
      <c r="G41" s="558">
        <f>SUM(G38:G40)</f>
        <v/>
      </c>
      <c r="H41" s="558">
        <f>SUM(H38:H40)</f>
        <v/>
      </c>
      <c r="I41" s="558">
        <f>SUM(I38:I40)</f>
        <v/>
      </c>
      <c r="J41" s="558">
        <f>SUM(J38:J40)</f>
        <v/>
      </c>
      <c r="K41" s="558">
        <f>SUM(K38:K40)</f>
        <v/>
      </c>
      <c r="L41" s="558">
        <f>SUM(L38:L40)</f>
        <v/>
      </c>
      <c r="M41" s="558">
        <f>SUM(M38:M40)</f>
        <v/>
      </c>
      <c r="N41" s="558">
        <f>SUM(N38:N40)</f>
        <v/>
      </c>
      <c r="O41" s="558">
        <f>SUM(O38:O40)</f>
        <v/>
      </c>
      <c r="P41" s="558">
        <f>SUM(P38:P40)</f>
        <v/>
      </c>
      <c r="Q41" s="558">
        <f>SUM(Q38:Q40)</f>
        <v/>
      </c>
      <c r="R41" s="558">
        <f>SUM(R38:R40)</f>
        <v/>
      </c>
      <c r="S41" s="558">
        <f>SUM(S38:S40)</f>
        <v/>
      </c>
      <c r="T41" s="558">
        <f>SUM(T38:T40)</f>
        <v/>
      </c>
      <c r="U41" s="558">
        <f>SUM(U38:U40)</f>
        <v/>
      </c>
      <c r="V41" s="558">
        <f>SUM(V38:V40)</f>
        <v/>
      </c>
      <c r="W41" s="558">
        <f>SUM(W38:W40)</f>
        <v/>
      </c>
      <c r="X41" s="558">
        <f>SUM(X38:X40)</f>
        <v/>
      </c>
      <c r="Y41" s="558">
        <f>SUM(Y38:Y40)</f>
        <v/>
      </c>
      <c r="Z41" s="558">
        <f>SUM(Z38:Z40)</f>
        <v/>
      </c>
      <c r="AA41" s="558">
        <f>SUM(AA38:AA40)</f>
        <v/>
      </c>
      <c r="AB41" s="558">
        <f>SUM(AB38:AB40)</f>
        <v/>
      </c>
      <c r="AC41" s="558">
        <f>SUM(AC38:AC40)</f>
        <v/>
      </c>
      <c r="AD41" s="558">
        <f>SUM(AD38:AD40)</f>
        <v/>
      </c>
      <c r="AE41" s="558">
        <f>SUM(AE38:AE40)</f>
        <v/>
      </c>
      <c r="AF41" s="558">
        <f>SUM(AF38:AF40)</f>
        <v/>
      </c>
      <c r="AG41" s="558">
        <f>SUM(AG38:AG40)</f>
        <v/>
      </c>
      <c r="AH41" s="558">
        <f>SUM(AH38:AH40)</f>
        <v/>
      </c>
      <c r="AI41" s="559">
        <f>AI48*AI51</f>
        <v/>
      </c>
      <c r="AJ41" s="559">
        <f>AJ48*AJ51</f>
        <v/>
      </c>
      <c r="AK41" s="559">
        <f>AK48*AK51</f>
        <v/>
      </c>
      <c r="AL41" s="559">
        <f>AL48*AL51</f>
        <v/>
      </c>
      <c r="AM41" s="559">
        <f>AM48*AM51</f>
        <v/>
      </c>
      <c r="AN41" s="559">
        <f>AN48*AN51</f>
        <v/>
      </c>
      <c r="AO41" s="18" t="n"/>
      <c r="AP41" s="555" t="n"/>
      <c r="AQ41" s="18" t="n"/>
      <c r="AR41" s="18" t="n"/>
      <c r="AS41" s="18" t="n"/>
      <c r="AT41" s="18" t="n"/>
      <c r="AU41" s="18" t="n"/>
      <c r="AV41" s="18" t="n"/>
      <c r="AW41" s="18" t="n"/>
    </row>
    <row r="42" customFormat="1" s="565">
      <c r="A42" s="554" t="inlineStr">
        <is>
          <t>Dividend payout ratio</t>
        </is>
      </c>
      <c r="B42" s="446">
        <f>B41/B31</f>
        <v/>
      </c>
      <c r="C42" s="446">
        <f>C41/C31</f>
        <v/>
      </c>
      <c r="D42" s="446">
        <f>D41/D31</f>
        <v/>
      </c>
      <c r="E42" s="446">
        <f>E41/E31</f>
        <v/>
      </c>
      <c r="F42" s="446">
        <f>F41/F31</f>
        <v/>
      </c>
      <c r="G42" s="446">
        <f>G41/G31</f>
        <v/>
      </c>
      <c r="H42" s="446">
        <f>H41/H31</f>
        <v/>
      </c>
      <c r="I42" s="446">
        <f>I41/I31</f>
        <v/>
      </c>
      <c r="J42" s="446">
        <f>J41/J31</f>
        <v/>
      </c>
      <c r="K42" s="446">
        <f>K41/K31</f>
        <v/>
      </c>
      <c r="L42" s="446">
        <f>L41/L31</f>
        <v/>
      </c>
      <c r="M42" s="446">
        <f>M41/M31</f>
        <v/>
      </c>
      <c r="N42" s="446">
        <f>N41/N31</f>
        <v/>
      </c>
      <c r="O42" s="446">
        <f>O41/O31</f>
        <v/>
      </c>
      <c r="P42" s="446">
        <f>P41/P31</f>
        <v/>
      </c>
      <c r="Q42" s="446">
        <f>Q41/Q31</f>
        <v/>
      </c>
      <c r="R42" s="446">
        <f>R41/R31</f>
        <v/>
      </c>
      <c r="S42" s="446">
        <f>S41/S31</f>
        <v/>
      </c>
      <c r="T42" s="446">
        <f>T41/T31</f>
        <v/>
      </c>
      <c r="U42" s="446">
        <f>U41/U31</f>
        <v/>
      </c>
      <c r="V42" s="446">
        <f>V41/V31</f>
        <v/>
      </c>
      <c r="W42" s="446">
        <f>W41/W31</f>
        <v/>
      </c>
      <c r="X42" s="446">
        <f>X41/X31</f>
        <v/>
      </c>
      <c r="Y42" s="446">
        <f>Y41/Y31</f>
        <v/>
      </c>
      <c r="Z42" s="446">
        <f>Z41/Z31</f>
        <v/>
      </c>
      <c r="AA42" s="446">
        <f>AA41/AA31</f>
        <v/>
      </c>
      <c r="AB42" s="446">
        <f>AB41/AB31</f>
        <v/>
      </c>
      <c r="AC42" s="446">
        <f>AC41/AC31</f>
        <v/>
      </c>
      <c r="AD42" s="446">
        <f>AD41/AD31</f>
        <v/>
      </c>
      <c r="AE42" s="446">
        <f>AE41/AE31</f>
        <v/>
      </c>
      <c r="AF42" s="446">
        <f>AF41/AF31</f>
        <v/>
      </c>
      <c r="AG42" s="446">
        <f>AG41/AG31</f>
        <v/>
      </c>
      <c r="AH42" s="446">
        <f>AH41/AH31</f>
        <v/>
      </c>
      <c r="AI42" s="446">
        <f>AI41/AI31</f>
        <v/>
      </c>
      <c r="AJ42" s="446">
        <f>AJ41/AJ31</f>
        <v/>
      </c>
      <c r="AK42" s="446">
        <f>AK41/AK31</f>
        <v/>
      </c>
      <c r="AL42" s="446">
        <f>AL41/AL31</f>
        <v/>
      </c>
      <c r="AM42" s="446">
        <f>AM41/AM31</f>
        <v/>
      </c>
      <c r="AN42" s="446">
        <f>AN41/AN31</f>
        <v/>
      </c>
      <c r="AO42" s="18" t="n"/>
      <c r="AP42" s="555" t="n"/>
      <c r="AQ42" s="18" t="n"/>
      <c r="AR42" s="18" t="n"/>
      <c r="AS42" s="18" t="n"/>
      <c r="AT42" s="18" t="n"/>
      <c r="AU42" s="18" t="n"/>
      <c r="AV42" s="18" t="n"/>
      <c r="AW42" s="18" t="n"/>
    </row>
    <row r="43" customFormat="1" s="565">
      <c r="A43" s="554" t="n"/>
      <c r="B43" s="512" t="n"/>
      <c r="C43" s="512" t="n"/>
      <c r="D43" s="512" t="n"/>
      <c r="E43" s="512" t="n"/>
      <c r="F43" s="512" t="n"/>
      <c r="G43" s="512" t="n"/>
      <c r="H43" s="512" t="n"/>
      <c r="I43" s="512" t="n"/>
      <c r="J43" s="512" t="n"/>
      <c r="K43" s="512" t="n"/>
      <c r="L43" s="512" t="n"/>
      <c r="M43" s="512" t="n"/>
      <c r="N43" s="512" t="n"/>
      <c r="O43" s="512" t="n"/>
      <c r="P43" s="512" t="n"/>
      <c r="Q43" s="512" t="n"/>
      <c r="R43" s="512" t="n"/>
      <c r="S43" s="512" t="n"/>
      <c r="T43" s="512" t="n"/>
      <c r="U43" s="512" t="n"/>
      <c r="V43" s="512" t="n"/>
      <c r="W43" s="512" t="n"/>
      <c r="X43" s="512" t="n"/>
      <c r="Y43" s="512" t="n"/>
      <c r="Z43" s="512" t="n"/>
      <c r="AA43" s="512" t="n"/>
      <c r="AB43" s="512" t="n"/>
      <c r="AC43" s="512" t="n"/>
      <c r="AD43" s="512" t="n"/>
      <c r="AE43" s="512" t="n"/>
      <c r="AF43" s="512" t="n"/>
      <c r="AG43" s="512" t="n"/>
      <c r="AH43" s="512" t="n"/>
      <c r="AI43" s="512" t="n"/>
      <c r="AJ43" s="512" t="n"/>
      <c r="AK43" s="512" t="n"/>
      <c r="AL43" s="512" t="n"/>
      <c r="AM43" s="512" t="n"/>
      <c r="AN43" s="512" t="n"/>
      <c r="AO43" s="18" t="n"/>
      <c r="AP43" s="555" t="n"/>
      <c r="AQ43" s="18" t="n"/>
      <c r="AR43" s="18" t="n"/>
      <c r="AS43" s="18" t="n"/>
      <c r="AT43" s="18" t="n"/>
      <c r="AU43" s="18" t="n"/>
      <c r="AV43" s="18" t="n"/>
      <c r="AW43" s="18" t="n"/>
    </row>
    <row r="44" customFormat="1" s="565">
      <c r="A44" s="556" t="inlineStr">
        <is>
          <t>DPS</t>
        </is>
      </c>
      <c r="B44" s="567" t="n"/>
      <c r="C44" s="567" t="n"/>
      <c r="D44" s="567" t="n"/>
      <c r="E44" s="567" t="n"/>
      <c r="F44" s="567" t="n"/>
      <c r="G44" s="567" t="n"/>
      <c r="H44" s="567" t="n"/>
      <c r="I44" s="567" t="n"/>
      <c r="J44" s="567" t="n"/>
      <c r="K44" s="567" t="n"/>
      <c r="L44" s="567" t="n"/>
      <c r="M44" s="567" t="n"/>
      <c r="N44" s="567" t="n"/>
      <c r="O44" s="567" t="n"/>
      <c r="P44" s="567" t="n"/>
      <c r="Q44" s="567" t="n"/>
      <c r="R44" s="567" t="n"/>
      <c r="S44" s="567" t="n"/>
      <c r="T44" s="567" t="n"/>
      <c r="U44" s="567" t="n"/>
      <c r="V44" s="567" t="n"/>
      <c r="W44" s="567" t="n"/>
      <c r="X44" s="567" t="n"/>
      <c r="Y44" s="567" t="n"/>
      <c r="Z44" s="576" t="n"/>
      <c r="AA44" s="446" t="n"/>
      <c r="AB44" s="567" t="n"/>
      <c r="AC44" s="567" t="n"/>
      <c r="AD44" s="567" t="n"/>
      <c r="AE44" s="567" t="n"/>
      <c r="AF44" s="567" t="n"/>
      <c r="AG44" s="567" t="n"/>
      <c r="AH44" s="567" t="n"/>
      <c r="AI44" s="567" t="n"/>
      <c r="AJ44" s="567" t="n"/>
      <c r="AK44" s="567" t="n"/>
      <c r="AL44" s="567" t="n"/>
      <c r="AM44" s="567" t="n"/>
      <c r="AN44" s="567" t="n"/>
      <c r="AO44" s="18" t="n"/>
      <c r="AP44" s="555" t="n"/>
      <c r="AQ44" s="18" t="n"/>
      <c r="AR44" s="18" t="n"/>
      <c r="AS44" s="18" t="n"/>
      <c r="AT44" s="18" t="n"/>
      <c r="AU44" s="18" t="n"/>
      <c r="AV44" s="18" t="n"/>
      <c r="AW44" s="18" t="n"/>
    </row>
    <row r="45" customFormat="1" s="565">
      <c r="A45" s="562" t="inlineStr">
        <is>
          <t>Interim DPS (HK$)</t>
        </is>
      </c>
      <c r="B45" s="571">
        <f>B38/B53</f>
        <v/>
      </c>
      <c r="C45" s="571">
        <f>C38/C53</f>
        <v/>
      </c>
      <c r="D45" s="571">
        <f>D38/D53</f>
        <v/>
      </c>
      <c r="E45" s="571">
        <f>E38/E53</f>
        <v/>
      </c>
      <c r="F45" s="571">
        <f>F38/F53</f>
        <v/>
      </c>
      <c r="G45" s="571">
        <f>G38/G53</f>
        <v/>
      </c>
      <c r="H45" s="571">
        <f>H38/H53</f>
        <v/>
      </c>
      <c r="I45" s="571">
        <f>I38/I53</f>
        <v/>
      </c>
      <c r="J45" s="571">
        <f>J38/J53</f>
        <v/>
      </c>
      <c r="K45" s="571">
        <f>K38/K51</f>
        <v/>
      </c>
      <c r="L45" s="571">
        <f>3*0.38</f>
        <v/>
      </c>
      <c r="M45" s="571">
        <f>M38/M51</f>
        <v/>
      </c>
      <c r="N45" s="571">
        <f>N38/N51</f>
        <v/>
      </c>
      <c r="O45" s="571">
        <f>O38/O51</f>
        <v/>
      </c>
      <c r="P45" s="571">
        <f>P38/P51</f>
        <v/>
      </c>
      <c r="Q45" s="571">
        <f>Q38/Q51</f>
        <v/>
      </c>
      <c r="R45" s="571">
        <f>R38/R51</f>
        <v/>
      </c>
      <c r="S45" s="571">
        <f>S38/S51</f>
        <v/>
      </c>
      <c r="T45" s="571">
        <f>T38/T51</f>
        <v/>
      </c>
      <c r="U45" s="571">
        <f>U38/U51</f>
        <v/>
      </c>
      <c r="V45" s="571">
        <f>V38/V51</f>
        <v/>
      </c>
      <c r="W45" s="571">
        <f>W38/W51</f>
        <v/>
      </c>
      <c r="X45" s="571">
        <f>X38/X51</f>
        <v/>
      </c>
      <c r="Y45" s="571">
        <f>Y38/Y51</f>
        <v/>
      </c>
      <c r="Z45" s="571">
        <f>Z38/Z51</f>
        <v/>
      </c>
      <c r="AA45" s="571">
        <f>AA38/AA51</f>
        <v/>
      </c>
      <c r="AB45" s="571">
        <f>AB38/AB51</f>
        <v/>
      </c>
      <c r="AC45" s="571">
        <f>AC38/AC51</f>
        <v/>
      </c>
      <c r="AD45" s="571">
        <f>AD38/AD51</f>
        <v/>
      </c>
      <c r="AE45" s="571">
        <f>AE38/AE51</f>
        <v/>
      </c>
      <c r="AF45" s="571">
        <f>AF38/AF51</f>
        <v/>
      </c>
      <c r="AG45" s="571">
        <f>AG38/AG51</f>
        <v/>
      </c>
      <c r="AH45" s="571">
        <f>AH38/AH51</f>
        <v/>
      </c>
      <c r="AI45" s="571">
        <f>AI38/AI51</f>
        <v/>
      </c>
      <c r="AJ45" s="571">
        <f>AJ38/AJ51</f>
        <v/>
      </c>
      <c r="AK45" s="571">
        <f>AK38/AK51</f>
        <v/>
      </c>
      <c r="AL45" s="571">
        <f>AL38/AL51</f>
        <v/>
      </c>
      <c r="AM45" s="571">
        <f>AM38/AM51</f>
        <v/>
      </c>
      <c r="AN45" s="571">
        <f>AN38/AN51</f>
        <v/>
      </c>
      <c r="AO45" s="18" t="n"/>
      <c r="AP45" s="555" t="n"/>
      <c r="AQ45" s="18" t="n"/>
      <c r="AR45" s="18" t="n"/>
      <c r="AS45" s="18" t="n"/>
      <c r="AT45" s="18" t="n"/>
      <c r="AU45" s="18" t="n"/>
      <c r="AV45" s="18" t="n"/>
      <c r="AW45" s="18" t="n"/>
    </row>
    <row r="46" customFormat="1" s="565">
      <c r="A46" s="562" t="inlineStr">
        <is>
          <t>Final DPS (HK$)</t>
        </is>
      </c>
      <c r="B46" s="571">
        <f>B48-B45-B47</f>
        <v/>
      </c>
      <c r="C46" s="571">
        <f>C48-C45-C47</f>
        <v/>
      </c>
      <c r="D46" s="571">
        <f>D48-D45-D47</f>
        <v/>
      </c>
      <c r="E46" s="571">
        <f>E48-E45-E47</f>
        <v/>
      </c>
      <c r="F46" s="571">
        <f>F48-F45-F47</f>
        <v/>
      </c>
      <c r="G46" s="571">
        <f>G48-G45-G47</f>
        <v/>
      </c>
      <c r="H46" s="571">
        <f>H48-H45-H47</f>
        <v/>
      </c>
      <c r="I46" s="571">
        <f>I48-I45-I47</f>
        <v/>
      </c>
      <c r="J46" s="571">
        <f>J48-J45-J47</f>
        <v/>
      </c>
      <c r="K46" s="571">
        <f>K48-K45-K47</f>
        <v/>
      </c>
      <c r="L46" s="571">
        <f>L48-L45-L47</f>
        <v/>
      </c>
      <c r="M46" s="571">
        <f>M48-M45-M47</f>
        <v/>
      </c>
      <c r="N46" s="571">
        <f>N48-N45-N47</f>
        <v/>
      </c>
      <c r="O46" s="571">
        <f>O48-O45-O47</f>
        <v/>
      </c>
      <c r="P46" s="571">
        <f>P48-P45-P47</f>
        <v/>
      </c>
      <c r="Q46" s="571">
        <f>Q48-Q45-Q47</f>
        <v/>
      </c>
      <c r="R46" s="571">
        <f>R48-R45-R47</f>
        <v/>
      </c>
      <c r="S46" s="571">
        <f>S48-S45-S47</f>
        <v/>
      </c>
      <c r="T46" s="571">
        <f>T39/T51</f>
        <v/>
      </c>
      <c r="U46" s="571">
        <f>U39/U51</f>
        <v/>
      </c>
      <c r="V46" s="571">
        <f>V39/V51</f>
        <v/>
      </c>
      <c r="W46" s="571">
        <f>W39/W51</f>
        <v/>
      </c>
      <c r="X46" s="571">
        <f>X39/X51</f>
        <v/>
      </c>
      <c r="Y46" s="571">
        <f>Y39/Y51</f>
        <v/>
      </c>
      <c r="Z46" s="571">
        <f>Z48-Z45-Z47</f>
        <v/>
      </c>
      <c r="AA46" s="571">
        <f>AA48-AA45-AA47</f>
        <v/>
      </c>
      <c r="AB46" s="571">
        <f>AB48-AB45-AB47</f>
        <v/>
      </c>
      <c r="AC46" s="571">
        <f>AC48-AC45-AC47</f>
        <v/>
      </c>
      <c r="AD46" s="571">
        <f>AD48-AD45-AD47</f>
        <v/>
      </c>
      <c r="AE46" s="571">
        <f>AE48-AE45-AE47</f>
        <v/>
      </c>
      <c r="AF46" s="571">
        <f>AF48-AF45-AF47</f>
        <v/>
      </c>
      <c r="AG46" s="571">
        <f>AG48-AG45-AG47</f>
        <v/>
      </c>
      <c r="AH46" s="571">
        <f>AH48-AH45-AH47</f>
        <v/>
      </c>
      <c r="AI46" s="571">
        <f>AI48-AI45-AI47</f>
        <v/>
      </c>
      <c r="AJ46" s="571">
        <f>AJ48-AJ45-AJ47</f>
        <v/>
      </c>
      <c r="AK46" s="571">
        <f>AK48-AK45-AK47</f>
        <v/>
      </c>
      <c r="AL46" s="571">
        <f>AL48-AL45-AL47</f>
        <v/>
      </c>
      <c r="AM46" s="571">
        <f>AM48-AM45-AM47</f>
        <v/>
      </c>
      <c r="AN46" s="571">
        <f>AN48-AN45-AN47</f>
        <v/>
      </c>
      <c r="AO46" s="18" t="n"/>
      <c r="AP46" s="555" t="n"/>
      <c r="AQ46" s="18" t="n"/>
      <c r="AR46" s="18" t="n"/>
      <c r="AS46" s="18" t="n"/>
      <c r="AT46" s="18" t="n"/>
      <c r="AU46" s="18" t="n"/>
      <c r="AV46" s="18" t="n"/>
      <c r="AW46" s="18" t="n"/>
    </row>
    <row r="47" customFormat="1" s="565">
      <c r="A47" s="562" t="inlineStr">
        <is>
          <t>Special dividend</t>
        </is>
      </c>
      <c r="B47" s="571">
        <f>B40/B53</f>
        <v/>
      </c>
      <c r="C47" s="571">
        <f>C40/C53</f>
        <v/>
      </c>
      <c r="D47" s="571">
        <f>D40/D53</f>
        <v/>
      </c>
      <c r="E47" s="571">
        <f>E40/E53</f>
        <v/>
      </c>
      <c r="F47" s="571">
        <f>F40/F53</f>
        <v/>
      </c>
      <c r="G47" s="571">
        <f>G40/G53</f>
        <v/>
      </c>
      <c r="H47" s="571">
        <f>H40/H53</f>
        <v/>
      </c>
      <c r="I47" s="571">
        <f>I40/I53</f>
        <v/>
      </c>
      <c r="J47" s="571">
        <f>J40/J53</f>
        <v/>
      </c>
      <c r="K47" s="571" t="n">
        <v>0.61</v>
      </c>
      <c r="L47" s="571" t="n"/>
      <c r="M47" s="571" t="n"/>
      <c r="N47" s="571" t="n"/>
      <c r="O47" s="571" t="n"/>
      <c r="P47" s="571" t="n"/>
      <c r="Q47" s="571" t="n"/>
      <c r="R47" s="571" t="n"/>
      <c r="S47" s="571" t="n"/>
      <c r="T47" s="571" t="n"/>
      <c r="U47" s="571" t="n"/>
      <c r="V47" s="571" t="n"/>
      <c r="W47" s="571" t="n"/>
      <c r="X47" s="571" t="n"/>
      <c r="Y47" s="571" t="n"/>
      <c r="Z47" s="571" t="n"/>
      <c r="AA47" s="571" t="n"/>
      <c r="AB47" s="571" t="n"/>
      <c r="AC47" s="571" t="n"/>
      <c r="AD47" s="571" t="n"/>
      <c r="AE47" s="571" t="n"/>
      <c r="AF47" s="571" t="n"/>
      <c r="AG47" s="571" t="n"/>
      <c r="AH47" s="571" t="n"/>
      <c r="AI47" s="571" t="n"/>
      <c r="AJ47" s="571" t="n"/>
      <c r="AK47" s="571" t="n"/>
      <c r="AL47" s="571" t="n"/>
      <c r="AM47" s="571" t="n"/>
      <c r="AN47" s="571" t="n"/>
      <c r="AO47" s="18" t="n"/>
      <c r="AP47" s="555" t="n"/>
      <c r="AQ47" s="18" t="n"/>
      <c r="AR47" s="491" t="n">
        <v>2022</v>
      </c>
      <c r="AS47" s="491">
        <f>AR47+1</f>
        <v/>
      </c>
      <c r="AT47" s="491">
        <f>AS47+1</f>
        <v/>
      </c>
      <c r="AU47" s="577">
        <f>AT47+1</f>
        <v/>
      </c>
      <c r="AV47" s="577">
        <f>AU47+1</f>
        <v/>
      </c>
      <c r="AW47" s="577">
        <f>AV47+1</f>
        <v/>
      </c>
      <c r="AX47" s="577">
        <f>AW47+1</f>
        <v/>
      </c>
    </row>
    <row r="48" customFormat="1" s="565">
      <c r="A48" s="557" t="inlineStr">
        <is>
          <t>Total DPS (HK$)</t>
        </is>
      </c>
      <c r="B48" s="578" t="n">
        <v>0.7221237622170783</v>
      </c>
      <c r="C48" s="578" t="n">
        <v>0.8334773394633059</v>
      </c>
      <c r="D48" s="578" t="n">
        <v>0.9582268357767491</v>
      </c>
      <c r="E48" s="578" t="n">
        <v>1.350057468492798</v>
      </c>
      <c r="F48" s="578" t="n">
        <v>1.166700826260288</v>
      </c>
      <c r="G48" s="578" t="n">
        <v>1.233</v>
      </c>
      <c r="H48" s="578" t="n">
        <v>1.817</v>
      </c>
      <c r="I48" s="578" t="n">
        <v>1.892</v>
      </c>
      <c r="J48" s="578">
        <f>J41/J53</f>
        <v/>
      </c>
      <c r="K48" s="578" t="n">
        <v>2.1</v>
      </c>
      <c r="L48" s="578" t="n">
        <v>1.88</v>
      </c>
      <c r="M48" s="578" t="n">
        <v>1.98</v>
      </c>
      <c r="N48" s="578" t="n">
        <v>2.23</v>
      </c>
      <c r="O48" s="578" t="n">
        <v>2.38</v>
      </c>
      <c r="P48" s="578" t="n">
        <v>2.41</v>
      </c>
      <c r="Q48" s="578" t="n">
        <v>2.48</v>
      </c>
      <c r="R48" s="578" t="n">
        <v>2.48</v>
      </c>
      <c r="S48" s="578" t="n">
        <v>2.48</v>
      </c>
      <c r="T48" s="578" t="n">
        <v>2.48</v>
      </c>
      <c r="U48" s="578" t="n">
        <v>2.52</v>
      </c>
      <c r="V48" s="578">
        <f>SUM(V45:V46)</f>
        <v/>
      </c>
      <c r="W48" s="578">
        <f>SUM(W45:W46)</f>
        <v/>
      </c>
      <c r="X48" s="578">
        <f>SUM(X45:X46)</f>
        <v/>
      </c>
      <c r="Y48" s="578">
        <f>SUM(Y45:Y46)</f>
        <v/>
      </c>
      <c r="Z48" s="578">
        <f>Z41/Z51</f>
        <v/>
      </c>
      <c r="AA48" s="578">
        <f>AA41/AA51</f>
        <v/>
      </c>
      <c r="AB48" s="578">
        <f>AB41/AB51</f>
        <v/>
      </c>
      <c r="AC48" s="578">
        <f>AC41/AC51</f>
        <v/>
      </c>
      <c r="AD48" s="578">
        <f>AD41/AD51</f>
        <v/>
      </c>
      <c r="AE48" s="578">
        <f>AE41/AE51</f>
        <v/>
      </c>
      <c r="AF48" s="578">
        <f>AF41/AF51</f>
        <v/>
      </c>
      <c r="AG48" s="578">
        <f>AG41/AG51</f>
        <v/>
      </c>
      <c r="AH48" s="578">
        <f>AH41/AH51</f>
        <v/>
      </c>
      <c r="AI48" s="578">
        <f>AH48*(1+AI49)</f>
        <v/>
      </c>
      <c r="AJ48" s="578">
        <f>AI48*(1+AJ49)</f>
        <v/>
      </c>
      <c r="AK48" s="578">
        <f>AJ48*(1+AK49)</f>
        <v/>
      </c>
      <c r="AL48" s="578">
        <f>AK48*(1+AL49)</f>
        <v/>
      </c>
      <c r="AM48" s="578">
        <f>AL48*(1+AM49)</f>
        <v/>
      </c>
      <c r="AN48" s="578">
        <f>AM48*(1+AN49)</f>
        <v/>
      </c>
      <c r="AO48" s="18" t="n"/>
      <c r="AP48" s="555" t="n"/>
      <c r="AQ48" s="18" t="inlineStr">
        <is>
          <t>New UBSe</t>
        </is>
      </c>
      <c r="AR48" s="579">
        <f>AF48</f>
        <v/>
      </c>
      <c r="AS48" s="579">
        <f>AG48</f>
        <v/>
      </c>
      <c r="AT48" s="579">
        <f>AH48</f>
        <v/>
      </c>
      <c r="AU48" s="579">
        <f>AI48</f>
        <v/>
      </c>
      <c r="AV48" s="579">
        <f>AJ48</f>
        <v/>
      </c>
      <c r="AW48" s="579">
        <f>AK48</f>
        <v/>
      </c>
      <c r="AX48" s="579">
        <f>AL48</f>
        <v/>
      </c>
    </row>
    <row r="49" customFormat="1" s="565">
      <c r="A49" s="566" t="inlineStr">
        <is>
          <t>Recurring DPS growth</t>
        </is>
      </c>
      <c r="B49" s="512" t="n"/>
      <c r="C49" s="72">
        <f>(C45+C46)/(B45+B46)-1</f>
        <v/>
      </c>
      <c r="D49" s="72">
        <f>(D45+D46)/(C45+C46)-1</f>
        <v/>
      </c>
      <c r="E49" s="72">
        <f>(E45+E46)/(D45+D46)-1</f>
        <v/>
      </c>
      <c r="F49" s="72">
        <f>(F45+F46)/(E45+E46)-1</f>
        <v/>
      </c>
      <c r="G49" s="72">
        <f>(G45+G46)/(F45+F46)-1</f>
        <v/>
      </c>
      <c r="H49" s="72">
        <f>(H45+H46)/(G45+G46)-1</f>
        <v/>
      </c>
      <c r="I49" s="72">
        <f>(I45+I46)/(H45+H46)-1</f>
        <v/>
      </c>
      <c r="J49" s="72">
        <f>(J45+J46)/(I45+I46)-1</f>
        <v/>
      </c>
      <c r="K49" s="72">
        <f>(K45+K46)/(J45+J46)-1</f>
        <v/>
      </c>
      <c r="L49" s="72">
        <f>(L45+L46)/(K45+K46)-1</f>
        <v/>
      </c>
      <c r="M49" s="72">
        <f>(M45+M46)/(L45+L46)-1</f>
        <v/>
      </c>
      <c r="N49" s="72">
        <f>(N45+N46)/(M45+M46)-1</f>
        <v/>
      </c>
      <c r="O49" s="72">
        <f>(O45+O46)/(N45+N46)-1</f>
        <v/>
      </c>
      <c r="P49" s="72">
        <f>(P45+P46)/(O45+O46)-1</f>
        <v/>
      </c>
      <c r="Q49" s="72">
        <f>(Q45+Q46)/(P45+P46)-1</f>
        <v/>
      </c>
      <c r="R49" s="72">
        <f>(R45+R46)/(Q45+Q46)-1</f>
        <v/>
      </c>
      <c r="S49" s="72">
        <f>(S45+S46)/(R45+R46)-1</f>
        <v/>
      </c>
      <c r="T49" s="72">
        <f>(T45+T46)/(S45+S46)-1</f>
        <v/>
      </c>
      <c r="U49" s="72">
        <f>(U45+U46)/(T45+T46)-1</f>
        <v/>
      </c>
      <c r="V49" s="72">
        <f>(V45+V46)/(U45+U46)-1</f>
        <v/>
      </c>
      <c r="W49" s="72">
        <f>(W45+W46)/(V45+V46)-1</f>
        <v/>
      </c>
      <c r="X49" s="72">
        <f>(X45+X46)/(W45+W46)-1</f>
        <v/>
      </c>
      <c r="Y49" s="72">
        <f>(Y45+Y46)/(X45+X46)-1</f>
        <v/>
      </c>
      <c r="Z49" s="72">
        <f>(Z45+Z46)/(Y45+Y46)-1</f>
        <v/>
      </c>
      <c r="AA49" s="72">
        <f>(AA45+AA46)/(Z45+Z46)-1</f>
        <v/>
      </c>
      <c r="AB49" s="72">
        <f>(AB45+AB46)/(AA45+AA46)-1</f>
        <v/>
      </c>
      <c r="AC49" s="72">
        <f>(AC45+AC46)/(AB45+AB46)-1</f>
        <v/>
      </c>
      <c r="AD49" s="72">
        <f>(AD45+AD46)/(AC45+AC46)-1</f>
        <v/>
      </c>
      <c r="AE49" s="72">
        <f>(AE45+AE46)/(AD45+AD46)-1</f>
        <v/>
      </c>
      <c r="AF49" s="72">
        <f>(AF45+AF46)/(AE45+AE46)-1</f>
        <v/>
      </c>
      <c r="AG49" s="72">
        <f>(AG45+AG46)/(AF45+AF46)-1</f>
        <v/>
      </c>
      <c r="AH49" s="72">
        <f>(AH45+AH46)/(AG45+AG46)-1</f>
        <v/>
      </c>
      <c r="AI49" s="68" t="n">
        <v>0</v>
      </c>
      <c r="AJ49" s="68" t="n">
        <v>0.03</v>
      </c>
      <c r="AK49" s="68">
        <f>AJ49</f>
        <v/>
      </c>
      <c r="AL49" s="68">
        <f>AK49</f>
        <v/>
      </c>
      <c r="AM49" s="68">
        <f>AL49</f>
        <v/>
      </c>
      <c r="AN49" s="68">
        <f>AM49</f>
        <v/>
      </c>
      <c r="AO49" s="18" t="n"/>
      <c r="AP49" s="555" t="n"/>
      <c r="AQ49" s="18" t="inlineStr">
        <is>
          <t>Old UBSe</t>
        </is>
      </c>
      <c r="AR49" s="579" t="n"/>
      <c r="AS49" s="579" t="n"/>
      <c r="AT49" s="579" t="n"/>
      <c r="AU49" s="579">
        <f>AT48*1.03</f>
        <v/>
      </c>
      <c r="AV49" s="579">
        <f>AU49*1.03</f>
        <v/>
      </c>
      <c r="AW49" s="579">
        <f>AV49*1.03</f>
        <v/>
      </c>
      <c r="AX49" s="579">
        <f>AW49*1.03</f>
        <v/>
      </c>
    </row>
    <row r="50" customFormat="1" s="565">
      <c r="A50" s="554" t="n"/>
      <c r="B50" s="571" t="n"/>
      <c r="C50" s="571" t="n"/>
      <c r="D50" s="571" t="n"/>
      <c r="E50" s="571" t="n"/>
      <c r="F50" s="571" t="n"/>
      <c r="G50" s="571" t="n"/>
      <c r="H50" s="571" t="n"/>
      <c r="I50" s="571" t="n"/>
      <c r="J50" s="571" t="n"/>
      <c r="K50" s="571" t="n"/>
      <c r="L50" s="571" t="n"/>
      <c r="M50" s="571" t="n"/>
      <c r="N50" s="571" t="n"/>
      <c r="O50" s="571" t="n"/>
      <c r="P50" s="571" t="n"/>
      <c r="Q50" s="571" t="n"/>
      <c r="R50" s="571" t="n"/>
      <c r="S50" s="571" t="n"/>
      <c r="T50" s="571" t="n"/>
      <c r="U50" s="571" t="n"/>
      <c r="V50" s="571" t="n"/>
      <c r="W50" s="571" t="n"/>
      <c r="X50" s="571" t="n"/>
      <c r="Y50" s="571" t="n"/>
      <c r="Z50" s="571" t="n"/>
      <c r="AA50" s="571" t="n"/>
      <c r="AB50" s="571" t="n"/>
      <c r="AC50" s="571" t="n"/>
      <c r="AD50" s="571" t="n"/>
      <c r="AE50" s="571" t="n"/>
      <c r="AF50" s="571" t="n"/>
      <c r="AG50" s="571" t="n"/>
      <c r="AH50" s="571" t="n"/>
      <c r="AI50" s="571" t="n"/>
      <c r="AJ50" s="571" t="n"/>
      <c r="AK50" s="571" t="n"/>
      <c r="AL50" s="571" t="n"/>
      <c r="AM50" s="571" t="n"/>
      <c r="AN50" s="571" t="n"/>
      <c r="AO50" s="18" t="n"/>
      <c r="AP50" s="555" t="n"/>
      <c r="AQ50" s="18" t="n"/>
      <c r="AR50" s="18" t="n"/>
      <c r="AS50" s="18" t="n"/>
      <c r="AT50" s="18" t="n"/>
      <c r="AU50" s="18" t="n"/>
      <c r="AV50" s="18" t="n"/>
      <c r="AW50" s="18" t="n"/>
    </row>
    <row r="51" customFormat="1" s="554">
      <c r="A51" s="561" t="inlineStr">
        <is>
          <t>Avg shares outstanding (mn)</t>
        </is>
      </c>
      <c r="B51" s="555" t="n">
        <v>1658.88</v>
      </c>
      <c r="C51" s="555" t="n">
        <v>1658.88</v>
      </c>
      <c r="D51" s="555" t="n">
        <v>1990.656</v>
      </c>
      <c r="E51" s="555" t="n">
        <v>1990.656</v>
      </c>
      <c r="F51" s="555" t="n">
        <v>1990.656</v>
      </c>
      <c r="G51" s="555" t="n">
        <v>2287.891</v>
      </c>
      <c r="H51" s="555" t="n">
        <v>2479.523</v>
      </c>
      <c r="I51" s="555" t="n">
        <v>2380.191</v>
      </c>
      <c r="J51" s="555" t="n">
        <v>2081.227</v>
      </c>
      <c r="K51" s="555" t="n">
        <v>2486.583</v>
      </c>
      <c r="L51" s="555" t="n">
        <v>2408.783</v>
      </c>
      <c r="M51" s="555" t="n">
        <v>2408.2459</v>
      </c>
      <c r="N51" s="512" t="n">
        <v>2408.2459</v>
      </c>
      <c r="O51" s="512" t="n">
        <v>2408.2459</v>
      </c>
      <c r="P51" s="512">
        <f>AVERAGE(O52,P52)</f>
        <v/>
      </c>
      <c r="Q51" s="512" t="n">
        <v>2408.246</v>
      </c>
      <c r="R51" s="512" t="n">
        <v>2407.873</v>
      </c>
      <c r="S51" s="512" t="n">
        <v>2406.1434</v>
      </c>
      <c r="T51" s="512" t="n">
        <v>2406.1434</v>
      </c>
      <c r="U51" s="512" t="n">
        <v>2406.143</v>
      </c>
      <c r="V51" s="512" t="n">
        <v>2410.088</v>
      </c>
      <c r="W51" s="512">
        <f>+AVERAGE(V52:W52)</f>
        <v/>
      </c>
      <c r="X51" s="512">
        <f>AVERAGE(W52,X52)</f>
        <v/>
      </c>
      <c r="Y51" s="512">
        <f>AVERAGE(X52,Y52)</f>
        <v/>
      </c>
      <c r="Z51" s="512">
        <f>AVERAGE(Y52,Z52)</f>
        <v/>
      </c>
      <c r="AA51" s="512">
        <f>AVERAGE(Z52,AA52)</f>
        <v/>
      </c>
      <c r="AB51" s="512">
        <f>AVERAGE(AA52,AB52)</f>
        <v/>
      </c>
      <c r="AC51" s="512">
        <f>AVERAGE(AB52,AC52)</f>
        <v/>
      </c>
      <c r="AD51" s="512">
        <f>AVERAGE(AC52,AD52)</f>
        <v/>
      </c>
      <c r="AE51" s="512">
        <f>AVERAGE(AD52,AE52)</f>
        <v/>
      </c>
      <c r="AF51" s="512">
        <f>AVERAGE(AE52,AF52)</f>
        <v/>
      </c>
      <c r="AG51" s="512">
        <f>AVERAGE(AF52,AG52)</f>
        <v/>
      </c>
      <c r="AH51" s="512">
        <f>AVERAGE(AG52,AH52)</f>
        <v/>
      </c>
      <c r="AI51" s="512">
        <f>AVERAGE(AH52,AI52)</f>
        <v/>
      </c>
      <c r="AJ51" s="512">
        <f>AVERAGE(AI52,AJ52)</f>
        <v/>
      </c>
      <c r="AK51" s="512">
        <f>AVERAGE(AJ52,AK52)</f>
        <v/>
      </c>
      <c r="AL51" s="512">
        <f>AVERAGE(AK52,AL52)</f>
        <v/>
      </c>
      <c r="AM51" s="512">
        <f>AVERAGE(AL52,AM52)</f>
        <v/>
      </c>
      <c r="AN51" s="512">
        <f>AVERAGE(AM52,AN52)</f>
        <v/>
      </c>
      <c r="AO51" s="18" t="n"/>
      <c r="AP51" s="555" t="n"/>
      <c r="AQ51" s="18" t="n"/>
      <c r="AR51" s="18" t="n"/>
      <c r="AS51" s="18" t="n"/>
      <c r="AT51" s="18" t="n"/>
      <c r="AU51" s="18" t="n"/>
      <c r="AV51" s="18" t="n"/>
      <c r="AW51" s="18" t="n"/>
    </row>
    <row r="52" customFormat="1" s="554">
      <c r="A52" s="554" t="inlineStr">
        <is>
          <t>Closing shares outstanding (mn)</t>
        </is>
      </c>
      <c r="B52" s="555" t="n">
        <v>1658.88</v>
      </c>
      <c r="C52" s="555" t="n">
        <v>1658.88</v>
      </c>
      <c r="D52" s="555" t="n">
        <v>1990.656</v>
      </c>
      <c r="E52" s="555" t="n">
        <v>1990.656</v>
      </c>
      <c r="F52" s="555" t="n">
        <v>1990.656</v>
      </c>
      <c r="G52" s="555" t="n">
        <v>2488.32</v>
      </c>
      <c r="H52" s="555" t="n">
        <v>2448.5025</v>
      </c>
      <c r="I52" s="555" t="n">
        <v>2081.227</v>
      </c>
      <c r="J52" s="555" t="n">
        <v>2081.227</v>
      </c>
      <c r="K52" s="555" t="n">
        <v>2421.4864</v>
      </c>
      <c r="L52" s="555" t="n">
        <v>2408.2459</v>
      </c>
      <c r="M52" s="555" t="n">
        <v>2408.2459</v>
      </c>
      <c r="N52" s="512" t="n">
        <v>2408.2459</v>
      </c>
      <c r="O52" s="512" t="n">
        <v>2408.2459</v>
      </c>
      <c r="P52" s="512">
        <f>O52</f>
        <v/>
      </c>
      <c r="Q52" s="512" t="n">
        <v>2408.2459</v>
      </c>
      <c r="R52" s="512" t="n">
        <v>2406.1434</v>
      </c>
      <c r="S52" s="512" t="n">
        <v>2406.1434</v>
      </c>
      <c r="T52" s="512" t="n">
        <v>2406.1434</v>
      </c>
      <c r="U52" s="512">
        <f>T52</f>
        <v/>
      </c>
      <c r="V52" s="512">
        <f>U52+120.30717</f>
        <v/>
      </c>
      <c r="W52" s="512">
        <f>V52</f>
        <v/>
      </c>
      <c r="X52" s="512">
        <f>W52</f>
        <v/>
      </c>
      <c r="Y52" s="512">
        <f>X52</f>
        <v/>
      </c>
      <c r="Z52" s="512">
        <f>Y52</f>
        <v/>
      </c>
      <c r="AA52" s="512">
        <f>Z52</f>
        <v/>
      </c>
      <c r="AB52" s="512">
        <f>AA52</f>
        <v/>
      </c>
      <c r="AC52" s="512">
        <f>AB52</f>
        <v/>
      </c>
      <c r="AD52" s="512">
        <f>AC52</f>
        <v/>
      </c>
      <c r="AE52" s="512">
        <f>AD52</f>
        <v/>
      </c>
      <c r="AF52" s="512">
        <f>AE52</f>
        <v/>
      </c>
      <c r="AG52" s="512">
        <f>AF52</f>
        <v/>
      </c>
      <c r="AH52" s="512">
        <f>AG52</f>
        <v/>
      </c>
      <c r="AI52" s="528">
        <f>AH52</f>
        <v/>
      </c>
      <c r="AJ52" s="528">
        <f>AI52</f>
        <v/>
      </c>
      <c r="AK52" s="528">
        <f>AJ52</f>
        <v/>
      </c>
      <c r="AL52" s="528">
        <f>AK52</f>
        <v/>
      </c>
      <c r="AM52" s="528">
        <f>AL52</f>
        <v/>
      </c>
      <c r="AN52" s="528">
        <f>AM52</f>
        <v/>
      </c>
      <c r="AO52" s="18" t="n"/>
      <c r="AP52" s="555" t="n"/>
      <c r="AQ52" s="18" t="n"/>
      <c r="AR52" s="18" t="n"/>
      <c r="AS52" s="18" t="n"/>
      <c r="AT52" s="18" t="n"/>
      <c r="AU52" s="18" t="n"/>
      <c r="AV52" s="18" t="n"/>
      <c r="AW52" s="18" t="n"/>
    </row>
    <row r="53" customFormat="1" s="565">
      <c r="A53" s="554" t="inlineStr">
        <is>
          <t>Adj. no. of shares -end (mn)</t>
        </is>
      </c>
      <c r="B53" s="555">
        <f>+B52*1.2*1.2</f>
        <v/>
      </c>
      <c r="C53" s="555">
        <f>+C52*1.2*1.2</f>
        <v/>
      </c>
      <c r="D53" s="555">
        <f>+D52*1.2</f>
        <v/>
      </c>
      <c r="E53" s="555">
        <f>+E52*1.2</f>
        <v/>
      </c>
      <c r="F53" s="555">
        <f>+F52*1.2</f>
        <v/>
      </c>
      <c r="G53" s="555">
        <f>+G52*1.2</f>
        <v/>
      </c>
      <c r="H53" s="555">
        <f>+H52*1.2</f>
        <v/>
      </c>
      <c r="I53" s="555">
        <f>+I52*1.2</f>
        <v/>
      </c>
      <c r="J53" s="555">
        <f>+J52*1.2</f>
        <v/>
      </c>
      <c r="K53" s="555">
        <f>+K52</f>
        <v/>
      </c>
      <c r="L53" s="555">
        <f>+L52</f>
        <v/>
      </c>
      <c r="M53" s="555">
        <f>+M52</f>
        <v/>
      </c>
      <c r="N53" s="555">
        <f>+N52</f>
        <v/>
      </c>
      <c r="O53" s="555">
        <f>+O52</f>
        <v/>
      </c>
      <c r="P53" s="555">
        <f>+P52</f>
        <v/>
      </c>
      <c r="Q53" s="555">
        <f>+Q52</f>
        <v/>
      </c>
      <c r="R53" s="555">
        <f>+R52</f>
        <v/>
      </c>
      <c r="S53" s="555">
        <f>+S52</f>
        <v/>
      </c>
      <c r="T53" s="555">
        <f>+T52</f>
        <v/>
      </c>
      <c r="U53" s="555">
        <f>+U52</f>
        <v/>
      </c>
      <c r="V53" s="555">
        <f>+V52</f>
        <v/>
      </c>
      <c r="W53" s="555">
        <f>+W52</f>
        <v/>
      </c>
      <c r="X53" s="555">
        <f>+X52</f>
        <v/>
      </c>
      <c r="Y53" s="555">
        <f>+Y52</f>
        <v/>
      </c>
      <c r="Z53" s="555">
        <f>+Z52</f>
        <v/>
      </c>
      <c r="AA53" s="555">
        <f>+AA52</f>
        <v/>
      </c>
      <c r="AB53" s="555">
        <f>+AB52</f>
        <v/>
      </c>
      <c r="AC53" s="555">
        <f>+AC52</f>
        <v/>
      </c>
      <c r="AD53" s="555">
        <f>+AD52</f>
        <v/>
      </c>
      <c r="AE53" s="555">
        <f>+AE52</f>
        <v/>
      </c>
      <c r="AF53" s="555">
        <f>+AF52</f>
        <v/>
      </c>
      <c r="AG53" s="555">
        <f>+AG52</f>
        <v/>
      </c>
      <c r="AH53" s="555">
        <f>+AH52</f>
        <v/>
      </c>
      <c r="AI53" s="580">
        <f>+AI52</f>
        <v/>
      </c>
      <c r="AJ53" s="580">
        <f>+AJ52</f>
        <v/>
      </c>
      <c r="AK53" s="580">
        <f>+AK52</f>
        <v/>
      </c>
      <c r="AL53" s="580">
        <f>+AL52</f>
        <v/>
      </c>
      <c r="AM53" s="580">
        <f>+AM52</f>
        <v/>
      </c>
      <c r="AN53" s="580">
        <f>+AN52</f>
        <v/>
      </c>
      <c r="AO53" s="18" t="n"/>
      <c r="AP53" s="555" t="n"/>
      <c r="AQ53" s="18" t="n"/>
      <c r="AR53" s="18" t="n"/>
      <c r="AS53" s="18" t="n"/>
      <c r="AT53" s="18" t="n"/>
      <c r="AU53" s="18" t="n"/>
      <c r="AV53" s="18" t="n"/>
      <c r="AW53" s="18" t="n"/>
    </row>
    <row r="54" customFormat="1" s="43">
      <c r="B54" s="512" t="n"/>
      <c r="C54" s="512" t="n"/>
      <c r="D54" s="512" t="n"/>
      <c r="E54" s="512" t="n"/>
      <c r="F54" s="512" t="n"/>
      <c r="G54" s="512" t="n"/>
      <c r="H54" s="512" t="n"/>
      <c r="I54" s="512" t="n"/>
      <c r="J54" s="512" t="n"/>
      <c r="K54" s="512" t="n"/>
      <c r="L54" s="512" t="n"/>
      <c r="M54" s="512" t="n"/>
      <c r="N54" s="512" t="n"/>
      <c r="O54" s="512" t="n"/>
      <c r="P54" s="512" t="n"/>
      <c r="Q54" s="512" t="n"/>
      <c r="R54" s="512" t="n"/>
      <c r="S54" s="512" t="n"/>
      <c r="T54" s="512" t="n"/>
      <c r="U54" s="512" t="n"/>
      <c r="V54" s="512" t="n"/>
      <c r="W54" s="512" t="n"/>
      <c r="X54" s="512" t="n"/>
      <c r="Y54" s="512" t="n"/>
      <c r="Z54" s="512" t="n"/>
      <c r="AA54" s="512" t="n"/>
      <c r="AB54" s="512" t="n"/>
      <c r="AC54" s="512" t="n"/>
      <c r="AD54" s="512" t="n"/>
      <c r="AE54" s="512" t="n"/>
      <c r="AF54" s="512" t="n"/>
      <c r="AG54" s="512" t="n"/>
      <c r="AH54" s="512" t="n"/>
      <c r="AI54" s="512" t="n"/>
      <c r="AJ54" s="512" t="n"/>
      <c r="AK54" s="512" t="n"/>
      <c r="AL54" s="512" t="n"/>
      <c r="AM54" s="512" t="n"/>
      <c r="AN54" s="512" t="n"/>
      <c r="AO54" s="18" t="n"/>
      <c r="AP54" s="555" t="n"/>
      <c r="AQ54" s="18" t="n"/>
      <c r="AR54" s="18" t="n"/>
      <c r="AS54" s="18" t="n"/>
      <c r="AT54" s="18" t="n"/>
      <c r="AU54" s="18" t="n"/>
      <c r="AV54" s="18" t="n"/>
      <c r="AW54" s="18" t="n"/>
    </row>
    <row r="55" customFormat="1" s="554">
      <c r="A55" s="554" t="inlineStr">
        <is>
          <t>ROE</t>
        </is>
      </c>
      <c r="B55" s="555" t="n"/>
      <c r="C55" s="526" t="n"/>
      <c r="D55" s="446">
        <f>+D31/(SUM(C96:D97)/2)</f>
        <v/>
      </c>
      <c r="E55" s="446">
        <f>+E31/(SUM(D96:E97)/2)</f>
        <v/>
      </c>
      <c r="F55" s="446">
        <f>+F31/(SUM(E96:F97)/2)</f>
        <v/>
      </c>
      <c r="G55" s="446">
        <f>+G31/(SUM(F96:G97)/2)</f>
        <v/>
      </c>
      <c r="H55" s="446">
        <f>+H31/(SUM(G96:H97)/2)</f>
        <v/>
      </c>
      <c r="I55" s="446">
        <f>+I31/(SUM(H96:I97)/2)</f>
        <v/>
      </c>
      <c r="J55" s="446">
        <f>+J31/(SUM(I96:J97)/2)</f>
        <v/>
      </c>
      <c r="K55" s="446">
        <f>+K31/(SUM(J96:K97)/2)</f>
        <v/>
      </c>
      <c r="L55" s="446">
        <f>+L31/(SUM(K96:L97)/2)</f>
        <v/>
      </c>
      <c r="M55" s="446">
        <f>+M31/(SUM(L96:M97)/2)</f>
        <v/>
      </c>
      <c r="N55" s="446">
        <f>+N31/(SUM(M96:N97)/2)</f>
        <v/>
      </c>
      <c r="O55" s="446">
        <f>+O31/(SUM(N96:O97)/2)</f>
        <v/>
      </c>
      <c r="P55" s="446">
        <f>+P31/(SUM(O96:P97)/2)</f>
        <v/>
      </c>
      <c r="Q55" s="446">
        <f>+Q31/(SUM(P96:Q97)/2)</f>
        <v/>
      </c>
      <c r="R55" s="446">
        <f>+R31/(SUM(Q96:R97)/2)</f>
        <v/>
      </c>
      <c r="S55" s="446">
        <f>+S31/(SUM(R96:S97)/2)</f>
        <v/>
      </c>
      <c r="T55" s="446">
        <f>+T31/(SUM(S96:T97)/2)</f>
        <v/>
      </c>
      <c r="U55" s="446">
        <f>+U31/(SUM(T96:U97)/2)</f>
        <v/>
      </c>
      <c r="V55" s="446">
        <f>+V31/(SUM(U96:V97)/2)</f>
        <v/>
      </c>
      <c r="W55" s="446">
        <f>+W31/(SUM(V96:W97)/2)</f>
        <v/>
      </c>
      <c r="X55" s="446">
        <f>+X31/(SUM(W96:X97)/2)</f>
        <v/>
      </c>
      <c r="Y55" s="446">
        <f>+Y31/(SUM(X96:Y97)/2)</f>
        <v/>
      </c>
      <c r="Z55" s="446">
        <f>+Z31/(SUM(Y96:Z97)/2)</f>
        <v/>
      </c>
      <c r="AA55" s="446">
        <f>+AA31/(SUM(Z96:AA97)/2)</f>
        <v/>
      </c>
      <c r="AB55" s="446">
        <f>+AB31/(SUM(AA96:AB97)/2)</f>
        <v/>
      </c>
      <c r="AC55" s="446">
        <f>+AC31/(SUM(AB96:AC97)/2)</f>
        <v/>
      </c>
      <c r="AD55" s="446">
        <f>+AD31/(SUM(AC96:AD97)/2)</f>
        <v/>
      </c>
      <c r="AE55" s="446">
        <f>+AE31/(SUM(AD96:AE97)/2)</f>
        <v/>
      </c>
      <c r="AF55" s="446">
        <f>+AF31/(SUM(AE96:AF97)/2)</f>
        <v/>
      </c>
      <c r="AG55" s="446">
        <f>+AG31/(SUM(AF96:AG97)/2)</f>
        <v/>
      </c>
      <c r="AH55" s="446">
        <f>+AH31/(SUM(AG96:AH97)/2)</f>
        <v/>
      </c>
      <c r="AI55" s="446">
        <f>+AI31/(SUM(AH96:AI97)/2)</f>
        <v/>
      </c>
      <c r="AJ55" s="446">
        <f>+AJ31/(SUM(AI96:AJ97)/2)</f>
        <v/>
      </c>
      <c r="AK55" s="446">
        <f>+AK31/(SUM(AJ96:AK97)/2)</f>
        <v/>
      </c>
      <c r="AL55" s="446">
        <f>+AL31/(SUM(AK96:AL97)/2)</f>
        <v/>
      </c>
      <c r="AM55" s="446">
        <f>+AM31/(SUM(AL96:AM97)/2)</f>
        <v/>
      </c>
      <c r="AN55" s="446">
        <f>+AN31/(SUM(AM96:AN97)/2)</f>
        <v/>
      </c>
      <c r="AO55" s="18" t="n"/>
      <c r="AP55" s="555" t="n"/>
      <c r="AQ55" s="18" t="n"/>
      <c r="AR55" s="18" t="n"/>
      <c r="AS55" s="18" t="n"/>
      <c r="AT55" s="18" t="n"/>
      <c r="AU55" s="18" t="n"/>
      <c r="AV55" s="18" t="n"/>
      <c r="AW55" s="18" t="n"/>
    </row>
    <row r="56" customFormat="1" s="526">
      <c r="A56" s="157" t="inlineStr">
        <is>
          <t>Balance sheet</t>
        </is>
      </c>
      <c r="B56" s="553" t="n"/>
      <c r="C56" s="553" t="n"/>
      <c r="D56" s="553" t="n"/>
      <c r="E56" s="553" t="n"/>
      <c r="F56" s="553" t="n"/>
      <c r="G56" s="553" t="n"/>
      <c r="H56" s="553" t="n"/>
      <c r="I56" s="553" t="n"/>
      <c r="J56" s="553" t="n"/>
      <c r="K56" s="553" t="n"/>
      <c r="L56" s="553" t="n"/>
      <c r="M56" s="553" t="n"/>
      <c r="N56" s="553" t="n"/>
      <c r="O56" s="553" t="n"/>
      <c r="P56" s="553" t="n"/>
      <c r="Q56" s="553" t="n"/>
      <c r="R56" s="553" t="n"/>
      <c r="S56" s="553" t="n"/>
      <c r="T56" s="553" t="n"/>
      <c r="U56" s="553" t="n"/>
      <c r="V56" s="553" t="n"/>
      <c r="W56" s="553" t="n"/>
      <c r="X56" s="553" t="n"/>
      <c r="Y56" s="553" t="n"/>
      <c r="Z56" s="553" t="n"/>
      <c r="AA56" s="553" t="n"/>
      <c r="AB56" s="553" t="n"/>
      <c r="AC56" s="553" t="n"/>
      <c r="AD56" s="553" t="n"/>
      <c r="AE56" s="553">
        <f>33888-AE64</f>
        <v/>
      </c>
      <c r="AF56" s="553" t="n"/>
      <c r="AG56" s="553" t="n"/>
      <c r="AH56" s="553" t="n"/>
      <c r="AI56" s="553" t="n"/>
      <c r="AJ56" s="553" t="n"/>
      <c r="AK56" s="553" t="n"/>
      <c r="AL56" s="553" t="n"/>
      <c r="AM56" s="553" t="n"/>
      <c r="AN56" s="553" t="n"/>
      <c r="AO56" s="18" t="n"/>
      <c r="AP56" s="555" t="n"/>
    </row>
    <row r="57" customFormat="1" s="554">
      <c r="A57" s="554" t="inlineStr">
        <is>
          <t>Cash and equivalents</t>
        </is>
      </c>
      <c r="B57" s="512" t="n">
        <v>161</v>
      </c>
      <c r="C57" s="512" t="n">
        <v>2122</v>
      </c>
      <c r="D57" s="512" t="n">
        <v>2016</v>
      </c>
      <c r="E57" s="512" t="n">
        <v>1160</v>
      </c>
      <c r="F57" s="512" t="n">
        <v>2058</v>
      </c>
      <c r="G57" s="512" t="n">
        <v>18011</v>
      </c>
      <c r="H57" s="512">
        <f>8990+5797</f>
        <v/>
      </c>
      <c r="I57" s="512">
        <f>588+330</f>
        <v/>
      </c>
      <c r="J57" s="512">
        <f>2162+10</f>
        <v/>
      </c>
      <c r="K57" s="512" t="n">
        <v>80</v>
      </c>
      <c r="L57" s="512" t="n">
        <v>516</v>
      </c>
      <c r="M57" s="512" t="n">
        <v>787</v>
      </c>
      <c r="N57" s="512" t="n">
        <v>2520</v>
      </c>
      <c r="O57" s="512" t="n">
        <v>2041</v>
      </c>
      <c r="P57" s="512" t="n">
        <v>1613</v>
      </c>
      <c r="Q57" s="512" t="n">
        <v>2779</v>
      </c>
      <c r="R57" s="512" t="n">
        <v>782</v>
      </c>
      <c r="S57" s="512" t="n">
        <v>7994</v>
      </c>
      <c r="T57" s="512" t="n">
        <v>4756</v>
      </c>
      <c r="U57" s="512" t="n">
        <v>3866</v>
      </c>
      <c r="V57" s="512" t="n">
        <v>13026</v>
      </c>
      <c r="W57" s="512" t="n">
        <v>5233</v>
      </c>
      <c r="X57" s="512" t="n">
        <v>4393</v>
      </c>
      <c r="Y57" s="512" t="n">
        <v>3799</v>
      </c>
      <c r="Z57" s="512">
        <f>4467+200</f>
        <v/>
      </c>
      <c r="AA57" s="512">
        <f>6529+3401</f>
        <v/>
      </c>
      <c r="AB57" s="512">
        <f>7365+4761</f>
        <v/>
      </c>
      <c r="AC57" s="512">
        <f>7881+445</f>
        <v/>
      </c>
      <c r="AD57" s="512">
        <f>10158+1550</f>
        <v/>
      </c>
      <c r="AE57" s="512">
        <f>8199+61</f>
        <v/>
      </c>
      <c r="AF57" s="512">
        <f>4251+35</f>
        <v/>
      </c>
      <c r="AG57" s="512">
        <f>5182+22</f>
        <v/>
      </c>
      <c r="AH57" s="512">
        <f>4976+23</f>
        <v/>
      </c>
      <c r="AI57" s="528">
        <f>AH57+AI140</f>
        <v/>
      </c>
      <c r="AJ57" s="528">
        <f>AI57+AJ140</f>
        <v/>
      </c>
      <c r="AK57" s="528">
        <f>AJ57+AK140</f>
        <v/>
      </c>
      <c r="AL57" s="528">
        <f>AK57+AL140</f>
        <v/>
      </c>
      <c r="AM57" s="528">
        <f>AL57+AM140</f>
        <v/>
      </c>
      <c r="AN57" s="528">
        <f>AM57+AN140</f>
        <v/>
      </c>
      <c r="AO57" s="18" t="n"/>
      <c r="AP57" s="555" t="n"/>
      <c r="AQ57" s="18" t="n"/>
      <c r="AR57" s="18" t="n"/>
      <c r="AS57" s="18" t="n"/>
      <c r="AT57" s="18" t="n"/>
      <c r="AU57" s="18" t="n"/>
      <c r="AV57" s="18" t="n"/>
      <c r="AW57" s="18" t="n"/>
    </row>
    <row r="58" customFormat="1" s="220">
      <c r="A58" s="52" t="inlineStr">
        <is>
          <t>Marketable securities</t>
        </is>
      </c>
      <c r="B58" s="512" t="n">
        <v>0</v>
      </c>
      <c r="C58" s="512" t="n">
        <v>0</v>
      </c>
      <c r="D58" s="512" t="n">
        <v>0</v>
      </c>
      <c r="E58" s="512" t="n">
        <v>0</v>
      </c>
      <c r="F58" s="512" t="n">
        <v>0</v>
      </c>
      <c r="G58" s="512" t="n">
        <v>0</v>
      </c>
      <c r="H58" s="512" t="n">
        <v>0</v>
      </c>
      <c r="I58" s="512" t="n">
        <v>0</v>
      </c>
      <c r="J58" s="512" t="n">
        <v>0</v>
      </c>
      <c r="K58" s="512" t="n">
        <v>0</v>
      </c>
      <c r="L58" s="512" t="n">
        <v>671</v>
      </c>
      <c r="M58" s="512" t="n">
        <v>10</v>
      </c>
      <c r="N58" s="512" t="n">
        <v>0</v>
      </c>
      <c r="O58" s="512" t="n">
        <v>0</v>
      </c>
      <c r="P58" s="512" t="n">
        <v>0</v>
      </c>
      <c r="Q58" s="512" t="n">
        <v>0</v>
      </c>
      <c r="R58" s="512" t="n">
        <v>0</v>
      </c>
      <c r="S58" s="512" t="n">
        <v>0</v>
      </c>
      <c r="T58" s="512" t="n">
        <v>336</v>
      </c>
      <c r="U58" s="512" t="n">
        <v>0</v>
      </c>
      <c r="V58" s="512" t="n">
        <v>0</v>
      </c>
      <c r="W58" s="512" t="n">
        <v>0</v>
      </c>
      <c r="X58" s="512" t="n">
        <v>0</v>
      </c>
      <c r="Y58" s="512" t="n">
        <v>0</v>
      </c>
      <c r="Z58" s="512" t="n">
        <v>0</v>
      </c>
      <c r="AA58" s="512" t="n">
        <v>0</v>
      </c>
      <c r="AB58" s="512">
        <f>AA58</f>
        <v/>
      </c>
      <c r="AC58" s="512">
        <f>AB58</f>
        <v/>
      </c>
      <c r="AD58" s="512">
        <f>AC58</f>
        <v/>
      </c>
      <c r="AE58" s="512">
        <f>AD58</f>
        <v/>
      </c>
      <c r="AF58" s="512">
        <f>AE58</f>
        <v/>
      </c>
      <c r="AG58" s="512">
        <f>AF58</f>
        <v/>
      </c>
      <c r="AH58" s="512">
        <f>AG58</f>
        <v/>
      </c>
      <c r="AI58" s="512">
        <f>AH58</f>
        <v/>
      </c>
      <c r="AJ58" s="512">
        <f>AI58</f>
        <v/>
      </c>
      <c r="AK58" s="512">
        <f>AJ58</f>
        <v/>
      </c>
      <c r="AL58" s="512">
        <f>AK58</f>
        <v/>
      </c>
      <c r="AM58" s="512">
        <f>AL58</f>
        <v/>
      </c>
      <c r="AN58" s="512">
        <f>AM58</f>
        <v/>
      </c>
      <c r="AO58" s="18" t="n"/>
      <c r="AP58" s="555" t="n"/>
      <c r="AQ58" s="18" t="n"/>
      <c r="AR58" s="18" t="n"/>
      <c r="AS58" s="18" t="n"/>
      <c r="AT58" s="18" t="n"/>
      <c r="AU58" s="18" t="n"/>
      <c r="AV58" s="18" t="n"/>
      <c r="AW58" s="18" t="n"/>
    </row>
    <row r="59" customFormat="1" s="220">
      <c r="A59" s="562" t="inlineStr">
        <is>
          <t>Derivative instruments</t>
        </is>
      </c>
      <c r="B59" s="512" t="n">
        <v>0</v>
      </c>
      <c r="C59" s="512" t="n">
        <v>0</v>
      </c>
      <c r="D59" s="512" t="n">
        <v>0</v>
      </c>
      <c r="E59" s="512" t="n">
        <v>0</v>
      </c>
      <c r="F59" s="512" t="n">
        <v>0</v>
      </c>
      <c r="G59" s="512" t="n">
        <v>0</v>
      </c>
      <c r="H59" s="512" t="n">
        <v>0</v>
      </c>
      <c r="I59" s="512" t="n">
        <v>0</v>
      </c>
      <c r="J59" s="512" t="n">
        <v>0</v>
      </c>
      <c r="K59" s="512" t="n">
        <v>0</v>
      </c>
      <c r="L59" s="512" t="n">
        <v>0</v>
      </c>
      <c r="M59" s="512" t="n">
        <v>0</v>
      </c>
      <c r="N59" s="512" t="n">
        <v>0</v>
      </c>
      <c r="O59" s="512" t="n">
        <v>1302</v>
      </c>
      <c r="P59" s="512" t="n">
        <v>1131</v>
      </c>
      <c r="Q59" s="512" t="n">
        <v>2427</v>
      </c>
      <c r="R59" s="512" t="n">
        <v>1374</v>
      </c>
      <c r="S59" s="512" t="n">
        <v>1472</v>
      </c>
      <c r="T59" s="512" t="n">
        <v>1609</v>
      </c>
      <c r="U59" s="512" t="n">
        <v>2158</v>
      </c>
      <c r="V59" s="512" t="n">
        <v>1759</v>
      </c>
      <c r="W59" s="512" t="n">
        <v>1005</v>
      </c>
      <c r="X59" s="512" t="n">
        <v>659</v>
      </c>
      <c r="Y59" s="512" t="n">
        <v>600</v>
      </c>
      <c r="Z59" s="512" t="n">
        <v>692</v>
      </c>
      <c r="AA59" s="512" t="n">
        <v>1137</v>
      </c>
      <c r="AB59" s="512" t="n">
        <v>799</v>
      </c>
      <c r="AC59" s="512" t="n">
        <v>1035</v>
      </c>
      <c r="AD59" s="512" t="n">
        <v>1816</v>
      </c>
      <c r="AE59" s="512" t="n">
        <v>1475</v>
      </c>
      <c r="AF59" s="512" t="n">
        <v>2107</v>
      </c>
      <c r="AG59" s="512" t="n">
        <v>1077</v>
      </c>
      <c r="AH59" s="512" t="n">
        <v>900</v>
      </c>
      <c r="AI59" s="581">
        <f>AH59</f>
        <v/>
      </c>
      <c r="AJ59" s="581">
        <f>AI59</f>
        <v/>
      </c>
      <c r="AK59" s="581">
        <f>AJ59</f>
        <v/>
      </c>
      <c r="AL59" s="581">
        <f>AK59</f>
        <v/>
      </c>
      <c r="AM59" s="581">
        <f>AL59</f>
        <v/>
      </c>
      <c r="AN59" s="581">
        <f>AM59</f>
        <v/>
      </c>
      <c r="AO59" s="18" t="n"/>
      <c r="AP59" s="555" t="n"/>
      <c r="AQ59" s="18" t="n"/>
      <c r="AR59" s="18" t="n"/>
      <c r="AS59" s="18" t="n"/>
      <c r="AT59" s="18" t="n"/>
      <c r="AU59" s="18" t="n"/>
      <c r="AV59" s="18" t="n"/>
      <c r="AW59" s="18" t="n"/>
    </row>
    <row r="60" customFormat="1" s="554">
      <c r="A60" s="582" t="inlineStr">
        <is>
          <t>Accounts and lease receivables</t>
        </is>
      </c>
      <c r="B60" s="512" t="n">
        <v>1171</v>
      </c>
      <c r="C60" s="512" t="n">
        <v>1330</v>
      </c>
      <c r="D60" s="512" t="n">
        <v>1339</v>
      </c>
      <c r="E60" s="512" t="n">
        <v>1260</v>
      </c>
      <c r="F60" s="512" t="n">
        <v>1443</v>
      </c>
      <c r="G60" s="512">
        <f>1532+136</f>
        <v/>
      </c>
      <c r="H60" s="512" t="n">
        <v>2288</v>
      </c>
      <c r="I60" s="512" t="n">
        <v>1724</v>
      </c>
      <c r="J60" s="512" t="n">
        <v>1571</v>
      </c>
      <c r="K60" s="512" t="n">
        <v>1581</v>
      </c>
      <c r="L60" s="512" t="n">
        <v>1256</v>
      </c>
      <c r="M60" s="512" t="n">
        <v>4424</v>
      </c>
      <c r="N60" s="512" t="n">
        <v>3564</v>
      </c>
      <c r="O60" s="512" t="n">
        <v>5505</v>
      </c>
      <c r="P60" s="512">
        <f>8799+126</f>
        <v/>
      </c>
      <c r="Q60" s="512">
        <f>7121+152</f>
        <v/>
      </c>
      <c r="R60" s="512">
        <f>8239+128</f>
        <v/>
      </c>
      <c r="S60" s="512">
        <f>9018+130</f>
        <v/>
      </c>
      <c r="T60" s="512">
        <f>11118+144</f>
        <v/>
      </c>
      <c r="U60" s="512">
        <f>19419+142</f>
        <v/>
      </c>
      <c r="V60" s="512">
        <f>18552+1991+158</f>
        <v/>
      </c>
      <c r="W60" s="512">
        <f>997+17953+49</f>
        <v/>
      </c>
      <c r="X60" s="512">
        <f>1086+15719+50</f>
        <v/>
      </c>
      <c r="Y60" s="512">
        <f>52+13812+902</f>
        <v/>
      </c>
      <c r="Z60" s="512">
        <f>1424+13799+51</f>
        <v/>
      </c>
      <c r="AA60" s="512">
        <f>1047+15427+148</f>
        <v/>
      </c>
      <c r="AB60" s="512">
        <f>847+15917</f>
        <v/>
      </c>
      <c r="AC60" s="512">
        <f>12986+996</f>
        <v/>
      </c>
      <c r="AD60" s="512">
        <f>13002+1019</f>
        <v/>
      </c>
      <c r="AE60" s="512">
        <f>15404+1166+546</f>
        <v/>
      </c>
      <c r="AF60" s="512">
        <f>17314+804</f>
        <v/>
      </c>
      <c r="AG60" s="512">
        <f>13650+1151</f>
        <v/>
      </c>
      <c r="AH60" s="512">
        <f>14114+1055</f>
        <v/>
      </c>
      <c r="AI60" s="581">
        <f>AH60*AI7/AH7</f>
        <v/>
      </c>
      <c r="AJ60" s="581">
        <f>AI60*AJ7/AI7</f>
        <v/>
      </c>
      <c r="AK60" s="581">
        <f>AJ60*AK7/AJ7</f>
        <v/>
      </c>
      <c r="AL60" s="581">
        <f>AK60*AL7/AK7</f>
        <v/>
      </c>
      <c r="AM60" s="581">
        <f>AL60*AM7/AL7</f>
        <v/>
      </c>
      <c r="AN60" s="581">
        <f>AM60*AN7/AM7</f>
        <v/>
      </c>
      <c r="AO60" s="18" t="n"/>
      <c r="AP60" s="555" t="n"/>
      <c r="AQ60" s="18" t="n"/>
      <c r="AR60" s="18" t="n"/>
      <c r="AS60" s="18" t="n"/>
      <c r="AT60" s="18" t="n"/>
      <c r="AU60" s="18" t="n"/>
      <c r="AV60" s="18" t="n"/>
      <c r="AW60" s="18" t="n"/>
    </row>
    <row r="61" customFormat="1" s="583">
      <c r="A61" s="582" t="inlineStr">
        <is>
          <t>Fuel clause account</t>
        </is>
      </c>
      <c r="B61" s="512" t="n">
        <v>0</v>
      </c>
      <c r="C61" s="512" t="n">
        <v>0</v>
      </c>
      <c r="D61" s="512" t="n">
        <v>0</v>
      </c>
      <c r="E61" s="512" t="n">
        <v>0</v>
      </c>
      <c r="F61" s="512" t="n">
        <v>0</v>
      </c>
      <c r="G61" s="512" t="n">
        <v>0</v>
      </c>
      <c r="H61" s="512" t="n">
        <v>0</v>
      </c>
      <c r="I61" s="512" t="n">
        <v>0</v>
      </c>
      <c r="J61" s="512" t="n">
        <v>0</v>
      </c>
      <c r="K61" s="512" t="n">
        <v>0</v>
      </c>
      <c r="L61" s="512" t="n">
        <v>0</v>
      </c>
      <c r="M61" s="512" t="n">
        <v>0</v>
      </c>
      <c r="N61" s="512" t="n">
        <v>0</v>
      </c>
      <c r="O61" s="512" t="n">
        <v>0</v>
      </c>
      <c r="P61" s="512" t="n">
        <v>0</v>
      </c>
      <c r="Q61" s="512" t="n">
        <v>132</v>
      </c>
      <c r="R61" s="512" t="n">
        <v>0</v>
      </c>
      <c r="S61" s="512" t="n">
        <v>0</v>
      </c>
      <c r="T61" s="512" t="n">
        <v>0</v>
      </c>
      <c r="U61" s="512" t="n">
        <v>0</v>
      </c>
      <c r="V61" s="512" t="n">
        <v>0</v>
      </c>
      <c r="W61" s="512" t="n">
        <v>0</v>
      </c>
      <c r="X61" s="512" t="n">
        <v>0</v>
      </c>
      <c r="Y61" s="512" t="n">
        <v>0</v>
      </c>
      <c r="Z61" s="512" t="n">
        <v>0</v>
      </c>
      <c r="AA61" s="512">
        <f>'SOC Accounts'!AA8-AA72</f>
        <v/>
      </c>
      <c r="AB61" s="512">
        <f>'SOC Accounts'!AB8-AB72</f>
        <v/>
      </c>
      <c r="AC61" s="512">
        <f>'SOC Accounts'!AC8-AC72</f>
        <v/>
      </c>
      <c r="AD61" s="512">
        <f>'SOC Accounts'!AD8-AD72</f>
        <v/>
      </c>
      <c r="AE61" s="512">
        <f>'SOC Accounts'!AE8</f>
        <v/>
      </c>
      <c r="AF61" s="512">
        <f>'SOC Accounts'!AF8</f>
        <v/>
      </c>
      <c r="AG61" s="512">
        <f>'SOC Accounts'!AG8</f>
        <v/>
      </c>
      <c r="AH61" s="512">
        <f>'SOC Accounts'!AH8</f>
        <v/>
      </c>
      <c r="AI61" s="512">
        <f>'SOC Accounts'!AI8</f>
        <v/>
      </c>
      <c r="AJ61" s="512">
        <f>'SOC Accounts'!AJ8</f>
        <v/>
      </c>
      <c r="AK61" s="512">
        <f>'SOC Accounts'!AK8</f>
        <v/>
      </c>
      <c r="AL61" s="512">
        <f>'SOC Accounts'!AL8</f>
        <v/>
      </c>
      <c r="AM61" s="512">
        <f>'SOC Accounts'!AM8</f>
        <v/>
      </c>
      <c r="AN61" s="512">
        <f>'SOC Accounts'!AN8</f>
        <v/>
      </c>
      <c r="AO61" s="18" t="n"/>
      <c r="AP61" s="555" t="n"/>
      <c r="AQ61" s="18" t="n"/>
      <c r="AR61" s="18" t="n"/>
      <c r="AS61" s="18" t="n"/>
      <c r="AT61" s="18" t="n"/>
      <c r="AU61" s="18" t="n"/>
      <c r="AV61" s="18" t="n"/>
      <c r="AW61" s="18" t="n"/>
    </row>
    <row r="62" customFormat="1" s="554">
      <c r="A62" s="554" t="inlineStr">
        <is>
          <t>Inventories</t>
        </is>
      </c>
      <c r="B62" s="512" t="n">
        <v>45</v>
      </c>
      <c r="C62" s="512" t="n">
        <v>35</v>
      </c>
      <c r="D62" s="512" t="n">
        <v>38</v>
      </c>
      <c r="E62" s="512" t="n">
        <v>43</v>
      </c>
      <c r="F62" s="512" t="n">
        <v>43</v>
      </c>
      <c r="G62" s="512" t="n">
        <v>43</v>
      </c>
      <c r="H62" s="512" t="n">
        <v>42</v>
      </c>
      <c r="I62" s="512" t="n">
        <v>41</v>
      </c>
      <c r="J62" s="512" t="n">
        <v>41</v>
      </c>
      <c r="K62" s="512" t="n">
        <v>43</v>
      </c>
      <c r="L62" s="512" t="n">
        <v>67</v>
      </c>
      <c r="M62" s="512" t="n">
        <v>230</v>
      </c>
      <c r="N62" s="512" t="n">
        <v>299</v>
      </c>
      <c r="O62" s="512" t="n">
        <v>596</v>
      </c>
      <c r="P62" s="512" t="n">
        <v>647</v>
      </c>
      <c r="Q62" s="512" t="n">
        <v>667</v>
      </c>
      <c r="R62" s="512" t="n">
        <v>662</v>
      </c>
      <c r="S62" s="512" t="n">
        <v>715</v>
      </c>
      <c r="T62" s="512" t="n">
        <v>751</v>
      </c>
      <c r="U62" s="512" t="n">
        <v>1470</v>
      </c>
      <c r="V62" s="512" t="n">
        <v>1667</v>
      </c>
      <c r="W62" s="512" t="n">
        <v>1482</v>
      </c>
      <c r="X62" s="512" t="n">
        <v>3618</v>
      </c>
      <c r="Y62" s="512" t="n">
        <v>3110</v>
      </c>
      <c r="Z62" s="512" t="n">
        <v>2565</v>
      </c>
      <c r="AA62" s="512" t="n">
        <v>3050</v>
      </c>
      <c r="AB62" s="512" t="n">
        <v>2840</v>
      </c>
      <c r="AC62" s="512" t="n">
        <v>2510</v>
      </c>
      <c r="AD62" s="512" t="n">
        <v>2872</v>
      </c>
      <c r="AE62" s="512" t="n">
        <v>2941</v>
      </c>
      <c r="AF62" s="512" t="n">
        <v>3696</v>
      </c>
      <c r="AG62" s="512" t="n">
        <v>3327</v>
      </c>
      <c r="AH62" s="512" t="n">
        <v>3513</v>
      </c>
      <c r="AI62" s="528">
        <f>AH62*AI7/AH7</f>
        <v/>
      </c>
      <c r="AJ62" s="528">
        <f>AI62*AJ7/AI7</f>
        <v/>
      </c>
      <c r="AK62" s="528">
        <f>AJ62*AK7/AJ7</f>
        <v/>
      </c>
      <c r="AL62" s="528">
        <f>AK62*AL7/AK7</f>
        <v/>
      </c>
      <c r="AM62" s="528">
        <f>AL62*AM7/AL7</f>
        <v/>
      </c>
      <c r="AN62" s="528">
        <f>AM62*AN7/AM7</f>
        <v/>
      </c>
      <c r="AO62" s="18" t="n"/>
      <c r="AP62" s="555" t="n"/>
      <c r="AQ62" s="18" t="n"/>
      <c r="AR62" s="18" t="n"/>
      <c r="AS62" s="18" t="n"/>
      <c r="AT62" s="18" t="n"/>
      <c r="AU62" s="18" t="n"/>
      <c r="AV62" s="18" t="n"/>
      <c r="AW62" s="18" t="n"/>
    </row>
    <row r="63" customFormat="1" s="554">
      <c r="A63" s="554" t="inlineStr">
        <is>
          <t>Property under development</t>
        </is>
      </c>
      <c r="B63" s="512" t="n"/>
      <c r="C63" s="512" t="n"/>
      <c r="D63" s="512" t="n"/>
      <c r="E63" s="512" t="n"/>
      <c r="F63" s="512" t="n"/>
      <c r="G63" s="512" t="n"/>
      <c r="H63" s="512" t="n"/>
      <c r="I63" s="512" t="n"/>
      <c r="J63" s="512" t="n"/>
      <c r="K63" s="512" t="n"/>
      <c r="L63" s="512" t="n"/>
      <c r="M63" s="512" t="n"/>
      <c r="N63" s="512" t="n"/>
      <c r="O63" s="512" t="n"/>
      <c r="P63" s="512" t="n"/>
      <c r="Q63" s="512" t="n"/>
      <c r="R63" s="512" t="n"/>
      <c r="S63" s="512" t="n"/>
      <c r="T63" s="512" t="n">
        <v>0</v>
      </c>
      <c r="U63" s="512" t="n">
        <v>0</v>
      </c>
      <c r="V63" s="512" t="n">
        <v>0</v>
      </c>
      <c r="W63" s="512" t="n">
        <v>0</v>
      </c>
      <c r="X63" s="512" t="n">
        <v>0</v>
      </c>
      <c r="Y63" s="512" t="n">
        <v>0</v>
      </c>
      <c r="Z63" s="512" t="n">
        <v>0</v>
      </c>
      <c r="AA63" s="512" t="n">
        <v>2971</v>
      </c>
      <c r="AB63" s="512" t="n">
        <v>2971</v>
      </c>
      <c r="AC63" s="512" t="n">
        <v>2973</v>
      </c>
      <c r="AD63" s="512" t="n">
        <v>2976</v>
      </c>
      <c r="AE63" s="512" t="n">
        <v>2980</v>
      </c>
      <c r="AF63" s="584" t="n">
        <v>2711</v>
      </c>
      <c r="AG63" s="584" t="n">
        <v>2193</v>
      </c>
      <c r="AH63" s="584" t="n">
        <v>1888</v>
      </c>
      <c r="AI63" s="581">
        <f>AH63</f>
        <v/>
      </c>
      <c r="AJ63" s="581">
        <f>AI63</f>
        <v/>
      </c>
      <c r="AK63" s="581">
        <f>AJ63</f>
        <v/>
      </c>
      <c r="AL63" s="581">
        <f>AK63</f>
        <v/>
      </c>
      <c r="AM63" s="581">
        <f>AL63</f>
        <v/>
      </c>
      <c r="AN63" s="581">
        <f>AM63</f>
        <v/>
      </c>
      <c r="AO63" s="18" t="n"/>
      <c r="AP63" s="555" t="n"/>
      <c r="AQ63" s="18" t="n"/>
      <c r="AR63" s="18" t="n"/>
      <c r="AS63" s="18" t="n"/>
      <c r="AT63" s="18" t="n"/>
      <c r="AU63" s="18" t="n"/>
      <c r="AV63" s="18" t="n"/>
      <c r="AW63" s="18" t="n"/>
    </row>
    <row r="64" customFormat="1" s="556">
      <c r="A64" s="556" t="inlineStr">
        <is>
          <t>Total current assets</t>
        </is>
      </c>
      <c r="B64" s="560">
        <f>SUM(B57:B62)</f>
        <v/>
      </c>
      <c r="C64" s="560">
        <f>SUM(C57:C62)</f>
        <v/>
      </c>
      <c r="D64" s="560">
        <f>SUM(D57:D62)</f>
        <v/>
      </c>
      <c r="E64" s="560">
        <f>SUM(E57:E62)</f>
        <v/>
      </c>
      <c r="F64" s="560">
        <f>SUM(F57:F62)</f>
        <v/>
      </c>
      <c r="G64" s="560">
        <f>SUM(G57:G62)</f>
        <v/>
      </c>
      <c r="H64" s="560">
        <f>SUM(H57:H62)</f>
        <v/>
      </c>
      <c r="I64" s="560">
        <f>SUM(I57:I62)</f>
        <v/>
      </c>
      <c r="J64" s="560">
        <f>SUM(J57:J62)</f>
        <v/>
      </c>
      <c r="K64" s="560">
        <f>SUM(K57:K62)</f>
        <v/>
      </c>
      <c r="L64" s="560">
        <f>SUM(L57:L62)</f>
        <v/>
      </c>
      <c r="M64" s="560">
        <f>SUM(M57:M62)</f>
        <v/>
      </c>
      <c r="N64" s="560">
        <f>SUM(N57:N62)</f>
        <v/>
      </c>
      <c r="O64" s="560">
        <f>SUM(O57:O62)</f>
        <v/>
      </c>
      <c r="P64" s="560">
        <f>SUM(P57:P62)</f>
        <v/>
      </c>
      <c r="Q64" s="560">
        <f>SUM(Q57:Q62)</f>
        <v/>
      </c>
      <c r="R64" s="560">
        <f>SUM(R57:R62)</f>
        <v/>
      </c>
      <c r="S64" s="560">
        <f>SUM(S57:S62)</f>
        <v/>
      </c>
      <c r="T64" s="560">
        <f>SUM(T57:T63)</f>
        <v/>
      </c>
      <c r="U64" s="560">
        <f>SUM(U57:U62)</f>
        <v/>
      </c>
      <c r="V64" s="560">
        <f>SUM(V57:V62)</f>
        <v/>
      </c>
      <c r="W64" s="560">
        <f>SUM(W57:W62)</f>
        <v/>
      </c>
      <c r="X64" s="560">
        <f>SUM(X57:X62)</f>
        <v/>
      </c>
      <c r="Y64" s="560">
        <f>SUM(Y57:Y62)</f>
        <v/>
      </c>
      <c r="Z64" s="560">
        <f>SUM(Z57:Z62)</f>
        <v/>
      </c>
      <c r="AA64" s="560">
        <f>SUM(AA57:AA63)</f>
        <v/>
      </c>
      <c r="AB64" s="560">
        <f>SUM(AB57:AB63)</f>
        <v/>
      </c>
      <c r="AC64" s="560">
        <f>SUM(AC57:AC63)</f>
        <v/>
      </c>
      <c r="AD64" s="560">
        <f>SUM(AD57:AD63)</f>
        <v/>
      </c>
      <c r="AE64" s="560">
        <f>SUM(AE57:AE63)</f>
        <v/>
      </c>
      <c r="AF64" s="560">
        <f>SUM(AF57:AF63)</f>
        <v/>
      </c>
      <c r="AG64" s="560">
        <f>SUM(AG57:AG63)</f>
        <v/>
      </c>
      <c r="AH64" s="560">
        <f>SUM(AH57:AH63)</f>
        <v/>
      </c>
      <c r="AI64" s="560">
        <f>SUM(AI57:AI63)</f>
        <v/>
      </c>
      <c r="AJ64" s="560">
        <f>SUM(AJ57:AJ63)</f>
        <v/>
      </c>
      <c r="AK64" s="560">
        <f>SUM(AK57:AK63)</f>
        <v/>
      </c>
      <c r="AL64" s="560">
        <f>SUM(AL57:AL63)</f>
        <v/>
      </c>
      <c r="AM64" s="560">
        <f>SUM(AM57:AM63)</f>
        <v/>
      </c>
      <c r="AN64" s="560">
        <f>SUM(AN57:AN63)</f>
        <v/>
      </c>
      <c r="AO64" s="18" t="n"/>
      <c r="AP64" s="555" t="n"/>
      <c r="AQ64" s="18" t="n"/>
      <c r="AR64" s="18" t="n"/>
      <c r="AS64" s="18" t="n"/>
      <c r="AT64" s="18" t="n"/>
      <c r="AU64" s="18" t="n"/>
      <c r="AV64" s="18" t="n"/>
      <c r="AW64" s="18" t="n"/>
    </row>
    <row r="65" customFormat="1" s="554">
      <c r="A65" s="554" t="inlineStr">
        <is>
          <t>Net fixed assets &amp; leasehold land</t>
        </is>
      </c>
      <c r="B65" s="512" t="n">
        <v>17255</v>
      </c>
      <c r="C65" s="512" t="n">
        <v>19040</v>
      </c>
      <c r="D65" s="512" t="n">
        <v>21119</v>
      </c>
      <c r="E65" s="512" t="n">
        <v>23537</v>
      </c>
      <c r="F65" s="512" t="n">
        <v>25507</v>
      </c>
      <c r="G65" s="512" t="n">
        <v>26917</v>
      </c>
      <c r="H65" s="512" t="n">
        <v>27503</v>
      </c>
      <c r="I65" s="512" t="n">
        <v>28903</v>
      </c>
      <c r="J65" s="512" t="n">
        <v>30692</v>
      </c>
      <c r="K65" s="512" t="n">
        <v>33577</v>
      </c>
      <c r="L65" s="512" t="n">
        <v>36550</v>
      </c>
      <c r="M65" s="512" t="n">
        <v>54157</v>
      </c>
      <c r="N65" s="512" t="n">
        <v>57748</v>
      </c>
      <c r="O65" s="512" t="n">
        <v>63049</v>
      </c>
      <c r="P65" s="512" t="n">
        <v>85653</v>
      </c>
      <c r="Q65" s="512" t="n">
        <v>88609</v>
      </c>
      <c r="R65" s="512" t="n">
        <v>89123</v>
      </c>
      <c r="S65" s="512" t="n">
        <v>98858</v>
      </c>
      <c r="T65" s="512" t="n">
        <v>117460</v>
      </c>
      <c r="U65" s="512" t="n">
        <v>130382</v>
      </c>
      <c r="V65" s="512" t="n">
        <v>134329</v>
      </c>
      <c r="W65" s="512">
        <f>126876+1806</f>
        <v/>
      </c>
      <c r="X65" s="512">
        <f>128133+5696</f>
        <v/>
      </c>
      <c r="Y65" s="512">
        <f>127801+5542</f>
        <v/>
      </c>
      <c r="Z65" s="512">
        <f>130189+5444</f>
        <v/>
      </c>
      <c r="AA65" s="512">
        <f>137207+5345</f>
        <v/>
      </c>
      <c r="AB65" s="512">
        <f>141309+5432</f>
        <v/>
      </c>
      <c r="AC65" s="512">
        <f>143615+6050</f>
        <v/>
      </c>
      <c r="AD65" s="512">
        <f>148454+7061</f>
        <v/>
      </c>
      <c r="AE65" s="512">
        <f>154058+7130</f>
        <v/>
      </c>
      <c r="AF65" s="512">
        <f>147267+7582</f>
        <v/>
      </c>
      <c r="AG65" s="512">
        <f>152786+7993</f>
        <v/>
      </c>
      <c r="AH65" s="512">
        <f>158532+10183</f>
        <v/>
      </c>
      <c r="AI65" s="528">
        <f>Driver!AI72</f>
        <v/>
      </c>
      <c r="AJ65" s="528">
        <f>Driver!AJ72</f>
        <v/>
      </c>
      <c r="AK65" s="528">
        <f>Driver!AK72</f>
        <v/>
      </c>
      <c r="AL65" s="528">
        <f>Driver!AL72</f>
        <v/>
      </c>
      <c r="AM65" s="528">
        <f>Driver!AM72</f>
        <v/>
      </c>
      <c r="AN65" s="528">
        <f>Driver!AN72</f>
        <v/>
      </c>
      <c r="AO65" s="18" t="n"/>
      <c r="AP65" s="555" t="n"/>
      <c r="AQ65" s="18" t="n"/>
      <c r="AR65" s="18" t="n"/>
      <c r="AS65" s="18" t="n"/>
      <c r="AT65" s="18" t="n"/>
      <c r="AU65" s="18" t="n"/>
      <c r="AV65" s="18" t="n"/>
      <c r="AW65" s="18" t="n"/>
    </row>
    <row r="66" customFormat="1" s="554">
      <c r="A66" s="554" t="inlineStr">
        <is>
          <t>Intangible assets</t>
        </is>
      </c>
      <c r="B66" s="512" t="n">
        <v>0</v>
      </c>
      <c r="C66" s="512" t="n">
        <v>0</v>
      </c>
      <c r="D66" s="512" t="n">
        <v>0</v>
      </c>
      <c r="E66" s="512" t="n">
        <v>0</v>
      </c>
      <c r="F66" s="512" t="n">
        <v>0</v>
      </c>
      <c r="G66" s="512" t="n">
        <v>0</v>
      </c>
      <c r="H66" s="512" t="n">
        <v>0</v>
      </c>
      <c r="I66" s="512" t="n">
        <v>0</v>
      </c>
      <c r="J66" s="512" t="n">
        <v>0</v>
      </c>
      <c r="K66" s="512" t="n">
        <v>0</v>
      </c>
      <c r="L66" s="512" t="n">
        <v>0</v>
      </c>
      <c r="M66" s="512" t="n">
        <v>-1017</v>
      </c>
      <c r="N66" s="512" t="n">
        <v>-1022</v>
      </c>
      <c r="O66" s="512" t="n">
        <v>7949</v>
      </c>
      <c r="P66" s="512" t="n">
        <v>7326</v>
      </c>
      <c r="Q66" s="512" t="n">
        <v>8135</v>
      </c>
      <c r="R66" s="512" t="n">
        <v>6324</v>
      </c>
      <c r="S66" s="512" t="n">
        <v>8105</v>
      </c>
      <c r="T66" s="512" t="n">
        <v>9150</v>
      </c>
      <c r="U66" s="512" t="n">
        <v>27369</v>
      </c>
      <c r="V66" s="512" t="n">
        <v>28479</v>
      </c>
      <c r="W66" s="512" t="n">
        <v>23847</v>
      </c>
      <c r="X66" s="512" t="n">
        <v>31129</v>
      </c>
      <c r="Y66" s="512" t="n">
        <v>28257</v>
      </c>
      <c r="Z66" s="512" t="n">
        <v>27653</v>
      </c>
      <c r="AA66" s="512" t="n">
        <v>29087</v>
      </c>
      <c r="AB66" s="512" t="n">
        <v>26910</v>
      </c>
      <c r="AC66" s="512" t="n">
        <v>20111</v>
      </c>
      <c r="AD66" s="512" t="n">
        <v>20559</v>
      </c>
      <c r="AE66" s="512" t="n">
        <v>19710</v>
      </c>
      <c r="AF66" s="512" t="n">
        <v>18451</v>
      </c>
      <c r="AG66" s="512" t="n">
        <v>12854</v>
      </c>
      <c r="AH66" s="512" t="n">
        <v>12445</v>
      </c>
      <c r="AI66" s="528">
        <f>AH66+Driver!AI24</f>
        <v/>
      </c>
      <c r="AJ66" s="528">
        <f>AI66+Driver!AJ24</f>
        <v/>
      </c>
      <c r="AK66" s="528">
        <f>AJ66+Driver!AK24</f>
        <v/>
      </c>
      <c r="AL66" s="528">
        <f>AK66+Driver!AL24</f>
        <v/>
      </c>
      <c r="AM66" s="528">
        <f>AL66+Driver!AM24</f>
        <v/>
      </c>
      <c r="AN66" s="528">
        <f>AM66+Driver!AN24</f>
        <v/>
      </c>
      <c r="AO66" s="18" t="n"/>
      <c r="AP66" s="555" t="n"/>
      <c r="AQ66" s="18" t="n"/>
      <c r="AR66" s="18" t="n"/>
      <c r="AS66" s="18" t="n"/>
      <c r="AT66" s="18" t="n"/>
      <c r="AU66" s="18" t="n"/>
      <c r="AV66" s="18" t="n"/>
      <c r="AW66" s="18" t="n"/>
    </row>
    <row r="67" customFormat="1" s="554">
      <c r="A67" s="562" t="inlineStr">
        <is>
          <t>Jointly controlled entities</t>
        </is>
      </c>
      <c r="B67" s="512" t="n">
        <v>4498</v>
      </c>
      <c r="C67" s="512" t="n">
        <v>5112</v>
      </c>
      <c r="D67" s="512" t="n">
        <v>5056</v>
      </c>
      <c r="E67" s="512" t="n">
        <v>4973</v>
      </c>
      <c r="F67" s="512" t="n">
        <v>5206</v>
      </c>
      <c r="G67" s="512" t="n">
        <v>5826</v>
      </c>
      <c r="H67" s="512" t="n">
        <v>7932</v>
      </c>
      <c r="I67" s="512" t="n">
        <v>10854</v>
      </c>
      <c r="J67" s="512" t="n">
        <v>12155</v>
      </c>
      <c r="K67" s="512" t="n">
        <v>15786</v>
      </c>
      <c r="L67" s="512" t="n">
        <v>18982</v>
      </c>
      <c r="M67" s="512" t="n">
        <v>14687</v>
      </c>
      <c r="N67" s="512" t="n">
        <v>14998</v>
      </c>
      <c r="O67" s="512" t="n">
        <v>16519</v>
      </c>
      <c r="P67" s="512" t="n">
        <v>19163</v>
      </c>
      <c r="Q67" s="512" t="n">
        <v>17684</v>
      </c>
      <c r="R67" s="512" t="n">
        <v>17791</v>
      </c>
      <c r="S67" s="512" t="n">
        <v>18838</v>
      </c>
      <c r="T67" s="512" t="n">
        <v>20476</v>
      </c>
      <c r="U67" s="512" t="n">
        <v>18226</v>
      </c>
      <c r="V67" s="512" t="n">
        <v>19197</v>
      </c>
      <c r="W67" s="512" t="n">
        <v>19940</v>
      </c>
      <c r="X67" s="512" t="n">
        <v>11176</v>
      </c>
      <c r="Y67" s="512" t="n">
        <v>11250</v>
      </c>
      <c r="Z67" s="512" t="n">
        <v>9971</v>
      </c>
      <c r="AA67" s="512" t="n">
        <v>10383</v>
      </c>
      <c r="AB67" s="512" t="n">
        <v>9674</v>
      </c>
      <c r="AC67" s="512" t="n">
        <v>9999</v>
      </c>
      <c r="AD67" s="512" t="n">
        <v>11017</v>
      </c>
      <c r="AE67" s="512" t="n">
        <v>10602</v>
      </c>
      <c r="AF67" s="512" t="n">
        <v>11748</v>
      </c>
      <c r="AG67" s="512" t="n">
        <v>12518</v>
      </c>
      <c r="AH67" s="512" t="n">
        <v>12188</v>
      </c>
      <c r="AI67" s="528">
        <f>Driver!AI121</f>
        <v/>
      </c>
      <c r="AJ67" s="528">
        <f>Driver!AJ121</f>
        <v/>
      </c>
      <c r="AK67" s="528">
        <f>Driver!AK121</f>
        <v/>
      </c>
      <c r="AL67" s="528">
        <f>Driver!AL121</f>
        <v/>
      </c>
      <c r="AM67" s="528">
        <f>Driver!AM121</f>
        <v/>
      </c>
      <c r="AN67" s="528">
        <f>Driver!AN121</f>
        <v/>
      </c>
      <c r="AO67" s="18" t="n"/>
      <c r="AP67" s="555" t="n"/>
      <c r="AQ67" s="18" t="n"/>
      <c r="AR67" s="18" t="n"/>
      <c r="AS67" s="18" t="n"/>
      <c r="AT67" s="18" t="n"/>
      <c r="AU67" s="18" t="n"/>
      <c r="AV67" s="18" t="n"/>
      <c r="AW67" s="18" t="n"/>
    </row>
    <row r="68" customFormat="1" s="554">
      <c r="A68" s="562" t="inlineStr">
        <is>
          <t>Associates</t>
        </is>
      </c>
      <c r="B68" s="512" t="n">
        <v>0</v>
      </c>
      <c r="C68" s="512" t="n">
        <v>0</v>
      </c>
      <c r="D68" s="512" t="n">
        <v>0</v>
      </c>
      <c r="E68" s="512" t="n">
        <v>0</v>
      </c>
      <c r="F68" s="512" t="n">
        <v>0</v>
      </c>
      <c r="G68" s="512" t="n">
        <v>0</v>
      </c>
      <c r="H68" s="512" t="n">
        <v>1952</v>
      </c>
      <c r="I68" s="512" t="n">
        <v>2156</v>
      </c>
      <c r="J68" s="512" t="n">
        <v>1172.634726730435</v>
      </c>
      <c r="K68" s="512" t="n">
        <v>1229.634726730435</v>
      </c>
      <c r="L68" s="512" t="n">
        <v>1426</v>
      </c>
      <c r="M68" s="512" t="n">
        <v>1593</v>
      </c>
      <c r="N68" s="512" t="n">
        <v>1640</v>
      </c>
      <c r="O68" s="512" t="n">
        <v>1641</v>
      </c>
      <c r="P68" s="512" t="n">
        <v>18</v>
      </c>
      <c r="Q68" s="512" t="n">
        <v>299</v>
      </c>
      <c r="R68" s="512" t="n">
        <v>242</v>
      </c>
      <c r="S68" s="512" t="n">
        <v>1813</v>
      </c>
      <c r="T68" s="512" t="n">
        <v>2378</v>
      </c>
      <c r="U68" s="512" t="n">
        <v>1465</v>
      </c>
      <c r="V68" s="512" t="n">
        <v>1856</v>
      </c>
      <c r="W68" s="512" t="n">
        <v>1675</v>
      </c>
      <c r="X68" s="512" t="n">
        <v>786</v>
      </c>
      <c r="Y68" s="512" t="n">
        <v>785</v>
      </c>
      <c r="Z68" s="512" t="n">
        <v>813</v>
      </c>
      <c r="AA68" s="512" t="n">
        <v>8081</v>
      </c>
      <c r="AB68" s="512" t="n">
        <v>7746</v>
      </c>
      <c r="AC68" s="512" t="n">
        <v>8708</v>
      </c>
      <c r="AD68" s="512" t="n">
        <v>9181</v>
      </c>
      <c r="AE68" s="512" t="n">
        <v>8769</v>
      </c>
      <c r="AF68" s="512" t="n">
        <v>9090</v>
      </c>
      <c r="AG68" s="512" t="n">
        <v>9380</v>
      </c>
      <c r="AH68" s="512" t="n">
        <v>8486</v>
      </c>
      <c r="AI68" s="528">
        <f>Driver!AI130</f>
        <v/>
      </c>
      <c r="AJ68" s="528">
        <f>Driver!AJ130</f>
        <v/>
      </c>
      <c r="AK68" s="528">
        <f>Driver!AK130</f>
        <v/>
      </c>
      <c r="AL68" s="528">
        <f>Driver!AL130</f>
        <v/>
      </c>
      <c r="AM68" s="528">
        <f>Driver!AM130</f>
        <v/>
      </c>
      <c r="AN68" s="528">
        <f>Driver!AN130</f>
        <v/>
      </c>
      <c r="AO68" s="18" t="n"/>
      <c r="AP68" s="555" t="n"/>
      <c r="AQ68" s="18" t="n"/>
      <c r="AR68" s="18" t="n"/>
      <c r="AS68" s="18" t="n"/>
      <c r="AT68" s="18" t="n"/>
      <c r="AU68" s="18" t="n"/>
      <c r="AV68" s="18" t="n"/>
      <c r="AW68" s="18" t="n"/>
    </row>
    <row r="69" customFormat="1" s="554">
      <c r="A69" s="562" t="inlineStr">
        <is>
          <t>Lease receivables</t>
        </is>
      </c>
      <c r="B69" s="512" t="n">
        <v>0</v>
      </c>
      <c r="C69" s="512" t="n">
        <v>0</v>
      </c>
      <c r="D69" s="512" t="n">
        <v>0</v>
      </c>
      <c r="E69" s="512" t="n">
        <v>0</v>
      </c>
      <c r="F69" s="512" t="n">
        <v>0</v>
      </c>
      <c r="G69" s="512" t="n">
        <v>0</v>
      </c>
      <c r="H69" s="512" t="n">
        <v>0</v>
      </c>
      <c r="I69" s="512" t="n">
        <v>0</v>
      </c>
      <c r="J69" s="512" t="n">
        <v>0</v>
      </c>
      <c r="K69" s="512" t="n">
        <v>0</v>
      </c>
      <c r="L69" s="512" t="n">
        <v>0</v>
      </c>
      <c r="M69" s="512" t="n">
        <v>0</v>
      </c>
      <c r="N69" s="512" t="n">
        <v>0</v>
      </c>
      <c r="O69" s="512" t="n">
        <v>0</v>
      </c>
      <c r="P69" s="512" t="n">
        <v>2740</v>
      </c>
      <c r="Q69" s="512" t="n">
        <v>3130</v>
      </c>
      <c r="R69" s="512" t="n">
        <v>2387</v>
      </c>
      <c r="S69" s="512" t="n">
        <v>2379</v>
      </c>
      <c r="T69" s="512" t="n">
        <v>2286</v>
      </c>
      <c r="U69" s="512" t="n">
        <v>1847</v>
      </c>
      <c r="V69" s="512" t="n">
        <v>1665</v>
      </c>
      <c r="W69" s="512" t="n">
        <v>989</v>
      </c>
      <c r="X69" s="512" t="n">
        <v>898</v>
      </c>
      <c r="Y69" s="512" t="n">
        <v>799</v>
      </c>
      <c r="Z69" s="512" t="n">
        <v>713</v>
      </c>
      <c r="AA69" s="512" t="n">
        <v>620</v>
      </c>
      <c r="AB69" s="512" t="n">
        <v>0</v>
      </c>
      <c r="AC69" s="528">
        <f>AB69</f>
        <v/>
      </c>
      <c r="AD69" s="528">
        <f>AC69</f>
        <v/>
      </c>
      <c r="AE69" s="528">
        <f>AD69</f>
        <v/>
      </c>
      <c r="AF69" s="528">
        <f>AE69</f>
        <v/>
      </c>
      <c r="AG69" s="528">
        <f>AF69</f>
        <v/>
      </c>
      <c r="AH69" s="528">
        <f>AG69</f>
        <v/>
      </c>
      <c r="AI69" s="528">
        <f>AH69</f>
        <v/>
      </c>
      <c r="AJ69" s="528">
        <f>AI69</f>
        <v/>
      </c>
      <c r="AK69" s="528">
        <f>AJ69</f>
        <v/>
      </c>
      <c r="AL69" s="528">
        <f>AK69</f>
        <v/>
      </c>
      <c r="AM69" s="528">
        <f>AL69</f>
        <v/>
      </c>
      <c r="AN69" s="528">
        <f>AM69</f>
        <v/>
      </c>
      <c r="AO69" s="18" t="n"/>
      <c r="AP69" s="555" t="n"/>
      <c r="AQ69" s="18" t="n"/>
      <c r="AR69" s="18" t="n"/>
      <c r="AS69" s="18" t="n"/>
      <c r="AT69" s="18" t="n"/>
      <c r="AU69" s="18" t="n"/>
      <c r="AV69" s="18" t="n"/>
      <c r="AW69" s="18" t="n"/>
    </row>
    <row r="70" customFormat="1" s="554">
      <c r="A70" s="562" t="inlineStr">
        <is>
          <t>Deferred tax assets</t>
        </is>
      </c>
      <c r="B70" s="512" t="n">
        <v>0</v>
      </c>
      <c r="C70" s="512" t="n">
        <v>0</v>
      </c>
      <c r="D70" s="512" t="n">
        <v>0</v>
      </c>
      <c r="E70" s="512" t="n">
        <v>0</v>
      </c>
      <c r="F70" s="512" t="n">
        <v>0</v>
      </c>
      <c r="G70" s="512" t="n">
        <v>0</v>
      </c>
      <c r="H70" s="512" t="n">
        <v>0</v>
      </c>
      <c r="I70" s="512" t="n">
        <v>0</v>
      </c>
      <c r="J70" s="512" t="n">
        <v>0</v>
      </c>
      <c r="K70" s="512" t="n">
        <v>0</v>
      </c>
      <c r="L70" s="512" t="n">
        <v>0</v>
      </c>
      <c r="M70" s="512" t="n">
        <v>952</v>
      </c>
      <c r="N70" s="512" t="n">
        <v>1043</v>
      </c>
      <c r="O70" s="512" t="n">
        <v>2537</v>
      </c>
      <c r="P70" s="512" t="n">
        <v>3305</v>
      </c>
      <c r="Q70" s="512" t="n">
        <v>3915</v>
      </c>
      <c r="R70" s="512" t="n">
        <v>2992</v>
      </c>
      <c r="S70" s="512" t="n">
        <v>3355</v>
      </c>
      <c r="T70" s="512" t="n">
        <v>4210</v>
      </c>
      <c r="U70" s="512" t="n">
        <v>1276</v>
      </c>
      <c r="V70" s="512" t="n">
        <v>1025</v>
      </c>
      <c r="W70" s="512" t="n">
        <v>3084</v>
      </c>
      <c r="X70" s="512" t="n">
        <v>3828</v>
      </c>
      <c r="Y70" s="512" t="n">
        <v>1690</v>
      </c>
      <c r="Z70" s="512" t="n">
        <v>981</v>
      </c>
      <c r="AA70" s="512" t="n">
        <v>929</v>
      </c>
      <c r="AB70" s="512" t="n">
        <v>835</v>
      </c>
      <c r="AC70" s="512" t="n">
        <v>524</v>
      </c>
      <c r="AD70" s="512" t="n">
        <v>571</v>
      </c>
      <c r="AE70" s="512" t="n">
        <v>376</v>
      </c>
      <c r="AF70" s="512" t="n">
        <v>2132</v>
      </c>
      <c r="AG70" s="512" t="n">
        <v>2041</v>
      </c>
      <c r="AH70" s="512" t="n">
        <v>1625</v>
      </c>
      <c r="AI70" s="528">
        <f>AH70</f>
        <v/>
      </c>
      <c r="AJ70" s="528">
        <f>AI70</f>
        <v/>
      </c>
      <c r="AK70" s="528">
        <f>AJ70</f>
        <v/>
      </c>
      <c r="AL70" s="528">
        <f>AK70</f>
        <v/>
      </c>
      <c r="AM70" s="528">
        <f>AL70</f>
        <v/>
      </c>
      <c r="AN70" s="528">
        <f>AM70</f>
        <v/>
      </c>
      <c r="AO70" s="18" t="n"/>
      <c r="AP70" s="555" t="n"/>
      <c r="AQ70" s="18" t="n"/>
      <c r="AR70" s="18" t="n"/>
      <c r="AS70" s="18" t="n"/>
      <c r="AT70" s="18" t="n"/>
      <c r="AU70" s="18" t="n"/>
      <c r="AV70" s="18" t="n"/>
      <c r="AW70" s="18" t="n"/>
    </row>
    <row r="71" customFormat="1" s="554">
      <c r="A71" s="562" t="inlineStr">
        <is>
          <t>Employee retirement plan assets</t>
        </is>
      </c>
      <c r="B71" s="512" t="n">
        <v>0</v>
      </c>
      <c r="C71" s="512" t="n">
        <v>0</v>
      </c>
      <c r="D71" s="512" t="n">
        <v>0</v>
      </c>
      <c r="E71" s="512" t="n">
        <v>0</v>
      </c>
      <c r="F71" s="512" t="n">
        <v>0</v>
      </c>
      <c r="G71" s="512" t="n">
        <v>0</v>
      </c>
      <c r="H71" s="512" t="n">
        <v>0</v>
      </c>
      <c r="I71" s="512" t="n">
        <v>0</v>
      </c>
      <c r="J71" s="512" t="n">
        <v>0</v>
      </c>
      <c r="K71" s="512" t="n">
        <v>1194</v>
      </c>
      <c r="L71" s="512" t="n">
        <v>1138</v>
      </c>
      <c r="M71" s="512" t="n">
        <v>0</v>
      </c>
      <c r="N71" s="512" t="n">
        <v>0</v>
      </c>
      <c r="O71" s="512" t="n">
        <v>0</v>
      </c>
      <c r="P71" s="512" t="n">
        <v>0</v>
      </c>
      <c r="Q71" s="512" t="n">
        <v>0</v>
      </c>
      <c r="R71" s="512" t="n">
        <v>0</v>
      </c>
      <c r="S71" s="512" t="n">
        <v>0</v>
      </c>
      <c r="T71" s="512" t="n">
        <v>0</v>
      </c>
      <c r="U71" s="512" t="n">
        <v>0</v>
      </c>
      <c r="V71" s="512" t="n">
        <v>0</v>
      </c>
      <c r="W71" s="512" t="n">
        <v>0</v>
      </c>
      <c r="X71" s="512" t="n">
        <v>0</v>
      </c>
      <c r="Y71" s="512" t="n">
        <v>0</v>
      </c>
      <c r="Z71" s="512" t="n">
        <v>0</v>
      </c>
      <c r="AA71" s="512">
        <f>Z71</f>
        <v/>
      </c>
      <c r="AB71" s="528">
        <f>AA71</f>
        <v/>
      </c>
      <c r="AC71" s="528">
        <f>AB71</f>
        <v/>
      </c>
      <c r="AD71" s="528">
        <f>AC71</f>
        <v/>
      </c>
      <c r="AE71" s="528">
        <f>AD71</f>
        <v/>
      </c>
      <c r="AF71" s="528">
        <f>AE71</f>
        <v/>
      </c>
      <c r="AG71" s="528">
        <f>AF71</f>
        <v/>
      </c>
      <c r="AH71" s="528">
        <f>AG71</f>
        <v/>
      </c>
      <c r="AI71" s="528">
        <f>AH71</f>
        <v/>
      </c>
      <c r="AJ71" s="528">
        <f>AI71</f>
        <v/>
      </c>
      <c r="AK71" s="528">
        <f>AJ71</f>
        <v/>
      </c>
      <c r="AL71" s="528">
        <f>AK71</f>
        <v/>
      </c>
      <c r="AM71" s="528">
        <f>AL71</f>
        <v/>
      </c>
      <c r="AN71" s="528">
        <f>AM71</f>
        <v/>
      </c>
      <c r="AO71" s="18" t="n"/>
      <c r="AP71" s="555" t="n"/>
      <c r="AQ71" s="18" t="n"/>
      <c r="AR71" s="18" t="n"/>
      <c r="AS71" s="18" t="n"/>
      <c r="AT71" s="18" t="n"/>
      <c r="AU71" s="18" t="n"/>
      <c r="AV71" s="18" t="n"/>
      <c r="AW71" s="18" t="n"/>
    </row>
    <row r="72" customFormat="1" s="554">
      <c r="A72" s="582" t="inlineStr">
        <is>
          <t>Fuel clause account</t>
        </is>
      </c>
      <c r="B72" s="512" t="n">
        <v>0</v>
      </c>
      <c r="C72" s="512" t="n">
        <v>0</v>
      </c>
      <c r="D72" s="512" t="n">
        <v>0</v>
      </c>
      <c r="E72" s="512" t="n">
        <v>0</v>
      </c>
      <c r="F72" s="512" t="n">
        <v>152</v>
      </c>
      <c r="G72" s="512" t="n">
        <v>867</v>
      </c>
      <c r="H72" s="512" t="n">
        <v>631</v>
      </c>
      <c r="I72" s="512" t="n">
        <v>327</v>
      </c>
      <c r="J72" s="512" t="n">
        <v>37</v>
      </c>
      <c r="K72" s="512" t="n">
        <v>0</v>
      </c>
      <c r="L72" s="512" t="n">
        <v>0</v>
      </c>
      <c r="M72" s="512" t="n">
        <v>0</v>
      </c>
      <c r="N72" s="512" t="n">
        <v>0</v>
      </c>
      <c r="O72" s="512" t="n">
        <v>0</v>
      </c>
      <c r="P72" s="512" t="n">
        <v>0</v>
      </c>
      <c r="Q72" s="512" t="n">
        <v>0</v>
      </c>
      <c r="R72" s="512" t="n">
        <v>800</v>
      </c>
      <c r="S72" s="512" t="n">
        <v>14</v>
      </c>
      <c r="T72" s="512" t="n">
        <v>294</v>
      </c>
      <c r="U72" s="512" t="n">
        <v>212</v>
      </c>
      <c r="V72" s="512" t="n">
        <v>337</v>
      </c>
      <c r="W72" s="512" t="n">
        <v>0</v>
      </c>
      <c r="X72" s="512" t="n">
        <v>0</v>
      </c>
      <c r="Y72" s="512" t="n">
        <v>0</v>
      </c>
      <c r="Z72" s="512" t="n">
        <v>0</v>
      </c>
      <c r="AA72" s="512">
        <f>'SOC Accounts'!AA8</f>
        <v/>
      </c>
      <c r="AB72" s="512">
        <f>'SOC Accounts'!AB8</f>
        <v/>
      </c>
      <c r="AC72" s="512">
        <f>'SOC Accounts'!AC8</f>
        <v/>
      </c>
      <c r="AD72" s="512">
        <f>'SOC Accounts'!AD8</f>
        <v/>
      </c>
      <c r="AE72" s="512">
        <f>AE61-'SOC Accounts'!AE8</f>
        <v/>
      </c>
      <c r="AF72" s="512">
        <f>AF61-'SOC Accounts'!AF8</f>
        <v/>
      </c>
      <c r="AG72" s="512">
        <f>AG61-'SOC Accounts'!AG8</f>
        <v/>
      </c>
      <c r="AH72" s="512">
        <f>AH61-'SOC Accounts'!AH8</f>
        <v/>
      </c>
      <c r="AI72" s="512">
        <f>AI61-'SOC Accounts'!AI8</f>
        <v/>
      </c>
      <c r="AJ72" s="512">
        <f>AJ61-'SOC Accounts'!AJ8</f>
        <v/>
      </c>
      <c r="AK72" s="512">
        <f>AK61-'SOC Accounts'!AK8</f>
        <v/>
      </c>
      <c r="AL72" s="512">
        <f>AL61-'SOC Accounts'!AL8</f>
        <v/>
      </c>
      <c r="AM72" s="512">
        <f>AM61-'SOC Accounts'!AM8</f>
        <v/>
      </c>
      <c r="AN72" s="512">
        <f>AN61-'SOC Accounts'!AN8</f>
        <v/>
      </c>
      <c r="AO72" s="18" t="n"/>
      <c r="AP72" s="555" t="n"/>
      <c r="AQ72" s="18" t="n"/>
      <c r="AR72" s="18" t="n"/>
      <c r="AS72" s="18" t="n"/>
      <c r="AT72" s="18" t="n"/>
      <c r="AU72" s="18" t="n"/>
      <c r="AV72" s="18" t="n"/>
      <c r="AW72" s="18" t="n"/>
    </row>
    <row r="73" customFormat="1" s="554">
      <c r="A73" s="562" t="inlineStr">
        <is>
          <t>Derivative instruments</t>
        </is>
      </c>
      <c r="B73" s="512" t="n">
        <v>0</v>
      </c>
      <c r="C73" s="512" t="n">
        <v>0</v>
      </c>
      <c r="D73" s="512" t="n">
        <v>0</v>
      </c>
      <c r="E73" s="512" t="n">
        <v>0</v>
      </c>
      <c r="F73" s="512" t="n">
        <v>0</v>
      </c>
      <c r="G73" s="512" t="n">
        <v>0</v>
      </c>
      <c r="H73" s="512" t="n">
        <v>0</v>
      </c>
      <c r="I73" s="512" t="n">
        <v>0</v>
      </c>
      <c r="J73" s="512" t="n">
        <v>0</v>
      </c>
      <c r="K73" s="512" t="n">
        <v>0</v>
      </c>
      <c r="L73" s="512" t="n">
        <v>0</v>
      </c>
      <c r="M73" s="512" t="n">
        <v>0</v>
      </c>
      <c r="N73" s="512" t="n">
        <v>0</v>
      </c>
      <c r="O73" s="512" t="n">
        <v>260</v>
      </c>
      <c r="P73" s="512" t="n">
        <v>425</v>
      </c>
      <c r="Q73" s="512" t="n">
        <v>675</v>
      </c>
      <c r="R73" s="512" t="n">
        <v>1505</v>
      </c>
      <c r="S73" s="512" t="n">
        <v>1821</v>
      </c>
      <c r="T73" s="512" t="n">
        <v>2736</v>
      </c>
      <c r="U73" s="512" t="n">
        <v>5027</v>
      </c>
      <c r="V73" s="512" t="n">
        <v>3285</v>
      </c>
      <c r="W73" s="512" t="n">
        <v>3118</v>
      </c>
      <c r="X73" s="512" t="n">
        <v>3120</v>
      </c>
      <c r="Y73" s="512" t="n">
        <v>1078</v>
      </c>
      <c r="Z73" s="512" t="n">
        <v>1519</v>
      </c>
      <c r="AA73" s="512" t="n">
        <v>956</v>
      </c>
      <c r="AB73" s="512" t="n">
        <v>1000</v>
      </c>
      <c r="AC73" s="512" t="n">
        <v>1389</v>
      </c>
      <c r="AD73" s="512" t="n">
        <v>1697</v>
      </c>
      <c r="AE73" s="512" t="n">
        <v>2007</v>
      </c>
      <c r="AF73" s="512" t="n">
        <v>1943</v>
      </c>
      <c r="AG73" s="512" t="n">
        <v>1173</v>
      </c>
      <c r="AH73" s="512" t="n">
        <v>1134</v>
      </c>
      <c r="AI73" s="581">
        <f>AH73</f>
        <v/>
      </c>
      <c r="AJ73" s="581">
        <f>AI73</f>
        <v/>
      </c>
      <c r="AK73" s="581">
        <f>AJ73</f>
        <v/>
      </c>
      <c r="AL73" s="581">
        <f>AK73</f>
        <v/>
      </c>
      <c r="AM73" s="581">
        <f>AL73</f>
        <v/>
      </c>
      <c r="AN73" s="581">
        <f>AM73</f>
        <v/>
      </c>
      <c r="AO73" s="18" t="n"/>
      <c r="AP73" s="555" t="n"/>
      <c r="AQ73" s="18" t="n"/>
      <c r="AR73" s="18" t="n"/>
      <c r="AS73" s="18" t="n"/>
      <c r="AT73" s="18" t="n"/>
      <c r="AU73" s="18" t="n"/>
      <c r="AV73" s="18" t="n"/>
      <c r="AW73" s="18" t="n"/>
    </row>
    <row r="74" customFormat="1" s="554">
      <c r="A74" s="562" t="inlineStr">
        <is>
          <t>Investment securities and others</t>
        </is>
      </c>
      <c r="B74" s="512" t="n">
        <v>0</v>
      </c>
      <c r="C74" s="512" t="n">
        <v>0</v>
      </c>
      <c r="D74" s="512" t="n">
        <v>0</v>
      </c>
      <c r="E74" s="512" t="n">
        <v>0</v>
      </c>
      <c r="F74" s="512" t="n">
        <v>0</v>
      </c>
      <c r="G74" s="512" t="n">
        <v>0</v>
      </c>
      <c r="H74" s="512" t="n">
        <v>0</v>
      </c>
      <c r="I74" s="512" t="n">
        <v>773</v>
      </c>
      <c r="J74" s="512" t="n">
        <v>643</v>
      </c>
      <c r="K74" s="512" t="n">
        <v>731</v>
      </c>
      <c r="L74" s="512" t="n">
        <v>287</v>
      </c>
      <c r="M74" s="512" t="n">
        <v>9</v>
      </c>
      <c r="N74" s="512">
        <f>M74</f>
        <v/>
      </c>
      <c r="O74" s="512" t="n">
        <v>506</v>
      </c>
      <c r="P74" s="512" t="n">
        <v>145</v>
      </c>
      <c r="Q74" s="512" t="n">
        <v>552</v>
      </c>
      <c r="R74" s="512" t="n">
        <v>482</v>
      </c>
      <c r="S74" s="512">
        <f>1692+327</f>
        <v/>
      </c>
      <c r="T74" s="512">
        <f>1512+139</f>
        <v/>
      </c>
      <c r="U74" s="512">
        <f>1288+141</f>
        <v/>
      </c>
      <c r="V74" s="512">
        <f>1289+141</f>
        <v/>
      </c>
      <c r="W74" s="512">
        <f>1263+147+2221</f>
        <v/>
      </c>
      <c r="X74" s="512">
        <f>2554+1707+111</f>
        <v/>
      </c>
      <c r="Y74" s="512">
        <f>2669+1644+174</f>
        <v/>
      </c>
      <c r="Z74" s="512">
        <f>3788+1528+181</f>
        <v/>
      </c>
      <c r="AA74" s="512">
        <f>349+298+1186</f>
        <v/>
      </c>
      <c r="AB74" s="512">
        <f>300+604+1204</f>
        <v/>
      </c>
      <c r="AC74" s="512">
        <f>1280+1121</f>
        <v/>
      </c>
      <c r="AD74" s="512">
        <f>1300+1000</f>
        <v/>
      </c>
      <c r="AE74" s="512">
        <f>966+2303</f>
        <v/>
      </c>
      <c r="AF74" s="512">
        <f>909+2443</f>
        <v/>
      </c>
      <c r="AG74" s="512">
        <f>884+2492</f>
        <v/>
      </c>
      <c r="AH74" s="512">
        <f>817+1464</f>
        <v/>
      </c>
      <c r="AI74" s="528">
        <f>AH74+Driver!AI74-Driver!AH74</f>
        <v/>
      </c>
      <c r="AJ74" s="528">
        <f>AI74+Driver!AJ74-Driver!AI74</f>
        <v/>
      </c>
      <c r="AK74" s="528">
        <f>AJ74+Driver!AK74-Driver!AJ74</f>
        <v/>
      </c>
      <c r="AL74" s="528">
        <f>AK74+Driver!AL74-Driver!AK74</f>
        <v/>
      </c>
      <c r="AM74" s="528">
        <f>AL74+Driver!AM74-Driver!AL74</f>
        <v/>
      </c>
      <c r="AN74" s="528">
        <f>AM74+Driver!AN74-Driver!AM74</f>
        <v/>
      </c>
      <c r="AO74" s="18" t="n"/>
      <c r="AP74" s="555" t="n"/>
      <c r="AQ74" s="18" t="n"/>
      <c r="AR74" s="18" t="n"/>
      <c r="AS74" s="18" t="n"/>
      <c r="AT74" s="18" t="n"/>
      <c r="AU74" s="18" t="n"/>
      <c r="AV74" s="18" t="n"/>
      <c r="AW74" s="18" t="n"/>
    </row>
    <row r="75" customFormat="1" s="556">
      <c r="A75" s="556" t="inlineStr">
        <is>
          <t>Total assets</t>
        </is>
      </c>
      <c r="B75" s="560">
        <f>SUM(B64:B74)</f>
        <v/>
      </c>
      <c r="C75" s="560">
        <f>SUM(C64:C74)</f>
        <v/>
      </c>
      <c r="D75" s="560">
        <f>SUM(D64:D74)</f>
        <v/>
      </c>
      <c r="E75" s="560">
        <f>SUM(E64:E74)</f>
        <v/>
      </c>
      <c r="F75" s="560">
        <f>SUM(F64:F74)</f>
        <v/>
      </c>
      <c r="G75" s="560">
        <f>SUM(G64:G74)</f>
        <v/>
      </c>
      <c r="H75" s="560">
        <f>SUM(H64:H74)</f>
        <v/>
      </c>
      <c r="I75" s="560">
        <f>SUM(I64:I74)</f>
        <v/>
      </c>
      <c r="J75" s="560">
        <f>SUM(J64:J74)</f>
        <v/>
      </c>
      <c r="K75" s="560">
        <f>SUM(K64:K74)</f>
        <v/>
      </c>
      <c r="L75" s="560">
        <f>SUM(L64:L74)</f>
        <v/>
      </c>
      <c r="M75" s="560">
        <f>SUM(M64:M74)</f>
        <v/>
      </c>
      <c r="N75" s="560">
        <f>SUM(N64:N74)</f>
        <v/>
      </c>
      <c r="O75" s="560">
        <f>SUM(O64:O74)</f>
        <v/>
      </c>
      <c r="P75" s="560">
        <f>SUM(P64:P74)</f>
        <v/>
      </c>
      <c r="Q75" s="560">
        <f>SUM(Q64:Q74)</f>
        <v/>
      </c>
      <c r="R75" s="560">
        <f>SUM(R64:R74)</f>
        <v/>
      </c>
      <c r="S75" s="560">
        <f>SUM(S64:S74)</f>
        <v/>
      </c>
      <c r="T75" s="560">
        <f>SUM(T64:T74)</f>
        <v/>
      </c>
      <c r="U75" s="560">
        <f>SUM(U64:U74)</f>
        <v/>
      </c>
      <c r="V75" s="560">
        <f>SUM(V64:V74)</f>
        <v/>
      </c>
      <c r="W75" s="560">
        <f>SUM(W64:W74)</f>
        <v/>
      </c>
      <c r="X75" s="560">
        <f>SUM(X64:X74)</f>
        <v/>
      </c>
      <c r="Y75" s="560">
        <f>SUM(Y64:Y74)</f>
        <v/>
      </c>
      <c r="Z75" s="560">
        <f>SUM(Z64:Z74)</f>
        <v/>
      </c>
      <c r="AA75" s="560">
        <f>SUM(AA64:AA74)</f>
        <v/>
      </c>
      <c r="AB75" s="560">
        <f>SUM(AB64:AB74)</f>
        <v/>
      </c>
      <c r="AC75" s="560">
        <f>SUM(AC64:AC74)</f>
        <v/>
      </c>
      <c r="AD75" s="560">
        <f>SUM(AD64:AD74)</f>
        <v/>
      </c>
      <c r="AE75" s="560">
        <f>SUM(AE64:AE74)</f>
        <v/>
      </c>
      <c r="AF75" s="560">
        <f>SUM(AF64:AF74)</f>
        <v/>
      </c>
      <c r="AG75" s="560">
        <f>SUM(AG64:AG74)</f>
        <v/>
      </c>
      <c r="AH75" s="560">
        <f>SUM(AH64:AH74)</f>
        <v/>
      </c>
      <c r="AI75" s="560">
        <f>SUM(AI64:AI74)</f>
        <v/>
      </c>
      <c r="AJ75" s="560">
        <f>SUM(AJ64:AJ74)</f>
        <v/>
      </c>
      <c r="AK75" s="560">
        <f>SUM(AK64:AK74)</f>
        <v/>
      </c>
      <c r="AL75" s="560">
        <f>SUM(AL64:AL74)</f>
        <v/>
      </c>
      <c r="AM75" s="560">
        <f>SUM(AM64:AM74)</f>
        <v/>
      </c>
      <c r="AN75" s="560">
        <f>SUM(AN64:AN74)</f>
        <v/>
      </c>
      <c r="AO75" s="18" t="n"/>
      <c r="AP75" s="555" t="n"/>
      <c r="AQ75" s="18" t="n"/>
      <c r="AR75" s="18" t="n"/>
      <c r="AS75" s="18" t="n"/>
      <c r="AT75" s="18" t="n"/>
      <c r="AU75" s="18" t="n"/>
      <c r="AV75" s="18" t="n"/>
      <c r="AW75" s="18" t="n"/>
    </row>
    <row r="76" customFormat="1" s="554">
      <c r="A76" s="554" t="inlineStr">
        <is>
          <t>Current and short-term debt</t>
        </is>
      </c>
      <c r="B76" s="512" t="n">
        <v>436</v>
      </c>
      <c r="C76" s="512" t="n">
        <v>169</v>
      </c>
      <c r="D76" s="512" t="n">
        <v>490</v>
      </c>
      <c r="E76" s="512" t="n">
        <v>1022</v>
      </c>
      <c r="F76" s="512" t="n">
        <v>298</v>
      </c>
      <c r="G76" s="512" t="n">
        <v>1147</v>
      </c>
      <c r="H76" s="512" t="n">
        <v>199</v>
      </c>
      <c r="I76" s="512" t="n">
        <v>403</v>
      </c>
      <c r="J76" s="512" t="n">
        <v>77</v>
      </c>
      <c r="K76" s="512" t="n">
        <v>1499</v>
      </c>
      <c r="L76" s="512" t="n">
        <v>570</v>
      </c>
      <c r="M76" s="512" t="n">
        <v>1095</v>
      </c>
      <c r="N76" s="512" t="n">
        <v>1178</v>
      </c>
      <c r="O76" s="512" t="n">
        <v>3508</v>
      </c>
      <c r="P76" s="512" t="n">
        <v>4264</v>
      </c>
      <c r="Q76" s="512" t="n">
        <v>2868</v>
      </c>
      <c r="R76" s="512" t="n">
        <v>3313</v>
      </c>
      <c r="S76" s="512" t="n">
        <v>6892</v>
      </c>
      <c r="T76" s="512" t="n">
        <v>7816</v>
      </c>
      <c r="U76" s="512" t="n">
        <v>12596</v>
      </c>
      <c r="V76" s="512" t="n">
        <v>6895</v>
      </c>
      <c r="W76" s="512" t="n">
        <v>7118</v>
      </c>
      <c r="X76" s="512" t="n">
        <v>9636</v>
      </c>
      <c r="Y76" s="512" t="n">
        <v>13189</v>
      </c>
      <c r="Z76" s="512" t="n">
        <v>10651</v>
      </c>
      <c r="AA76" s="512" t="n">
        <v>8472</v>
      </c>
      <c r="AB76" s="512" t="n">
        <v>13535</v>
      </c>
      <c r="AC76" s="512" t="n">
        <v>13551</v>
      </c>
      <c r="AD76" s="512" t="n">
        <v>8747</v>
      </c>
      <c r="AE76" s="512" t="n">
        <v>10512</v>
      </c>
      <c r="AF76" s="512" t="n">
        <v>11314</v>
      </c>
      <c r="AG76" s="512" t="n">
        <v>12572</v>
      </c>
      <c r="AH76" s="512" t="n">
        <v>15849</v>
      </c>
      <c r="AI76" s="528">
        <f>AH76</f>
        <v/>
      </c>
      <c r="AJ76" s="528">
        <f>AI76</f>
        <v/>
      </c>
      <c r="AK76" s="528">
        <f>AJ76</f>
        <v/>
      </c>
      <c r="AL76" s="528">
        <f>AK76</f>
        <v/>
      </c>
      <c r="AM76" s="528">
        <f>AL76</f>
        <v/>
      </c>
      <c r="AN76" s="528">
        <f>AM76</f>
        <v/>
      </c>
      <c r="AO76" s="18" t="n"/>
      <c r="AP76" s="555" t="n"/>
      <c r="AQ76" s="18" t="n"/>
      <c r="AR76" s="18" t="n"/>
      <c r="AS76" s="18" t="n"/>
      <c r="AT76" s="18" t="n"/>
      <c r="AU76" s="18" t="n"/>
      <c r="AV76" s="18" t="n"/>
      <c r="AW76" s="18" t="n"/>
    </row>
    <row r="77" customFormat="1" s="554">
      <c r="A77" s="554" t="inlineStr">
        <is>
          <t>Finance lease obligations</t>
        </is>
      </c>
      <c r="B77" s="512" t="n">
        <v>0</v>
      </c>
      <c r="C77" s="512" t="n">
        <v>0</v>
      </c>
      <c r="D77" s="512" t="n">
        <v>0</v>
      </c>
      <c r="E77" s="512" t="n">
        <v>0</v>
      </c>
      <c r="F77" s="512" t="n">
        <v>0</v>
      </c>
      <c r="G77" s="512" t="n">
        <v>0</v>
      </c>
      <c r="H77" s="512" t="n">
        <v>0</v>
      </c>
      <c r="I77" s="512" t="n">
        <v>0</v>
      </c>
      <c r="J77" s="512" t="n">
        <v>0</v>
      </c>
      <c r="K77" s="512" t="n">
        <v>0</v>
      </c>
      <c r="L77" s="512" t="n">
        <v>0</v>
      </c>
      <c r="M77" s="512" t="n">
        <v>0</v>
      </c>
      <c r="N77" s="512" t="n">
        <v>0</v>
      </c>
      <c r="O77" s="512" t="n">
        <v>0</v>
      </c>
      <c r="P77" s="512" t="n">
        <v>1945</v>
      </c>
      <c r="Q77" s="512" t="n">
        <v>1431</v>
      </c>
      <c r="R77" s="512" t="n">
        <v>1403</v>
      </c>
      <c r="S77" s="512" t="n">
        <v>1523</v>
      </c>
      <c r="T77" s="512" t="n">
        <v>1995</v>
      </c>
      <c r="U77" s="512" t="n">
        <v>2200</v>
      </c>
      <c r="V77" s="512" t="n">
        <v>2406</v>
      </c>
      <c r="W77" s="512" t="n">
        <v>2763</v>
      </c>
      <c r="X77" s="512" t="n">
        <v>1</v>
      </c>
      <c r="Y77" s="512" t="n">
        <v>0</v>
      </c>
      <c r="Z77" s="512" t="n">
        <v>0</v>
      </c>
      <c r="AA77" s="512" t="n">
        <v>0</v>
      </c>
      <c r="AB77" s="512" t="n">
        <v>0</v>
      </c>
      <c r="AC77" s="528">
        <f>AB77</f>
        <v/>
      </c>
      <c r="AD77" s="528">
        <f>AC77</f>
        <v/>
      </c>
      <c r="AE77" s="528">
        <f>AD77</f>
        <v/>
      </c>
      <c r="AF77" s="528">
        <f>AE77</f>
        <v/>
      </c>
      <c r="AG77" s="528">
        <f>AF77</f>
        <v/>
      </c>
      <c r="AH77" s="528">
        <f>AG77</f>
        <v/>
      </c>
      <c r="AI77" s="528">
        <f>AH77</f>
        <v/>
      </c>
      <c r="AJ77" s="528">
        <f>AI77</f>
        <v/>
      </c>
      <c r="AK77" s="528">
        <f>AJ77</f>
        <v/>
      </c>
      <c r="AL77" s="528">
        <f>AK77</f>
        <v/>
      </c>
      <c r="AM77" s="528">
        <f>AL77</f>
        <v/>
      </c>
      <c r="AN77" s="528">
        <f>AM77</f>
        <v/>
      </c>
      <c r="AO77" s="18" t="n"/>
      <c r="AP77" s="555" t="n"/>
      <c r="AQ77" s="18" t="n"/>
      <c r="AR77" s="18" t="n"/>
      <c r="AS77" s="18" t="n"/>
      <c r="AT77" s="18" t="n"/>
      <c r="AU77" s="18" t="n"/>
      <c r="AV77" s="18" t="n"/>
      <c r="AW77" s="18" t="n"/>
    </row>
    <row r="78" customFormat="1" s="554">
      <c r="A78" s="554" t="inlineStr">
        <is>
          <t>Income taxation payable</t>
        </is>
      </c>
      <c r="B78" s="512" t="n">
        <v>378</v>
      </c>
      <c r="C78" s="512" t="n">
        <v>686</v>
      </c>
      <c r="D78" s="512" t="n">
        <v>240</v>
      </c>
      <c r="E78" s="512" t="n">
        <v>237</v>
      </c>
      <c r="F78" s="512" t="n">
        <v>448</v>
      </c>
      <c r="G78" s="512" t="n">
        <v>506</v>
      </c>
      <c r="H78" s="512" t="n">
        <v>931</v>
      </c>
      <c r="I78" s="512" t="n">
        <v>227</v>
      </c>
      <c r="J78" s="512" t="n">
        <v>668</v>
      </c>
      <c r="K78" s="512" t="n">
        <v>166</v>
      </c>
      <c r="L78" s="512" t="n">
        <v>196</v>
      </c>
      <c r="M78" s="512" t="n">
        <v>64</v>
      </c>
      <c r="N78" s="512" t="n">
        <v>403</v>
      </c>
      <c r="O78" s="512" t="n">
        <v>376</v>
      </c>
      <c r="P78" s="512" t="n">
        <v>186</v>
      </c>
      <c r="Q78" s="512" t="n">
        <v>237</v>
      </c>
      <c r="R78" s="512" t="n">
        <v>366</v>
      </c>
      <c r="S78" s="512" t="n">
        <v>208</v>
      </c>
      <c r="T78" s="512" t="n">
        <v>165</v>
      </c>
      <c r="U78" s="512" t="n">
        <v>143</v>
      </c>
      <c r="V78" s="512" t="n">
        <v>233</v>
      </c>
      <c r="W78" s="512" t="n">
        <v>141</v>
      </c>
      <c r="X78" s="512" t="n">
        <v>790</v>
      </c>
      <c r="Y78" s="512" t="n">
        <v>651</v>
      </c>
      <c r="Z78" s="512" t="n">
        <v>792</v>
      </c>
      <c r="AA78" s="512" t="n">
        <v>762</v>
      </c>
      <c r="AB78" s="512" t="n">
        <v>1399</v>
      </c>
      <c r="AC78" s="512" t="n">
        <v>1522</v>
      </c>
      <c r="AD78" s="512" t="n">
        <v>1699</v>
      </c>
      <c r="AE78" s="512" t="n">
        <v>1349</v>
      </c>
      <c r="AF78" s="512" t="n">
        <v>1577</v>
      </c>
      <c r="AG78" s="512" t="n">
        <v>1063</v>
      </c>
      <c r="AH78" s="512" t="n">
        <v>775</v>
      </c>
      <c r="AI78" s="528">
        <f>AH78-AI23+AI120</f>
        <v/>
      </c>
      <c r="AJ78" s="528">
        <f>AI78-AJ23+AJ120</f>
        <v/>
      </c>
      <c r="AK78" s="528">
        <f>AJ78-AK23+AK120</f>
        <v/>
      </c>
      <c r="AL78" s="528">
        <f>AK78-AL23+AL120</f>
        <v/>
      </c>
      <c r="AM78" s="528">
        <f>AL78-AM23+AM120</f>
        <v/>
      </c>
      <c r="AN78" s="528">
        <f>AM78-AN23+AN120</f>
        <v/>
      </c>
      <c r="AO78" s="18" t="n"/>
      <c r="AP78" s="555" t="n"/>
      <c r="AQ78" s="18" t="n"/>
      <c r="AR78" s="18" t="n"/>
      <c r="AS78" s="18" t="n"/>
      <c r="AT78" s="18" t="n"/>
      <c r="AU78" s="18" t="n"/>
      <c r="AV78" s="18" t="n"/>
      <c r="AW78" s="18" t="n"/>
    </row>
    <row r="79" customFormat="1" s="554">
      <c r="A79" s="554" t="inlineStr">
        <is>
          <t>Customer deposits</t>
        </is>
      </c>
      <c r="B79" s="512" t="n">
        <v>1228</v>
      </c>
      <c r="C79" s="512" t="n">
        <v>1345</v>
      </c>
      <c r="D79" s="512" t="n">
        <v>1489</v>
      </c>
      <c r="E79" s="512" t="n">
        <v>1593</v>
      </c>
      <c r="F79" s="512" t="n">
        <v>1678</v>
      </c>
      <c r="G79" s="512" t="n">
        <v>1786</v>
      </c>
      <c r="H79" s="512" t="n">
        <v>1897</v>
      </c>
      <c r="I79" s="512" t="n">
        <v>2046</v>
      </c>
      <c r="J79" s="512" t="n">
        <v>2179</v>
      </c>
      <c r="K79" s="512" t="n">
        <v>2450</v>
      </c>
      <c r="L79" s="512" t="n">
        <v>2684</v>
      </c>
      <c r="M79" s="512" t="n">
        <v>2878</v>
      </c>
      <c r="N79" s="512" t="n">
        <v>3119</v>
      </c>
      <c r="O79" s="512" t="n">
        <v>3308</v>
      </c>
      <c r="P79" s="512" t="n">
        <v>3417</v>
      </c>
      <c r="Q79" s="512" t="n">
        <v>3589</v>
      </c>
      <c r="R79" s="512" t="n">
        <v>3722</v>
      </c>
      <c r="S79" s="512" t="n">
        <v>3854</v>
      </c>
      <c r="T79" s="512" t="n">
        <v>3979</v>
      </c>
      <c r="U79" s="512" t="n">
        <v>4297</v>
      </c>
      <c r="V79" s="512" t="n">
        <v>4420</v>
      </c>
      <c r="W79" s="512" t="n">
        <v>4506</v>
      </c>
      <c r="X79" s="512" t="n">
        <v>4653</v>
      </c>
      <c r="Y79" s="512" t="n">
        <v>4829</v>
      </c>
      <c r="Z79" s="512" t="n">
        <v>4999</v>
      </c>
      <c r="AA79" s="512" t="n">
        <v>5221</v>
      </c>
      <c r="AB79" s="512" t="n">
        <v>5476</v>
      </c>
      <c r="AC79" s="512" t="n">
        <v>5679</v>
      </c>
      <c r="AD79" s="512" t="n">
        <v>5908</v>
      </c>
      <c r="AE79" s="512" t="n">
        <v>6254</v>
      </c>
      <c r="AF79" s="512" t="n">
        <v>6633</v>
      </c>
      <c r="AG79" s="512" t="n">
        <v>6880</v>
      </c>
      <c r="AH79" s="512" t="n">
        <v>7207</v>
      </c>
      <c r="AI79" s="528">
        <f>AH79*AH79/AG79</f>
        <v/>
      </c>
      <c r="AJ79" s="528">
        <f>AI79*AI79/AH79</f>
        <v/>
      </c>
      <c r="AK79" s="528">
        <f>AJ79*AJ79/AI79</f>
        <v/>
      </c>
      <c r="AL79" s="528">
        <f>AK79*AK79/AJ79</f>
        <v/>
      </c>
      <c r="AM79" s="528">
        <f>AL79*AL79/AK79</f>
        <v/>
      </c>
      <c r="AN79" s="528">
        <f>AM79*AM79/AL79</f>
        <v/>
      </c>
      <c r="AO79" s="18" t="n"/>
      <c r="AP79" s="555" t="n"/>
      <c r="AQ79" s="18" t="n"/>
      <c r="AR79" s="18" t="n"/>
      <c r="AS79" s="18" t="n"/>
      <c r="AT79" s="18" t="n"/>
      <c r="AU79" s="18" t="n"/>
      <c r="AV79" s="18" t="n"/>
      <c r="AW79" s="18" t="n"/>
    </row>
    <row r="80" customFormat="1" s="554">
      <c r="A80" s="554" t="inlineStr">
        <is>
          <t>Dividends payable</t>
        </is>
      </c>
      <c r="B80" s="512" t="n">
        <v>630</v>
      </c>
      <c r="C80" s="512" t="n">
        <v>697</v>
      </c>
      <c r="D80" s="512" t="n">
        <v>736</v>
      </c>
      <c r="E80" s="512" t="n">
        <v>736</v>
      </c>
      <c r="F80" s="512" t="n">
        <v>876</v>
      </c>
      <c r="G80" s="512" t="n">
        <v>1145</v>
      </c>
      <c r="H80" s="512" t="n">
        <v>1420</v>
      </c>
      <c r="I80" s="512" t="n">
        <v>1561</v>
      </c>
      <c r="J80" s="512" t="n">
        <v>1602</v>
      </c>
      <c r="K80" s="512" t="n">
        <v>2528</v>
      </c>
      <c r="L80" s="512" t="n">
        <v>0</v>
      </c>
      <c r="M80" s="512" t="n">
        <v>0</v>
      </c>
      <c r="N80" s="512" t="n">
        <v>0</v>
      </c>
      <c r="O80" s="512" t="n">
        <v>0</v>
      </c>
      <c r="P80" s="512" t="n">
        <v>0</v>
      </c>
      <c r="Q80" s="512" t="n">
        <v>0</v>
      </c>
      <c r="R80" s="512" t="n">
        <v>0</v>
      </c>
      <c r="S80" s="512" t="n">
        <v>0</v>
      </c>
      <c r="T80" s="512" t="n">
        <v>0</v>
      </c>
      <c r="U80" s="512" t="n">
        <v>0</v>
      </c>
      <c r="V80" s="512" t="n">
        <v>0</v>
      </c>
      <c r="W80" s="512" t="n">
        <v>0</v>
      </c>
      <c r="X80" s="512" t="n">
        <v>0</v>
      </c>
      <c r="Y80" s="512" t="n">
        <v>0</v>
      </c>
      <c r="Z80" s="512" t="n">
        <v>0</v>
      </c>
      <c r="AA80" s="512" t="n">
        <v>0</v>
      </c>
      <c r="AB80" s="512" t="n">
        <v>0</v>
      </c>
      <c r="AC80" s="512" t="n">
        <v>0</v>
      </c>
      <c r="AD80" s="512" t="n">
        <v>0</v>
      </c>
      <c r="AE80" s="512" t="n">
        <v>0</v>
      </c>
      <c r="AF80" s="512" t="n">
        <v>0</v>
      </c>
      <c r="AG80" s="512" t="n">
        <v>0</v>
      </c>
      <c r="AH80" s="512" t="n">
        <v>0</v>
      </c>
      <c r="AI80" s="528" t="n">
        <v>0</v>
      </c>
      <c r="AJ80" s="528" t="n">
        <v>0</v>
      </c>
      <c r="AK80" s="528" t="n">
        <v>0</v>
      </c>
      <c r="AL80" s="528" t="n">
        <v>0</v>
      </c>
      <c r="AM80" s="528" t="n">
        <v>0</v>
      </c>
      <c r="AN80" s="528" t="n">
        <v>0</v>
      </c>
      <c r="AO80" s="18" t="n"/>
      <c r="AP80" s="555" t="n"/>
      <c r="AQ80" s="18" t="n"/>
      <c r="AR80" s="18" t="n"/>
      <c r="AS80" s="18" t="n"/>
      <c r="AT80" s="18" t="n"/>
      <c r="AU80" s="18" t="n"/>
      <c r="AV80" s="18" t="n"/>
      <c r="AW80" s="18" t="n"/>
    </row>
    <row r="81" customFormat="1" s="554">
      <c r="A81" s="554" t="inlineStr">
        <is>
          <t>Fuel clause account</t>
        </is>
      </c>
      <c r="B81" s="512" t="n"/>
      <c r="C81" s="512" t="n"/>
      <c r="D81" s="512" t="n"/>
      <c r="E81" s="512" t="n"/>
      <c r="F81" s="512" t="n"/>
      <c r="G81" s="512" t="n"/>
      <c r="H81" s="512" t="n"/>
      <c r="I81" s="512" t="n"/>
      <c r="J81" s="512" t="n"/>
      <c r="K81" s="512" t="n"/>
      <c r="L81" s="512" t="n"/>
      <c r="M81" s="512" t="n"/>
      <c r="N81" s="512" t="n"/>
      <c r="O81" s="512" t="n"/>
      <c r="P81" s="512" t="n"/>
      <c r="Q81" s="512" t="n"/>
      <c r="R81" s="512" t="n"/>
      <c r="S81" s="512" t="n"/>
      <c r="T81" s="512" t="n">
        <v>0</v>
      </c>
      <c r="U81" s="512" t="n">
        <v>0</v>
      </c>
      <c r="V81" s="512" t="n">
        <v>0</v>
      </c>
      <c r="W81" s="512" t="n">
        <v>0</v>
      </c>
      <c r="X81" s="512" t="n">
        <v>0</v>
      </c>
      <c r="Y81" s="512" t="n">
        <v>0</v>
      </c>
      <c r="Z81" s="512" t="n">
        <v>0</v>
      </c>
      <c r="AA81" s="512" t="n">
        <v>2212</v>
      </c>
      <c r="AB81" s="512" t="n">
        <v>901</v>
      </c>
      <c r="AC81" s="512" t="n">
        <v>1131</v>
      </c>
      <c r="AD81" s="512" t="n">
        <v>346</v>
      </c>
      <c r="AE81" s="512">
        <f>'SOC Accounts'!AE9</f>
        <v/>
      </c>
      <c r="AF81" s="512">
        <f>'SOC Accounts'!AF9</f>
        <v/>
      </c>
      <c r="AG81" s="512">
        <f>'SOC Accounts'!AG9</f>
        <v/>
      </c>
      <c r="AH81" s="512">
        <f>'SOC Accounts'!AH9</f>
        <v/>
      </c>
      <c r="AI81" s="528">
        <f>'SOC Accounts'!AI9</f>
        <v/>
      </c>
      <c r="AJ81" s="528">
        <f>'SOC Accounts'!AJ9</f>
        <v/>
      </c>
      <c r="AK81" s="528">
        <f>'SOC Accounts'!AK9</f>
        <v/>
      </c>
      <c r="AL81" s="528">
        <f>'SOC Accounts'!AL9</f>
        <v/>
      </c>
      <c r="AM81" s="528">
        <f>'SOC Accounts'!AM9</f>
        <v/>
      </c>
      <c r="AN81" s="528">
        <f>'SOC Accounts'!AN9</f>
        <v/>
      </c>
      <c r="AO81" s="18" t="n"/>
      <c r="AP81" s="555" t="n"/>
      <c r="AQ81" s="18" t="n"/>
      <c r="AR81" s="18" t="n"/>
      <c r="AS81" s="18" t="n"/>
      <c r="AT81" s="18" t="n"/>
      <c r="AU81" s="18" t="n"/>
      <c r="AV81" s="18" t="n"/>
      <c r="AW81" s="18" t="n"/>
    </row>
    <row r="82" customFormat="1" s="554">
      <c r="A82" s="562" t="inlineStr">
        <is>
          <t>Derivative instruments</t>
        </is>
      </c>
      <c r="B82" s="512" t="n">
        <v>0</v>
      </c>
      <c r="C82" s="512" t="n">
        <v>0</v>
      </c>
      <c r="D82" s="512" t="n">
        <v>0</v>
      </c>
      <c r="E82" s="512" t="n">
        <v>0</v>
      </c>
      <c r="F82" s="512" t="n">
        <v>0</v>
      </c>
      <c r="G82" s="512" t="n">
        <v>0</v>
      </c>
      <c r="H82" s="512" t="n">
        <v>0</v>
      </c>
      <c r="I82" s="512" t="n">
        <v>0</v>
      </c>
      <c r="J82" s="512" t="n">
        <v>0</v>
      </c>
      <c r="K82" s="512" t="n">
        <v>0</v>
      </c>
      <c r="L82" s="512" t="n">
        <v>0</v>
      </c>
      <c r="M82" s="512" t="n">
        <v>0</v>
      </c>
      <c r="N82" s="512" t="n">
        <v>0</v>
      </c>
      <c r="O82" s="512" t="n">
        <v>1134</v>
      </c>
      <c r="P82" s="512" t="n">
        <v>1285</v>
      </c>
      <c r="Q82" s="512" t="n">
        <v>1689</v>
      </c>
      <c r="R82" s="512" t="n">
        <v>1198</v>
      </c>
      <c r="S82" s="512" t="n">
        <v>1035</v>
      </c>
      <c r="T82" s="512" t="n">
        <v>932</v>
      </c>
      <c r="U82" s="512" t="n">
        <v>2212</v>
      </c>
      <c r="V82" s="512" t="n">
        <v>1762</v>
      </c>
      <c r="W82" s="512" t="n">
        <v>1279</v>
      </c>
      <c r="X82" s="512" t="n">
        <v>709</v>
      </c>
      <c r="Y82" s="512" t="n">
        <v>595</v>
      </c>
      <c r="Z82" s="512" t="n">
        <v>977</v>
      </c>
      <c r="AA82" s="512" t="n">
        <v>789</v>
      </c>
      <c r="AB82" s="512" t="n">
        <v>1262</v>
      </c>
      <c r="AC82" s="512" t="n">
        <v>993</v>
      </c>
      <c r="AD82" s="512" t="n">
        <v>1166</v>
      </c>
      <c r="AE82" s="512" t="n">
        <v>1302</v>
      </c>
      <c r="AF82" s="512" t="n">
        <v>5310</v>
      </c>
      <c r="AG82" s="512" t="n">
        <v>1658</v>
      </c>
      <c r="AH82" s="512" t="n">
        <v>1185</v>
      </c>
      <c r="AI82" s="581">
        <f>AH82</f>
        <v/>
      </c>
      <c r="AJ82" s="581">
        <f>AI82</f>
        <v/>
      </c>
      <c r="AK82" s="581">
        <f>AJ82</f>
        <v/>
      </c>
      <c r="AL82" s="581">
        <f>AK82</f>
        <v/>
      </c>
      <c r="AM82" s="581">
        <f>AL82</f>
        <v/>
      </c>
      <c r="AN82" s="581">
        <f>AM82</f>
        <v/>
      </c>
      <c r="AO82" s="18" t="n"/>
      <c r="AP82" s="555" t="n"/>
      <c r="AQ82" s="18" t="n"/>
      <c r="AR82" s="18" t="n"/>
      <c r="AS82" s="18" t="n"/>
      <c r="AT82" s="18" t="n"/>
      <c r="AU82" s="18" t="n"/>
      <c r="AV82" s="18" t="n"/>
      <c r="AW82" s="18" t="n"/>
    </row>
    <row r="83" customFormat="1" s="554">
      <c r="A83" s="554" t="inlineStr">
        <is>
          <t>Trade and other payables</t>
        </is>
      </c>
      <c r="B83" s="512" t="n">
        <v>1553</v>
      </c>
      <c r="C83" s="512" t="n">
        <v>2958</v>
      </c>
      <c r="D83" s="512" t="n">
        <v>3529</v>
      </c>
      <c r="E83" s="512" t="n">
        <v>2720</v>
      </c>
      <c r="F83" s="512" t="n">
        <v>2618</v>
      </c>
      <c r="G83" s="512">
        <f>2340+136</f>
        <v/>
      </c>
      <c r="H83" s="512" t="n">
        <v>2235</v>
      </c>
      <c r="I83" s="512" t="n">
        <v>1681</v>
      </c>
      <c r="J83" s="512" t="n">
        <v>2469</v>
      </c>
      <c r="K83" s="512" t="n">
        <v>2678</v>
      </c>
      <c r="L83" s="512">
        <f>3091+115</f>
        <v/>
      </c>
      <c r="M83" s="512" t="n">
        <v>3994</v>
      </c>
      <c r="N83" s="512" t="n">
        <v>4216</v>
      </c>
      <c r="O83" s="512" t="n">
        <v>6079</v>
      </c>
      <c r="P83" s="512" t="n">
        <v>5893</v>
      </c>
      <c r="Q83" s="512" t="n">
        <v>6023</v>
      </c>
      <c r="R83" s="512" t="n">
        <v>5919</v>
      </c>
      <c r="S83" s="512" t="n">
        <v>8926</v>
      </c>
      <c r="T83" s="512" t="n">
        <v>11344</v>
      </c>
      <c r="U83" s="512" t="n">
        <v>16990</v>
      </c>
      <c r="V83" s="512" t="n">
        <v>21732</v>
      </c>
      <c r="W83" s="512" t="n">
        <v>19325</v>
      </c>
      <c r="X83" s="512" t="n">
        <v>21619</v>
      </c>
      <c r="Y83" s="512" t="n">
        <v>19023</v>
      </c>
      <c r="Z83" s="512" t="n">
        <v>19921</v>
      </c>
      <c r="AA83" s="512" t="n">
        <v>18978</v>
      </c>
      <c r="AB83" s="512" t="n">
        <v>19061</v>
      </c>
      <c r="AC83" s="512" t="n">
        <v>17586</v>
      </c>
      <c r="AD83" s="512" t="n">
        <v>18141</v>
      </c>
      <c r="AE83" s="512" t="n">
        <v>18381</v>
      </c>
      <c r="AF83" s="512" t="n">
        <v>19627</v>
      </c>
      <c r="AG83" s="512" t="n">
        <v>20306</v>
      </c>
      <c r="AH83" s="512" t="n">
        <v>19788</v>
      </c>
      <c r="AI83" s="528">
        <f>+AH83/(AH10-AH7)*(AI10-AI7)</f>
        <v/>
      </c>
      <c r="AJ83" s="528">
        <f>+AI83/(AI10-AI7)*(AJ10-AJ7)</f>
        <v/>
      </c>
      <c r="AK83" s="528">
        <f>+AJ83/(AJ10-AJ7)*(AK10-AK7)</f>
        <v/>
      </c>
      <c r="AL83" s="528">
        <f>+AK83/(AK10-AK7)*(AL10-AL7)</f>
        <v/>
      </c>
      <c r="AM83" s="528">
        <f>+AL83/(AL10-AL7)*(AM10-AM7)</f>
        <v/>
      </c>
      <c r="AN83" s="528">
        <f>+AM83/(AM10-AM7)*(AN10-AN7)</f>
        <v/>
      </c>
      <c r="AO83" s="18" t="n"/>
      <c r="AP83" s="555" t="n"/>
      <c r="AQ83" s="18" t="n"/>
      <c r="AR83" s="18" t="n"/>
      <c r="AS83" s="18" t="n"/>
      <c r="AT83" s="18" t="n"/>
      <c r="AU83" s="18" t="n"/>
      <c r="AV83" s="18" t="n"/>
      <c r="AW83" s="18" t="n"/>
    </row>
    <row r="84" customFormat="1" s="556">
      <c r="A84" s="556" t="inlineStr">
        <is>
          <t>Total current liabilities</t>
        </is>
      </c>
      <c r="B84" s="560">
        <f>SUM(B76:B83)</f>
        <v/>
      </c>
      <c r="C84" s="560">
        <f>SUM(C76:C83)</f>
        <v/>
      </c>
      <c r="D84" s="560">
        <f>SUM(D76:D83)</f>
        <v/>
      </c>
      <c r="E84" s="560">
        <f>SUM(E76:E83)</f>
        <v/>
      </c>
      <c r="F84" s="560">
        <f>SUM(F76:F83)</f>
        <v/>
      </c>
      <c r="G84" s="560">
        <f>SUM(G76:G83)</f>
        <v/>
      </c>
      <c r="H84" s="560">
        <f>SUM(H76:H83)</f>
        <v/>
      </c>
      <c r="I84" s="560">
        <f>SUM(I76:I83)</f>
        <v/>
      </c>
      <c r="J84" s="560">
        <f>SUM(J76:J83)</f>
        <v/>
      </c>
      <c r="K84" s="560">
        <f>SUM(K76:K83)</f>
        <v/>
      </c>
      <c r="L84" s="560">
        <f>SUM(L76:L83)</f>
        <v/>
      </c>
      <c r="M84" s="560">
        <f>SUM(M76:M83)</f>
        <v/>
      </c>
      <c r="N84" s="560">
        <f>SUM(N76:N83)</f>
        <v/>
      </c>
      <c r="O84" s="560">
        <f>SUM(O76:O83)</f>
        <v/>
      </c>
      <c r="P84" s="560">
        <f>SUM(P76:P83)</f>
        <v/>
      </c>
      <c r="Q84" s="560">
        <f>SUM(Q76:Q83)</f>
        <v/>
      </c>
      <c r="R84" s="560">
        <f>SUM(R76:R83)</f>
        <v/>
      </c>
      <c r="S84" s="560">
        <f>SUM(S76:S83)</f>
        <v/>
      </c>
      <c r="T84" s="560">
        <f>SUM(T76:T83)</f>
        <v/>
      </c>
      <c r="U84" s="560">
        <f>SUM(U76:U83)</f>
        <v/>
      </c>
      <c r="V84" s="560">
        <f>SUM(V76:V83)</f>
        <v/>
      </c>
      <c r="W84" s="560">
        <f>SUM(W76:W83)</f>
        <v/>
      </c>
      <c r="X84" s="560">
        <f>SUM(X76:X83)</f>
        <v/>
      </c>
      <c r="Y84" s="560">
        <f>SUM(Y76:Y83)</f>
        <v/>
      </c>
      <c r="Z84" s="560">
        <f>SUM(Z76:Z83)</f>
        <v/>
      </c>
      <c r="AA84" s="560">
        <f>SUM(AA76:AA83)</f>
        <v/>
      </c>
      <c r="AB84" s="560">
        <f>SUM(AB76:AB83)</f>
        <v/>
      </c>
      <c r="AC84" s="560">
        <f>SUM(AC76:AC83)</f>
        <v/>
      </c>
      <c r="AD84" s="560">
        <f>SUM(AD76:AD83)</f>
        <v/>
      </c>
      <c r="AE84" s="560">
        <f>SUM(AE76:AE83)</f>
        <v/>
      </c>
      <c r="AF84" s="560">
        <f>SUM(AF76:AF83)</f>
        <v/>
      </c>
      <c r="AG84" s="560">
        <f>SUM(AG76:AG83)</f>
        <v/>
      </c>
      <c r="AH84" s="560">
        <f>SUM(AH76:AH83)</f>
        <v/>
      </c>
      <c r="AI84" s="560">
        <f>SUM(AI76:AI83)</f>
        <v/>
      </c>
      <c r="AJ84" s="560">
        <f>SUM(AJ76:AJ83)</f>
        <v/>
      </c>
      <c r="AK84" s="560">
        <f>SUM(AK76:AK83)</f>
        <v/>
      </c>
      <c r="AL84" s="560">
        <f>SUM(AL76:AL83)</f>
        <v/>
      </c>
      <c r="AM84" s="560">
        <f>SUM(AM76:AM83)</f>
        <v/>
      </c>
      <c r="AN84" s="560">
        <f>SUM(AN76:AN83)</f>
        <v/>
      </c>
      <c r="AO84" s="18" t="n"/>
      <c r="AP84" s="555" t="n"/>
      <c r="AQ84" s="18" t="n"/>
      <c r="AR84" s="18" t="n"/>
      <c r="AS84" s="18" t="n"/>
      <c r="AT84" s="18" t="n"/>
      <c r="AU84" s="18" t="n"/>
      <c r="AV84" s="18" t="n"/>
      <c r="AW84" s="18" t="n"/>
    </row>
    <row r="85" customFormat="1" s="554">
      <c r="A85" s="554" t="inlineStr">
        <is>
          <t>Long-term debt</t>
        </is>
      </c>
      <c r="B85" s="512" t="n">
        <v>819</v>
      </c>
      <c r="C85" s="512" t="n">
        <v>888</v>
      </c>
      <c r="D85" s="512" t="n">
        <v>1007</v>
      </c>
      <c r="E85" s="512" t="n">
        <v>648</v>
      </c>
      <c r="F85" s="512" t="n">
        <v>3021</v>
      </c>
      <c r="G85" s="512" t="n">
        <v>2756</v>
      </c>
      <c r="H85" s="512" t="n">
        <v>2545</v>
      </c>
      <c r="I85" s="512" t="n">
        <v>2375</v>
      </c>
      <c r="J85" s="512" t="n">
        <v>2501</v>
      </c>
      <c r="K85" s="512" t="n">
        <v>4068</v>
      </c>
      <c r="L85" s="512" t="n">
        <v>8727</v>
      </c>
      <c r="M85" s="512" t="n">
        <v>17602</v>
      </c>
      <c r="N85" s="512" t="n">
        <v>17596</v>
      </c>
      <c r="O85" s="512" t="n">
        <v>25883</v>
      </c>
      <c r="P85" s="512" t="n">
        <v>26014</v>
      </c>
      <c r="Q85" s="512" t="n">
        <v>25492</v>
      </c>
      <c r="R85" s="512" t="n">
        <v>23383</v>
      </c>
      <c r="S85" s="512" t="n">
        <v>32539</v>
      </c>
      <c r="T85" s="512" t="n">
        <v>36807</v>
      </c>
      <c r="U85" s="512" t="n">
        <v>52925</v>
      </c>
      <c r="V85" s="512" t="n">
        <v>59303</v>
      </c>
      <c r="W85" s="512" t="n">
        <v>48933</v>
      </c>
      <c r="X85" s="512" t="n">
        <v>57799</v>
      </c>
      <c r="Y85" s="512" t="n">
        <v>42294</v>
      </c>
      <c r="Z85" s="512" t="n">
        <v>40995</v>
      </c>
      <c r="AA85" s="512" t="n">
        <v>48869</v>
      </c>
      <c r="AB85" s="512" t="n">
        <v>41763</v>
      </c>
      <c r="AC85" s="512" t="n">
        <v>38798</v>
      </c>
      <c r="AD85" s="512" t="n">
        <v>45601</v>
      </c>
      <c r="AE85" s="512" t="n">
        <v>47703</v>
      </c>
      <c r="AF85" s="512" t="n">
        <v>47903</v>
      </c>
      <c r="AG85" s="512" t="n">
        <v>44943</v>
      </c>
      <c r="AH85" s="512" t="n">
        <v>49305</v>
      </c>
      <c r="AI85" s="528">
        <f>Driver!AI93-AI76</f>
        <v/>
      </c>
      <c r="AJ85" s="528">
        <f>Driver!AJ93-AJ76</f>
        <v/>
      </c>
      <c r="AK85" s="528">
        <f>Driver!AK93-AK76</f>
        <v/>
      </c>
      <c r="AL85" s="528">
        <f>Driver!AL93-AL76</f>
        <v/>
      </c>
      <c r="AM85" s="528">
        <f>Driver!AM93-AM76</f>
        <v/>
      </c>
      <c r="AN85" s="528">
        <f>Driver!AN93-AN76</f>
        <v/>
      </c>
      <c r="AO85" s="18" t="n"/>
      <c r="AP85" s="555" t="n"/>
      <c r="AQ85" s="18" t="n"/>
      <c r="AR85" s="18" t="n"/>
      <c r="AS85" s="18" t="n"/>
      <c r="AT85" s="18" t="n"/>
      <c r="AU85" s="18" t="n"/>
      <c r="AV85" s="18" t="n"/>
      <c r="AW85" s="18" t="n"/>
    </row>
    <row r="86" customFormat="1" s="554">
      <c r="A86" s="554" t="inlineStr">
        <is>
          <t>Long-term finance lease obligations</t>
        </is>
      </c>
      <c r="B86" s="512" t="n"/>
      <c r="C86" s="512" t="n"/>
      <c r="D86" s="512" t="n"/>
      <c r="E86" s="512" t="n"/>
      <c r="F86" s="512" t="n"/>
      <c r="G86" s="512" t="n"/>
      <c r="H86" s="512" t="n"/>
      <c r="I86" s="512" t="n"/>
      <c r="J86" s="512" t="n"/>
      <c r="K86" s="512" t="n"/>
      <c r="L86" s="512" t="n"/>
      <c r="M86" s="512" t="n"/>
      <c r="N86" s="512" t="n"/>
      <c r="O86" s="512" t="n"/>
      <c r="P86" s="512" t="n">
        <v>20865</v>
      </c>
      <c r="Q86" s="512" t="n">
        <v>20785</v>
      </c>
      <c r="R86" s="512" t="n">
        <v>20362</v>
      </c>
      <c r="S86" s="512" t="n">
        <v>20332</v>
      </c>
      <c r="T86" s="512" t="n">
        <v>25105</v>
      </c>
      <c r="U86" s="512" t="n">
        <v>25196</v>
      </c>
      <c r="V86" s="512" t="n">
        <v>24649</v>
      </c>
      <c r="W86" s="512" t="n">
        <v>25213</v>
      </c>
      <c r="X86" s="512" t="n">
        <v>26</v>
      </c>
      <c r="Y86" s="512" t="n">
        <v>0</v>
      </c>
      <c r="Z86" s="512" t="n">
        <v>0</v>
      </c>
      <c r="AA86" s="512">
        <f>Z86</f>
        <v/>
      </c>
      <c r="AB86" s="528">
        <f>AA86</f>
        <v/>
      </c>
      <c r="AC86" s="528">
        <f>AB86</f>
        <v/>
      </c>
      <c r="AD86" s="528">
        <f>AC86</f>
        <v/>
      </c>
      <c r="AE86" s="528">
        <f>AD86</f>
        <v/>
      </c>
      <c r="AF86" s="512">
        <f>AE86</f>
        <v/>
      </c>
      <c r="AG86" s="512">
        <f>AF86</f>
        <v/>
      </c>
      <c r="AH86" s="512">
        <f>AG86</f>
        <v/>
      </c>
      <c r="AI86" s="528">
        <f>AH86</f>
        <v/>
      </c>
      <c r="AJ86" s="528">
        <f>AI86</f>
        <v/>
      </c>
      <c r="AK86" s="528">
        <f>AJ86</f>
        <v/>
      </c>
      <c r="AL86" s="528">
        <f>AK86</f>
        <v/>
      </c>
      <c r="AM86" s="528">
        <f>AL86</f>
        <v/>
      </c>
      <c r="AN86" s="528">
        <f>AM86</f>
        <v/>
      </c>
      <c r="AO86" s="18" t="n"/>
      <c r="AP86" s="555" t="n"/>
      <c r="AQ86" s="18" t="n"/>
      <c r="AR86" s="18" t="n"/>
      <c r="AS86" s="18" t="n"/>
      <c r="AT86" s="18" t="n"/>
      <c r="AU86" s="18" t="n"/>
      <c r="AV86" s="18" t="n"/>
      <c r="AW86" s="18" t="n"/>
    </row>
    <row r="87" customFormat="1" s="554">
      <c r="A87" s="554" t="inlineStr">
        <is>
          <t>Fuel clause account</t>
        </is>
      </c>
      <c r="B87" s="512" t="n">
        <v>107</v>
      </c>
      <c r="C87" s="512" t="n">
        <v>630</v>
      </c>
      <c r="D87" s="512" t="n">
        <v>682</v>
      </c>
      <c r="E87" s="512" t="n">
        <v>409</v>
      </c>
      <c r="F87" s="512" t="n">
        <v>0</v>
      </c>
      <c r="G87" s="512" t="n">
        <v>0</v>
      </c>
      <c r="H87" s="512" t="n">
        <v>0</v>
      </c>
      <c r="I87" s="512" t="n">
        <v>0</v>
      </c>
      <c r="J87" s="512" t="n">
        <v>0</v>
      </c>
      <c r="K87" s="512" t="n">
        <v>448</v>
      </c>
      <c r="L87" s="512" t="n">
        <v>512</v>
      </c>
      <c r="M87" s="512" t="n">
        <v>874</v>
      </c>
      <c r="N87" s="512" t="n">
        <v>762</v>
      </c>
      <c r="O87" s="512" t="n">
        <v>323</v>
      </c>
      <c r="P87" s="512" t="n">
        <v>294</v>
      </c>
      <c r="Q87" s="512" t="n">
        <v>0</v>
      </c>
      <c r="R87" s="512" t="n">
        <v>0</v>
      </c>
      <c r="S87" s="512" t="n">
        <v>0</v>
      </c>
      <c r="T87" s="512" t="n">
        <v>0</v>
      </c>
      <c r="U87" s="512" t="n">
        <v>0</v>
      </c>
      <c r="V87" s="512" t="n">
        <v>0</v>
      </c>
      <c r="W87" s="512" t="n">
        <v>1464</v>
      </c>
      <c r="X87" s="512" t="n">
        <v>2966</v>
      </c>
      <c r="Y87" s="512" t="n">
        <v>2226</v>
      </c>
      <c r="Z87" s="512" t="n">
        <v>2867</v>
      </c>
      <c r="AA87" s="512" t="n">
        <v>0</v>
      </c>
      <c r="AB87" s="512" t="n">
        <v>0</v>
      </c>
      <c r="AC87" s="512" t="n">
        <v>0</v>
      </c>
      <c r="AD87" s="512" t="n">
        <v>0</v>
      </c>
      <c r="AE87" s="512" t="n">
        <v>0</v>
      </c>
      <c r="AF87" s="512" t="n">
        <v>0</v>
      </c>
      <c r="AG87" s="512" t="n">
        <v>0</v>
      </c>
      <c r="AH87" s="512" t="n">
        <v>0</v>
      </c>
      <c r="AI87" s="512" t="n">
        <v>0</v>
      </c>
      <c r="AJ87" s="512" t="n">
        <v>0</v>
      </c>
      <c r="AK87" s="512" t="n">
        <v>0</v>
      </c>
      <c r="AL87" s="512" t="n">
        <v>0</v>
      </c>
      <c r="AM87" s="512" t="n">
        <v>0</v>
      </c>
      <c r="AN87" s="512" t="n">
        <v>0</v>
      </c>
      <c r="AO87" s="18" t="n"/>
      <c r="AP87" s="555" t="n"/>
      <c r="AQ87" s="18" t="n"/>
      <c r="AR87" s="18" t="n"/>
      <c r="AS87" s="18" t="n"/>
      <c r="AT87" s="18" t="n"/>
      <c r="AU87" s="18" t="n"/>
      <c r="AV87" s="18" t="n"/>
      <c r="AW87" s="18" t="n"/>
    </row>
    <row r="88" customFormat="1" s="554">
      <c r="A88" s="554" t="inlineStr">
        <is>
          <t>Deferred taxes</t>
        </is>
      </c>
      <c r="B88" s="512" t="n">
        <v>1560</v>
      </c>
      <c r="C88" s="512" t="n">
        <v>1738</v>
      </c>
      <c r="D88" s="512" t="n">
        <v>1963</v>
      </c>
      <c r="E88" s="512" t="n">
        <v>2222</v>
      </c>
      <c r="F88" s="512" t="n">
        <v>2454</v>
      </c>
      <c r="G88" s="512" t="n">
        <v>2639</v>
      </c>
      <c r="H88" s="512" t="n">
        <v>2759</v>
      </c>
      <c r="I88" s="512" t="n">
        <v>2920</v>
      </c>
      <c r="J88" s="512" t="n">
        <v>3110</v>
      </c>
      <c r="K88" s="512" t="n">
        <v>3391</v>
      </c>
      <c r="L88" s="512" t="n">
        <v>3610</v>
      </c>
      <c r="M88" s="512" t="n">
        <v>4614</v>
      </c>
      <c r="N88" s="512" t="n">
        <v>5084</v>
      </c>
      <c r="O88" s="512" t="n">
        <v>5472</v>
      </c>
      <c r="P88" s="512" t="n">
        <v>6054</v>
      </c>
      <c r="Q88" s="512" t="n">
        <v>6344</v>
      </c>
      <c r="R88" s="512" t="n">
        <v>6435</v>
      </c>
      <c r="S88" s="512" t="n">
        <v>7009</v>
      </c>
      <c r="T88" s="512" t="n">
        <v>7590</v>
      </c>
      <c r="U88" s="512" t="n">
        <v>7979</v>
      </c>
      <c r="V88" s="512" t="n">
        <v>8370</v>
      </c>
      <c r="W88" s="512" t="n">
        <v>8548</v>
      </c>
      <c r="X88" s="512" t="n">
        <v>13418</v>
      </c>
      <c r="Y88" s="512" t="n">
        <v>13476</v>
      </c>
      <c r="Z88" s="512" t="n">
        <v>13819</v>
      </c>
      <c r="AA88" s="512" t="n">
        <v>14275</v>
      </c>
      <c r="AB88" s="512" t="n">
        <v>14650</v>
      </c>
      <c r="AC88" s="512" t="n">
        <v>15117</v>
      </c>
      <c r="AD88" s="512" t="n">
        <v>15429</v>
      </c>
      <c r="AE88" s="512" t="n">
        <v>15886</v>
      </c>
      <c r="AF88" s="512" t="n">
        <v>16246</v>
      </c>
      <c r="AG88" s="512" t="n">
        <v>16752</v>
      </c>
      <c r="AH88" s="512" t="n">
        <v>17348</v>
      </c>
      <c r="AI88" s="528">
        <f>AH88</f>
        <v/>
      </c>
      <c r="AJ88" s="528">
        <f>AI88</f>
        <v/>
      </c>
      <c r="AK88" s="528">
        <f>AJ88</f>
        <v/>
      </c>
      <c r="AL88" s="528">
        <f>AK88</f>
        <v/>
      </c>
      <c r="AM88" s="528">
        <f>AL88</f>
        <v/>
      </c>
      <c r="AN88" s="528">
        <f>AM88</f>
        <v/>
      </c>
      <c r="AO88" s="18" t="n"/>
      <c r="AP88" s="555" t="n"/>
      <c r="AQ88" s="18" t="n"/>
      <c r="AR88" s="18" t="n"/>
      <c r="AS88" s="18" t="n"/>
      <c r="AT88" s="18" t="n"/>
      <c r="AU88" s="18" t="n"/>
      <c r="AV88" s="18" t="n"/>
      <c r="AW88" s="18" t="n"/>
    </row>
    <row r="89" customFormat="1" s="554">
      <c r="A89" s="562" t="inlineStr">
        <is>
          <t>Derivative instruments</t>
        </is>
      </c>
      <c r="B89" s="512" t="n"/>
      <c r="C89" s="512" t="n"/>
      <c r="D89" s="512" t="n"/>
      <c r="E89" s="512" t="n"/>
      <c r="F89" s="512" t="n"/>
      <c r="G89" s="512" t="n"/>
      <c r="H89" s="512" t="n"/>
      <c r="I89" s="512" t="n"/>
      <c r="J89" s="512" t="n"/>
      <c r="K89" s="512" t="n"/>
      <c r="L89" s="512" t="n"/>
      <c r="M89" s="512" t="n">
        <v>0</v>
      </c>
      <c r="N89" s="512" t="n">
        <v>0</v>
      </c>
      <c r="O89" s="512" t="n">
        <v>444</v>
      </c>
      <c r="P89" s="512" t="n">
        <v>735</v>
      </c>
      <c r="Q89" s="512" t="n">
        <v>559</v>
      </c>
      <c r="R89" s="512" t="n">
        <v>837</v>
      </c>
      <c r="S89" s="512" t="n">
        <v>617</v>
      </c>
      <c r="T89" s="512" t="n">
        <v>1079</v>
      </c>
      <c r="U89" s="512" t="n">
        <v>5082</v>
      </c>
      <c r="V89" s="512" t="n">
        <v>4084</v>
      </c>
      <c r="W89" s="512" t="n">
        <v>3440</v>
      </c>
      <c r="X89" s="512" t="n">
        <v>3062</v>
      </c>
      <c r="Y89" s="512" t="n">
        <v>2802</v>
      </c>
      <c r="Z89" s="512" t="n">
        <v>1580</v>
      </c>
      <c r="AA89" s="512" t="n">
        <v>1640</v>
      </c>
      <c r="AB89" s="512" t="n">
        <v>1547</v>
      </c>
      <c r="AC89" s="512" t="n">
        <v>1305</v>
      </c>
      <c r="AD89" s="512" t="n">
        <v>2135</v>
      </c>
      <c r="AE89" s="512" t="n">
        <v>1364</v>
      </c>
      <c r="AF89" s="512" t="n">
        <v>1405</v>
      </c>
      <c r="AG89" s="512" t="n">
        <v>1719</v>
      </c>
      <c r="AH89" s="512" t="n">
        <v>1388</v>
      </c>
      <c r="AI89" s="581">
        <f>AH89</f>
        <v/>
      </c>
      <c r="AJ89" s="581">
        <f>AI89</f>
        <v/>
      </c>
      <c r="AK89" s="581">
        <f>AJ89</f>
        <v/>
      </c>
      <c r="AL89" s="581">
        <f>AK89</f>
        <v/>
      </c>
      <c r="AM89" s="581">
        <f>AL89</f>
        <v/>
      </c>
      <c r="AN89" s="581">
        <f>AM89</f>
        <v/>
      </c>
      <c r="AO89" s="18" t="n"/>
      <c r="AP89" s="555" t="n"/>
      <c r="AQ89" s="18" t="n"/>
      <c r="AR89" s="18" t="n"/>
      <c r="AS89" s="18" t="n"/>
      <c r="AT89" s="18" t="n"/>
      <c r="AU89" s="18" t="n"/>
      <c r="AV89" s="18" t="n"/>
      <c r="AW89" s="18" t="n"/>
    </row>
    <row r="90" customFormat="1" s="554">
      <c r="A90" s="554" t="inlineStr">
        <is>
          <t>Scheme of control liabilities</t>
        </is>
      </c>
      <c r="B90" s="585">
        <f>'SOC Accounts'!B21+'SOC Accounts'!B34</f>
        <v/>
      </c>
      <c r="C90" s="585">
        <f>'SOC Accounts'!C21+'SOC Accounts'!C34</f>
        <v/>
      </c>
      <c r="D90" s="585">
        <f>'SOC Accounts'!D21+'SOC Accounts'!D34</f>
        <v/>
      </c>
      <c r="E90" s="585">
        <f>'SOC Accounts'!E21+'SOC Accounts'!E34</f>
        <v/>
      </c>
      <c r="F90" s="585">
        <f>'SOC Accounts'!F21+'SOC Accounts'!F34</f>
        <v/>
      </c>
      <c r="G90" s="585">
        <f>'SOC Accounts'!G21+'SOC Accounts'!G34</f>
        <v/>
      </c>
      <c r="H90" s="585">
        <f>'SOC Accounts'!H21+'SOC Accounts'!H34</f>
        <v/>
      </c>
      <c r="I90" s="585">
        <f>'SOC Accounts'!I21+'SOC Accounts'!I34</f>
        <v/>
      </c>
      <c r="J90" s="585">
        <f>'SOC Accounts'!J21+'SOC Accounts'!J34</f>
        <v/>
      </c>
      <c r="K90" s="585">
        <f>'SOC Accounts'!K21+'SOC Accounts'!K34</f>
        <v/>
      </c>
      <c r="L90" s="585">
        <f>'SOC Accounts'!L21+'SOC Accounts'!L34</f>
        <v/>
      </c>
      <c r="M90" s="585">
        <f>'SOC Accounts'!M21+'SOC Accounts'!M34</f>
        <v/>
      </c>
      <c r="N90" s="585">
        <f>'SOC Accounts'!N21+'SOC Accounts'!N34</f>
        <v/>
      </c>
      <c r="O90" s="585">
        <f>'SOC Accounts'!O21+'SOC Accounts'!O34</f>
        <v/>
      </c>
      <c r="P90" s="585">
        <f>'SOC Accounts'!P21+'SOC Accounts'!P34</f>
        <v/>
      </c>
      <c r="Q90" s="585">
        <f>'SOC Accounts'!Q21+'SOC Accounts'!Q34</f>
        <v/>
      </c>
      <c r="R90" s="585">
        <f>'SOC Accounts'!R21+'SOC Accounts'!R34</f>
        <v/>
      </c>
      <c r="S90" s="585">
        <f>'SOC Accounts'!S21+'SOC Accounts'!S34</f>
        <v/>
      </c>
      <c r="T90" s="512">
        <f>'SOC Accounts'!T21+'SOC Accounts'!T34</f>
        <v/>
      </c>
      <c r="U90" s="512">
        <f>'SOC Accounts'!U21+'SOC Accounts'!U34</f>
        <v/>
      </c>
      <c r="V90" s="512">
        <f>'SOC Accounts'!V21+'SOC Accounts'!V34+'SOC Accounts'!V42</f>
        <v/>
      </c>
      <c r="W90" s="512">
        <f>'SOC Accounts'!W21+'SOC Accounts'!W34+'SOC Accounts'!W42</f>
        <v/>
      </c>
      <c r="X90" s="512">
        <f>'SOC Accounts'!X21+'SOC Accounts'!X34+'SOC Accounts'!X42</f>
        <v/>
      </c>
      <c r="Y90" s="512">
        <f>'SOC Accounts'!Y21+'SOC Accounts'!Y34+'SOC Accounts'!Y42</f>
        <v/>
      </c>
      <c r="Z90" s="512">
        <f>'SOC Accounts'!Z21+'SOC Accounts'!Z34+'SOC Accounts'!Z42</f>
        <v/>
      </c>
      <c r="AA90" s="512" t="n">
        <v>977</v>
      </c>
      <c r="AB90" s="512" t="n">
        <v>998</v>
      </c>
      <c r="AC90" s="512" t="n">
        <v>1500</v>
      </c>
      <c r="AD90" s="512" t="n">
        <v>2374</v>
      </c>
      <c r="AE90" s="512" t="n">
        <v>3440</v>
      </c>
      <c r="AF90" s="512" t="n">
        <v>3094</v>
      </c>
      <c r="AG90" s="512" t="n">
        <v>2643</v>
      </c>
      <c r="AH90" s="512" t="n">
        <v>3172</v>
      </c>
      <c r="AI90" s="528">
        <f>'SOC Accounts'!AI21+'SOC Accounts'!AI34+'SOC Accounts'!AI42-'SOC Accounts'!AI41</f>
        <v/>
      </c>
      <c r="AJ90" s="528">
        <f>'SOC Accounts'!AJ21+'SOC Accounts'!AJ34+'SOC Accounts'!AJ42-'SOC Accounts'!AJ41</f>
        <v/>
      </c>
      <c r="AK90" s="528">
        <f>'SOC Accounts'!AK21+'SOC Accounts'!AK34+'SOC Accounts'!AK42-'SOC Accounts'!AK41</f>
        <v/>
      </c>
      <c r="AL90" s="528">
        <f>'SOC Accounts'!AL21+'SOC Accounts'!AL34+'SOC Accounts'!AL42-'SOC Accounts'!AL41</f>
        <v/>
      </c>
      <c r="AM90" s="528">
        <f>'SOC Accounts'!AM21+'SOC Accounts'!AM34+'SOC Accounts'!AM42-'SOC Accounts'!AM41</f>
        <v/>
      </c>
      <c r="AN90" s="528">
        <f>'SOC Accounts'!AN21+'SOC Accounts'!AN34+'SOC Accounts'!AN42-'SOC Accounts'!AN41</f>
        <v/>
      </c>
      <c r="AO90" s="18" t="n"/>
      <c r="AP90" s="555" t="n"/>
      <c r="AQ90" s="18" t="n"/>
      <c r="AR90" s="18" t="n"/>
      <c r="AS90" s="18" t="n"/>
      <c r="AT90" s="18" t="n"/>
      <c r="AU90" s="18" t="n"/>
      <c r="AV90" s="18" t="n"/>
      <c r="AW90" s="18" t="n"/>
    </row>
    <row r="91" customFormat="1" s="554">
      <c r="A91" s="554" t="inlineStr">
        <is>
          <t>Deferred creditors and others</t>
        </is>
      </c>
      <c r="B91" s="512" t="n">
        <v>0</v>
      </c>
      <c r="C91" s="512" t="n">
        <v>68</v>
      </c>
      <c r="D91" s="512" t="n">
        <v>1</v>
      </c>
      <c r="E91" s="512" t="n">
        <v>3</v>
      </c>
      <c r="F91" s="512" t="n">
        <v>2</v>
      </c>
      <c r="G91" s="512" t="n">
        <v>0</v>
      </c>
      <c r="H91" s="512" t="n">
        <v>0</v>
      </c>
      <c r="I91" s="512" t="n">
        <v>0</v>
      </c>
      <c r="J91" s="512" t="n">
        <v>766</v>
      </c>
      <c r="K91" s="512" t="n">
        <v>766</v>
      </c>
      <c r="L91" s="512" t="n">
        <v>670</v>
      </c>
      <c r="M91" s="512" t="n">
        <v>646</v>
      </c>
      <c r="N91" s="512" t="n">
        <v>522</v>
      </c>
      <c r="O91" s="512" t="n">
        <v>934</v>
      </c>
      <c r="P91" s="512" t="n">
        <v>877</v>
      </c>
      <c r="Q91" s="512" t="n">
        <v>964</v>
      </c>
      <c r="R91" s="512" t="n">
        <v>945</v>
      </c>
      <c r="S91" s="512" t="n">
        <v>1074</v>
      </c>
      <c r="T91" s="512" t="n">
        <v>1276</v>
      </c>
      <c r="U91" s="512" t="n">
        <v>2673</v>
      </c>
      <c r="V91" s="512" t="n">
        <v>2456</v>
      </c>
      <c r="W91" s="512" t="n">
        <v>1446</v>
      </c>
      <c r="X91" s="512" t="n">
        <v>2894</v>
      </c>
      <c r="Y91" s="512" t="n">
        <v>2938</v>
      </c>
      <c r="Z91" s="512" t="n">
        <v>2744</v>
      </c>
      <c r="AA91" s="512">
        <f>2987+1462</f>
        <v/>
      </c>
      <c r="AB91" s="512">
        <f>3558+1432</f>
        <v/>
      </c>
      <c r="AC91" s="512">
        <f>3513+1599</f>
        <v/>
      </c>
      <c r="AD91" s="512">
        <f>3963+2752</f>
        <v/>
      </c>
      <c r="AE91" s="512">
        <f>4346+2563</f>
        <v/>
      </c>
      <c r="AF91" s="512">
        <f>4375+2848</f>
        <v/>
      </c>
      <c r="AG91" s="512">
        <f>5047+3086</f>
        <v/>
      </c>
      <c r="AH91" s="512">
        <f>4696+2882</f>
        <v/>
      </c>
      <c r="AI91" s="528">
        <f>AH91</f>
        <v/>
      </c>
      <c r="AJ91" s="528">
        <f>AI91</f>
        <v/>
      </c>
      <c r="AK91" s="528">
        <f>AJ91</f>
        <v/>
      </c>
      <c r="AL91" s="528">
        <f>AK91</f>
        <v/>
      </c>
      <c r="AM91" s="528">
        <f>AL91</f>
        <v/>
      </c>
      <c r="AN91" s="528">
        <f>AM91</f>
        <v/>
      </c>
      <c r="AO91" s="18" t="n"/>
      <c r="AP91" s="555" t="n"/>
      <c r="AQ91" s="18" t="n"/>
      <c r="AR91" s="18" t="n"/>
      <c r="AS91" s="18" t="n"/>
      <c r="AT91" s="18" t="n"/>
      <c r="AU91" s="18" t="n"/>
      <c r="AV91" s="18" t="n"/>
      <c r="AW91" s="18" t="n"/>
    </row>
    <row r="92" customFormat="1" s="556">
      <c r="A92" s="556" t="inlineStr">
        <is>
          <t>Total long-term liabilities</t>
        </is>
      </c>
      <c r="B92" s="560">
        <f>SUM(B85:B91)</f>
        <v/>
      </c>
      <c r="C92" s="560">
        <f>SUM(C85:C91)</f>
        <v/>
      </c>
      <c r="D92" s="560">
        <f>SUM(D85:D91)</f>
        <v/>
      </c>
      <c r="E92" s="560">
        <f>SUM(E85:E91)</f>
        <v/>
      </c>
      <c r="F92" s="560">
        <f>SUM(F85:F91)</f>
        <v/>
      </c>
      <c r="G92" s="560">
        <f>SUM(G85:G91)</f>
        <v/>
      </c>
      <c r="H92" s="560">
        <f>SUM(H85:H91)</f>
        <v/>
      </c>
      <c r="I92" s="560">
        <f>SUM(I85:I91)</f>
        <v/>
      </c>
      <c r="J92" s="560">
        <f>SUM(J85:J91)</f>
        <v/>
      </c>
      <c r="K92" s="560">
        <f>SUM(K85:K91)</f>
        <v/>
      </c>
      <c r="L92" s="560">
        <f>SUM(L85:L91)</f>
        <v/>
      </c>
      <c r="M92" s="560">
        <f>SUM(M85:M91)</f>
        <v/>
      </c>
      <c r="N92" s="560">
        <f>SUM(N85:N91)</f>
        <v/>
      </c>
      <c r="O92" s="560">
        <f>SUM(O85:O91)</f>
        <v/>
      </c>
      <c r="P92" s="560">
        <f>SUM(P85:P91)</f>
        <v/>
      </c>
      <c r="Q92" s="560">
        <f>SUM(Q85:Q91)</f>
        <v/>
      </c>
      <c r="R92" s="560">
        <f>SUM(R85:R91)</f>
        <v/>
      </c>
      <c r="S92" s="560">
        <f>SUM(S85:S91)</f>
        <v/>
      </c>
      <c r="T92" s="560">
        <f>SUM(T85:T91)</f>
        <v/>
      </c>
      <c r="U92" s="560">
        <f>SUM(U85:U91)</f>
        <v/>
      </c>
      <c r="V92" s="560">
        <f>SUM(V85:V91)</f>
        <v/>
      </c>
      <c r="W92" s="560">
        <f>SUM(W85:W91)</f>
        <v/>
      </c>
      <c r="X92" s="560">
        <f>SUM(X85:X91)</f>
        <v/>
      </c>
      <c r="Y92" s="560">
        <f>SUM(Y85:Y91)</f>
        <v/>
      </c>
      <c r="Z92" s="560">
        <f>SUM(Z85:Z91)</f>
        <v/>
      </c>
      <c r="AA92" s="560">
        <f>SUM(AA85:AA91)</f>
        <v/>
      </c>
      <c r="AB92" s="560">
        <f>SUM(AB85:AB91)</f>
        <v/>
      </c>
      <c r="AC92" s="560">
        <f>SUM(AC85:AC91)</f>
        <v/>
      </c>
      <c r="AD92" s="560">
        <f>SUM(AD85:AD91)</f>
        <v/>
      </c>
      <c r="AE92" s="560">
        <f>SUM(AE85:AE91)</f>
        <v/>
      </c>
      <c r="AF92" s="560">
        <f>SUM(AF85:AF91)</f>
        <v/>
      </c>
      <c r="AG92" s="560">
        <f>SUM(AG85:AG91)</f>
        <v/>
      </c>
      <c r="AH92" s="560">
        <f>SUM(AH85:AH91)</f>
        <v/>
      </c>
      <c r="AI92" s="560">
        <f>SUM(AI85:AI91)</f>
        <v/>
      </c>
      <c r="AJ92" s="560">
        <f>SUM(AJ85:AJ91)</f>
        <v/>
      </c>
      <c r="AK92" s="560">
        <f>SUM(AK85:AK91)</f>
        <v/>
      </c>
      <c r="AL92" s="560">
        <f>SUM(AL85:AL91)</f>
        <v/>
      </c>
      <c r="AM92" s="560">
        <f>SUM(AM85:AM91)</f>
        <v/>
      </c>
      <c r="AN92" s="560">
        <f>SUM(AN85:AN91)</f>
        <v/>
      </c>
      <c r="AO92" s="18" t="n"/>
      <c r="AP92" s="555" t="n"/>
      <c r="AQ92" s="18" t="n"/>
      <c r="AR92" s="18" t="n"/>
      <c r="AS92" s="18" t="n"/>
      <c r="AT92" s="18" t="n"/>
      <c r="AU92" s="18" t="n"/>
      <c r="AV92" s="18" t="n"/>
      <c r="AW92" s="18" t="n"/>
    </row>
    <row r="93" customFormat="1" s="554">
      <c r="B93" s="512" t="n"/>
      <c r="C93" s="512" t="n"/>
      <c r="D93" s="512" t="n"/>
      <c r="E93" s="512" t="n"/>
      <c r="F93" s="512" t="n"/>
      <c r="G93" s="512" t="n"/>
      <c r="H93" s="512" t="n"/>
      <c r="I93" s="512" t="n"/>
      <c r="J93" s="512" t="n"/>
      <c r="K93" s="512" t="n"/>
      <c r="L93" s="512" t="n"/>
      <c r="M93" s="512" t="n"/>
      <c r="N93" s="512" t="n"/>
      <c r="O93" s="512" t="n"/>
      <c r="P93" s="512" t="n"/>
      <c r="Q93" s="512" t="n"/>
      <c r="R93" s="512" t="n"/>
      <c r="S93" s="512" t="n"/>
      <c r="T93" s="512" t="n"/>
      <c r="U93" s="512" t="n"/>
      <c r="V93" s="512" t="n"/>
      <c r="W93" s="512" t="n"/>
      <c r="X93" s="512" t="n"/>
      <c r="Y93" s="512" t="n"/>
      <c r="Z93" s="512" t="n"/>
      <c r="AA93" s="512" t="n"/>
      <c r="AB93" s="512" t="n"/>
      <c r="AC93" s="512" t="n"/>
      <c r="AD93" s="512" t="n"/>
      <c r="AE93" s="512" t="n"/>
      <c r="AF93" s="512" t="n"/>
      <c r="AG93" s="512" t="n"/>
      <c r="AH93" s="512" t="n"/>
      <c r="AI93" s="512" t="n"/>
      <c r="AJ93" s="512" t="n"/>
      <c r="AK93" s="512" t="n"/>
      <c r="AL93" s="512" t="n"/>
      <c r="AM93" s="512" t="n"/>
      <c r="AN93" s="512" t="n"/>
      <c r="AO93" s="18" t="n"/>
      <c r="AP93" s="555" t="n"/>
      <c r="AQ93" s="18" t="n"/>
      <c r="AR93" s="18" t="n"/>
      <c r="AS93" s="18" t="n"/>
      <c r="AT93" s="18" t="n"/>
      <c r="AU93" s="18" t="n"/>
      <c r="AV93" s="18" t="n"/>
      <c r="AW93" s="18" t="n"/>
    </row>
    <row r="94" customFormat="1" s="554">
      <c r="A94" s="562" t="inlineStr">
        <is>
          <t>Share capital and share premium</t>
        </is>
      </c>
      <c r="B94" s="512" t="n">
        <v>8294</v>
      </c>
      <c r="C94" s="512" t="n">
        <v>8294</v>
      </c>
      <c r="D94" s="512" t="n">
        <v>9953</v>
      </c>
      <c r="E94" s="512" t="n">
        <v>9953</v>
      </c>
      <c r="F94" s="512" t="n">
        <v>9953</v>
      </c>
      <c r="G94" s="512" t="n">
        <v>26150</v>
      </c>
      <c r="H94" s="512" t="n">
        <v>25605</v>
      </c>
      <c r="I94" s="512" t="n">
        <v>23768</v>
      </c>
      <c r="J94" s="512" t="n">
        <v>23768</v>
      </c>
      <c r="K94" s="512" t="n">
        <v>23388</v>
      </c>
      <c r="L94" s="512" t="n">
        <v>13205</v>
      </c>
      <c r="M94" s="512" t="n">
        <v>13205</v>
      </c>
      <c r="N94" s="512" t="n">
        <v>13205</v>
      </c>
      <c r="O94" s="512" t="n">
        <v>13205</v>
      </c>
      <c r="P94" s="512" t="n">
        <v>13205</v>
      </c>
      <c r="Q94" s="512" t="n">
        <v>13205</v>
      </c>
      <c r="R94" s="512" t="n">
        <v>13195</v>
      </c>
      <c r="S94" s="512" t="n">
        <v>13195</v>
      </c>
      <c r="T94" s="512" t="n">
        <v>13195</v>
      </c>
      <c r="U94" s="512" t="n">
        <v>13195</v>
      </c>
      <c r="V94" s="512" t="n">
        <v>20751</v>
      </c>
      <c r="W94" s="512" t="n">
        <v>20751</v>
      </c>
      <c r="X94" s="512" t="n">
        <v>23243</v>
      </c>
      <c r="Y94" s="512" t="n">
        <v>23243</v>
      </c>
      <c r="Z94" s="512" t="n">
        <v>23243</v>
      </c>
      <c r="AA94" s="512" t="n">
        <v>23243</v>
      </c>
      <c r="AB94" s="512" t="n">
        <v>23243</v>
      </c>
      <c r="AC94" s="512" t="n">
        <v>23243</v>
      </c>
      <c r="AD94" s="512" t="n">
        <v>23243</v>
      </c>
      <c r="AE94" s="512" t="n">
        <v>23243</v>
      </c>
      <c r="AF94" s="512" t="n">
        <v>23243</v>
      </c>
      <c r="AG94" s="512" t="n">
        <v>23243</v>
      </c>
      <c r="AH94" s="512" t="n">
        <v>23243</v>
      </c>
      <c r="AI94" s="528">
        <f>AH94</f>
        <v/>
      </c>
      <c r="AJ94" s="528">
        <f>AI94</f>
        <v/>
      </c>
      <c r="AK94" s="528">
        <f>AJ94</f>
        <v/>
      </c>
      <c r="AL94" s="528">
        <f>AK94</f>
        <v/>
      </c>
      <c r="AM94" s="528">
        <f>AL94</f>
        <v/>
      </c>
      <c r="AN94" s="528">
        <f>AM94</f>
        <v/>
      </c>
      <c r="AO94" s="18" t="n"/>
      <c r="AP94" s="555" t="n"/>
      <c r="AQ94" s="18" t="n"/>
      <c r="AR94" s="18" t="n"/>
      <c r="AS94" s="18" t="n"/>
      <c r="AT94" s="18" t="n"/>
      <c r="AU94" s="18" t="n"/>
      <c r="AV94" s="18" t="n"/>
      <c r="AW94" s="18" t="n"/>
    </row>
    <row r="95" customFormat="1" s="554">
      <c r="A95" s="554" t="inlineStr">
        <is>
          <t>Total retained earnings</t>
        </is>
      </c>
      <c r="B95" s="512" t="n">
        <v>4570</v>
      </c>
      <c r="C95" s="512" t="n">
        <v>6131</v>
      </c>
      <c r="D95" s="512" t="n">
        <v>6389</v>
      </c>
      <c r="E95" s="512" t="n">
        <v>8838</v>
      </c>
      <c r="F95" s="512" t="n">
        <v>10887</v>
      </c>
      <c r="G95" s="512" t="n">
        <v>13147</v>
      </c>
      <c r="H95" s="512" t="n">
        <v>14862</v>
      </c>
      <c r="I95" s="512" t="n">
        <v>7142</v>
      </c>
      <c r="J95" s="512" t="n">
        <v>8050</v>
      </c>
      <c r="K95" s="512">
        <f>8058+1194</f>
        <v/>
      </c>
      <c r="L95" s="512">
        <f>23582+101</f>
        <v/>
      </c>
      <c r="M95" s="512">
        <f>25230+1806</f>
        <v/>
      </c>
      <c r="N95" s="512">
        <f>28875+2119</f>
        <v/>
      </c>
      <c r="O95" s="512">
        <f>2264+34690</f>
        <v/>
      </c>
      <c r="P95" s="512">
        <f>2192+40441</f>
        <v/>
      </c>
      <c r="Q95" s="512">
        <f>2216+48480</f>
        <v/>
      </c>
      <c r="R95" s="512">
        <f>2214+47608</f>
        <v/>
      </c>
      <c r="S95" s="512">
        <f>2214+55352</f>
        <v/>
      </c>
      <c r="T95" s="512">
        <f>2214+64252</f>
        <v/>
      </c>
      <c r="U95" s="512">
        <f>2310+65754</f>
        <v/>
      </c>
      <c r="V95" s="512">
        <f>2476+67900</f>
        <v/>
      </c>
      <c r="W95" s="512">
        <f>2476+64134</f>
        <v/>
      </c>
      <c r="X95" s="512">
        <f>2526+62244</f>
        <v/>
      </c>
      <c r="Y95" s="512" t="n">
        <v>69875</v>
      </c>
      <c r="Z95" s="512" t="n">
        <v>74767</v>
      </c>
      <c r="AA95" s="512" t="n">
        <v>85454</v>
      </c>
      <c r="AB95" s="512" t="n">
        <v>85810</v>
      </c>
      <c r="AC95" s="512" t="n">
        <v>82212</v>
      </c>
      <c r="AD95" s="512" t="n">
        <v>88957</v>
      </c>
      <c r="AE95" s="512" t="n">
        <v>89791</v>
      </c>
      <c r="AF95" s="512" t="n">
        <v>82255</v>
      </c>
      <c r="AG95" s="512" t="n">
        <v>79088</v>
      </c>
      <c r="AH95" s="512" t="n">
        <v>80812</v>
      </c>
      <c r="AI95" s="528">
        <f>AH95+AI27+AI133+AI132-(AI94-AH94)</f>
        <v/>
      </c>
      <c r="AJ95" s="528">
        <f>AI95+AJ27+AJ133+AJ132-(AJ94-AI94)</f>
        <v/>
      </c>
      <c r="AK95" s="528">
        <f>AJ95+AK27+AK133+AK132-(AK94-AJ94)</f>
        <v/>
      </c>
      <c r="AL95" s="528">
        <f>AK95+AL27+AL133+AL132-(AL94-AK94)</f>
        <v/>
      </c>
      <c r="AM95" s="528">
        <f>AL95+AM27+AM133+AM132-(AM94-AL94)</f>
        <v/>
      </c>
      <c r="AN95" s="528">
        <f>AM95+AN27+AN133+AN132-(AN94-AM94)</f>
        <v/>
      </c>
      <c r="AO95" s="18" t="n"/>
      <c r="AP95" s="555" t="n"/>
      <c r="AQ95" s="18" t="n"/>
      <c r="AR95" s="18" t="n"/>
      <c r="AS95" s="18" t="n"/>
      <c r="AT95" s="18" t="n"/>
      <c r="AU95" s="18" t="n"/>
      <c r="AV95" s="18" t="n"/>
      <c r="AW95" s="18" t="n"/>
    </row>
    <row r="96" customFormat="1" s="556">
      <c r="A96" s="556" t="inlineStr">
        <is>
          <t>Total shareholders’ equity</t>
        </is>
      </c>
      <c r="B96" s="560">
        <f>B95+B94</f>
        <v/>
      </c>
      <c r="C96" s="560">
        <f>C95+C94</f>
        <v/>
      </c>
      <c r="D96" s="560">
        <f>D95+D94</f>
        <v/>
      </c>
      <c r="E96" s="560">
        <f>E95+E94</f>
        <v/>
      </c>
      <c r="F96" s="560">
        <f>F95+F94</f>
        <v/>
      </c>
      <c r="G96" s="560">
        <f>G95+G94</f>
        <v/>
      </c>
      <c r="H96" s="560">
        <f>H95+H94</f>
        <v/>
      </c>
      <c r="I96" s="560">
        <f>I95+I94</f>
        <v/>
      </c>
      <c r="J96" s="560">
        <f>J95+J94</f>
        <v/>
      </c>
      <c r="K96" s="560">
        <f>K95+K94</f>
        <v/>
      </c>
      <c r="L96" s="560">
        <f>L95+L94</f>
        <v/>
      </c>
      <c r="M96" s="560">
        <f>M95+M94</f>
        <v/>
      </c>
      <c r="N96" s="560">
        <f>N95+N94</f>
        <v/>
      </c>
      <c r="O96" s="560">
        <f>O95+O94</f>
        <v/>
      </c>
      <c r="P96" s="560">
        <f>P95+P94</f>
        <v/>
      </c>
      <c r="Q96" s="560">
        <f>Q95+Q94</f>
        <v/>
      </c>
      <c r="R96" s="560">
        <f>R95+R94</f>
        <v/>
      </c>
      <c r="S96" s="560">
        <f>S95+S94</f>
        <v/>
      </c>
      <c r="T96" s="560">
        <f>T95+T94</f>
        <v/>
      </c>
      <c r="U96" s="560">
        <f>U95+U94</f>
        <v/>
      </c>
      <c r="V96" s="560">
        <f>V95+V94</f>
        <v/>
      </c>
      <c r="W96" s="560">
        <f>W95+W94</f>
        <v/>
      </c>
      <c r="X96" s="560">
        <f>X95+X94</f>
        <v/>
      </c>
      <c r="Y96" s="560">
        <f>Y95+Y94</f>
        <v/>
      </c>
      <c r="Z96" s="560">
        <f>Z95+Z94</f>
        <v/>
      </c>
      <c r="AA96" s="560">
        <f>AA95+AA94</f>
        <v/>
      </c>
      <c r="AB96" s="560">
        <f>AB95+AB94</f>
        <v/>
      </c>
      <c r="AC96" s="560">
        <f>AC95+AC94</f>
        <v/>
      </c>
      <c r="AD96" s="560">
        <f>AD95+AD94</f>
        <v/>
      </c>
      <c r="AE96" s="560">
        <f>AE95+AE94</f>
        <v/>
      </c>
      <c r="AF96" s="560">
        <f>AF95+AF94</f>
        <v/>
      </c>
      <c r="AG96" s="560">
        <f>AG95+AG94</f>
        <v/>
      </c>
      <c r="AH96" s="560">
        <f>AH95+AH94</f>
        <v/>
      </c>
      <c r="AI96" s="560">
        <f>AI95+AI94</f>
        <v/>
      </c>
      <c r="AJ96" s="560">
        <f>AJ95+AJ94</f>
        <v/>
      </c>
      <c r="AK96" s="560">
        <f>AK95+AK94</f>
        <v/>
      </c>
      <c r="AL96" s="560">
        <f>AL95+AL94</f>
        <v/>
      </c>
      <c r="AM96" s="560">
        <f>AM95+AM94</f>
        <v/>
      </c>
      <c r="AN96" s="560">
        <f>AN95+AN94</f>
        <v/>
      </c>
      <c r="AO96" s="18" t="n"/>
      <c r="AP96" s="555" t="n"/>
      <c r="AQ96" s="18" t="n"/>
      <c r="AR96" s="18" t="n"/>
      <c r="AS96" s="18" t="n"/>
      <c r="AT96" s="18" t="n"/>
      <c r="AU96" s="18" t="n"/>
      <c r="AV96" s="18" t="n"/>
      <c r="AW96" s="18" t="n"/>
    </row>
    <row r="97" customFormat="1" s="554">
      <c r="A97" s="554" t="inlineStr">
        <is>
          <t>Minority Interests</t>
        </is>
      </c>
      <c r="B97" s="512" t="n">
        <v>0</v>
      </c>
      <c r="C97" s="512" t="n">
        <v>0</v>
      </c>
      <c r="D97" s="512" t="n">
        <v>10</v>
      </c>
      <c r="E97" s="512" t="n">
        <v>10</v>
      </c>
      <c r="F97" s="512" t="n">
        <v>10</v>
      </c>
      <c r="G97" s="512" t="n">
        <v>0</v>
      </c>
      <c r="H97" s="512" t="n">
        <v>0</v>
      </c>
      <c r="I97" s="512" t="n">
        <v>0</v>
      </c>
      <c r="J97" s="512" t="n">
        <v>0</v>
      </c>
      <c r="K97" s="512" t="n">
        <v>0</v>
      </c>
      <c r="L97" s="512" t="n">
        <v>0</v>
      </c>
      <c r="M97" s="512" t="n">
        <v>393</v>
      </c>
      <c r="N97" s="512" t="n">
        <v>0</v>
      </c>
      <c r="O97" s="512" t="n">
        <v>111</v>
      </c>
      <c r="P97" s="512" t="n">
        <v>78</v>
      </c>
      <c r="Q97" s="512" t="n">
        <v>95</v>
      </c>
      <c r="R97" s="512" t="n">
        <v>105</v>
      </c>
      <c r="S97" s="512" t="n">
        <v>107</v>
      </c>
      <c r="T97" s="512" t="n">
        <v>97</v>
      </c>
      <c r="U97" s="512" t="n">
        <v>93</v>
      </c>
      <c r="V97" s="512" t="n">
        <v>74</v>
      </c>
      <c r="W97" s="512" t="n">
        <v>120</v>
      </c>
      <c r="X97" s="512">
        <f>2155+5791</f>
        <v/>
      </c>
      <c r="Y97" s="512">
        <f>2023+5791</f>
        <v/>
      </c>
      <c r="Z97" s="512">
        <f>5791+1972</f>
        <v/>
      </c>
      <c r="AA97" s="512">
        <f>7019+5791</f>
        <v/>
      </c>
      <c r="AB97" s="512">
        <f>10088+5791</f>
        <v/>
      </c>
      <c r="AC97" s="512">
        <f>9987+3887</f>
        <v/>
      </c>
      <c r="AD97" s="512">
        <f>3887+9885</f>
        <v/>
      </c>
      <c r="AE97" s="512">
        <f>3887+9788</f>
        <v/>
      </c>
      <c r="AF97" s="512">
        <f>3887+6309</f>
        <v/>
      </c>
      <c r="AG97" s="512">
        <f>3887+6164</f>
        <v/>
      </c>
      <c r="AH97" s="512" t="n">
        <v>6063</v>
      </c>
      <c r="AI97" s="528">
        <f>AH97-AI25-AI26+AI135</f>
        <v/>
      </c>
      <c r="AJ97" s="528">
        <f>AI97-AJ25-AJ26+AJ135</f>
        <v/>
      </c>
      <c r="AK97" s="528">
        <f>AJ97-AK25-AK26+AK135</f>
        <v/>
      </c>
      <c r="AL97" s="528">
        <f>AK97-AL25-AL26+AL135</f>
        <v/>
      </c>
      <c r="AM97" s="528">
        <f>AL97-AM25-AM26+AM135</f>
        <v/>
      </c>
      <c r="AN97" s="528">
        <f>AM97-AN25-AN26+AN135</f>
        <v/>
      </c>
      <c r="AO97" s="18" t="n"/>
      <c r="AP97" s="555" t="n"/>
      <c r="AQ97" s="18" t="n"/>
      <c r="AR97" s="18" t="n"/>
      <c r="AS97" s="18" t="n"/>
      <c r="AT97" s="18" t="n"/>
      <c r="AU97" s="18" t="n"/>
      <c r="AV97" s="18" t="n"/>
      <c r="AW97" s="18" t="n"/>
    </row>
    <row r="98" customFormat="1" s="556">
      <c r="A98" s="556" t="inlineStr">
        <is>
          <t>Total liabilities and shareholders’ equity</t>
        </is>
      </c>
      <c r="B98" s="560">
        <f>B96+B92+B84+B97</f>
        <v/>
      </c>
      <c r="C98" s="560">
        <f>C96+C92+C84+C97</f>
        <v/>
      </c>
      <c r="D98" s="560">
        <f>D96+D92+D84+D97</f>
        <v/>
      </c>
      <c r="E98" s="560">
        <f>E96+E92+E84+E97</f>
        <v/>
      </c>
      <c r="F98" s="560">
        <f>F96+F92+F84+F97</f>
        <v/>
      </c>
      <c r="G98" s="560">
        <f>G96+G92+G84+G97</f>
        <v/>
      </c>
      <c r="H98" s="560">
        <f>H96+H92+H84+H97</f>
        <v/>
      </c>
      <c r="I98" s="560">
        <f>I96+I92+I84+I97</f>
        <v/>
      </c>
      <c r="J98" s="560">
        <f>J96+J92+J84+J97</f>
        <v/>
      </c>
      <c r="K98" s="560">
        <f>K96+K92+K84+K97</f>
        <v/>
      </c>
      <c r="L98" s="560">
        <f>L96+L92+L84+L97</f>
        <v/>
      </c>
      <c r="M98" s="560">
        <f>M96+M92+M84+M97</f>
        <v/>
      </c>
      <c r="N98" s="560">
        <f>N96+N92+N84+N97</f>
        <v/>
      </c>
      <c r="O98" s="560">
        <f>O96+O92+O84+O97</f>
        <v/>
      </c>
      <c r="P98" s="560">
        <f>P96+P92+P84+P97</f>
        <v/>
      </c>
      <c r="Q98" s="560">
        <f>Q96+Q92+Q84+Q97</f>
        <v/>
      </c>
      <c r="R98" s="560">
        <f>R96+R92+R84+R97</f>
        <v/>
      </c>
      <c r="S98" s="560">
        <f>S96+S92+S84+S97</f>
        <v/>
      </c>
      <c r="T98" s="560">
        <f>T96+T92+T84+T97</f>
        <v/>
      </c>
      <c r="U98" s="560">
        <f>U96+U92+U84+U97</f>
        <v/>
      </c>
      <c r="V98" s="560">
        <f>V96+V92+V84+V97</f>
        <v/>
      </c>
      <c r="W98" s="560">
        <f>W96+W92+W84+W97</f>
        <v/>
      </c>
      <c r="X98" s="560">
        <f>X96+X92+X84+X97</f>
        <v/>
      </c>
      <c r="Y98" s="560">
        <f>Y96+Y92+Y84+Y97</f>
        <v/>
      </c>
      <c r="Z98" s="560">
        <f>Z96+Z92+Z84+Z97</f>
        <v/>
      </c>
      <c r="AA98" s="560">
        <f>AA96+AA92+AA84+AA97</f>
        <v/>
      </c>
      <c r="AB98" s="560">
        <f>AB96+AB92+AB84+AB97</f>
        <v/>
      </c>
      <c r="AC98" s="560">
        <f>AC96+AC92+AC84+AC97</f>
        <v/>
      </c>
      <c r="AD98" s="560">
        <f>AD96+AD92+AD84+AD97</f>
        <v/>
      </c>
      <c r="AE98" s="560">
        <f>AE96+AE92+AE84+AE97</f>
        <v/>
      </c>
      <c r="AF98" s="560">
        <f>AF96+AF92+AF84+AF97</f>
        <v/>
      </c>
      <c r="AG98" s="560">
        <f>AG96+AG92+AG84+AG97</f>
        <v/>
      </c>
      <c r="AH98" s="560">
        <f>AH96+AH92+AH84+AH97</f>
        <v/>
      </c>
      <c r="AI98" s="560">
        <f>AI96+AI92+AI84+AI97</f>
        <v/>
      </c>
      <c r="AJ98" s="560">
        <f>AJ96+AJ92+AJ84+AJ97</f>
        <v/>
      </c>
      <c r="AK98" s="560">
        <f>AK96+AK92+AK84+AK97</f>
        <v/>
      </c>
      <c r="AL98" s="560">
        <f>AL96+AL92+AL84+AL97</f>
        <v/>
      </c>
      <c r="AM98" s="560">
        <f>AM96+AM92+AM84+AM97</f>
        <v/>
      </c>
      <c r="AN98" s="560">
        <f>AN96+AN92+AN84+AN97</f>
        <v/>
      </c>
      <c r="AO98" s="18" t="n"/>
      <c r="AP98" s="555" t="n"/>
      <c r="AQ98" s="18" t="n"/>
      <c r="AR98" s="18" t="n"/>
      <c r="AS98" s="18" t="n"/>
      <c r="AT98" s="18" t="n"/>
      <c r="AU98" s="18" t="n"/>
      <c r="AV98" s="18" t="n"/>
      <c r="AW98" s="18" t="n"/>
    </row>
    <row r="99" customFormat="1" s="554">
      <c r="A99" s="583" t="inlineStr">
        <is>
          <t>* change to December year end from 1999</t>
        </is>
      </c>
      <c r="B99" s="512">
        <f>B98-B75</f>
        <v/>
      </c>
      <c r="C99" s="512">
        <f>C98-C75</f>
        <v/>
      </c>
      <c r="D99" s="512">
        <f>D98-D75</f>
        <v/>
      </c>
      <c r="E99" s="512">
        <f>E98-E75</f>
        <v/>
      </c>
      <c r="F99" s="512">
        <f>F98-F75</f>
        <v/>
      </c>
      <c r="G99" s="512">
        <f>G98-G75</f>
        <v/>
      </c>
      <c r="H99" s="512">
        <f>H98-H75</f>
        <v/>
      </c>
      <c r="I99" s="512">
        <f>I98-I75</f>
        <v/>
      </c>
      <c r="J99" s="512">
        <f>J98-J75</f>
        <v/>
      </c>
      <c r="K99" s="512">
        <f>K98-K75</f>
        <v/>
      </c>
      <c r="L99" s="512">
        <f>L98-L75</f>
        <v/>
      </c>
      <c r="M99" s="512">
        <f>M98-M75</f>
        <v/>
      </c>
      <c r="N99" s="512">
        <f>N98-N75</f>
        <v/>
      </c>
      <c r="O99" s="512">
        <f>O98-O75</f>
        <v/>
      </c>
      <c r="P99" s="512">
        <f>P98-P75</f>
        <v/>
      </c>
      <c r="Q99" s="512">
        <f>Q98-Q75</f>
        <v/>
      </c>
      <c r="R99" s="512">
        <f>R98-R75</f>
        <v/>
      </c>
      <c r="S99" s="512">
        <f>S98-S75</f>
        <v/>
      </c>
      <c r="T99" s="512">
        <f>T98-T75</f>
        <v/>
      </c>
      <c r="U99" s="512">
        <f>U98-U75</f>
        <v/>
      </c>
      <c r="V99" s="512">
        <f>V98-V75</f>
        <v/>
      </c>
      <c r="W99" s="512">
        <f>W98-W75</f>
        <v/>
      </c>
      <c r="X99" s="512">
        <f>X98-X75</f>
        <v/>
      </c>
      <c r="Y99" s="512">
        <f>Y98-Y75</f>
        <v/>
      </c>
      <c r="Z99" s="512">
        <f>Z98-Z75</f>
        <v/>
      </c>
      <c r="AA99" s="512">
        <f>AA98-AA75</f>
        <v/>
      </c>
      <c r="AB99" s="512">
        <f>AB98-AB75</f>
        <v/>
      </c>
      <c r="AC99" s="512">
        <f>AC98-AC75</f>
        <v/>
      </c>
      <c r="AD99" s="571">
        <f>AD98-AD75</f>
        <v/>
      </c>
      <c r="AE99" s="512">
        <f>AE98-AE75</f>
        <v/>
      </c>
      <c r="AF99" s="512">
        <f>AF98-AF75</f>
        <v/>
      </c>
      <c r="AG99" s="512">
        <f>AG98-AG75</f>
        <v/>
      </c>
      <c r="AH99" s="512">
        <f>AH98-AH75</f>
        <v/>
      </c>
      <c r="AI99" s="512">
        <f>AI98-AI75</f>
        <v/>
      </c>
      <c r="AJ99" s="512">
        <f>AJ98-AJ75</f>
        <v/>
      </c>
      <c r="AK99" s="512">
        <f>AK98-AK75</f>
        <v/>
      </c>
      <c r="AL99" s="512">
        <f>AL98-AL75</f>
        <v/>
      </c>
      <c r="AM99" s="512">
        <f>AM98-AM75</f>
        <v/>
      </c>
      <c r="AN99" s="512">
        <f>AN98-AN75</f>
        <v/>
      </c>
      <c r="AO99" s="18" t="n"/>
      <c r="AP99" s="555" t="n"/>
      <c r="AQ99" s="18" t="n"/>
      <c r="AR99" s="18" t="n"/>
      <c r="AS99" s="18" t="n"/>
      <c r="AT99" s="18" t="n"/>
      <c r="AU99" s="18" t="n"/>
      <c r="AV99" s="18" t="n"/>
      <c r="AW99" s="18" t="n"/>
    </row>
    <row r="100" customFormat="1" s="43">
      <c r="B100" s="512" t="n"/>
      <c r="C100" s="512" t="n"/>
      <c r="D100" s="512" t="n"/>
      <c r="E100" s="512" t="n"/>
      <c r="F100" s="512" t="n"/>
      <c r="G100" s="512" t="n"/>
      <c r="H100" s="512" t="n"/>
      <c r="I100" s="512" t="n"/>
      <c r="J100" s="512" t="n"/>
      <c r="K100" s="512" t="n"/>
      <c r="L100" s="512" t="n"/>
      <c r="M100" s="512" t="n"/>
      <c r="N100" s="512" t="n"/>
      <c r="O100" s="512" t="n"/>
      <c r="P100" s="512" t="n"/>
      <c r="Q100" s="512" t="n"/>
      <c r="R100" s="512" t="n"/>
      <c r="S100" s="512" t="n"/>
      <c r="T100" s="512">
        <f>+T99-S99</f>
        <v/>
      </c>
      <c r="U100" s="512">
        <f>+U99-T99</f>
        <v/>
      </c>
      <c r="V100" s="512">
        <f>+V99-U99</f>
        <v/>
      </c>
      <c r="W100" s="512">
        <f>+W99-V99</f>
        <v/>
      </c>
      <c r="X100" s="512">
        <f>+X99-W99</f>
        <v/>
      </c>
      <c r="Y100" s="512">
        <f>+Y99-X99</f>
        <v/>
      </c>
      <c r="Z100" s="512">
        <f>+Z99-Y99</f>
        <v/>
      </c>
      <c r="AA100" s="512">
        <f>+AA99-Z99</f>
        <v/>
      </c>
      <c r="AB100" s="512">
        <f>+AB99-AA99</f>
        <v/>
      </c>
      <c r="AC100" s="512">
        <f>+AC99-AB99</f>
        <v/>
      </c>
      <c r="AD100" s="512">
        <f>+AD99-AC99</f>
        <v/>
      </c>
      <c r="AE100" s="512">
        <f>+AE99-AD99</f>
        <v/>
      </c>
      <c r="AF100" s="512">
        <f>+AF99-AE99</f>
        <v/>
      </c>
      <c r="AG100" s="512">
        <f>+AG99-AF99</f>
        <v/>
      </c>
      <c r="AH100" s="512">
        <f>+AH99-AG99</f>
        <v/>
      </c>
      <c r="AI100" s="512">
        <f>+AI99-AH99</f>
        <v/>
      </c>
      <c r="AJ100" s="512">
        <f>+AJ99-AI99</f>
        <v/>
      </c>
      <c r="AK100" s="512">
        <f>+AK99-AJ99</f>
        <v/>
      </c>
      <c r="AL100" s="512">
        <f>+AL99-AK99</f>
        <v/>
      </c>
      <c r="AM100" s="512">
        <f>+AM99-AL99</f>
        <v/>
      </c>
      <c r="AN100" s="512">
        <f>+AN99-AM99</f>
        <v/>
      </c>
      <c r="AO100" s="18" t="n"/>
      <c r="AP100" s="555" t="n"/>
      <c r="AQ100" s="18" t="n"/>
      <c r="AR100" s="18" t="n"/>
      <c r="AS100" s="18" t="n"/>
      <c r="AT100" s="18" t="n"/>
      <c r="AU100" s="18" t="n"/>
      <c r="AV100" s="18" t="n"/>
      <c r="AW100" s="18" t="n"/>
    </row>
    <row r="101" customFormat="1" s="526">
      <c r="A101" s="157" t="inlineStr">
        <is>
          <t>Cash flow statement</t>
        </is>
      </c>
      <c r="B101" s="553" t="n"/>
      <c r="C101" s="553" t="n"/>
      <c r="D101" s="553" t="n"/>
      <c r="E101" s="553" t="n"/>
      <c r="F101" s="553" t="n"/>
      <c r="G101" s="553" t="n"/>
      <c r="H101" s="553" t="n"/>
      <c r="I101" s="553" t="n"/>
      <c r="J101" s="553" t="n"/>
      <c r="K101" s="553" t="n"/>
      <c r="L101" s="553" t="n"/>
      <c r="M101" s="553" t="n"/>
      <c r="N101" s="553" t="n"/>
      <c r="O101" s="553" t="n"/>
      <c r="P101" s="553" t="n"/>
      <c r="Q101" s="553" t="n"/>
      <c r="R101" s="553" t="n"/>
      <c r="S101" s="553" t="n"/>
      <c r="T101" s="553" t="n"/>
      <c r="U101" s="553" t="n"/>
      <c r="V101" s="553" t="n"/>
      <c r="W101" s="553" t="n"/>
      <c r="X101" s="553" t="n"/>
      <c r="Y101" s="553" t="n"/>
      <c r="Z101" s="553" t="n"/>
      <c r="AA101" s="553" t="n"/>
      <c r="AB101" s="553" t="n"/>
      <c r="AC101" s="553" t="n"/>
      <c r="AD101" s="553" t="n"/>
      <c r="AE101" s="553" t="n"/>
      <c r="AF101" s="553" t="n"/>
      <c r="AG101" s="553" t="n"/>
      <c r="AH101" s="553" t="n"/>
      <c r="AI101" s="553" t="n"/>
      <c r="AJ101" s="553" t="n"/>
      <c r="AK101" s="553" t="n"/>
      <c r="AL101" s="553" t="n"/>
      <c r="AM101" s="553" t="n"/>
      <c r="AN101" s="553" t="n"/>
      <c r="AO101" s="18" t="n"/>
      <c r="AP101" s="555" t="n"/>
    </row>
    <row r="102" customFormat="1" s="554">
      <c r="A102" s="562" t="inlineStr">
        <is>
          <t>Profit before tax</t>
        </is>
      </c>
      <c r="B102" s="584">
        <f>B22</f>
        <v/>
      </c>
      <c r="C102" s="584">
        <f>C22</f>
        <v/>
      </c>
      <c r="D102" s="584">
        <f>D22</f>
        <v/>
      </c>
      <c r="E102" s="584">
        <f>E22</f>
        <v/>
      </c>
      <c r="F102" s="584">
        <f>F22</f>
        <v/>
      </c>
      <c r="G102" s="584">
        <f>G22</f>
        <v/>
      </c>
      <c r="H102" s="584">
        <f>H22</f>
        <v/>
      </c>
      <c r="I102" s="584">
        <f>I22</f>
        <v/>
      </c>
      <c r="J102" s="584">
        <f>J22</f>
        <v/>
      </c>
      <c r="K102" s="584">
        <f>K22</f>
        <v/>
      </c>
      <c r="L102" s="584">
        <f>L22</f>
        <v/>
      </c>
      <c r="M102" s="584">
        <f>M22</f>
        <v/>
      </c>
      <c r="N102" s="584">
        <f>N22</f>
        <v/>
      </c>
      <c r="O102" s="584">
        <f>O22</f>
        <v/>
      </c>
      <c r="P102" s="584">
        <f>P22</f>
        <v/>
      </c>
      <c r="Q102" s="584">
        <f>Q22</f>
        <v/>
      </c>
      <c r="R102" s="584">
        <f>R22</f>
        <v/>
      </c>
      <c r="S102" s="584">
        <f>S22</f>
        <v/>
      </c>
      <c r="T102" s="584">
        <f>T22</f>
        <v/>
      </c>
      <c r="U102" s="584">
        <f>U22</f>
        <v/>
      </c>
      <c r="V102" s="584">
        <f>V22</f>
        <v/>
      </c>
      <c r="W102" s="584">
        <f>W22</f>
        <v/>
      </c>
      <c r="X102" s="584">
        <f>X22</f>
        <v/>
      </c>
      <c r="Y102" s="584">
        <f>Y22</f>
        <v/>
      </c>
      <c r="Z102" s="584">
        <f>Z22</f>
        <v/>
      </c>
      <c r="AA102" s="584">
        <f>AA22</f>
        <v/>
      </c>
      <c r="AB102" s="584">
        <f>AB22</f>
        <v/>
      </c>
      <c r="AC102" s="584">
        <f>AC22</f>
        <v/>
      </c>
      <c r="AD102" s="584">
        <f>AD22</f>
        <v/>
      </c>
      <c r="AE102" s="584">
        <f>AE22</f>
        <v/>
      </c>
      <c r="AF102" s="584">
        <f>AF22</f>
        <v/>
      </c>
      <c r="AG102" s="584">
        <f>AG22</f>
        <v/>
      </c>
      <c r="AH102" s="584">
        <f>AH22</f>
        <v/>
      </c>
      <c r="AI102" s="584">
        <f>AI22</f>
        <v/>
      </c>
      <c r="AJ102" s="584">
        <f>AJ22</f>
        <v/>
      </c>
      <c r="AK102" s="584">
        <f>AK22</f>
        <v/>
      </c>
      <c r="AL102" s="584">
        <f>AL22</f>
        <v/>
      </c>
      <c r="AM102" s="584">
        <f>AM22</f>
        <v/>
      </c>
      <c r="AN102" s="584">
        <f>AN22</f>
        <v/>
      </c>
      <c r="AO102" s="18" t="n"/>
      <c r="AP102" s="555" t="n"/>
      <c r="AQ102" s="23" t="n"/>
      <c r="AR102" s="23" t="n"/>
      <c r="AS102" s="23" t="n"/>
      <c r="AT102" s="18" t="n"/>
      <c r="AU102" s="18" t="n"/>
      <c r="AV102" s="18" t="n"/>
      <c r="AW102" s="18" t="n"/>
    </row>
    <row r="103" customFormat="1" s="554">
      <c r="A103" s="562" t="inlineStr">
        <is>
          <t>Net interest expense (income)</t>
        </is>
      </c>
      <c r="B103" s="584">
        <f>-B21</f>
        <v/>
      </c>
      <c r="C103" s="584">
        <f>-C21</f>
        <v/>
      </c>
      <c r="D103" s="584">
        <f>-D21</f>
        <v/>
      </c>
      <c r="E103" s="584">
        <f>-E21</f>
        <v/>
      </c>
      <c r="F103" s="584">
        <f>-F21</f>
        <v/>
      </c>
      <c r="G103" s="584">
        <f>-G21</f>
        <v/>
      </c>
      <c r="H103" s="584">
        <f>-H21</f>
        <v/>
      </c>
      <c r="I103" s="584">
        <f>-I21</f>
        <v/>
      </c>
      <c r="J103" s="584">
        <f>-J21-20</f>
        <v/>
      </c>
      <c r="K103" s="584">
        <f>-K21-7</f>
        <v/>
      </c>
      <c r="L103" s="584">
        <f>-L21-5</f>
        <v/>
      </c>
      <c r="M103" s="584">
        <f>-M21-66</f>
        <v/>
      </c>
      <c r="N103" s="584">
        <f>-N21-218</f>
        <v/>
      </c>
      <c r="O103" s="584">
        <f>-O21-230</f>
        <v/>
      </c>
      <c r="P103" s="584">
        <f>4762-138</f>
        <v/>
      </c>
      <c r="Q103" s="584" t="n">
        <v>5024</v>
      </c>
      <c r="R103" s="584">
        <f>4245-124</f>
        <v/>
      </c>
      <c r="S103" s="584">
        <f>3477-69</f>
        <v/>
      </c>
      <c r="T103" s="584">
        <f>4212-101</f>
        <v/>
      </c>
      <c r="U103" s="584">
        <f>6005-146</f>
        <v/>
      </c>
      <c r="V103" s="584">
        <f>6423-322-104</f>
        <v/>
      </c>
      <c r="W103" s="584">
        <f>6522-173-61</f>
        <v/>
      </c>
      <c r="X103" s="584">
        <f>4180-131-48</f>
        <v/>
      </c>
      <c r="Y103" s="584">
        <f>4106-170-46</f>
        <v/>
      </c>
      <c r="Z103" s="584">
        <f>2261-137-43</f>
        <v/>
      </c>
      <c r="AA103" s="584">
        <f>2180-151-9</f>
        <v/>
      </c>
      <c r="AB103" s="584">
        <f>2049-192-13</f>
        <v/>
      </c>
      <c r="AC103" s="584">
        <f>1983-162-13</f>
        <v/>
      </c>
      <c r="AD103" s="584" t="n">
        <v>1873</v>
      </c>
      <c r="AE103" s="584">
        <f>1744-108-15</f>
        <v/>
      </c>
      <c r="AF103" s="584">
        <f>2085-243-14</f>
        <v/>
      </c>
      <c r="AG103" s="584">
        <f>2139-270-15</f>
        <v/>
      </c>
      <c r="AH103" s="584">
        <f>2254-235-15</f>
        <v/>
      </c>
      <c r="AI103" s="586">
        <f>-Driver!AI106</f>
        <v/>
      </c>
      <c r="AJ103" s="586">
        <f>-Driver!AJ106</f>
        <v/>
      </c>
      <c r="AK103" s="586">
        <f>-Driver!AK106</f>
        <v/>
      </c>
      <c r="AL103" s="586">
        <f>-Driver!AL106</f>
        <v/>
      </c>
      <c r="AM103" s="586">
        <f>-Driver!AM106</f>
        <v/>
      </c>
      <c r="AN103" s="586">
        <f>-Driver!AN106</f>
        <v/>
      </c>
      <c r="AO103" s="18" t="n"/>
      <c r="AP103" s="555" t="n"/>
      <c r="AQ103" s="23" t="n"/>
      <c r="AR103" s="23" t="n"/>
      <c r="AS103" s="23" t="n"/>
      <c r="AT103" s="18" t="n"/>
      <c r="AU103" s="18" t="n"/>
      <c r="AV103" s="18" t="n"/>
      <c r="AW103" s="18" t="n"/>
    </row>
    <row r="104" customFormat="1" s="554">
      <c r="A104" s="562" t="inlineStr">
        <is>
          <t>Less earnings from JCE/Associates</t>
        </is>
      </c>
      <c r="B104" s="584" t="n">
        <v>-1100</v>
      </c>
      <c r="C104" s="584" t="n">
        <v>-1195</v>
      </c>
      <c r="D104" s="584" t="n">
        <v>-1433</v>
      </c>
      <c r="E104" s="584" t="n">
        <v>-2939</v>
      </c>
      <c r="F104" s="584" t="n">
        <v>-1847</v>
      </c>
      <c r="G104" s="584" t="n">
        <v>-1972.6</v>
      </c>
      <c r="H104" s="584" t="n">
        <v>-3949.8</v>
      </c>
      <c r="I104" s="584" t="n">
        <v>-3365.291891891892</v>
      </c>
      <c r="J104" s="584" t="n">
        <v>-2678.234726730435</v>
      </c>
      <c r="K104" s="584" t="n">
        <v>-4162</v>
      </c>
      <c r="L104" s="584" t="n">
        <v>-3360</v>
      </c>
      <c r="M104" s="584" t="n">
        <v>-3792</v>
      </c>
      <c r="N104" s="584" t="n">
        <v>-3604</v>
      </c>
      <c r="O104" s="584" t="n">
        <v>-3239</v>
      </c>
      <c r="P104" s="584" t="n">
        <v>-3050</v>
      </c>
      <c r="Q104" s="584" t="n">
        <v>-3025</v>
      </c>
      <c r="R104" s="584" t="n">
        <v>-2597</v>
      </c>
      <c r="S104" s="584" t="n">
        <v>-2415</v>
      </c>
      <c r="T104" s="584" t="n">
        <v>-2893</v>
      </c>
      <c r="U104" s="584" t="n">
        <v>-3610</v>
      </c>
      <c r="V104" s="584" t="n">
        <v>-2984</v>
      </c>
      <c r="W104" s="584" t="n">
        <v>-3283</v>
      </c>
      <c r="X104" s="584" t="n">
        <v>-2333</v>
      </c>
      <c r="Y104" s="584" t="n">
        <v>-2245</v>
      </c>
      <c r="Z104" s="584" t="n">
        <v>-1641</v>
      </c>
      <c r="AA104" s="584" t="n">
        <v>-1458</v>
      </c>
      <c r="AB104" s="584" t="n">
        <v>-2336</v>
      </c>
      <c r="AC104" s="584" t="n">
        <v>-2713</v>
      </c>
      <c r="AD104" s="584" t="n">
        <v>-2522</v>
      </c>
      <c r="AE104" s="584" t="n">
        <v>-1974</v>
      </c>
      <c r="AF104" s="584" t="n">
        <v>-2460</v>
      </c>
      <c r="AG104" s="584" t="n">
        <v>-3196</v>
      </c>
      <c r="AH104" s="584" t="n">
        <v>-2655</v>
      </c>
      <c r="AI104" s="586">
        <f>-Driver!AI37</f>
        <v/>
      </c>
      <c r="AJ104" s="586">
        <f>-Driver!AJ37</f>
        <v/>
      </c>
      <c r="AK104" s="586">
        <f>-Driver!AK37</f>
        <v/>
      </c>
      <c r="AL104" s="586">
        <f>-Driver!AL37</f>
        <v/>
      </c>
      <c r="AM104" s="586">
        <f>-Driver!AM37</f>
        <v/>
      </c>
      <c r="AN104" s="586">
        <f>-Driver!AN37</f>
        <v/>
      </c>
      <c r="AO104" s="18" t="n"/>
      <c r="AP104" s="555" t="n"/>
      <c r="AQ104" s="23" t="n"/>
      <c r="AR104" s="23" t="n"/>
      <c r="AS104" s="23" t="n"/>
      <c r="AT104" s="18" t="n"/>
      <c r="AU104" s="18" t="n"/>
      <c r="AV104" s="18" t="n"/>
      <c r="AW104" s="18" t="n"/>
    </row>
    <row r="105" customFormat="1" s="554">
      <c r="A105" s="562" t="inlineStr">
        <is>
          <t>Depreciation and amortisation</t>
        </is>
      </c>
      <c r="B105" s="584">
        <f>-B12</f>
        <v/>
      </c>
      <c r="C105" s="584">
        <f>-C12</f>
        <v/>
      </c>
      <c r="D105" s="584">
        <f>-D12</f>
        <v/>
      </c>
      <c r="E105" s="584">
        <f>-E12</f>
        <v/>
      </c>
      <c r="F105" s="584">
        <f>-F12</f>
        <v/>
      </c>
      <c r="G105" s="584">
        <f>-G12</f>
        <v/>
      </c>
      <c r="H105" s="584">
        <f>-H12</f>
        <v/>
      </c>
      <c r="I105" s="584">
        <f>-I12</f>
        <v/>
      </c>
      <c r="J105" s="584">
        <f>-J12</f>
        <v/>
      </c>
      <c r="K105" s="584">
        <f>-K12</f>
        <v/>
      </c>
      <c r="L105" s="584">
        <f>-L12</f>
        <v/>
      </c>
      <c r="M105" s="584">
        <f>-M12</f>
        <v/>
      </c>
      <c r="N105" s="584">
        <f>-N12</f>
        <v/>
      </c>
      <c r="O105" s="584">
        <f>-O12</f>
        <v/>
      </c>
      <c r="P105" s="584">
        <f>-P12</f>
        <v/>
      </c>
      <c r="Q105" s="584">
        <f>-Q12</f>
        <v/>
      </c>
      <c r="R105" s="584">
        <f>-R12</f>
        <v/>
      </c>
      <c r="S105" s="584" t="n">
        <v>4332</v>
      </c>
      <c r="T105" s="584">
        <f>-T12</f>
        <v/>
      </c>
      <c r="U105" s="584">
        <f>-U12</f>
        <v/>
      </c>
      <c r="V105" s="584">
        <f>-V12</f>
        <v/>
      </c>
      <c r="W105" s="584">
        <f>-W12</f>
        <v/>
      </c>
      <c r="X105" s="584">
        <f>-X12</f>
        <v/>
      </c>
      <c r="Y105" s="584">
        <f>-Y12</f>
        <v/>
      </c>
      <c r="Z105" s="584">
        <f>-Z12</f>
        <v/>
      </c>
      <c r="AA105" s="584">
        <f>-AA12</f>
        <v/>
      </c>
      <c r="AB105" s="584">
        <f>-AB12</f>
        <v/>
      </c>
      <c r="AC105" s="584">
        <f>-AC12</f>
        <v/>
      </c>
      <c r="AD105" s="584">
        <f>-AD12</f>
        <v/>
      </c>
      <c r="AE105" s="584">
        <f>-AE12</f>
        <v/>
      </c>
      <c r="AF105" s="584">
        <f>-AF12</f>
        <v/>
      </c>
      <c r="AG105" s="584">
        <f>-AG12</f>
        <v/>
      </c>
      <c r="AH105" s="584">
        <f>-AH12</f>
        <v/>
      </c>
      <c r="AI105" s="584">
        <f>-AI12</f>
        <v/>
      </c>
      <c r="AJ105" s="584">
        <f>-AJ12</f>
        <v/>
      </c>
      <c r="AK105" s="584">
        <f>-AK12</f>
        <v/>
      </c>
      <c r="AL105" s="584">
        <f>-AL12</f>
        <v/>
      </c>
      <c r="AM105" s="584">
        <f>-AM12</f>
        <v/>
      </c>
      <c r="AN105" s="584">
        <f>-AN12</f>
        <v/>
      </c>
      <c r="AO105" s="18" t="n"/>
      <c r="AP105" s="555" t="n"/>
      <c r="AQ105" s="23" t="n"/>
      <c r="AR105" s="23" t="n"/>
      <c r="AS105" s="23" t="n"/>
      <c r="AT105" s="18" t="n"/>
      <c r="AU105" s="18" t="n"/>
      <c r="AV105" s="18" t="n"/>
      <c r="AW105" s="18" t="n"/>
    </row>
    <row r="106" customFormat="1" s="554">
      <c r="A106" s="562" t="inlineStr">
        <is>
          <t>Loss (gain) on asset disposals</t>
        </is>
      </c>
      <c r="B106" s="584" t="n">
        <v>0</v>
      </c>
      <c r="C106" s="584" t="n">
        <v>0</v>
      </c>
      <c r="D106" s="584" t="n">
        <v>33</v>
      </c>
      <c r="E106" s="584" t="n">
        <v>36</v>
      </c>
      <c r="F106" s="584" t="n">
        <v>14</v>
      </c>
      <c r="G106" s="584" t="n">
        <v>5</v>
      </c>
      <c r="H106" s="584" t="n">
        <v>52</v>
      </c>
      <c r="I106" s="584">
        <f>87-35</f>
        <v/>
      </c>
      <c r="J106" s="584">
        <f>100-7</f>
        <v/>
      </c>
      <c r="K106" s="584">
        <f>107-52</f>
        <v/>
      </c>
      <c r="L106" s="584" t="n">
        <v>79</v>
      </c>
      <c r="M106" s="584">
        <f>152+16</f>
        <v/>
      </c>
      <c r="N106" s="584">
        <f>212-214+38</f>
        <v/>
      </c>
      <c r="O106" s="584">
        <f>103-128-37</f>
        <v/>
      </c>
      <c r="P106" s="584">
        <f>216-25-8</f>
        <v/>
      </c>
      <c r="Q106" s="584">
        <f>353+211-1030-1092</f>
        <v/>
      </c>
      <c r="R106" s="584">
        <f>131+140-502-225</f>
        <v/>
      </c>
      <c r="S106" s="584">
        <f>299+172-153</f>
        <v/>
      </c>
      <c r="T106" s="584">
        <f>204+183-400</f>
        <v/>
      </c>
      <c r="U106" s="584">
        <f>3233+122-319-457</f>
        <v/>
      </c>
      <c r="V106" s="584">
        <f>1429+151</f>
        <v/>
      </c>
      <c r="W106" s="584">
        <f>6289+173-751+23-24</f>
        <v/>
      </c>
      <c r="X106" s="584">
        <f>3264+282-245-7363+5338</f>
        <v/>
      </c>
      <c r="Y106" s="584">
        <f>2462+74+343+42-8900-99</f>
        <v/>
      </c>
      <c r="Z106" s="584">
        <f>397-78-386+146</f>
        <v/>
      </c>
      <c r="AA106" s="584">
        <f>443+407-369</f>
        <v/>
      </c>
      <c r="AB106" s="584">
        <f>912+416-18</f>
        <v/>
      </c>
      <c r="AC106" s="584">
        <f>6782+424+83</f>
        <v/>
      </c>
      <c r="AD106" s="584">
        <f>599+358+121</f>
        <v/>
      </c>
      <c r="AE106" s="584">
        <f>586+386+34-386</f>
        <v/>
      </c>
      <c r="AF106" s="584">
        <f>265+241+57+185</f>
        <v/>
      </c>
      <c r="AG106" s="584">
        <f>6220+393+25</f>
        <v/>
      </c>
      <c r="AH106" s="584">
        <f>504+582+67</f>
        <v/>
      </c>
      <c r="AI106" s="586">
        <f>-Final!AI28</f>
        <v/>
      </c>
      <c r="AJ106" s="586">
        <f>-Final!AJ28</f>
        <v/>
      </c>
      <c r="AK106" s="586">
        <f>-Final!AK28</f>
        <v/>
      </c>
      <c r="AL106" s="586">
        <f>-Final!AL28</f>
        <v/>
      </c>
      <c r="AM106" s="586">
        <f>-Final!AM28</f>
        <v/>
      </c>
      <c r="AN106" s="586">
        <f>-Final!AN28</f>
        <v/>
      </c>
      <c r="AO106" s="18" t="n"/>
      <c r="AP106" s="555" t="n"/>
      <c r="AQ106" s="23" t="n"/>
      <c r="AR106" s="23" t="n"/>
      <c r="AS106" s="23" t="n"/>
      <c r="AT106" s="18" t="n"/>
      <c r="AU106" s="18" t="n"/>
      <c r="AV106" s="18" t="n"/>
      <c r="AW106" s="18" t="n"/>
    </row>
    <row r="107" customFormat="1" s="554">
      <c r="A107" s="562" t="inlineStr">
        <is>
          <t>Hedging costs</t>
        </is>
      </c>
      <c r="B107" s="584" t="n">
        <v>0</v>
      </c>
      <c r="C107" s="584" t="n">
        <v>0</v>
      </c>
      <c r="D107" s="584" t="n">
        <v>0</v>
      </c>
      <c r="E107" s="584" t="n">
        <v>0</v>
      </c>
      <c r="F107" s="584" t="n">
        <v>0</v>
      </c>
      <c r="G107" s="584" t="n">
        <v>0</v>
      </c>
      <c r="H107" s="584" t="n">
        <v>0</v>
      </c>
      <c r="I107" s="584" t="n">
        <v>0</v>
      </c>
      <c r="J107" s="584" t="n">
        <v>0</v>
      </c>
      <c r="K107" s="584" t="n">
        <v>0</v>
      </c>
      <c r="L107" s="584" t="n">
        <v>-28</v>
      </c>
      <c r="M107" s="584" t="n">
        <v>32</v>
      </c>
      <c r="N107" s="584" t="n">
        <v>52</v>
      </c>
      <c r="O107" s="584" t="n">
        <v>241</v>
      </c>
      <c r="P107" s="555" t="n">
        <v>33</v>
      </c>
      <c r="Q107" s="555" t="n">
        <v>49</v>
      </c>
      <c r="R107" s="555" t="n">
        <v>168</v>
      </c>
      <c r="S107" s="555" t="n">
        <v>-48</v>
      </c>
      <c r="T107" s="555" t="n">
        <v>-64</v>
      </c>
      <c r="U107" s="555" t="n">
        <v>134</v>
      </c>
      <c r="V107" s="555" t="n">
        <v>568</v>
      </c>
      <c r="W107" s="555" t="n">
        <v>-284</v>
      </c>
      <c r="X107" s="555" t="n">
        <v>-513</v>
      </c>
      <c r="Y107" s="555" t="n">
        <v>362</v>
      </c>
      <c r="Z107" s="555" t="n">
        <v>-211</v>
      </c>
      <c r="AA107" s="555" t="n">
        <v>-416</v>
      </c>
      <c r="AB107" s="555" t="n">
        <v>-522</v>
      </c>
      <c r="AC107" s="555" t="n">
        <v>-230</v>
      </c>
      <c r="AD107" s="584" t="n">
        <v>-1150</v>
      </c>
      <c r="AE107" s="584" t="n">
        <v>-1805</v>
      </c>
      <c r="AF107" s="512" t="n">
        <v>1922</v>
      </c>
      <c r="AG107" s="512" t="n">
        <v>-2911</v>
      </c>
      <c r="AH107" s="512" t="n">
        <v>-1297</v>
      </c>
      <c r="AI107" s="581" t="n">
        <v>0</v>
      </c>
      <c r="AJ107" s="581">
        <f>AI107</f>
        <v/>
      </c>
      <c r="AK107" s="581">
        <f>AJ107</f>
        <v/>
      </c>
      <c r="AL107" s="581">
        <f>AK107</f>
        <v/>
      </c>
      <c r="AM107" s="581">
        <f>AL107</f>
        <v/>
      </c>
      <c r="AN107" s="581">
        <f>AM107</f>
        <v/>
      </c>
      <c r="AO107" s="18" t="n"/>
      <c r="AP107" s="555" t="n"/>
      <c r="AQ107" s="23" t="n"/>
      <c r="AR107" s="23" t="n"/>
      <c r="AS107" s="23" t="n"/>
      <c r="AT107" s="18" t="n"/>
      <c r="AU107" s="18" t="n"/>
      <c r="AV107" s="18" t="n"/>
      <c r="AW107" s="18" t="n"/>
    </row>
    <row r="108" customFormat="1" s="554">
      <c r="A108" s="562" t="inlineStr">
        <is>
          <t>Other operating cash flows</t>
        </is>
      </c>
      <c r="B108" s="584">
        <f>B117-SUM(B102:B107,B109:B116)</f>
        <v/>
      </c>
      <c r="C108" s="584">
        <f>C117-SUM(C102:C107,C109:C116)</f>
        <v/>
      </c>
      <c r="D108" s="584">
        <f>D117-SUM(D102:D107,D109:D116)</f>
        <v/>
      </c>
      <c r="E108" s="584">
        <f>E117-SUM(E102:E107,E109:E116)</f>
        <v/>
      </c>
      <c r="F108" s="584">
        <f>F117-SUM(F102:F107,F109:F116)</f>
        <v/>
      </c>
      <c r="G108" s="584">
        <f>G117-SUM(G102:G107,G109:G116)</f>
        <v/>
      </c>
      <c r="H108" s="584">
        <f>H117-SUM(H102:H107,H109:H116)</f>
        <v/>
      </c>
      <c r="I108" s="584">
        <f>I117-SUM(I102:I107,I109:I116)</f>
        <v/>
      </c>
      <c r="J108" s="584">
        <f>J117-SUM(J102:J107,J109:J116)</f>
        <v/>
      </c>
      <c r="K108" s="584">
        <f>K117-SUM(K102:K107,K109:K116)</f>
        <v/>
      </c>
      <c r="L108" s="584">
        <f>L117-SUM(L102:L107,L109:L116)</f>
        <v/>
      </c>
      <c r="M108" s="584">
        <f>M117-SUM(M102:M107,M109:M116)</f>
        <v/>
      </c>
      <c r="N108" s="584">
        <f>N117-SUM(N102:N107,N109:N116)</f>
        <v/>
      </c>
      <c r="O108" s="584">
        <f>O117-SUM(O102:O107,O109:O116)</f>
        <v/>
      </c>
      <c r="P108" s="584">
        <f>P117-SUM(P102:P107,P109:P116)</f>
        <v/>
      </c>
      <c r="Q108" s="584">
        <f>Q117-SUM(Q102:Q107,Q109:Q116)</f>
        <v/>
      </c>
      <c r="R108" s="584">
        <f>R117-SUM(R102:R107,R109:R116)</f>
        <v/>
      </c>
      <c r="S108" s="584">
        <f>S117-SUM(S102:S107,S109:S116)</f>
        <v/>
      </c>
      <c r="T108" s="584">
        <f>T117-SUM(T102:T107,T109:T116)</f>
        <v/>
      </c>
      <c r="U108" s="584">
        <f>U117-SUM(U102:U107,U109:U116)</f>
        <v/>
      </c>
      <c r="V108" s="584">
        <f>V117-SUM(V102:V107,V109:V116)</f>
        <v/>
      </c>
      <c r="W108" s="584">
        <f>W117-SUM(W102:W107,W109:W116)</f>
        <v/>
      </c>
      <c r="X108" s="584">
        <f>X117-SUM(X102:X107,X109:X116)</f>
        <v/>
      </c>
      <c r="Y108" s="584">
        <f>Y117-SUM(Y102:Y107,Y109:Y116)</f>
        <v/>
      </c>
      <c r="Z108" s="584">
        <f>Z117-SUM(Z102:Z107,Z109:Z116)</f>
        <v/>
      </c>
      <c r="AA108" s="584" t="n">
        <v>0</v>
      </c>
      <c r="AB108" s="584" t="n">
        <v>0</v>
      </c>
      <c r="AC108" s="584" t="n">
        <v>0</v>
      </c>
      <c r="AD108" s="584" t="n">
        <v>0</v>
      </c>
      <c r="AE108" s="584" t="n">
        <v>1110</v>
      </c>
      <c r="AF108" s="584">
        <f>4312+13+185-AF113</f>
        <v/>
      </c>
      <c r="AG108" s="584">
        <f>0+164+0-AG113</f>
        <v/>
      </c>
      <c r="AH108" s="584">
        <f>-2-68-2-AH113</f>
        <v/>
      </c>
      <c r="AI108" s="586" t="n">
        <v>0</v>
      </c>
      <c r="AJ108" s="586" t="n">
        <v>0</v>
      </c>
      <c r="AK108" s="586" t="n">
        <v>0</v>
      </c>
      <c r="AL108" s="586" t="n">
        <v>0</v>
      </c>
      <c r="AM108" s="586" t="n">
        <v>0</v>
      </c>
      <c r="AN108" s="586" t="n">
        <v>0</v>
      </c>
      <c r="AO108" s="18" t="n"/>
      <c r="AP108" s="555" t="n"/>
      <c r="AQ108" s="23" t="n"/>
      <c r="AR108" s="23" t="n"/>
      <c r="AS108" s="23" t="n"/>
      <c r="AT108" s="18" t="n"/>
      <c r="AU108" s="18" t="n"/>
      <c r="AV108" s="18" t="n"/>
      <c r="AW108" s="18" t="n"/>
    </row>
    <row r="109" customFormat="1" s="554">
      <c r="A109" s="587" t="inlineStr">
        <is>
          <t>Scheme of control items</t>
        </is>
      </c>
      <c r="B109" s="584" t="n"/>
      <c r="C109" s="584" t="n"/>
      <c r="D109" s="584" t="n"/>
      <c r="E109" s="584" t="n"/>
      <c r="F109" s="584" t="n"/>
      <c r="G109" s="584" t="n"/>
      <c r="H109" s="584" t="n"/>
      <c r="I109" s="584" t="n"/>
      <c r="J109" s="584" t="n"/>
      <c r="K109" s="584" t="n"/>
      <c r="L109" s="584" t="n"/>
      <c r="M109" s="584" t="n"/>
      <c r="N109" s="584" t="n"/>
      <c r="O109" s="584" t="n"/>
      <c r="P109" s="584" t="n"/>
      <c r="Q109" s="584" t="n"/>
      <c r="R109" s="584" t="n"/>
      <c r="S109" s="584" t="n"/>
      <c r="T109" s="584" t="n"/>
      <c r="U109" s="584" t="n"/>
      <c r="V109" s="584" t="n"/>
      <c r="W109" s="584" t="n"/>
      <c r="X109" s="584" t="n"/>
      <c r="Y109" s="584" t="n"/>
      <c r="Z109" s="584" t="n"/>
      <c r="AA109" s="584" t="n"/>
      <c r="AB109" s="584" t="n"/>
      <c r="AC109" s="584" t="n"/>
      <c r="AD109" s="584" t="n"/>
      <c r="AE109" s="584" t="n"/>
      <c r="AG109" s="584" t="n"/>
      <c r="AH109" s="584" t="n"/>
      <c r="AI109" s="584" t="n"/>
      <c r="AJ109" s="584" t="n"/>
      <c r="AK109" s="584" t="n"/>
      <c r="AL109" s="584" t="n"/>
      <c r="AM109" s="584" t="n"/>
      <c r="AN109" s="584" t="n"/>
      <c r="AO109" s="18" t="n"/>
      <c r="AP109" s="555" t="n"/>
      <c r="AQ109" s="23" t="n"/>
      <c r="AR109" s="584" t="n"/>
      <c r="AS109" s="23" t="n"/>
      <c r="AT109" s="18" t="n"/>
      <c r="AU109" s="18" t="n"/>
      <c r="AV109" s="18" t="n"/>
      <c r="AW109" s="18" t="n"/>
    </row>
    <row r="110" customFormat="1" s="554">
      <c r="A110" s="561" t="inlineStr">
        <is>
          <t xml:space="preserve">   - Increase in customer deposits</t>
        </is>
      </c>
      <c r="B110" s="584" t="n">
        <v>134</v>
      </c>
      <c r="C110" s="584">
        <f>C79-B79</f>
        <v/>
      </c>
      <c r="D110" s="584">
        <f>D79-C79</f>
        <v/>
      </c>
      <c r="E110" s="584">
        <f>E79-D79</f>
        <v/>
      </c>
      <c r="F110" s="584">
        <f>F79-E79</f>
        <v/>
      </c>
      <c r="G110" s="584">
        <f>G79-F79</f>
        <v/>
      </c>
      <c r="H110" s="584">
        <f>H79-G79</f>
        <v/>
      </c>
      <c r="I110" s="584">
        <f>I79-H79</f>
        <v/>
      </c>
      <c r="J110" s="584">
        <f>J79-I79</f>
        <v/>
      </c>
      <c r="K110" s="584">
        <f>K79-J79</f>
        <v/>
      </c>
      <c r="L110" s="584">
        <f>L79-K79</f>
        <v/>
      </c>
      <c r="M110" s="584">
        <f>M79-L79</f>
        <v/>
      </c>
      <c r="N110" s="584">
        <f>N79-M79</f>
        <v/>
      </c>
      <c r="O110" s="584">
        <f>O79-N79</f>
        <v/>
      </c>
      <c r="P110" s="584">
        <f>P79-O79-5</f>
        <v/>
      </c>
      <c r="Q110" s="584">
        <f>Q79-P79</f>
        <v/>
      </c>
      <c r="R110" s="584">
        <f>R79-Q79+5</f>
        <v/>
      </c>
      <c r="S110" s="584" t="n">
        <v>130</v>
      </c>
      <c r="T110" s="584" t="n">
        <v>127</v>
      </c>
      <c r="U110" s="584" t="n">
        <v>173</v>
      </c>
      <c r="V110" s="584" t="n">
        <v>166</v>
      </c>
      <c r="W110" s="584" t="n">
        <v>185</v>
      </c>
      <c r="X110" s="584" t="n">
        <v>149</v>
      </c>
      <c r="Y110" s="584" t="n">
        <v>177</v>
      </c>
      <c r="Z110" s="584" t="n">
        <v>169</v>
      </c>
      <c r="AA110" s="584" t="n">
        <v>220</v>
      </c>
      <c r="AB110" s="584" t="n">
        <v>256</v>
      </c>
      <c r="AC110" s="584" t="n">
        <v>203</v>
      </c>
      <c r="AD110" s="584" t="n">
        <v>218</v>
      </c>
      <c r="AE110" s="584" t="n">
        <v>356</v>
      </c>
      <c r="AF110" s="584" t="n">
        <v>300</v>
      </c>
      <c r="AG110" s="584" t="n">
        <v>329</v>
      </c>
      <c r="AH110" s="584" t="n">
        <v>327</v>
      </c>
      <c r="AI110" s="586">
        <f>AI79-AH79</f>
        <v/>
      </c>
      <c r="AJ110" s="586">
        <f>AJ79-AI79</f>
        <v/>
      </c>
      <c r="AK110" s="586">
        <f>AK79-AJ79</f>
        <v/>
      </c>
      <c r="AL110" s="586">
        <f>AL79-AK79</f>
        <v/>
      </c>
      <c r="AM110" s="586">
        <f>AM79-AL79</f>
        <v/>
      </c>
      <c r="AN110" s="586">
        <f>AN79-AM79</f>
        <v/>
      </c>
      <c r="AO110" s="18" t="n"/>
      <c r="AP110" s="555" t="n"/>
      <c r="AQ110" s="23" t="n"/>
      <c r="AR110" s="23" t="n"/>
      <c r="AS110" s="23" t="n"/>
      <c r="AT110" s="18" t="n"/>
      <c r="AU110" s="18" t="n"/>
      <c r="AV110" s="18" t="n"/>
      <c r="AW110" s="18" t="n"/>
    </row>
    <row r="111" customFormat="1" s="554">
      <c r="A111" s="561" t="inlineStr">
        <is>
          <t xml:space="preserve">   - Decrease / (increase) in fuel clause account</t>
        </is>
      </c>
      <c r="B111" s="584" t="n">
        <v>138</v>
      </c>
      <c r="C111" s="584">
        <f>(C87-B87)-(C61-B61)-(C72-B72)</f>
        <v/>
      </c>
      <c r="D111" s="584">
        <f>(D87-C87)-(D61-C61)-(D72-C72)</f>
        <v/>
      </c>
      <c r="E111" s="584">
        <f>(E87-D87)-(E61-D61)-(E72-D72)</f>
        <v/>
      </c>
      <c r="F111" s="584">
        <f>(F87-E87)-(F61-E61)-(F72-E72)</f>
        <v/>
      </c>
      <c r="G111" s="584">
        <f>(G87-F87)-(G61-F61)-(G72-F72)</f>
        <v/>
      </c>
      <c r="H111" s="584">
        <f>(H87-G87)-(H61-G61)-(H72-G72)</f>
        <v/>
      </c>
      <c r="I111" s="584">
        <f>(I87-H87)-(I61-H61)-(I72-H72)</f>
        <v/>
      </c>
      <c r="J111" s="584">
        <f>(J87-I87)-(J61-I61)-(J72-I72)+20</f>
        <v/>
      </c>
      <c r="K111" s="584">
        <f>(K87-J87)-(K61-J61)-(K72-J72)-12</f>
        <v/>
      </c>
      <c r="L111" s="584">
        <f>(L87-K87)-(L61-K61)-(L72-K72)+194</f>
        <v/>
      </c>
      <c r="M111" s="584">
        <f>(M87-L87)-(M61-L61)-(M72-L72)+532</f>
        <v/>
      </c>
      <c r="N111" s="584">
        <f>(N87-M87)-(N61-M61)-(N72-M72)-40</f>
        <v/>
      </c>
      <c r="O111" s="584">
        <f>(O87-N87)-(O61-N61)-(O72-N72)-27</f>
        <v/>
      </c>
      <c r="P111" s="584">
        <f>(P87-O87)-(P61-O61)-(P72-O72)-12</f>
        <v/>
      </c>
      <c r="Q111" s="584" t="n">
        <v>-436</v>
      </c>
      <c r="R111" s="584">
        <f>(R87-Q87)-(R61-Q61)-(R72-Q72)+15</f>
        <v/>
      </c>
      <c r="S111" s="584" t="n">
        <v>796</v>
      </c>
      <c r="T111" s="584" t="n">
        <v>-282</v>
      </c>
      <c r="U111" s="584" t="n">
        <v>84</v>
      </c>
      <c r="V111" s="584" t="n">
        <v>-122</v>
      </c>
      <c r="W111" s="584" t="n">
        <v>1770</v>
      </c>
      <c r="X111" s="584" t="n">
        <v>1393</v>
      </c>
      <c r="Y111" s="584" t="n">
        <v>408</v>
      </c>
      <c r="Z111" s="584" t="n">
        <v>1275</v>
      </c>
      <c r="AA111" s="584" t="n">
        <v>-782</v>
      </c>
      <c r="AB111" s="584" t="n">
        <v>-1382</v>
      </c>
      <c r="AC111" s="584" t="n">
        <v>186</v>
      </c>
      <c r="AD111" s="584" t="n">
        <v>-817</v>
      </c>
      <c r="AE111" s="584" t="n">
        <v>-1455</v>
      </c>
      <c r="AF111" s="584" t="n">
        <v>-2357</v>
      </c>
      <c r="AG111" s="584" t="n">
        <v>3284</v>
      </c>
      <c r="AH111" s="584" t="n">
        <v>-23</v>
      </c>
      <c r="AI111" s="586">
        <f>(AI87-AH87)+(AI81-AH81)-(AI61-AH61)-(AI72-AH72)</f>
        <v/>
      </c>
      <c r="AJ111" s="586">
        <f>(AJ87-AI87)+(AJ81-AI81)-(AJ61-AI61)-(AJ72-AI72)</f>
        <v/>
      </c>
      <c r="AK111" s="586">
        <f>(AK87-AJ87)+(AK81-AJ81)-(AK61-AJ61)-(AK72-AJ72)</f>
        <v/>
      </c>
      <c r="AL111" s="586">
        <f>(AL87-AK87)+(AL81-AK81)-(AL61-AK61)-(AL72-AK72)</f>
        <v/>
      </c>
      <c r="AM111" s="586">
        <f>(AM87-AL87)+(AM81-AL81)-(AM61-AL61)-(AM72-AL72)</f>
        <v/>
      </c>
      <c r="AN111" s="586">
        <f>(AN87-AM87)+(AN81-AM81)-(AN61-AM61)-(AN72-AM72)</f>
        <v/>
      </c>
      <c r="AO111" s="18" t="n"/>
      <c r="AP111" s="555" t="n"/>
      <c r="AQ111" s="23" t="n"/>
      <c r="AR111" s="23" t="n"/>
      <c r="AS111" s="23" t="n"/>
      <c r="AT111" s="18" t="n"/>
      <c r="AU111" s="18" t="n"/>
      <c r="AV111" s="18" t="n"/>
      <c r="AW111" s="18" t="n"/>
    </row>
    <row r="112" customFormat="1" s="554">
      <c r="A112" s="561" t="inlineStr">
        <is>
          <t xml:space="preserve">   - One-off rebates</t>
        </is>
      </c>
      <c r="B112" s="584" t="n">
        <v>0</v>
      </c>
      <c r="C112" s="584" t="n">
        <v>0</v>
      </c>
      <c r="D112" s="584" t="n">
        <v>-410</v>
      </c>
      <c r="E112" s="584" t="n">
        <v>0</v>
      </c>
      <c r="F112" s="584" t="n">
        <v>0</v>
      </c>
      <c r="G112" s="584" t="n">
        <v>-173.4989999999989</v>
      </c>
      <c r="H112" s="584" t="n">
        <v>-460.2821363636376</v>
      </c>
      <c r="I112" s="584" t="n">
        <v>-705</v>
      </c>
      <c r="J112" s="584" t="n">
        <v>-593</v>
      </c>
      <c r="K112" s="584" t="n">
        <v>-607</v>
      </c>
      <c r="L112" s="584" t="n">
        <v>-1106</v>
      </c>
      <c r="M112" s="584" t="n">
        <v>-2044</v>
      </c>
      <c r="N112" s="584" t="n">
        <v>-495</v>
      </c>
      <c r="O112" s="584" t="n">
        <v>-13</v>
      </c>
      <c r="P112" s="584" t="n">
        <v>-551</v>
      </c>
      <c r="Q112" s="584" t="n">
        <v>-462</v>
      </c>
      <c r="R112" s="584" t="n">
        <v>-493</v>
      </c>
      <c r="S112" s="584" t="n">
        <v>0</v>
      </c>
      <c r="T112" s="584" t="n">
        <v>0</v>
      </c>
      <c r="U112" s="584" t="n">
        <v>0</v>
      </c>
      <c r="V112" s="584" t="n">
        <v>0</v>
      </c>
      <c r="W112" s="584" t="n">
        <v>0</v>
      </c>
      <c r="X112" s="584" t="n">
        <v>0</v>
      </c>
      <c r="Y112" s="584" t="n">
        <v>-1264</v>
      </c>
      <c r="Z112" s="584" t="n">
        <v>0</v>
      </c>
      <c r="AA112" s="584" t="n">
        <v>-786</v>
      </c>
      <c r="AB112" s="584" t="n">
        <v>0</v>
      </c>
      <c r="AC112" s="584">
        <f>'SOC Accounts'!AC19</f>
        <v/>
      </c>
      <c r="AD112" s="584">
        <f>'SOC Accounts'!AD19</f>
        <v/>
      </c>
      <c r="AE112" s="584">
        <f>'SOC Accounts'!AE19</f>
        <v/>
      </c>
      <c r="AF112" s="584">
        <f>'SOC Accounts'!AF19</f>
        <v/>
      </c>
      <c r="AG112" s="584">
        <f>'SOC Accounts'!AG19</f>
        <v/>
      </c>
      <c r="AH112" s="584">
        <f>'SOC Accounts'!AH19</f>
        <v/>
      </c>
      <c r="AI112" s="584">
        <f>'SOC Accounts'!AI19</f>
        <v/>
      </c>
      <c r="AJ112" s="584">
        <f>'SOC Accounts'!AJ19</f>
        <v/>
      </c>
      <c r="AK112" s="584">
        <f>'SOC Accounts'!AK19</f>
        <v/>
      </c>
      <c r="AL112" s="584">
        <f>'SOC Accounts'!AL19</f>
        <v/>
      </c>
      <c r="AM112" s="584">
        <f>'SOC Accounts'!AM19</f>
        <v/>
      </c>
      <c r="AN112" s="584">
        <f>'SOC Accounts'!AN19</f>
        <v/>
      </c>
      <c r="AO112" s="18" t="n"/>
      <c r="AP112" s="555" t="n"/>
      <c r="AQ112" s="23" t="n"/>
      <c r="AR112" s="23" t="n"/>
      <c r="AS112" s="23" t="n"/>
      <c r="AT112" s="18" t="n"/>
      <c r="AU112" s="18" t="n"/>
      <c r="AV112" s="18" t="n"/>
      <c r="AW112" s="18" t="n"/>
    </row>
    <row r="113" customFormat="1" s="554">
      <c r="A113" s="561" t="inlineStr">
        <is>
          <t xml:space="preserve">   - Rate reduction rebate</t>
        </is>
      </c>
      <c r="B113" s="584" t="n">
        <v>-268.0068</v>
      </c>
      <c r="C113" s="584" t="n">
        <v>-407</v>
      </c>
      <c r="D113" s="584" t="n">
        <v>-345</v>
      </c>
      <c r="E113" s="584" t="n">
        <v>-211</v>
      </c>
      <c r="F113" s="584" t="n">
        <v>-137</v>
      </c>
      <c r="G113" s="584" t="n">
        <v>-142</v>
      </c>
      <c r="H113" s="584" t="n">
        <v>-152</v>
      </c>
      <c r="I113" s="584" t="n">
        <v>-191</v>
      </c>
      <c r="J113" s="584" t="n">
        <v>-162</v>
      </c>
      <c r="K113" s="584" t="n">
        <v>-166</v>
      </c>
      <c r="L113" s="584" t="n">
        <v>-171</v>
      </c>
      <c r="M113" s="584" t="n">
        <v>-173.21</v>
      </c>
      <c r="N113" s="584" t="n">
        <v>-176.792</v>
      </c>
      <c r="O113" s="584" t="n">
        <v>-334</v>
      </c>
      <c r="P113" s="584" t="n">
        <v>-340</v>
      </c>
      <c r="Q113" s="584" t="n">
        <v>-433</v>
      </c>
      <c r="R113" s="584" t="n">
        <v>-246</v>
      </c>
      <c r="S113" s="584" t="n">
        <v>-72</v>
      </c>
      <c r="T113" s="584" t="n">
        <v>0</v>
      </c>
      <c r="U113" s="584" t="n">
        <v>0</v>
      </c>
      <c r="V113" s="584" t="n">
        <v>0</v>
      </c>
      <c r="W113" s="584" t="n">
        <v>0</v>
      </c>
      <c r="X113" s="584" t="n">
        <v>0</v>
      </c>
      <c r="Y113" s="584" t="n">
        <v>2</v>
      </c>
      <c r="Z113" s="584" t="n">
        <v>2</v>
      </c>
      <c r="AA113" s="584" t="n">
        <v>0</v>
      </c>
      <c r="AB113" s="584" t="n">
        <v>0</v>
      </c>
      <c r="AC113" s="584">
        <f>'SOC Accounts'!AC32+'SOC Accounts'!AC33</f>
        <v/>
      </c>
      <c r="AD113" s="584">
        <f>'SOC Accounts'!AD32+'SOC Accounts'!AD33</f>
        <v/>
      </c>
      <c r="AE113" s="584">
        <f>'SOC Accounts'!AE32+'SOC Accounts'!AE33</f>
        <v/>
      </c>
      <c r="AF113" s="584">
        <f>'SOC Accounts'!AF32+'SOC Accounts'!AF33</f>
        <v/>
      </c>
      <c r="AG113" s="584">
        <f>'SOC Accounts'!AG32+'SOC Accounts'!AG33</f>
        <v/>
      </c>
      <c r="AH113" s="584">
        <f>'SOC Accounts'!AH32+'SOC Accounts'!AH33</f>
        <v/>
      </c>
      <c r="AI113" s="584">
        <f>'SOC Accounts'!AI32+'SOC Accounts'!AI33</f>
        <v/>
      </c>
      <c r="AJ113" s="584">
        <f>'SOC Accounts'!AJ32+'SOC Accounts'!AJ33</f>
        <v/>
      </c>
      <c r="AK113" s="584">
        <f>'SOC Accounts'!AK32+'SOC Accounts'!AK33</f>
        <v/>
      </c>
      <c r="AL113" s="584">
        <f>'SOC Accounts'!AL32+'SOC Accounts'!AL33</f>
        <v/>
      </c>
      <c r="AM113" s="584">
        <f>'SOC Accounts'!AM32+'SOC Accounts'!AM33</f>
        <v/>
      </c>
      <c r="AN113" s="584">
        <f>'SOC Accounts'!AN32+'SOC Accounts'!AN33</f>
        <v/>
      </c>
      <c r="AO113" s="18" t="n"/>
      <c r="AP113" s="555" t="n"/>
      <c r="AQ113" s="23" t="n"/>
      <c r="AR113" s="23" t="n"/>
      <c r="AS113" s="23" t="n"/>
      <c r="AT113" s="18" t="n"/>
      <c r="AU113" s="18" t="n"/>
      <c r="AV113" s="18" t="n"/>
      <c r="AW113" s="18" t="n"/>
    </row>
    <row r="114" customFormat="1" s="554">
      <c r="A114" s="561" t="inlineStr">
        <is>
          <t xml:space="preserve">   - Special provision account</t>
        </is>
      </c>
      <c r="B114" s="584" t="n">
        <v>0</v>
      </c>
      <c r="C114" s="584" t="n">
        <v>0</v>
      </c>
      <c r="D114" s="584" t="n">
        <v>0</v>
      </c>
      <c r="E114" s="584" t="n">
        <v>0</v>
      </c>
      <c r="F114" s="584" t="n">
        <v>0</v>
      </c>
      <c r="G114" s="584" t="n">
        <v>0</v>
      </c>
      <c r="H114" s="584" t="n">
        <v>0</v>
      </c>
      <c r="I114" s="584" t="n">
        <v>0</v>
      </c>
      <c r="J114" s="584" t="n">
        <v>-37</v>
      </c>
      <c r="K114" s="584" t="n">
        <v>0</v>
      </c>
      <c r="L114" s="584" t="n">
        <v>-96</v>
      </c>
      <c r="M114" s="584" t="n">
        <v>-494</v>
      </c>
      <c r="N114" s="584" t="n">
        <v>-176</v>
      </c>
      <c r="O114" s="584" t="n">
        <v>0</v>
      </c>
      <c r="P114" s="584" t="n">
        <v>0</v>
      </c>
      <c r="Q114" s="584" t="n">
        <v>0</v>
      </c>
      <c r="R114" s="584" t="n">
        <v>0</v>
      </c>
      <c r="S114" s="584" t="n">
        <v>0</v>
      </c>
      <c r="T114" s="584" t="n">
        <v>0</v>
      </c>
      <c r="U114" s="584" t="n">
        <v>0</v>
      </c>
      <c r="V114" s="584" t="n">
        <v>525</v>
      </c>
      <c r="W114" s="584" t="n">
        <v>-525</v>
      </c>
      <c r="X114" s="584" t="n">
        <v>72</v>
      </c>
      <c r="Y114" s="584" t="n">
        <v>0</v>
      </c>
      <c r="Z114" s="584" t="n">
        <v>0</v>
      </c>
      <c r="AA114" s="584" t="n">
        <v>155</v>
      </c>
      <c r="AB114" s="584" t="n">
        <v>-181</v>
      </c>
      <c r="AC114" s="584" t="n">
        <v>-46</v>
      </c>
      <c r="AD114" s="584" t="n">
        <v>337</v>
      </c>
      <c r="AE114" s="584" t="n">
        <v>-9</v>
      </c>
      <c r="AF114" s="584">
        <f>-242</f>
        <v/>
      </c>
      <c r="AG114" s="584">
        <f>-126</f>
        <v/>
      </c>
      <c r="AH114" s="584" t="n">
        <v>0</v>
      </c>
      <c r="AI114" s="586">
        <f>+'SOC Accounts'!AI38+'SOC Accounts'!AI39+'SOC Accounts'!AI26</f>
        <v/>
      </c>
      <c r="AJ114" s="586">
        <f>+'SOC Accounts'!AJ38+'SOC Accounts'!AJ39+'SOC Accounts'!AJ26</f>
        <v/>
      </c>
      <c r="AK114" s="586">
        <f>+'SOC Accounts'!AK38+'SOC Accounts'!AK39+'SOC Accounts'!AK26</f>
        <v/>
      </c>
      <c r="AL114" s="586">
        <f>+'SOC Accounts'!AL38+'SOC Accounts'!AL39+'SOC Accounts'!AL26</f>
        <v/>
      </c>
      <c r="AM114" s="586">
        <f>+'SOC Accounts'!AM38+'SOC Accounts'!AM39+'SOC Accounts'!AM26</f>
        <v/>
      </c>
      <c r="AN114" s="586">
        <f>+'SOC Accounts'!AN38+'SOC Accounts'!AN39+'SOC Accounts'!AN26</f>
        <v/>
      </c>
      <c r="AO114" s="18" t="n"/>
      <c r="AP114" s="555" t="n"/>
      <c r="AQ114" s="23" t="n"/>
      <c r="AR114" s="23" t="n"/>
      <c r="AS114" s="23" t="n"/>
      <c r="AT114" s="18" t="n"/>
      <c r="AU114" s="18" t="n"/>
      <c r="AV114" s="18" t="n"/>
      <c r="AW114" s="18" t="n"/>
    </row>
    <row r="115" customFormat="1" s="554">
      <c r="A115" s="562" t="inlineStr">
        <is>
          <t xml:space="preserve">   - Transfers to rate reduction reserve</t>
        </is>
      </c>
      <c r="B115" s="584" t="n">
        <v>243</v>
      </c>
      <c r="C115" s="584" t="n">
        <v>283</v>
      </c>
      <c r="D115" s="584" t="n">
        <v>272</v>
      </c>
      <c r="E115" s="584" t="n">
        <v>215</v>
      </c>
      <c r="F115" s="584" t="n">
        <v>174</v>
      </c>
      <c r="G115" s="584" t="n">
        <v>134</v>
      </c>
      <c r="H115" s="584" t="n">
        <v>158</v>
      </c>
      <c r="I115" s="584" t="n">
        <v>290</v>
      </c>
      <c r="J115" s="584" t="n">
        <v>280</v>
      </c>
      <c r="K115" s="584" t="n">
        <v>305</v>
      </c>
      <c r="L115" s="584" t="n">
        <v>319</v>
      </c>
      <c r="M115" s="584" t="n">
        <v>287</v>
      </c>
      <c r="N115" s="584" t="n">
        <v>253</v>
      </c>
      <c r="O115" s="584" t="n">
        <v>0</v>
      </c>
      <c r="P115" s="584" t="n">
        <v>0</v>
      </c>
      <c r="Q115" s="584" t="n">
        <v>0</v>
      </c>
      <c r="R115" s="584" t="n">
        <v>0</v>
      </c>
      <c r="S115" s="584" t="n">
        <v>0</v>
      </c>
      <c r="T115" s="584" t="n">
        <v>0</v>
      </c>
      <c r="U115" s="584" t="n">
        <v>0</v>
      </c>
      <c r="V115" s="584" t="n">
        <v>0</v>
      </c>
      <c r="W115" s="584" t="n">
        <v>0</v>
      </c>
      <c r="X115" s="584" t="n">
        <v>0</v>
      </c>
      <c r="Y115" s="584" t="n">
        <v>0</v>
      </c>
      <c r="Z115" s="584" t="n">
        <v>0</v>
      </c>
      <c r="AA115" s="584" t="n">
        <v>0</v>
      </c>
      <c r="AB115" s="584" t="n">
        <v>0</v>
      </c>
      <c r="AC115" s="584" t="n">
        <v>0</v>
      </c>
      <c r="AD115" s="584" t="n">
        <v>0</v>
      </c>
      <c r="AE115" s="584" t="n">
        <v>0</v>
      </c>
      <c r="AF115" s="584" t="n">
        <v>0</v>
      </c>
      <c r="AG115" s="584" t="n">
        <v>0</v>
      </c>
      <c r="AH115" s="584" t="n">
        <v>0</v>
      </c>
      <c r="AI115" s="584" t="n">
        <v>0</v>
      </c>
      <c r="AJ115" s="584" t="n">
        <v>0</v>
      </c>
      <c r="AK115" s="584" t="n">
        <v>0</v>
      </c>
      <c r="AL115" s="584" t="n">
        <v>0</v>
      </c>
      <c r="AM115" s="584" t="n">
        <v>0</v>
      </c>
      <c r="AN115" s="584" t="n">
        <v>0</v>
      </c>
      <c r="AO115" s="18" t="n"/>
      <c r="AP115" s="555" t="n"/>
      <c r="AQ115" s="23" t="n"/>
      <c r="AR115" s="23" t="n"/>
      <c r="AS115" s="23" t="n"/>
      <c r="AT115" s="18" t="n"/>
      <c r="AU115" s="18" t="n"/>
      <c r="AV115" s="18" t="n"/>
      <c r="AW115" s="18" t="n"/>
    </row>
    <row r="116" customFormat="1" s="554">
      <c r="A116" s="562" t="inlineStr">
        <is>
          <t xml:space="preserve">   - Transfers to development fund</t>
        </is>
      </c>
      <c r="B116" s="584" t="n">
        <v>373</v>
      </c>
      <c r="C116" s="584" t="n">
        <v>625</v>
      </c>
      <c r="D116" s="584" t="n">
        <v>-493</v>
      </c>
      <c r="E116" s="584" t="n">
        <v>-525</v>
      </c>
      <c r="F116" s="584" t="n">
        <v>-493</v>
      </c>
      <c r="G116" s="584" t="n">
        <v>-320.5010000000011</v>
      </c>
      <c r="H116" s="584" t="n">
        <v>1556.282136363638</v>
      </c>
      <c r="I116" s="584" t="n">
        <v>1497</v>
      </c>
      <c r="J116" s="584" t="n">
        <v>1386</v>
      </c>
      <c r="K116" s="584" t="n">
        <v>1201</v>
      </c>
      <c r="L116" s="584" t="n">
        <v>1420</v>
      </c>
      <c r="M116" s="584" t="n">
        <v>572</v>
      </c>
      <c r="N116" s="584" t="n">
        <v>219</v>
      </c>
      <c r="O116" s="584" t="n">
        <v>527</v>
      </c>
      <c r="P116" s="584" t="n">
        <v>-202</v>
      </c>
      <c r="Q116" s="584" t="n">
        <v>-353</v>
      </c>
      <c r="R116" s="584" t="n">
        <v>168</v>
      </c>
      <c r="S116" s="584" t="n">
        <v>39</v>
      </c>
      <c r="T116" s="584" t="n">
        <v>-33</v>
      </c>
      <c r="U116" s="584" t="n">
        <v>-714</v>
      </c>
      <c r="V116" s="584" t="n">
        <v>169</v>
      </c>
      <c r="W116" s="584" t="n">
        <v>-693</v>
      </c>
      <c r="X116" s="584" t="n">
        <v>1007</v>
      </c>
      <c r="Y116" s="584" t="n">
        <v>-181</v>
      </c>
      <c r="Z116" s="584" t="n">
        <v>-260</v>
      </c>
      <c r="AA116" s="584" t="n">
        <v>-98</v>
      </c>
      <c r="AB116" s="584" t="n">
        <v>322</v>
      </c>
      <c r="AC116" s="584" t="n">
        <v>714</v>
      </c>
      <c r="AD116" s="584" t="n">
        <v>660</v>
      </c>
      <c r="AE116" s="584" t="n">
        <v>1183</v>
      </c>
      <c r="AF116" s="584" t="n">
        <v>604</v>
      </c>
      <c r="AG116" s="584" t="n">
        <v>-48</v>
      </c>
      <c r="AH116" s="584" t="n">
        <v>505</v>
      </c>
      <c r="AI116" s="586">
        <f>'SOC Accounts'!AI18+'SOC Accounts'!AI20</f>
        <v/>
      </c>
      <c r="AJ116" s="586">
        <f>'SOC Accounts'!AJ18+'SOC Accounts'!AJ20</f>
        <v/>
      </c>
      <c r="AK116" s="586">
        <f>'SOC Accounts'!AK18+'SOC Accounts'!AK20</f>
        <v/>
      </c>
      <c r="AL116" s="586">
        <f>'SOC Accounts'!AL18+'SOC Accounts'!AL20</f>
        <v/>
      </c>
      <c r="AM116" s="586">
        <f>'SOC Accounts'!AM18+'SOC Accounts'!AM20</f>
        <v/>
      </c>
      <c r="AN116" s="586">
        <f>'SOC Accounts'!AN18+'SOC Accounts'!AN20</f>
        <v/>
      </c>
      <c r="AO116" s="18" t="n"/>
      <c r="AP116" s="555" t="n"/>
      <c r="AQ116" s="23" t="n"/>
      <c r="AR116" s="23" t="n"/>
      <c r="AS116" s="23" t="n"/>
      <c r="AT116" s="18" t="n"/>
      <c r="AU116" s="18" t="n"/>
      <c r="AV116" s="18" t="n"/>
      <c r="AW116" s="18" t="n"/>
    </row>
    <row r="117" customFormat="1" s="556">
      <c r="A117" s="588" t="inlineStr">
        <is>
          <t>Total before working capital changes</t>
        </is>
      </c>
      <c r="B117" s="589">
        <f>B121-SUM(B118:B120)</f>
        <v/>
      </c>
      <c r="C117" s="589">
        <f>C121-SUM(C118:C120)</f>
        <v/>
      </c>
      <c r="D117" s="589">
        <f>D121-SUM(D118:D120)</f>
        <v/>
      </c>
      <c r="E117" s="589">
        <f>E121-SUM(E118:E120)</f>
        <v/>
      </c>
      <c r="F117" s="589">
        <f>F121-SUM(F118:F120)</f>
        <v/>
      </c>
      <c r="G117" s="589">
        <f>G121-SUM(G118:G120)</f>
        <v/>
      </c>
      <c r="H117" s="589">
        <f>H121-SUM(H118:H120)</f>
        <v/>
      </c>
      <c r="I117" s="589">
        <f>I121-SUM(I118:I120)</f>
        <v/>
      </c>
      <c r="J117" s="589">
        <f>J121-SUM(J118:J120)</f>
        <v/>
      </c>
      <c r="K117" s="589">
        <f>K121-SUM(K118:K120)</f>
        <v/>
      </c>
      <c r="L117" s="589">
        <f>L121-SUM(L118:L120)</f>
        <v/>
      </c>
      <c r="M117" s="589">
        <f>M121-SUM(M118:M120)</f>
        <v/>
      </c>
      <c r="N117" s="589">
        <f>N121-SUM(N118:N120)</f>
        <v/>
      </c>
      <c r="O117" s="589">
        <f>O121-SUM(O118:O120)</f>
        <v/>
      </c>
      <c r="P117" s="589">
        <f>P121-SUM(P118:P120)</f>
        <v/>
      </c>
      <c r="Q117" s="589">
        <f>Q121-SUM(Q118:Q120)</f>
        <v/>
      </c>
      <c r="R117" s="589">
        <f>R121-SUM(R118:R120)</f>
        <v/>
      </c>
      <c r="S117" s="589">
        <f>S121-SUM(S118:S120)</f>
        <v/>
      </c>
      <c r="T117" s="589">
        <f>T121-SUM(T118:T120)</f>
        <v/>
      </c>
      <c r="U117" s="589">
        <f>U121-SUM(U118:U120)</f>
        <v/>
      </c>
      <c r="V117" s="589">
        <f>V121-SUM(V118:V120)</f>
        <v/>
      </c>
      <c r="W117" s="589">
        <f>W121-SUM(W118:W120)</f>
        <v/>
      </c>
      <c r="X117" s="589">
        <f>X121-SUM(X118:X120)</f>
        <v/>
      </c>
      <c r="Y117" s="589">
        <f>Y121-SUM(Y118:Y120)</f>
        <v/>
      </c>
      <c r="Z117" s="589">
        <f>Z121-SUM(Z118:Z120)</f>
        <v/>
      </c>
      <c r="AA117" s="589">
        <f>AA121-SUM(AA118:AA120)</f>
        <v/>
      </c>
      <c r="AB117" s="589">
        <f>AB121-SUM(AB118:AB120)</f>
        <v/>
      </c>
      <c r="AC117" s="589">
        <f>SUM(AC102:AC116)</f>
        <v/>
      </c>
      <c r="AD117" s="589">
        <f>SUM(AD102:AD116)</f>
        <v/>
      </c>
      <c r="AE117" s="589">
        <f>SUM(AE102:AE116)</f>
        <v/>
      </c>
      <c r="AF117" s="589">
        <f>SUM(AF102:AF116)</f>
        <v/>
      </c>
      <c r="AG117" s="589">
        <f>SUM(AG102:AG116)</f>
        <v/>
      </c>
      <c r="AH117" s="589">
        <f>SUM(AH102:AH116)</f>
        <v/>
      </c>
      <c r="AI117" s="589">
        <f>SUM(AI102:AI116)</f>
        <v/>
      </c>
      <c r="AJ117" s="589">
        <f>SUM(AJ102:AJ116)</f>
        <v/>
      </c>
      <c r="AK117" s="589">
        <f>SUM(AK102:AK116)</f>
        <v/>
      </c>
      <c r="AL117" s="589">
        <f>SUM(AL102:AL116)</f>
        <v/>
      </c>
      <c r="AM117" s="589">
        <f>SUM(AM102:AM116)</f>
        <v/>
      </c>
      <c r="AN117" s="589">
        <f>SUM(AN102:AN116)</f>
        <v/>
      </c>
      <c r="AO117" s="18" t="n"/>
      <c r="AP117" s="555" t="n"/>
      <c r="AQ117" s="23" t="n"/>
      <c r="AR117" s="23" t="n"/>
      <c r="AS117" s="23" t="n"/>
      <c r="AT117" s="18" t="n"/>
      <c r="AU117" s="18" t="n"/>
      <c r="AV117" s="18" t="n"/>
      <c r="AW117" s="18" t="n"/>
    </row>
    <row r="118" customFormat="1" s="554">
      <c r="A118" s="562" t="inlineStr">
        <is>
          <t>Working capital changes</t>
        </is>
      </c>
      <c r="B118" s="584">
        <f>100-255-15-211+78</f>
        <v/>
      </c>
      <c r="C118" s="584">
        <f>1421-159+10+16-38</f>
        <v/>
      </c>
      <c r="D118" s="584">
        <f>-71+17-3+462-2</f>
        <v/>
      </c>
      <c r="E118" s="584">
        <f>-106-5+119+330</f>
        <v/>
      </c>
      <c r="F118" s="584">
        <f>-138-13-26</f>
        <v/>
      </c>
      <c r="G118" s="584">
        <f>-34+68+56</f>
        <v/>
      </c>
      <c r="H118" s="584">
        <f>-592-42-78</f>
        <v/>
      </c>
      <c r="I118" s="584">
        <f>370-349+54</f>
        <v/>
      </c>
      <c r="J118" s="584">
        <f>220+15-394</f>
        <v/>
      </c>
      <c r="K118" s="584">
        <f>-408+114+27</f>
        <v/>
      </c>
      <c r="L118" s="584">
        <f>-150-27+248+134</f>
        <v/>
      </c>
      <c r="M118" s="584">
        <f>-158+29+61</f>
        <v/>
      </c>
      <c r="N118" s="584">
        <f>1695+95-196+32</f>
        <v/>
      </c>
      <c r="O118" s="584">
        <f>238+220+109+29</f>
        <v/>
      </c>
      <c r="P118" s="584">
        <f>-110+260+127+185-21</f>
        <v/>
      </c>
      <c r="Q118" s="584">
        <f>4-100+260-52+57+602+100</f>
        <v/>
      </c>
      <c r="R118" s="584">
        <f>-1836+617+145+199+124+679</f>
        <v/>
      </c>
      <c r="S118" s="584">
        <f>-357+111-836-202+285+55</f>
        <v/>
      </c>
      <c r="T118" s="584">
        <f>-2270+184+105+211+1371+12</f>
        <v/>
      </c>
      <c r="U118" s="584">
        <f>-3539+61-29-440+589+278</f>
        <v/>
      </c>
      <c r="V118" s="584">
        <f>-1956+114-374-917+4883-216</f>
        <v/>
      </c>
      <c r="W118" s="584">
        <f>-1175+90+687-564+171-11</f>
        <v/>
      </c>
      <c r="X118" s="584">
        <f>2212+68-655-3345+35</f>
        <v/>
      </c>
      <c r="Y118" s="584">
        <f>-135+54-168-1470+427</f>
        <v/>
      </c>
      <c r="Z118" s="584">
        <f>145+45-30+63+32</f>
        <v/>
      </c>
      <c r="AA118" s="584">
        <f>-2263+56-149+443+3917-329</f>
        <v/>
      </c>
      <c r="AB118" s="584">
        <f>-688+64-51+694+361+247</f>
        <v/>
      </c>
      <c r="AC118" s="584">
        <f>341+119-56-725-47</f>
        <v/>
      </c>
      <c r="AD118" s="584">
        <f>-144-257+660+535+119</f>
        <v/>
      </c>
      <c r="AE118" s="584">
        <f>-2347+272+2068+128-20</f>
        <v/>
      </c>
      <c r="AF118" s="584">
        <f>-1252-3498-33+2512+1398-204</f>
        <v/>
      </c>
      <c r="AG118" s="584">
        <f>375+1839+17-953-397-238</f>
        <v/>
      </c>
      <c r="AH118" s="584">
        <f>-395-552-5+659+396+338</f>
        <v/>
      </c>
      <c r="AI118" s="586">
        <f>AH60-AI60+AH62-AI62+AI83-AH83+AI82-AH82</f>
        <v/>
      </c>
      <c r="AJ118" s="586">
        <f>AI60-AJ60+AI62-AJ62+AJ83-AI83+AJ82-AI82</f>
        <v/>
      </c>
      <c r="AK118" s="586">
        <f>AJ60-AK60+AJ62-AK62+AK83-AJ83+AK82-AJ82</f>
        <v/>
      </c>
      <c r="AL118" s="586">
        <f>AK60-AL60+AK62-AL62+AL83-AK83+AL82-AK82</f>
        <v/>
      </c>
      <c r="AM118" s="586">
        <f>AL60-AM60+AL62-AM62+AM83-AL83+AM82-AL82</f>
        <v/>
      </c>
      <c r="AN118" s="586">
        <f>AM60-AN60+AM62-AN62+AN83-AM83+AN82-AM82</f>
        <v/>
      </c>
      <c r="AO118" s="18" t="n"/>
      <c r="AP118" s="555" t="n"/>
      <c r="AQ118" s="23" t="n"/>
      <c r="AR118" s="23" t="n"/>
      <c r="AS118" s="23" t="n"/>
      <c r="AT118" s="18" t="n"/>
      <c r="AU118" s="18" t="n"/>
      <c r="AV118" s="18" t="n"/>
      <c r="AW118" s="18" t="n"/>
    </row>
    <row r="119" customFormat="1" s="554">
      <c r="A119" s="562" t="inlineStr">
        <is>
          <t>Interest paid</t>
        </is>
      </c>
      <c r="B119" s="584" t="n">
        <v>-133</v>
      </c>
      <c r="C119" s="584">
        <f>-48-26</f>
        <v/>
      </c>
      <c r="D119" s="584">
        <f>100-116-28</f>
        <v/>
      </c>
      <c r="E119" s="584">
        <f>117-112-46</f>
        <v/>
      </c>
      <c r="F119" s="584">
        <f>85-98-76</f>
        <v/>
      </c>
      <c r="G119" s="584">
        <f>646-306</f>
        <v/>
      </c>
      <c r="H119" s="584">
        <f>1125-326</f>
        <v/>
      </c>
      <c r="I119" s="584">
        <f>920-382</f>
        <v/>
      </c>
      <c r="J119" s="584">
        <f>134-208</f>
        <v/>
      </c>
      <c r="K119" s="584">
        <f>-192+30</f>
        <v/>
      </c>
      <c r="L119" s="584">
        <f>-164+15</f>
        <v/>
      </c>
      <c r="M119" s="584">
        <f>-579+17</f>
        <v/>
      </c>
      <c r="N119" s="584">
        <f>-807+62</f>
        <v/>
      </c>
      <c r="O119" s="584">
        <f>-1026+118</f>
        <v/>
      </c>
      <c r="P119" s="584">
        <f>-4407+143</f>
        <v/>
      </c>
      <c r="Q119" s="584" t="n">
        <v>-4778</v>
      </c>
      <c r="R119" s="584" t="n">
        <v>-3942</v>
      </c>
      <c r="S119" s="584">
        <f>-3354+55</f>
        <v/>
      </c>
      <c r="T119" s="584">
        <f>-4199+99</f>
        <v/>
      </c>
      <c r="U119" s="584">
        <f>-5438+145</f>
        <v/>
      </c>
      <c r="V119" s="584">
        <f>-5928+281</f>
        <v/>
      </c>
      <c r="W119" s="584">
        <f>-5612+205</f>
        <v/>
      </c>
      <c r="X119" s="584">
        <f>130-3723</f>
        <v/>
      </c>
      <c r="Y119" s="584">
        <f>161-3841</f>
        <v/>
      </c>
      <c r="Z119" s="584">
        <f>137-1901</f>
        <v/>
      </c>
      <c r="AA119" s="584">
        <f>145-1779</f>
        <v/>
      </c>
      <c r="AB119" s="584">
        <f>186-1890</f>
        <v/>
      </c>
      <c r="AC119" s="584">
        <f>165-1771</f>
        <v/>
      </c>
      <c r="AD119" s="584">
        <f>138-1820</f>
        <v/>
      </c>
      <c r="AE119" s="584">
        <f>104-1575</f>
        <v/>
      </c>
      <c r="AF119" s="584">
        <f>153-1854</f>
        <v/>
      </c>
      <c r="AG119" s="584">
        <f>189-1597</f>
        <v/>
      </c>
      <c r="AH119" s="584">
        <f>209-1765</f>
        <v/>
      </c>
      <c r="AI119" s="586">
        <f>Driver!AI106</f>
        <v/>
      </c>
      <c r="AJ119" s="586">
        <f>Driver!AJ106</f>
        <v/>
      </c>
      <c r="AK119" s="586">
        <f>Driver!AK106</f>
        <v/>
      </c>
      <c r="AL119" s="586">
        <f>Driver!AL106</f>
        <v/>
      </c>
      <c r="AM119" s="586">
        <f>Driver!AM106</f>
        <v/>
      </c>
      <c r="AN119" s="586">
        <f>Driver!AN106</f>
        <v/>
      </c>
      <c r="AO119" s="18" t="n"/>
      <c r="AP119" s="555" t="n"/>
      <c r="AQ119" s="23" t="n"/>
      <c r="AR119" s="23" t="n"/>
      <c r="AS119" s="23" t="n"/>
      <c r="AT119" s="18" t="n"/>
      <c r="AU119" s="18" t="n"/>
      <c r="AV119" s="18" t="n"/>
      <c r="AW119" s="18" t="n"/>
    </row>
    <row r="120" customFormat="1" s="554">
      <c r="A120" s="562" t="inlineStr">
        <is>
          <t>Tax paid</t>
        </is>
      </c>
      <c r="B120" s="584" t="n">
        <v>-144</v>
      </c>
      <c r="C120" s="584" t="n">
        <v>-160</v>
      </c>
      <c r="D120" s="584" t="n">
        <v>-590</v>
      </c>
      <c r="E120" s="584" t="n">
        <v>-238</v>
      </c>
      <c r="F120" s="584" t="n">
        <v>-114</v>
      </c>
      <c r="G120" s="584" t="n">
        <v>-358</v>
      </c>
      <c r="H120" s="584" t="n">
        <v>-413</v>
      </c>
      <c r="I120" s="584" t="n">
        <v>-1589</v>
      </c>
      <c r="J120" s="584" t="n">
        <v>-454</v>
      </c>
      <c r="K120" s="584" t="n">
        <v>-1007</v>
      </c>
      <c r="L120" s="584" t="n">
        <v>-747</v>
      </c>
      <c r="M120" s="584" t="n">
        <v>-860</v>
      </c>
      <c r="N120" s="584" t="n">
        <v>-562</v>
      </c>
      <c r="O120" s="584" t="n">
        <v>-1085</v>
      </c>
      <c r="P120" s="584" t="n">
        <v>-1009</v>
      </c>
      <c r="Q120" s="584" t="n">
        <v>-1026</v>
      </c>
      <c r="R120" s="584" t="n">
        <v>-810</v>
      </c>
      <c r="S120" s="584" t="n">
        <v>-924</v>
      </c>
      <c r="T120" s="584" t="n">
        <v>-824</v>
      </c>
      <c r="U120" s="584" t="n">
        <v>-800</v>
      </c>
      <c r="V120" s="584" t="n">
        <v>-804</v>
      </c>
      <c r="W120" s="584" t="n">
        <v>-982</v>
      </c>
      <c r="X120" s="584" t="n">
        <v>-1595</v>
      </c>
      <c r="Y120" s="584" t="n">
        <v>-1987</v>
      </c>
      <c r="Z120" s="584" t="n">
        <v>-1814</v>
      </c>
      <c r="AA120" s="584" t="n">
        <v>-2234</v>
      </c>
      <c r="AB120" s="584" t="n">
        <v>-2819</v>
      </c>
      <c r="AC120" s="584" t="n">
        <v>-2322</v>
      </c>
      <c r="AD120" s="584" t="n">
        <v>-2182</v>
      </c>
      <c r="AE120" s="584" t="n">
        <v>-2521</v>
      </c>
      <c r="AF120" s="584" t="n">
        <v>-974</v>
      </c>
      <c r="AG120" s="584" t="n">
        <v>-2219</v>
      </c>
      <c r="AH120" s="584" t="n">
        <v>-2247</v>
      </c>
      <c r="AI120" s="586">
        <f>AI23</f>
        <v/>
      </c>
      <c r="AJ120" s="586">
        <f>AJ23</f>
        <v/>
      </c>
      <c r="AK120" s="586">
        <f>AK23</f>
        <v/>
      </c>
      <c r="AL120" s="586">
        <f>AL23</f>
        <v/>
      </c>
      <c r="AM120" s="586">
        <f>AM23</f>
        <v/>
      </c>
      <c r="AN120" s="586">
        <f>AN23</f>
        <v/>
      </c>
      <c r="AO120" s="18" t="n"/>
      <c r="AP120" s="555" t="n"/>
      <c r="AQ120" s="23" t="n"/>
      <c r="AR120" s="23" t="n"/>
      <c r="AS120" s="23" t="n"/>
      <c r="AT120" s="18" t="n"/>
      <c r="AU120" s="18" t="n"/>
      <c r="AV120" s="18" t="n"/>
      <c r="AW120" s="18" t="n"/>
    </row>
    <row r="121" customFormat="1" s="556">
      <c r="A121" s="588" t="inlineStr">
        <is>
          <t>Net cash flow from operations</t>
        </is>
      </c>
      <c r="B121" s="589" t="n">
        <v>3770</v>
      </c>
      <c r="C121" s="589" t="n">
        <v>6371</v>
      </c>
      <c r="D121" s="589" t="n">
        <v>3177</v>
      </c>
      <c r="E121" s="589" t="n">
        <v>3871</v>
      </c>
      <c r="F121" s="589" t="n">
        <v>3625</v>
      </c>
      <c r="G121" s="589" t="n">
        <v>4357</v>
      </c>
      <c r="H121" s="589" t="n">
        <v>7133</v>
      </c>
      <c r="I121" s="589" t="n">
        <v>7918</v>
      </c>
      <c r="J121" s="589" t="n">
        <v>6887.365273269565</v>
      </c>
      <c r="K121" s="589" t="n">
        <v>6137.6</v>
      </c>
      <c r="L121" s="589" t="n">
        <v>6953.200000000001</v>
      </c>
      <c r="M121" s="589" t="n">
        <v>6435.522969993121</v>
      </c>
      <c r="N121" s="589" t="n">
        <v>10195.208</v>
      </c>
      <c r="O121" s="589" t="n">
        <v>10111.85177453027</v>
      </c>
      <c r="P121" s="589" t="n">
        <v>11521</v>
      </c>
      <c r="Q121" s="589" t="n">
        <v>10145</v>
      </c>
      <c r="R121" s="589">
        <f>15238-4074</f>
        <v/>
      </c>
      <c r="S121" s="589">
        <f>14529-3354</f>
        <v/>
      </c>
      <c r="T121" s="589">
        <f>16085-4199</f>
        <v/>
      </c>
      <c r="U121" s="589">
        <f>18062-5438</f>
        <v/>
      </c>
      <c r="V121" s="589">
        <f>23915-5928</f>
        <v/>
      </c>
      <c r="W121" s="589">
        <f>21021-5612</f>
        <v/>
      </c>
      <c r="X121" s="589">
        <f>21966-3723</f>
        <v/>
      </c>
      <c r="Y121" s="589">
        <f>19168-3841</f>
        <v/>
      </c>
      <c r="Z121" s="589">
        <f>23676-1901</f>
        <v/>
      </c>
      <c r="AA121" s="589">
        <f>24417-1779</f>
        <v/>
      </c>
      <c r="AB121" s="589">
        <f>23951-1890</f>
        <v/>
      </c>
      <c r="AC121" s="589">
        <f>SUM(AC117:AC120)</f>
        <v/>
      </c>
      <c r="AD121" s="589">
        <f>SUM(AD117:AD120)</f>
        <v/>
      </c>
      <c r="AE121" s="589">
        <f>SUM(AE117:AE120)</f>
        <v/>
      </c>
      <c r="AF121" s="589">
        <f>SUM(AF117:AF120)</f>
        <v/>
      </c>
      <c r="AG121" s="589">
        <f>SUM(AG117:AG120)</f>
        <v/>
      </c>
      <c r="AH121" s="589">
        <f>SUM(AH117:AH120)</f>
        <v/>
      </c>
      <c r="AI121" s="589">
        <f>SUM(AI117:AI120)</f>
        <v/>
      </c>
      <c r="AJ121" s="589">
        <f>SUM(AJ117:AJ120)</f>
        <v/>
      </c>
      <c r="AK121" s="589">
        <f>SUM(AK117:AK120)</f>
        <v/>
      </c>
      <c r="AL121" s="589">
        <f>SUM(AL117:AL120)</f>
        <v/>
      </c>
      <c r="AM121" s="589">
        <f>SUM(AM117:AM120)</f>
        <v/>
      </c>
      <c r="AN121" s="589">
        <f>SUM(AN117:AN120)</f>
        <v/>
      </c>
      <c r="AO121" s="18" t="n"/>
      <c r="AP121" s="555" t="n"/>
      <c r="AQ121" s="23" t="n"/>
      <c r="AR121" s="23" t="n"/>
      <c r="AS121" s="23" t="n"/>
      <c r="AT121" s="18" t="n"/>
      <c r="AU121" s="18" t="n"/>
      <c r="AV121" s="18" t="n"/>
      <c r="AW121" s="18" t="n"/>
    </row>
    <row r="122" customFormat="1" s="554">
      <c r="B122" s="512" t="n"/>
      <c r="C122" s="512" t="n"/>
      <c r="D122" s="512" t="n"/>
      <c r="E122" s="512" t="n"/>
      <c r="F122" s="512" t="n"/>
      <c r="G122" s="512" t="n"/>
      <c r="H122" s="512" t="n"/>
      <c r="I122" s="512" t="n"/>
      <c r="J122" s="512" t="n"/>
      <c r="K122" s="512" t="n"/>
      <c r="L122" s="512" t="n"/>
      <c r="M122" s="512" t="n"/>
      <c r="N122" s="512" t="n"/>
      <c r="O122" s="512" t="n"/>
      <c r="P122" s="512" t="n"/>
      <c r="Q122" s="512" t="n"/>
      <c r="R122" s="512" t="n"/>
      <c r="S122" s="512" t="n"/>
      <c r="T122" s="590">
        <f>+T121+4199</f>
        <v/>
      </c>
      <c r="U122" s="590">
        <f>+U121+5438</f>
        <v/>
      </c>
      <c r="V122" s="590">
        <f>+V121+5928</f>
        <v/>
      </c>
      <c r="W122" s="590">
        <f>+W121+5612</f>
        <v/>
      </c>
      <c r="X122" s="590">
        <f>+X121+3723</f>
        <v/>
      </c>
      <c r="Y122" s="590">
        <f>+Y121+3841</f>
        <v/>
      </c>
      <c r="Z122" s="590">
        <f>+Z121+1901</f>
        <v/>
      </c>
      <c r="AA122" s="590" t="n"/>
      <c r="AB122" s="512" t="n"/>
      <c r="AC122" s="512" t="n"/>
      <c r="AD122" s="512" t="n"/>
      <c r="AE122" s="512" t="n"/>
      <c r="AF122" s="512" t="n"/>
      <c r="AG122" s="512" t="n"/>
      <c r="AH122" s="512" t="n"/>
      <c r="AI122" s="169" t="n"/>
      <c r="AJ122" s="512" t="n"/>
      <c r="AK122" s="512" t="n"/>
      <c r="AL122" s="512" t="n"/>
      <c r="AM122" s="512" t="n"/>
      <c r="AN122" s="512" t="n"/>
      <c r="AO122" s="18" t="n"/>
      <c r="AP122" s="555" t="n"/>
      <c r="AQ122" s="23" t="n"/>
      <c r="AR122" s="23" t="n"/>
      <c r="AS122" s="23" t="n"/>
      <c r="AT122" s="18" t="n"/>
      <c r="AU122" s="18" t="n"/>
      <c r="AV122" s="18" t="n"/>
      <c r="AW122" s="18" t="n"/>
    </row>
    <row r="123" customFormat="1" s="554">
      <c r="A123" s="554" t="inlineStr">
        <is>
          <t>Cash flow from investing (CFI)</t>
        </is>
      </c>
      <c r="B123" s="512" t="n"/>
      <c r="C123" s="512" t="n"/>
      <c r="D123" s="512" t="n"/>
      <c r="E123" s="512" t="n"/>
      <c r="F123" s="512" t="n"/>
      <c r="G123" s="512" t="n"/>
      <c r="H123" s="512" t="n"/>
      <c r="I123" s="512" t="n"/>
      <c r="J123" s="512" t="n"/>
      <c r="K123" s="512" t="n"/>
      <c r="L123" s="512" t="n"/>
      <c r="M123" s="512" t="n"/>
      <c r="N123" s="512" t="n"/>
      <c r="O123" s="512" t="n"/>
      <c r="P123" s="512" t="n"/>
      <c r="Q123" s="512" t="n"/>
      <c r="R123" s="512" t="n"/>
      <c r="S123" s="512" t="n"/>
      <c r="T123" s="512" t="n"/>
      <c r="U123" s="512" t="n"/>
      <c r="V123" s="512" t="n"/>
      <c r="W123" s="512" t="n"/>
      <c r="X123" s="512" t="n"/>
      <c r="Y123" s="512" t="n"/>
      <c r="Z123" s="512" t="n"/>
      <c r="AA123" s="512" t="n"/>
      <c r="AB123" s="512" t="n"/>
      <c r="AC123" s="512" t="n"/>
      <c r="AD123" s="512" t="n"/>
      <c r="AE123" s="512" t="n"/>
      <c r="AF123" s="512" t="n"/>
      <c r="AG123" s="512" t="n"/>
      <c r="AH123" s="512" t="n"/>
      <c r="AI123" s="512" t="n"/>
      <c r="AJ123" s="512" t="n"/>
      <c r="AK123" s="512" t="n"/>
      <c r="AL123" s="512" t="n"/>
      <c r="AM123" s="512" t="n"/>
      <c r="AN123" s="512" t="n"/>
      <c r="AO123" s="18" t="n"/>
      <c r="AP123" s="555" t="n"/>
      <c r="AQ123" s="23" t="n"/>
      <c r="AR123" s="23" t="n"/>
      <c r="AS123" s="23" t="n"/>
      <c r="AT123" s="18" t="n"/>
      <c r="AU123" s="18" t="n"/>
      <c r="AV123" s="18" t="n"/>
      <c r="AW123" s="18" t="n"/>
    </row>
    <row r="124" customFormat="1" s="554">
      <c r="A124" s="554" t="inlineStr">
        <is>
          <t>Capital expenditures</t>
        </is>
      </c>
      <c r="B124" s="512">
        <f>-2947+105</f>
        <v/>
      </c>
      <c r="C124" s="512">
        <f>-2626+9</f>
        <v/>
      </c>
      <c r="D124" s="512">
        <f>-2743+9</f>
        <v/>
      </c>
      <c r="E124" s="512">
        <f>-3132+11</f>
        <v/>
      </c>
      <c r="F124" s="512">
        <f>-3057+26</f>
        <v/>
      </c>
      <c r="G124" s="512">
        <f>-2879+55</f>
        <v/>
      </c>
      <c r="H124" s="512">
        <f>-1957+19</f>
        <v/>
      </c>
      <c r="I124" s="512">
        <f>-3207+103</f>
        <v/>
      </c>
      <c r="J124" s="512">
        <f>-2794+42</f>
        <v/>
      </c>
      <c r="K124" s="512">
        <f>-4471-119+88</f>
        <v/>
      </c>
      <c r="L124" s="512">
        <f>-4734-178+85</f>
        <v/>
      </c>
      <c r="M124" s="512">
        <f>-5451-241+402</f>
        <v/>
      </c>
      <c r="N124" s="512">
        <f>-5292-266+251</f>
        <v/>
      </c>
      <c r="O124" s="512">
        <f>-5204-283+198</f>
        <v/>
      </c>
      <c r="P124" s="512">
        <f>-5826-289-10+143</f>
        <v/>
      </c>
      <c r="Q124" s="512">
        <f>-6632-295-86+93</f>
        <v/>
      </c>
      <c r="R124" s="512">
        <f>-6569-388+175-168-321</f>
        <v/>
      </c>
      <c r="S124" s="512">
        <f>-7449-320+121-124-153</f>
        <v/>
      </c>
      <c r="T124" s="512">
        <f>-10137-515+267-42-38</f>
        <v/>
      </c>
      <c r="U124" s="512">
        <f>-12109-667+490-534-7-15378+123-2094</f>
        <v/>
      </c>
      <c r="V124" s="512">
        <f>-9056-400+264-985-207</f>
        <v/>
      </c>
      <c r="W124" s="512">
        <f>-8462-236+258-1144+21-954</f>
        <v/>
      </c>
      <c r="X124" s="512">
        <f>-9192-294+105-1287-358-8172</f>
        <v/>
      </c>
      <c r="Y124" s="512">
        <f>-10871-278+46-166-1</f>
        <v/>
      </c>
      <c r="Z124" s="512">
        <f>-9756-244+848-308-236-568-1</f>
        <v/>
      </c>
      <c r="AA124" s="512">
        <f>-9538-256+120-549-14</f>
        <v/>
      </c>
      <c r="AB124" s="512">
        <f>-10327-262+97-565-85</f>
        <v/>
      </c>
      <c r="AC124" s="512">
        <f>-10448-307+45-775-121</f>
        <v/>
      </c>
      <c r="AD124" s="512">
        <f>-10586-324+220-451-74</f>
        <v/>
      </c>
      <c r="AE124" s="512">
        <f>-12431-298+104-512-184-338</f>
        <v/>
      </c>
      <c r="AF124" s="512">
        <f>-14553-409+49-330-165-338</f>
        <v/>
      </c>
      <c r="AG124" s="512">
        <f>-11776-601+51-796-81-0</f>
        <v/>
      </c>
      <c r="AH124" s="512">
        <f>-15076-564+45-663+161-14</f>
        <v/>
      </c>
      <c r="AI124" s="528">
        <f>-Driver!AI90</f>
        <v/>
      </c>
      <c r="AJ124" s="528">
        <f>-Driver!AJ90</f>
        <v/>
      </c>
      <c r="AK124" s="528">
        <f>-Driver!AK90</f>
        <v/>
      </c>
      <c r="AL124" s="528">
        <f>-Driver!AL90</f>
        <v/>
      </c>
      <c r="AM124" s="528">
        <f>-Driver!AM90</f>
        <v/>
      </c>
      <c r="AN124" s="528">
        <f>-Driver!AN90</f>
        <v/>
      </c>
      <c r="AO124" s="18" t="n"/>
      <c r="AP124" s="555" t="n"/>
      <c r="AQ124" s="23" t="n"/>
      <c r="AR124" s="23" t="n"/>
      <c r="AS124" s="23" t="n"/>
      <c r="AT124" s="18" t="n"/>
      <c r="AU124" s="18" t="n"/>
      <c r="AV124" s="18" t="n"/>
      <c r="AW124" s="18" t="n"/>
    </row>
    <row r="125" customFormat="1" s="554">
      <c r="A125" s="554" t="inlineStr">
        <is>
          <t>Investment in JCEs</t>
        </is>
      </c>
      <c r="B125" s="512" t="n">
        <v>19</v>
      </c>
      <c r="C125" s="512" t="n">
        <v>-568</v>
      </c>
      <c r="D125" s="512" t="n">
        <v>-9</v>
      </c>
      <c r="E125" s="512" t="n">
        <v>265</v>
      </c>
      <c r="F125" s="512" t="n">
        <v>29</v>
      </c>
      <c r="G125" s="512">
        <f>-261-103</f>
        <v/>
      </c>
      <c r="H125" s="512">
        <f>-398-1882+250</f>
        <v/>
      </c>
      <c r="I125" s="512">
        <f>123-1950-170</f>
        <v/>
      </c>
      <c r="J125" s="512">
        <f>-961-125</f>
        <v/>
      </c>
      <c r="K125" s="512">
        <f>-3478-61</f>
        <v/>
      </c>
      <c r="L125" s="512">
        <f>-3364-100</f>
        <v/>
      </c>
      <c r="M125" s="512" t="n">
        <v>-983</v>
      </c>
      <c r="N125" s="512" t="n">
        <v>-565</v>
      </c>
      <c r="O125" s="512" t="n">
        <v>-728</v>
      </c>
      <c r="P125" s="512" t="n">
        <v>-846</v>
      </c>
      <c r="Q125" s="512" t="n">
        <v>-300</v>
      </c>
      <c r="R125" s="512" t="n">
        <v>-1347</v>
      </c>
      <c r="S125" s="512" t="n">
        <v>-1992</v>
      </c>
      <c r="T125" s="512" t="n">
        <v>-2062</v>
      </c>
      <c r="U125" s="512">
        <f>-87+25</f>
        <v/>
      </c>
      <c r="V125" s="512" t="n">
        <v>-272</v>
      </c>
      <c r="W125" s="512" t="n">
        <v>-185</v>
      </c>
      <c r="X125" s="512" t="n">
        <v>-1835</v>
      </c>
      <c r="Y125" s="512" t="n">
        <v>-930</v>
      </c>
      <c r="Z125" s="512" t="n">
        <v>2</v>
      </c>
      <c r="AA125" s="512" t="n">
        <v>-5183</v>
      </c>
      <c r="AB125" s="512">
        <f>-1203+958+59-9</f>
        <v/>
      </c>
      <c r="AC125" s="512">
        <f>-130-70+44-352</f>
        <v/>
      </c>
      <c r="AD125" s="512">
        <f>-196-458+208</f>
        <v/>
      </c>
      <c r="AE125" s="512">
        <f>-698-219+362</f>
        <v/>
      </c>
      <c r="AF125" s="512">
        <f>0-788+0</f>
        <v/>
      </c>
      <c r="AG125" s="512">
        <f>1635-277+5</f>
        <v/>
      </c>
      <c r="AH125" s="512">
        <f>-40+29+0</f>
        <v/>
      </c>
      <c r="AI125" s="528">
        <f>-(Driver!AI117+Driver!AI125)</f>
        <v/>
      </c>
      <c r="AJ125" s="528">
        <f>-(Driver!AJ117+Driver!AJ125)</f>
        <v/>
      </c>
      <c r="AK125" s="528">
        <f>-(Driver!AK117+Driver!AK125)</f>
        <v/>
      </c>
      <c r="AL125" s="528">
        <f>-(Driver!AL117+Driver!AL125)</f>
        <v/>
      </c>
      <c r="AM125" s="528">
        <f>-(Driver!AM117+Driver!AM125)</f>
        <v/>
      </c>
      <c r="AN125" s="528">
        <f>-(Driver!AN117+Driver!AN125)</f>
        <v/>
      </c>
      <c r="AO125" s="18" t="n"/>
      <c r="AP125" s="555" t="n"/>
      <c r="AQ125" s="23" t="n"/>
      <c r="AR125" s="23" t="n"/>
      <c r="AS125" s="23" t="n"/>
      <c r="AT125" s="18" t="n"/>
      <c r="AU125" s="18" t="n"/>
      <c r="AV125" s="18" t="n"/>
      <c r="AW125" s="18" t="n"/>
    </row>
    <row r="126" customFormat="1" s="554">
      <c r="A126" s="554" t="inlineStr">
        <is>
          <t>Dividends received</t>
        </is>
      </c>
      <c r="B126" s="512" t="n">
        <v>826</v>
      </c>
      <c r="C126" s="512" t="n">
        <v>897</v>
      </c>
      <c r="D126" s="512" t="n">
        <v>1286</v>
      </c>
      <c r="E126" s="512" t="n">
        <v>1272</v>
      </c>
      <c r="F126" s="512" t="n">
        <v>1357</v>
      </c>
      <c r="G126" s="512" t="n">
        <v>1331</v>
      </c>
      <c r="H126" s="512" t="n">
        <v>1546</v>
      </c>
      <c r="I126" s="512" t="n">
        <v>1901</v>
      </c>
      <c r="J126" s="512" t="n">
        <v>3111</v>
      </c>
      <c r="K126" s="512" t="n">
        <v>3399</v>
      </c>
      <c r="L126" s="512" t="n">
        <v>3969</v>
      </c>
      <c r="M126" s="512" t="n">
        <v>3666</v>
      </c>
      <c r="N126" s="512" t="n">
        <v>3126</v>
      </c>
      <c r="O126" s="512" t="n">
        <v>3117</v>
      </c>
      <c r="P126" s="512" t="n">
        <v>2775</v>
      </c>
      <c r="Q126" s="512" t="n">
        <v>3759</v>
      </c>
      <c r="R126" s="512" t="n">
        <v>2676</v>
      </c>
      <c r="S126" s="512" t="n">
        <v>2557</v>
      </c>
      <c r="T126" s="512" t="n">
        <v>2594</v>
      </c>
      <c r="U126" s="512" t="n">
        <v>3230</v>
      </c>
      <c r="V126" s="512" t="n">
        <v>2270</v>
      </c>
      <c r="W126" s="512" t="n">
        <v>2738</v>
      </c>
      <c r="X126" s="512" t="n">
        <v>2067</v>
      </c>
      <c r="Y126" s="512">
        <f>2440+796+120</f>
        <v/>
      </c>
      <c r="Z126" s="512">
        <f>1035+889+43</f>
        <v/>
      </c>
      <c r="AA126" s="512">
        <f>818+910+9</f>
        <v/>
      </c>
      <c r="AB126" s="512">
        <f>524+930+13</f>
        <v/>
      </c>
      <c r="AC126" s="512">
        <f>453+1653+13</f>
        <v/>
      </c>
      <c r="AD126" s="512">
        <f>578+1742+13</f>
        <v/>
      </c>
      <c r="AE126" s="512">
        <f>835+1721+15</f>
        <v/>
      </c>
      <c r="AF126" s="512">
        <f>495+1831+14</f>
        <v/>
      </c>
      <c r="AG126" s="512">
        <f>527+1830+15</f>
        <v/>
      </c>
      <c r="AH126" s="512">
        <f>770+1659+15</f>
        <v/>
      </c>
      <c r="AI126" s="528">
        <f>-(Driver!AI119+Driver!AI127)</f>
        <v/>
      </c>
      <c r="AJ126" s="528">
        <f>-(Driver!AJ119+Driver!AJ127)</f>
        <v/>
      </c>
      <c r="AK126" s="528">
        <f>-(Driver!AK119+Driver!AK127)</f>
        <v/>
      </c>
      <c r="AL126" s="528">
        <f>-(Driver!AL119+Driver!AL127)</f>
        <v/>
      </c>
      <c r="AM126" s="528">
        <f>-(Driver!AM119+Driver!AM127)</f>
        <v/>
      </c>
      <c r="AN126" s="528">
        <f>-(Driver!AN119+Driver!AN127)</f>
        <v/>
      </c>
      <c r="AO126" s="18" t="n"/>
      <c r="AP126" s="555" t="n"/>
      <c r="AR126" s="23" t="n"/>
      <c r="AS126" s="23" t="n"/>
      <c r="AT126" s="18" t="n"/>
      <c r="AU126" s="18" t="n"/>
      <c r="AV126" s="18" t="n"/>
      <c r="AW126" s="18" t="n"/>
    </row>
    <row r="127" customFormat="1" s="554">
      <c r="A127" s="554" t="inlineStr">
        <is>
          <t>Other investing cash flows</t>
        </is>
      </c>
      <c r="B127" s="512">
        <f>-1997-B128-SUM(B124:B126)</f>
        <v/>
      </c>
      <c r="C127" s="512">
        <f>-2288-C128-SUM(C124:C126)</f>
        <v/>
      </c>
      <c r="D127" s="512">
        <f>-1483-D128-SUM(D124:D126)</f>
        <v/>
      </c>
      <c r="E127" s="512">
        <f>-1675-E128-SUM(E124:E126)</f>
        <v/>
      </c>
      <c r="F127" s="512">
        <f>-1714-F128-SUM(F124:F126)</f>
        <v/>
      </c>
      <c r="G127" s="512">
        <f>-1938-G128-SUM(G124:G126)</f>
        <v/>
      </c>
      <c r="H127" s="512">
        <f>-2452-H128-SUM(H124:H126)</f>
        <v/>
      </c>
      <c r="I127" s="512">
        <f>-3995-I128-SUM(I124:I126)</f>
        <v/>
      </c>
      <c r="J127" s="512">
        <f>-745-J128-SUM(J124:J126)-68</f>
        <v/>
      </c>
      <c r="K127" s="512">
        <f>-4730-K128-SUM(K124:K126)</f>
        <v/>
      </c>
      <c r="L127" s="512">
        <f>-4509-L128-SUM(L124:L126)</f>
        <v/>
      </c>
      <c r="M127" s="512">
        <f>-1911-M128-SUM(M124:M126)</f>
        <v/>
      </c>
      <c r="N127" s="512">
        <f>-3250-N128-SUM(N124:N126)</f>
        <v/>
      </c>
      <c r="O127" s="512">
        <f>-15241-O128-SUM(O124:O126)</f>
        <v/>
      </c>
      <c r="P127" s="512" t="n">
        <v>-39</v>
      </c>
      <c r="Q127" s="512">
        <f>1913+3203-106</f>
        <v/>
      </c>
      <c r="R127" s="512">
        <f>-106+895</f>
        <v/>
      </c>
      <c r="S127" s="512">
        <f>-144+156</f>
        <v/>
      </c>
      <c r="T127" s="512">
        <f>-1190+852</f>
        <v/>
      </c>
      <c r="U127" s="512">
        <f>2192-443</f>
        <v/>
      </c>
      <c r="V127" s="512" t="n">
        <v>-540</v>
      </c>
      <c r="W127" s="512" t="n">
        <v>-339</v>
      </c>
      <c r="X127" s="512" t="n">
        <v>0</v>
      </c>
      <c r="Y127" s="512">
        <f>9991+202</f>
        <v/>
      </c>
      <c r="Z127" s="512" t="n">
        <v>0</v>
      </c>
      <c r="AA127" s="512" t="n">
        <v>0</v>
      </c>
      <c r="AB127" s="512" t="n">
        <v>0</v>
      </c>
      <c r="AC127" s="512" t="n">
        <v>0</v>
      </c>
      <c r="AD127" s="512">
        <f>AC69-AD69</f>
        <v/>
      </c>
      <c r="AE127" s="512">
        <f>AD69-AE69-1110</f>
        <v/>
      </c>
      <c r="AF127" s="512">
        <f>AE69-AF69-1245</f>
        <v/>
      </c>
      <c r="AG127" s="512">
        <f>AF69-AG69-0</f>
        <v/>
      </c>
      <c r="AH127" s="512">
        <f>AG69-AH69-3023+481</f>
        <v/>
      </c>
      <c r="AI127" s="528">
        <f>AH69-AI69</f>
        <v/>
      </c>
      <c r="AJ127" s="528">
        <f>AI69-AJ69</f>
        <v/>
      </c>
      <c r="AK127" s="528">
        <f>AJ69-AK69</f>
        <v/>
      </c>
      <c r="AL127" s="528">
        <f>AK69-AL69</f>
        <v/>
      </c>
      <c r="AM127" s="528">
        <f>AL69-AM69</f>
        <v/>
      </c>
      <c r="AN127" s="528">
        <f>AM69-AN69</f>
        <v/>
      </c>
      <c r="AO127" s="18" t="n"/>
      <c r="AP127" s="555" t="n"/>
      <c r="AQ127" s="23" t="n"/>
      <c r="AR127" s="23" t="n"/>
      <c r="AS127" s="23" t="n"/>
      <c r="AT127" s="18" t="n"/>
      <c r="AU127" s="18" t="n"/>
      <c r="AV127" s="18" t="n"/>
      <c r="AW127" s="18" t="n"/>
    </row>
    <row r="128" customFormat="1" s="554">
      <c r="A128" s="554" t="inlineStr">
        <is>
          <t>Net (increase)/decrease investments</t>
        </is>
      </c>
      <c r="B128" s="512" t="n">
        <v>0</v>
      </c>
      <c r="C128" s="512">
        <f>-(C74-B74)</f>
        <v/>
      </c>
      <c r="D128" s="512">
        <f>-(D74-C74)</f>
        <v/>
      </c>
      <c r="E128" s="512">
        <f>-(E74-D74)</f>
        <v/>
      </c>
      <c r="F128" s="512">
        <f>-(F74-E74)</f>
        <v/>
      </c>
      <c r="G128" s="512">
        <f>-(G74-F74)</f>
        <v/>
      </c>
      <c r="H128" s="512">
        <f>-(H74-G74)</f>
        <v/>
      </c>
      <c r="I128" s="512">
        <f>-(I74-H74)</f>
        <v/>
      </c>
      <c r="J128" s="512">
        <f>-(J74-I74)-130</f>
        <v/>
      </c>
      <c r="K128" s="512">
        <f>-(K74-J74)</f>
        <v/>
      </c>
      <c r="L128" s="512" t="n">
        <v>-187</v>
      </c>
      <c r="M128" s="512" t="n">
        <v>-438</v>
      </c>
      <c r="N128" s="512" t="n">
        <v>0</v>
      </c>
      <c r="O128" s="512" t="n">
        <v>0</v>
      </c>
      <c r="P128" s="512" t="n">
        <v>0</v>
      </c>
      <c r="Q128" s="512" t="n">
        <v>0</v>
      </c>
      <c r="R128" s="512" t="n">
        <v>0</v>
      </c>
      <c r="S128" s="512" t="n">
        <v>-8</v>
      </c>
      <c r="T128" s="512" t="n">
        <v>8</v>
      </c>
      <c r="U128" s="512" t="n">
        <v>0</v>
      </c>
      <c r="V128" s="512" t="n">
        <v>0</v>
      </c>
      <c r="W128" s="512" t="n">
        <v>1708</v>
      </c>
      <c r="X128" s="512" t="n">
        <v>283</v>
      </c>
      <c r="Y128" s="512" t="n">
        <v>-283</v>
      </c>
      <c r="Z128" s="512" t="n">
        <v>0</v>
      </c>
      <c r="AA128" s="512" t="n">
        <v>-3052</v>
      </c>
      <c r="AB128" s="512" t="n">
        <v>-1389</v>
      </c>
      <c r="AC128" s="512" t="n">
        <v>4171</v>
      </c>
      <c r="AD128" s="512" t="n">
        <v>-753</v>
      </c>
      <c r="AE128" s="512" t="n">
        <v>931</v>
      </c>
      <c r="AF128" s="512" t="n">
        <v>57</v>
      </c>
      <c r="AG128" s="512" t="n">
        <v>-4</v>
      </c>
      <c r="AH128" s="512" t="n">
        <v>4</v>
      </c>
      <c r="AI128" s="528">
        <f>-(AI74-AH74)-(AI58-AH58)</f>
        <v/>
      </c>
      <c r="AJ128" s="528">
        <f>-(AJ74-AI74)-(AJ58-AI58)</f>
        <v/>
      </c>
      <c r="AK128" s="528">
        <f>-(AK74-AJ74)-(AK58-AJ58)</f>
        <v/>
      </c>
      <c r="AL128" s="528">
        <f>-(AL74-AK74)-(AL58-AK58)</f>
        <v/>
      </c>
      <c r="AM128" s="528">
        <f>-(AM74-AL74)-(AM58-AL58)</f>
        <v/>
      </c>
      <c r="AN128" s="528">
        <f>-(AN74-AM74)-(AN58-AM58)</f>
        <v/>
      </c>
      <c r="AO128" s="18" t="n"/>
      <c r="AP128" s="555" t="n"/>
      <c r="AQ128" s="23" t="n"/>
      <c r="AR128" s="23" t="n"/>
      <c r="AS128" s="23" t="n"/>
      <c r="AT128" s="18" t="n"/>
      <c r="AU128" s="18" t="n"/>
      <c r="AV128" s="18" t="n"/>
      <c r="AW128" s="18" t="n"/>
    </row>
    <row r="129" customFormat="1" s="554">
      <c r="A129" s="557" t="inlineStr">
        <is>
          <t>Net cash flow from investing</t>
        </is>
      </c>
      <c r="B129" s="558">
        <f>SUM(B124:B128)</f>
        <v/>
      </c>
      <c r="C129" s="558">
        <f>SUM(C124:C128)</f>
        <v/>
      </c>
      <c r="D129" s="558">
        <f>SUM(D124:D128)</f>
        <v/>
      </c>
      <c r="E129" s="558">
        <f>SUM(E124:E128)</f>
        <v/>
      </c>
      <c r="F129" s="558">
        <f>SUM(F124:F128)</f>
        <v/>
      </c>
      <c r="G129" s="558">
        <f>SUM(G124:G128)</f>
        <v/>
      </c>
      <c r="H129" s="558">
        <f>SUM(H124:H128)</f>
        <v/>
      </c>
      <c r="I129" s="558">
        <f>SUM(I124:I128)</f>
        <v/>
      </c>
      <c r="J129" s="558">
        <f>SUM(J124:J128)</f>
        <v/>
      </c>
      <c r="K129" s="558">
        <f>SUM(K124:K128)</f>
        <v/>
      </c>
      <c r="L129" s="558">
        <f>SUM(L124:L128)</f>
        <v/>
      </c>
      <c r="M129" s="558">
        <f>SUM(M124:M128)</f>
        <v/>
      </c>
      <c r="N129" s="558">
        <f>SUM(N124:N128)</f>
        <v/>
      </c>
      <c r="O129" s="558">
        <f>SUM(O124:O128)</f>
        <v/>
      </c>
      <c r="P129" s="558">
        <f>SUM(P124:P128)</f>
        <v/>
      </c>
      <c r="Q129" s="558">
        <f>SUM(Q124:Q128)</f>
        <v/>
      </c>
      <c r="R129" s="558">
        <f>SUM(R124:R128)</f>
        <v/>
      </c>
      <c r="S129" s="558">
        <f>SUM(S124:S128)</f>
        <v/>
      </c>
      <c r="T129" s="558">
        <f>SUM(T124:T128)</f>
        <v/>
      </c>
      <c r="U129" s="558">
        <f>SUM(U124:U128)</f>
        <v/>
      </c>
      <c r="V129" s="558">
        <f>SUM(V124:V128)</f>
        <v/>
      </c>
      <c r="W129" s="558">
        <f>SUM(W124:W128)</f>
        <v/>
      </c>
      <c r="X129" s="558">
        <f>SUM(X124:X128)</f>
        <v/>
      </c>
      <c r="Y129" s="558">
        <f>SUM(Y124:Y128)</f>
        <v/>
      </c>
      <c r="Z129" s="558">
        <f>SUM(Z124:Z128)</f>
        <v/>
      </c>
      <c r="AA129" s="558">
        <f>SUM(AA124:AA128)</f>
        <v/>
      </c>
      <c r="AB129" s="558">
        <f>SUM(AB124:AB128)</f>
        <v/>
      </c>
      <c r="AC129" s="558">
        <f>SUM(AC124:AC128)</f>
        <v/>
      </c>
      <c r="AD129" s="558">
        <f>SUM(AD124:AD128)</f>
        <v/>
      </c>
      <c r="AE129" s="558">
        <f>SUM(AE124:AE128)</f>
        <v/>
      </c>
      <c r="AF129" s="558">
        <f>SUM(AF124:AF128)</f>
        <v/>
      </c>
      <c r="AG129" s="558">
        <f>SUM(AG124:AG128)</f>
        <v/>
      </c>
      <c r="AH129" s="558">
        <f>SUM(AH124:AH128)</f>
        <v/>
      </c>
      <c r="AI129" s="558">
        <f>SUM(AI124:AI128)</f>
        <v/>
      </c>
      <c r="AJ129" s="558">
        <f>SUM(AJ124:AJ128)</f>
        <v/>
      </c>
      <c r="AK129" s="558">
        <f>SUM(AK124:AK128)</f>
        <v/>
      </c>
      <c r="AL129" s="558">
        <f>SUM(AL124:AL128)</f>
        <v/>
      </c>
      <c r="AM129" s="558">
        <f>SUM(AM124:AM128)</f>
        <v/>
      </c>
      <c r="AN129" s="558">
        <f>SUM(AN124:AN128)</f>
        <v/>
      </c>
      <c r="AO129" s="18" t="n"/>
      <c r="AP129" s="555" t="n"/>
      <c r="AQ129" s="23" t="n"/>
      <c r="AR129" s="23" t="n"/>
      <c r="AS129" s="23" t="n"/>
      <c r="AT129" s="18" t="n"/>
      <c r="AU129" s="18" t="n"/>
      <c r="AV129" s="18" t="n"/>
      <c r="AW129" s="18" t="n"/>
    </row>
    <row r="130" customFormat="1" s="554">
      <c r="B130" s="512" t="n"/>
      <c r="C130" s="512" t="n"/>
      <c r="D130" s="512" t="n"/>
      <c r="E130" s="512" t="n"/>
      <c r="F130" s="512" t="n"/>
      <c r="G130" s="512" t="n"/>
      <c r="H130" s="512" t="n"/>
      <c r="I130" s="512" t="n"/>
      <c r="J130" s="512" t="n"/>
      <c r="K130" s="512" t="n"/>
      <c r="L130" s="512" t="n"/>
      <c r="M130" s="512" t="n"/>
      <c r="N130" s="512" t="n"/>
      <c r="O130" s="512" t="n"/>
      <c r="P130" s="512" t="n"/>
      <c r="Q130" s="512" t="n"/>
      <c r="R130" s="512" t="n"/>
      <c r="S130" s="512" t="n"/>
      <c r="T130" s="512" t="n"/>
      <c r="U130" s="512" t="n"/>
      <c r="V130" s="512" t="n"/>
      <c r="W130" s="512" t="n"/>
      <c r="X130" s="512" t="n"/>
      <c r="Y130" s="512" t="n"/>
      <c r="Z130" s="512" t="n"/>
      <c r="AA130" s="512" t="n"/>
      <c r="AB130" s="512" t="n"/>
      <c r="AC130" s="512" t="n"/>
      <c r="AD130" s="512" t="n"/>
      <c r="AE130" s="512" t="n"/>
      <c r="AF130" s="512" t="n"/>
      <c r="AG130" s="512" t="n"/>
      <c r="AH130" s="512" t="n"/>
      <c r="AI130" s="512" t="n"/>
      <c r="AJ130" s="512" t="n"/>
      <c r="AK130" s="512" t="n"/>
      <c r="AL130" s="512" t="n"/>
      <c r="AM130" s="512" t="n"/>
      <c r="AN130" s="512" t="n"/>
      <c r="AO130" s="18" t="n"/>
      <c r="AP130" s="555" t="n"/>
      <c r="AQ130" s="23" t="n"/>
      <c r="AR130" s="23" t="n"/>
      <c r="AS130" s="23" t="n"/>
      <c r="AT130" s="18" t="n"/>
      <c r="AU130" s="18" t="n"/>
      <c r="AV130" s="18" t="n"/>
      <c r="AW130" s="18" t="n"/>
    </row>
    <row r="131" customFormat="1" s="554">
      <c r="A131" s="556" t="n"/>
      <c r="B131" s="512" t="n"/>
      <c r="C131" s="512" t="n"/>
      <c r="D131" s="512" t="n"/>
      <c r="E131" s="512" t="n"/>
      <c r="F131" s="512" t="n"/>
      <c r="G131" s="512" t="n"/>
      <c r="H131" s="512" t="n"/>
      <c r="I131" s="512" t="n"/>
      <c r="J131" s="512" t="n"/>
      <c r="K131" s="512" t="n"/>
      <c r="L131" s="512" t="n"/>
      <c r="M131" s="512" t="n"/>
      <c r="N131" s="512" t="n"/>
      <c r="O131" s="512" t="n"/>
      <c r="P131" s="512" t="n"/>
      <c r="Q131" s="512" t="n"/>
      <c r="R131" s="512" t="n"/>
      <c r="S131" s="512" t="n"/>
      <c r="T131" s="512" t="n"/>
      <c r="U131" s="512" t="n"/>
      <c r="V131" s="512" t="n"/>
      <c r="W131" s="512" t="n"/>
      <c r="X131" s="512" t="n"/>
      <c r="Y131" s="512" t="n"/>
      <c r="Z131" s="512" t="n"/>
      <c r="AA131" s="512" t="n"/>
      <c r="AB131" s="512" t="n"/>
      <c r="AC131" s="512">
        <f>AC121+AC124+AC133</f>
        <v/>
      </c>
      <c r="AD131" s="512">
        <f>AD121+AD124+AD133</f>
        <v/>
      </c>
      <c r="AE131" s="512">
        <f>AE121+AE124+AE133</f>
        <v/>
      </c>
      <c r="AF131" s="512">
        <f>AF121+AF124+AF133</f>
        <v/>
      </c>
      <c r="AG131" s="512">
        <f>AG121+AG124+AG133</f>
        <v/>
      </c>
      <c r="AH131" s="512">
        <f>AH121+AH124+AH133</f>
        <v/>
      </c>
      <c r="AI131" s="512" t="n"/>
      <c r="AJ131" s="512" t="n"/>
      <c r="AK131" s="512" t="n"/>
      <c r="AL131" s="512" t="n"/>
      <c r="AM131" s="512" t="n"/>
      <c r="AN131" s="512" t="n"/>
      <c r="AO131" s="18" t="n"/>
      <c r="AP131" s="555" t="n"/>
      <c r="AQ131" s="23" t="n"/>
      <c r="AR131" s="23" t="n"/>
      <c r="AS131" s="23" t="n"/>
      <c r="AT131" s="18" t="n"/>
      <c r="AU131" s="18" t="n"/>
      <c r="AV131" s="18" t="n"/>
      <c r="AW131" s="18" t="n"/>
    </row>
    <row r="132" customFormat="1" s="554">
      <c r="A132" s="554" t="inlineStr">
        <is>
          <t>Common stock issuance</t>
        </is>
      </c>
      <c r="B132" s="512" t="n">
        <v>0</v>
      </c>
      <c r="C132" s="512" t="n">
        <v>0</v>
      </c>
      <c r="D132" s="512" t="n">
        <v>0</v>
      </c>
      <c r="E132" s="512" t="n">
        <v>0</v>
      </c>
      <c r="F132" s="512" t="n">
        <v>0</v>
      </c>
      <c r="G132" s="512">
        <f>G94-F94</f>
        <v/>
      </c>
      <c r="H132" s="512">
        <f>-1289-346</f>
        <v/>
      </c>
      <c r="I132" s="512" t="n">
        <v>-12816</v>
      </c>
      <c r="J132" s="512" t="n">
        <v>0</v>
      </c>
      <c r="K132" s="512" t="n">
        <v>-2282</v>
      </c>
      <c r="L132" s="512" t="n">
        <v>-397</v>
      </c>
      <c r="M132" s="512" t="n">
        <v>0</v>
      </c>
      <c r="N132" s="512" t="n">
        <v>0</v>
      </c>
      <c r="O132" s="512" t="n">
        <v>0</v>
      </c>
      <c r="P132" s="512" t="n">
        <v>0</v>
      </c>
      <c r="Q132" s="512" t="n">
        <v>0</v>
      </c>
      <c r="R132" s="512" t="n">
        <v>-101</v>
      </c>
      <c r="S132" s="512" t="n">
        <v>0</v>
      </c>
      <c r="T132" s="512" t="n">
        <v>0</v>
      </c>
      <c r="U132" s="512" t="n">
        <v>0</v>
      </c>
      <c r="V132" s="512" t="n">
        <v>7556.04</v>
      </c>
      <c r="W132" s="512" t="n">
        <v>0</v>
      </c>
      <c r="X132" s="512" t="n">
        <v>0</v>
      </c>
      <c r="Y132" s="512" t="n">
        <v>0</v>
      </c>
      <c r="Z132" s="512" t="n">
        <v>0</v>
      </c>
      <c r="AA132" s="512">
        <f>AA94-Z94</f>
        <v/>
      </c>
      <c r="AB132" s="512">
        <f>AB94-AA94</f>
        <v/>
      </c>
      <c r="AC132" s="512">
        <f>AC94-AB94</f>
        <v/>
      </c>
      <c r="AD132" s="512">
        <f>AD94-AC94</f>
        <v/>
      </c>
      <c r="AE132" s="512">
        <f>AE94-AD94</f>
        <v/>
      </c>
      <c r="AF132" s="512">
        <f>AF94-AE94</f>
        <v/>
      </c>
      <c r="AG132" s="512">
        <f>AG94-AF94</f>
        <v/>
      </c>
      <c r="AH132" s="512">
        <f>AH94-AG94</f>
        <v/>
      </c>
      <c r="AI132" s="512">
        <f>AI94-AH94</f>
        <v/>
      </c>
      <c r="AJ132" s="512">
        <f>AJ94-AI94</f>
        <v/>
      </c>
      <c r="AK132" s="512">
        <f>AK94-AJ94</f>
        <v/>
      </c>
      <c r="AL132" s="512">
        <f>AL94-AK94</f>
        <v/>
      </c>
      <c r="AM132" s="512">
        <f>AM94-AL94</f>
        <v/>
      </c>
      <c r="AN132" s="512">
        <f>AN94-AM94</f>
        <v/>
      </c>
      <c r="AO132" s="18" t="n"/>
      <c r="AP132" s="555" t="n"/>
      <c r="AQ132" s="23" t="n"/>
      <c r="AR132" s="23" t="n"/>
      <c r="AS132" s="23" t="n"/>
      <c r="AT132" s="18" t="n"/>
      <c r="AU132" s="18" t="n"/>
      <c r="AV132" s="18" t="n"/>
      <c r="AW132" s="18" t="n"/>
    </row>
    <row r="133" customFormat="1" s="554">
      <c r="A133" s="554" t="inlineStr">
        <is>
          <t>Less dividends</t>
        </is>
      </c>
      <c r="B133" s="512" t="n">
        <v>-1642</v>
      </c>
      <c r="C133" s="512" t="n">
        <v>-1924</v>
      </c>
      <c r="D133" s="512" t="n">
        <v>-2250</v>
      </c>
      <c r="E133" s="512" t="n">
        <v>-3225</v>
      </c>
      <c r="F133" s="512" t="n">
        <v>-2647</v>
      </c>
      <c r="G133" s="512" t="n">
        <v>-3245</v>
      </c>
      <c r="H133" s="512" t="n">
        <v>-5111</v>
      </c>
      <c r="I133" s="512" t="n">
        <v>-5002</v>
      </c>
      <c r="J133" s="512" t="n">
        <v>-4620</v>
      </c>
      <c r="K133" s="512" t="n">
        <v>-4207</v>
      </c>
      <c r="L133" s="512" t="n">
        <v>-5274</v>
      </c>
      <c r="M133" s="512" t="n">
        <v>-4744</v>
      </c>
      <c r="N133" s="512" t="n">
        <v>-5057</v>
      </c>
      <c r="O133" s="512" t="n">
        <v>-5587</v>
      </c>
      <c r="P133" s="512" t="n">
        <v>-5876</v>
      </c>
      <c r="Q133" s="512" t="n">
        <v>-5954</v>
      </c>
      <c r="R133" s="512" t="n">
        <v>-5973</v>
      </c>
      <c r="S133" s="512" t="n">
        <v>-5967</v>
      </c>
      <c r="T133" s="512" t="n">
        <v>-5967</v>
      </c>
      <c r="U133" s="512" t="n">
        <v>-5967</v>
      </c>
      <c r="V133" s="512" t="n">
        <v>-6135</v>
      </c>
      <c r="W133" s="512" t="n">
        <v>-6493</v>
      </c>
      <c r="X133" s="512" t="n">
        <v>-6569</v>
      </c>
      <c r="Y133" s="512" t="n">
        <v>-6695</v>
      </c>
      <c r="Z133" s="512" t="n">
        <v>-6973</v>
      </c>
      <c r="AA133" s="512" t="n">
        <v>-7226</v>
      </c>
      <c r="AB133" s="512" t="n">
        <v>-7503</v>
      </c>
      <c r="AC133" s="512" t="n">
        <v>-7782</v>
      </c>
      <c r="AD133" s="512" t="n">
        <v>-7782</v>
      </c>
      <c r="AE133" s="512" t="n">
        <v>-7832</v>
      </c>
      <c r="AF133" s="512" t="n">
        <v>-7832</v>
      </c>
      <c r="AG133" s="512" t="n">
        <v>-7832</v>
      </c>
      <c r="AH133" s="512">
        <f>-AG39-AH38</f>
        <v/>
      </c>
      <c r="AI133" s="512">
        <f>-AH39-AI38</f>
        <v/>
      </c>
      <c r="AJ133" s="512">
        <f>-AI39-AJ38</f>
        <v/>
      </c>
      <c r="AK133" s="512">
        <f>-AJ39-AK38</f>
        <v/>
      </c>
      <c r="AL133" s="512">
        <f>-AK39-AL38</f>
        <v/>
      </c>
      <c r="AM133" s="512">
        <f>-AL39-AM38</f>
        <v/>
      </c>
      <c r="AN133" s="512">
        <f>-AM39-AN38</f>
        <v/>
      </c>
      <c r="AO133" s="18" t="n"/>
      <c r="AP133" s="555" t="n"/>
      <c r="AQ133" s="23" t="n"/>
      <c r="AR133" s="23" t="n"/>
      <c r="AS133" s="23" t="n"/>
      <c r="AT133" s="18" t="n"/>
      <c r="AU133" s="18" t="n"/>
      <c r="AV133" s="18" t="n"/>
      <c r="AW133" s="18" t="n"/>
    </row>
    <row r="134" customFormat="1" s="554">
      <c r="A134" s="554" t="inlineStr">
        <is>
          <t>Repayment of lease obligations</t>
        </is>
      </c>
      <c r="B134" s="512" t="n">
        <v>0</v>
      </c>
      <c r="C134" s="512" t="n">
        <v>0</v>
      </c>
      <c r="D134" s="512" t="n">
        <v>0</v>
      </c>
      <c r="E134" s="512" t="n">
        <v>0</v>
      </c>
      <c r="F134" s="512" t="n">
        <v>0</v>
      </c>
      <c r="G134" s="512" t="n">
        <v>0</v>
      </c>
      <c r="H134" s="512" t="n">
        <v>0</v>
      </c>
      <c r="I134" s="512" t="n">
        <v>0</v>
      </c>
      <c r="J134" s="512" t="n">
        <v>0</v>
      </c>
      <c r="K134" s="512" t="n">
        <v>0</v>
      </c>
      <c r="L134" s="512" t="n">
        <v>0</v>
      </c>
      <c r="M134" s="512" t="n">
        <v>0</v>
      </c>
      <c r="N134" s="512" t="n">
        <v>0</v>
      </c>
      <c r="O134" s="512" t="n">
        <v>-1759</v>
      </c>
      <c r="P134" s="512" t="n">
        <v>-1958</v>
      </c>
      <c r="Q134" s="512" t="n">
        <v>-1270</v>
      </c>
      <c r="R134" s="512" t="n">
        <v>-1558</v>
      </c>
      <c r="S134" s="512" t="n">
        <v>-1516</v>
      </c>
      <c r="T134" s="512" t="n">
        <v>-1790</v>
      </c>
      <c r="U134" s="512" t="n">
        <v>-2251</v>
      </c>
      <c r="V134" s="512" t="n">
        <v>-2302</v>
      </c>
      <c r="W134" s="512" t="n">
        <v>-2546</v>
      </c>
      <c r="X134" s="512" t="n">
        <v>-811</v>
      </c>
      <c r="Y134" s="512" t="n">
        <v>0</v>
      </c>
      <c r="Z134" s="512" t="n">
        <v>0</v>
      </c>
      <c r="AA134" s="512" t="n">
        <v>0</v>
      </c>
      <c r="AB134" s="512" t="n">
        <v>0</v>
      </c>
      <c r="AC134" s="512" t="n">
        <v>-126</v>
      </c>
      <c r="AD134" s="512" t="n">
        <v>0</v>
      </c>
      <c r="AE134" s="512" t="n">
        <v>0</v>
      </c>
      <c r="AF134" s="591" t="n">
        <v>0</v>
      </c>
      <c r="AG134" s="591" t="n">
        <v>0</v>
      </c>
      <c r="AH134" s="591" t="n">
        <v>0</v>
      </c>
      <c r="AI134" s="591" t="n">
        <v>0</v>
      </c>
      <c r="AJ134" s="591" t="n">
        <v>0</v>
      </c>
      <c r="AK134" s="591" t="n">
        <v>0</v>
      </c>
      <c r="AL134" s="591" t="n">
        <v>0</v>
      </c>
      <c r="AM134" s="591" t="n">
        <v>0</v>
      </c>
      <c r="AN134" s="591" t="n">
        <v>0</v>
      </c>
      <c r="AO134" s="18" t="n"/>
      <c r="AP134" s="555" t="n"/>
      <c r="AQ134" s="23" t="n"/>
      <c r="AR134" s="23" t="n"/>
      <c r="AS134" s="23" t="n"/>
      <c r="AT134" s="18" t="n"/>
      <c r="AU134" s="18" t="n"/>
      <c r="AV134" s="18" t="n"/>
      <c r="AW134" s="18" t="n"/>
    </row>
    <row r="135" customFormat="1" s="554">
      <c r="A135" s="561" t="inlineStr">
        <is>
          <t>Increase/decrease in minority interest</t>
        </is>
      </c>
      <c r="B135" s="512">
        <f>B97-0</f>
        <v/>
      </c>
      <c r="C135" s="512">
        <f>C97-B97</f>
        <v/>
      </c>
      <c r="D135" s="512">
        <f>D97-C97</f>
        <v/>
      </c>
      <c r="E135" s="512">
        <f>E97-D97</f>
        <v/>
      </c>
      <c r="F135" s="512">
        <f>F97-E97</f>
        <v/>
      </c>
      <c r="G135" s="512" t="n">
        <v>0</v>
      </c>
      <c r="H135" s="512">
        <f>H97-G97</f>
        <v/>
      </c>
      <c r="I135" s="512">
        <f>I97-H97</f>
        <v/>
      </c>
      <c r="J135" s="512">
        <f>J97-I97</f>
        <v/>
      </c>
      <c r="K135" s="512">
        <f>K97-J97</f>
        <v/>
      </c>
      <c r="L135" s="512">
        <f>L97-K97</f>
        <v/>
      </c>
      <c r="M135" s="512" t="n">
        <v>0</v>
      </c>
      <c r="N135" s="512" t="n">
        <v>0</v>
      </c>
      <c r="O135" s="512" t="n">
        <v>0</v>
      </c>
      <c r="P135" s="512" t="n">
        <v>0</v>
      </c>
      <c r="Q135" s="512" t="n">
        <v>0</v>
      </c>
      <c r="R135" s="512" t="n">
        <v>0</v>
      </c>
      <c r="S135" s="512" t="n">
        <v>0</v>
      </c>
      <c r="T135" s="512" t="n">
        <v>-17</v>
      </c>
      <c r="U135" s="512" t="n">
        <v>-10</v>
      </c>
      <c r="V135" s="512" t="n">
        <v>0</v>
      </c>
      <c r="W135" s="512" t="n">
        <v>-4</v>
      </c>
      <c r="X135" s="512">
        <f>-696-5338-336-115</f>
        <v/>
      </c>
      <c r="Y135" s="512">
        <f>-974-247+21</f>
        <v/>
      </c>
      <c r="Z135" s="512">
        <f>-956-247-31+9</f>
        <v/>
      </c>
      <c r="AA135" s="512">
        <f>-967-249-79+28</f>
        <v/>
      </c>
      <c r="AB135" s="512">
        <f>-970-250-1+1433</f>
        <v/>
      </c>
      <c r="AC135" s="512">
        <f>-250-809-178+1449-86</f>
        <v/>
      </c>
      <c r="AD135" s="512">
        <f>-103-868-323+0-0</f>
        <v/>
      </c>
      <c r="AE135" s="512">
        <f>-138-894-189+0-0</f>
        <v/>
      </c>
      <c r="AF135" s="512">
        <f>-139-958+28+0-0</f>
        <v/>
      </c>
      <c r="AG135" s="512">
        <f>-139-973-271+0-0</f>
        <v/>
      </c>
      <c r="AH135" s="512">
        <f>-139-987-278</f>
        <v/>
      </c>
      <c r="AI135" s="528">
        <f>AI25+AI26+Driver!AI87*0.4</f>
        <v/>
      </c>
      <c r="AJ135" s="528">
        <f>AJ25+AJ26+Driver!AJ87*0.4</f>
        <v/>
      </c>
      <c r="AK135" s="528">
        <f>AK25+AK26+Driver!AK87*0.4</f>
        <v/>
      </c>
      <c r="AL135" s="528">
        <f>AL25+AL26+Driver!AL87*0.4</f>
        <v/>
      </c>
      <c r="AM135" s="528">
        <f>AM25+AM26+Driver!AM87*0.4</f>
        <v/>
      </c>
      <c r="AN135" s="528">
        <f>AN25+AN26+Driver!AN87*0.4</f>
        <v/>
      </c>
      <c r="AO135" s="18" t="n"/>
      <c r="AP135" s="555" t="n"/>
      <c r="AQ135" s="23" t="n"/>
      <c r="AR135" s="23" t="n"/>
      <c r="AS135" s="23" t="n"/>
      <c r="AT135" s="18" t="n"/>
      <c r="AU135" s="18" t="n"/>
      <c r="AV135" s="18" t="n"/>
      <c r="AW135" s="18" t="n"/>
    </row>
    <row r="136" customFormat="1" s="554">
      <c r="A136" s="554" t="inlineStr">
        <is>
          <t>Change in debt</t>
        </is>
      </c>
      <c r="B136" s="512" t="n">
        <v>-57</v>
      </c>
      <c r="C136" s="512" t="n">
        <v>-189</v>
      </c>
      <c r="D136" s="512" t="n">
        <v>438</v>
      </c>
      <c r="E136" s="512">
        <f>E85-D85+E76-D76</f>
        <v/>
      </c>
      <c r="F136" s="512" t="n">
        <v>1634</v>
      </c>
      <c r="G136" s="512" t="n">
        <v>579</v>
      </c>
      <c r="H136" s="512" t="n">
        <v>-1154</v>
      </c>
      <c r="I136" s="512" t="n">
        <v>13</v>
      </c>
      <c r="J136" s="512" t="n">
        <v>-187</v>
      </c>
      <c r="K136" s="512">
        <f>K85-J85+K76-J76</f>
        <v/>
      </c>
      <c r="L136" s="512">
        <f>4595-156-776</f>
        <v/>
      </c>
      <c r="M136" s="512">
        <f>2019-1562</f>
        <v/>
      </c>
      <c r="N136" s="512">
        <f>2700-2798-145</f>
        <v/>
      </c>
      <c r="O136" s="512">
        <f>21272-11070+239</f>
        <v/>
      </c>
      <c r="P136" s="512">
        <f>16354-17161+787</f>
        <v/>
      </c>
      <c r="Q136" s="512">
        <f>14076-16342-1126</f>
        <v/>
      </c>
      <c r="R136" s="512">
        <f>9591-11083+1872</f>
        <v/>
      </c>
      <c r="S136" s="512">
        <f>18105-7694-535</f>
        <v/>
      </c>
      <c r="T136" s="512">
        <f>14422-11105-458</f>
        <v/>
      </c>
      <c r="U136" s="512">
        <f>53013-34588+1612</f>
        <v/>
      </c>
      <c r="V136" s="512">
        <f>27388-24698-2106</f>
        <v/>
      </c>
      <c r="W136" s="512">
        <f>11275-18712+648</f>
        <v/>
      </c>
      <c r="X136" s="512">
        <f>30305-23572+1160+5791</f>
        <v/>
      </c>
      <c r="Y136" s="512">
        <f>41405-50384+210</f>
        <v/>
      </c>
      <c r="Z136" s="512">
        <f>12226-15651-764</f>
        <v/>
      </c>
      <c r="AA136" s="512">
        <f>20290-16340+459</f>
        <v/>
      </c>
      <c r="AB136" s="512">
        <f>3906-6660+300+130</f>
        <v/>
      </c>
      <c r="AC136" s="512">
        <f>6410-8796-5874-968-50+3887</f>
        <v/>
      </c>
      <c r="AD136" s="512">
        <f>14004-12309-0-959+149+0</f>
        <v/>
      </c>
      <c r="AE136" s="512">
        <f>7796-5329-271+314-366+0</f>
        <v/>
      </c>
      <c r="AF136" s="592">
        <f>20121-12782-261+2957-267-1854</f>
        <v/>
      </c>
      <c r="AG136" s="592">
        <f>5744-5843-321-1573-337-1597</f>
        <v/>
      </c>
      <c r="AH136" s="592">
        <f>9817-7131+2269-346-648</f>
        <v/>
      </c>
      <c r="AI136" s="528">
        <f>AI85-AH85+AI76-AH76</f>
        <v/>
      </c>
      <c r="AJ136" s="528">
        <f>AJ85-AI85+AJ76-AI76</f>
        <v/>
      </c>
      <c r="AK136" s="528">
        <f>AK85-AJ85+AK76-AJ76</f>
        <v/>
      </c>
      <c r="AL136" s="528">
        <f>AL85-AK85+AL76-AK76</f>
        <v/>
      </c>
      <c r="AM136" s="528">
        <f>AM85-AL85+AM76-AL76</f>
        <v/>
      </c>
      <c r="AN136" s="528">
        <f>AN85-AM85+AN76-AM76</f>
        <v/>
      </c>
      <c r="AO136" s="18" t="n"/>
      <c r="AP136" s="555" t="n"/>
      <c r="AQ136" s="23" t="n"/>
      <c r="AR136" s="23" t="n"/>
      <c r="AS136" s="23" t="n"/>
      <c r="AT136" s="18" t="n"/>
      <c r="AU136" s="18" t="n"/>
      <c r="AV136" s="18" t="n"/>
      <c r="AW136" s="18" t="n"/>
    </row>
    <row r="137" customFormat="1" s="554">
      <c r="A137" s="557" t="inlineStr">
        <is>
          <t>Net cash flow from financing</t>
        </is>
      </c>
      <c r="B137" s="558">
        <f>SUM(B132:B136)</f>
        <v/>
      </c>
      <c r="C137" s="558">
        <f>SUM(C132:C136)</f>
        <v/>
      </c>
      <c r="D137" s="558">
        <f>SUM(D132:D136)</f>
        <v/>
      </c>
      <c r="E137" s="558">
        <f>SUM(E132:E136)</f>
        <v/>
      </c>
      <c r="F137" s="558">
        <f>SUM(F132:F136)</f>
        <v/>
      </c>
      <c r="G137" s="558">
        <f>SUM(G132:G136)</f>
        <v/>
      </c>
      <c r="H137" s="558">
        <f>SUM(H132:H136)</f>
        <v/>
      </c>
      <c r="I137" s="558">
        <f>SUM(I132:I136)</f>
        <v/>
      </c>
      <c r="J137" s="558">
        <f>SUM(J132:J136)</f>
        <v/>
      </c>
      <c r="K137" s="558">
        <f>SUM(K132:K136)</f>
        <v/>
      </c>
      <c r="L137" s="558">
        <f>SUM(L132:L136)</f>
        <v/>
      </c>
      <c r="M137" s="558">
        <f>SUM(M132:M136)</f>
        <v/>
      </c>
      <c r="N137" s="558">
        <f>SUM(N132:N136)</f>
        <v/>
      </c>
      <c r="O137" s="558">
        <f>SUM(O132:O136)</f>
        <v/>
      </c>
      <c r="P137" s="558">
        <f>SUM(P132:P136)</f>
        <v/>
      </c>
      <c r="Q137" s="558">
        <f>SUM(Q132:Q136)</f>
        <v/>
      </c>
      <c r="R137" s="558">
        <f>SUM(R132:R136)</f>
        <v/>
      </c>
      <c r="S137" s="558">
        <f>SUM(S132:S136)</f>
        <v/>
      </c>
      <c r="T137" s="558">
        <f>SUM(T132:T136)</f>
        <v/>
      </c>
      <c r="U137" s="558">
        <f>SUM(U132:U136)</f>
        <v/>
      </c>
      <c r="V137" s="558">
        <f>SUM(V132:V136)</f>
        <v/>
      </c>
      <c r="W137" s="558">
        <f>SUM(W132:W136)</f>
        <v/>
      </c>
      <c r="X137" s="558">
        <f>SUM(X132:X136)</f>
        <v/>
      </c>
      <c r="Y137" s="558">
        <f>SUM(Y132:Y136)</f>
        <v/>
      </c>
      <c r="Z137" s="558">
        <f>SUM(Z132:Z136)</f>
        <v/>
      </c>
      <c r="AA137" s="558">
        <f>SUM(AA132:AA136)</f>
        <v/>
      </c>
      <c r="AB137" s="558">
        <f>SUM(AB132:AB136)</f>
        <v/>
      </c>
      <c r="AC137" s="558">
        <f>SUM(AC132:AC136)</f>
        <v/>
      </c>
      <c r="AD137" s="558">
        <f>SUM(AD132:AD136)</f>
        <v/>
      </c>
      <c r="AE137" s="558">
        <f>SUM(AE132:AE136)</f>
        <v/>
      </c>
      <c r="AF137" s="558">
        <f>SUM(AF132:AF136)</f>
        <v/>
      </c>
      <c r="AG137" s="558">
        <f>SUM(AG132:AG136)</f>
        <v/>
      </c>
      <c r="AH137" s="558">
        <f>SUM(AH132:AH136)</f>
        <v/>
      </c>
      <c r="AI137" s="558">
        <f>SUM(AI132:AI136)</f>
        <v/>
      </c>
      <c r="AJ137" s="558">
        <f>SUM(AJ132:AJ136)</f>
        <v/>
      </c>
      <c r="AK137" s="558">
        <f>SUM(AK132:AK136)</f>
        <v/>
      </c>
      <c r="AL137" s="558">
        <f>SUM(AL132:AL136)</f>
        <v/>
      </c>
      <c r="AM137" s="558">
        <f>SUM(AM132:AM136)</f>
        <v/>
      </c>
      <c r="AN137" s="558">
        <f>SUM(AN132:AN136)</f>
        <v/>
      </c>
      <c r="AO137" s="18" t="n"/>
      <c r="AP137" s="555" t="n"/>
      <c r="AQ137" s="23" t="n"/>
      <c r="AR137" s="23" t="n"/>
      <c r="AS137" s="23" t="n"/>
      <c r="AT137" s="18" t="n"/>
      <c r="AU137" s="18" t="n"/>
      <c r="AV137" s="18" t="n"/>
      <c r="AW137" s="18" t="n"/>
    </row>
    <row r="138" customFormat="1" s="554">
      <c r="A138" s="556" t="n"/>
      <c r="B138" s="560" t="n"/>
      <c r="C138" s="560" t="n"/>
      <c r="D138" s="560" t="n"/>
      <c r="E138" s="560" t="n"/>
      <c r="F138" s="560" t="n"/>
      <c r="G138" s="560" t="n"/>
      <c r="H138" s="560" t="n"/>
      <c r="I138" s="560" t="n"/>
      <c r="J138" s="560" t="n"/>
      <c r="K138" s="560" t="n"/>
      <c r="L138" s="560" t="n"/>
      <c r="M138" s="560" t="n"/>
      <c r="N138" s="560" t="n"/>
      <c r="O138" s="560" t="n"/>
      <c r="P138" s="560" t="n"/>
      <c r="Q138" s="560" t="n"/>
      <c r="R138" s="560" t="n"/>
      <c r="S138" s="560" t="n"/>
      <c r="T138" s="560" t="n"/>
      <c r="U138" s="560" t="n"/>
      <c r="V138" s="560" t="n"/>
      <c r="W138" s="560" t="n"/>
      <c r="X138" s="593" t="n"/>
      <c r="Y138" s="593" t="n"/>
      <c r="Z138" s="593" t="n"/>
      <c r="AA138" s="593" t="n"/>
      <c r="AB138" s="560" t="n"/>
      <c r="AC138" s="560" t="n"/>
      <c r="AD138" s="560" t="n"/>
      <c r="AE138" s="512" t="n"/>
      <c r="AF138" s="592" t="n"/>
      <c r="AG138" s="592" t="n"/>
      <c r="AH138" s="592" t="n"/>
      <c r="AI138" s="560" t="n"/>
      <c r="AJ138" s="560" t="n"/>
      <c r="AK138" s="560" t="n"/>
      <c r="AL138" s="560" t="n"/>
      <c r="AM138" s="560" t="n"/>
      <c r="AN138" s="560" t="n"/>
      <c r="AO138" s="18" t="n"/>
      <c r="AP138" s="555" t="n"/>
      <c r="AQ138" s="23" t="n"/>
      <c r="AR138" s="23" t="n"/>
      <c r="AS138" s="23" t="n"/>
      <c r="AT138" s="18" t="n"/>
      <c r="AU138" s="18" t="n"/>
      <c r="AV138" s="18" t="n"/>
      <c r="AW138" s="18" t="n"/>
    </row>
    <row r="139" customFormat="1" s="554">
      <c r="A139" s="554" t="inlineStr">
        <is>
          <t>Currency adjustments</t>
        </is>
      </c>
      <c r="B139" s="512" t="n"/>
      <c r="C139" s="512" t="n"/>
      <c r="D139" s="512" t="n"/>
      <c r="E139" s="512" t="n"/>
      <c r="F139" s="512" t="n"/>
      <c r="G139" s="512" t="n"/>
      <c r="H139" s="512" t="n"/>
      <c r="I139" s="512" t="n"/>
      <c r="J139" s="512" t="n"/>
      <c r="K139" s="512" t="n">
        <v>0</v>
      </c>
      <c r="L139" s="512" t="n">
        <v>0</v>
      </c>
      <c r="M139" s="512" t="n">
        <v>33</v>
      </c>
      <c r="N139" s="512" t="n">
        <v>88</v>
      </c>
      <c r="O139" s="512" t="n">
        <v>-86</v>
      </c>
      <c r="P139" s="512" t="n">
        <v>46</v>
      </c>
      <c r="Q139" s="512" t="n">
        <v>88</v>
      </c>
      <c r="R139" s="512" t="n">
        <v>-139</v>
      </c>
      <c r="S139" s="512" t="n">
        <v>156</v>
      </c>
      <c r="T139" s="512" t="n">
        <v>167</v>
      </c>
      <c r="U139" s="512" t="n">
        <v>-93</v>
      </c>
      <c r="V139" s="512" t="n">
        <v>22</v>
      </c>
      <c r="W139" s="512" t="n">
        <v>-88</v>
      </c>
      <c r="X139" s="512" t="n">
        <v>-127</v>
      </c>
      <c r="Y139" s="512">
        <f>-200</f>
        <v/>
      </c>
      <c r="Z139" s="512" t="n">
        <v>-190</v>
      </c>
      <c r="AA139" s="512" t="n">
        <v>243</v>
      </c>
      <c r="AB139" s="512" t="n">
        <v>-351</v>
      </c>
      <c r="AC139" s="528" t="n">
        <v>0</v>
      </c>
      <c r="AD139" s="528" t="n">
        <v>0</v>
      </c>
      <c r="AE139" s="512" t="n">
        <v>0</v>
      </c>
      <c r="AF139" s="528" t="n">
        <v>0</v>
      </c>
      <c r="AG139" s="528" t="n">
        <v>-22</v>
      </c>
      <c r="AH139" s="528" t="n">
        <v>-90</v>
      </c>
      <c r="AI139" s="528" t="n">
        <v>0</v>
      </c>
      <c r="AJ139" s="528" t="n">
        <v>0</v>
      </c>
      <c r="AK139" s="528" t="n">
        <v>0</v>
      </c>
      <c r="AL139" s="528" t="n">
        <v>0</v>
      </c>
      <c r="AM139" s="528" t="n">
        <v>0</v>
      </c>
      <c r="AN139" s="528" t="n">
        <v>0</v>
      </c>
      <c r="AO139" s="18" t="n"/>
      <c r="AP139" s="555" t="n"/>
      <c r="AQ139" s="23" t="n"/>
      <c r="AR139" s="23" t="n"/>
      <c r="AS139" s="23" t="n"/>
      <c r="AT139" s="18" t="n"/>
      <c r="AU139" s="18" t="n"/>
      <c r="AV139" s="18" t="n"/>
      <c r="AW139" s="18" t="n"/>
    </row>
    <row r="140" customFormat="1" s="556">
      <c r="A140" s="557" t="inlineStr">
        <is>
          <t>Net increase/(decrease) cash</t>
        </is>
      </c>
      <c r="B140" s="558">
        <f>B137+B129+B121</f>
        <v/>
      </c>
      <c r="C140" s="558">
        <f>C137+C129+C121+C139</f>
        <v/>
      </c>
      <c r="D140" s="558">
        <f>D137+D129+D121+D139</f>
        <v/>
      </c>
      <c r="E140" s="558">
        <f>E137+E129+E121+E139</f>
        <v/>
      </c>
      <c r="F140" s="558">
        <f>F137+F129+F121+F139</f>
        <v/>
      </c>
      <c r="G140" s="558">
        <f>G137+G129+G121+G139</f>
        <v/>
      </c>
      <c r="H140" s="558">
        <f>H137+H129+H121+H139</f>
        <v/>
      </c>
      <c r="I140" s="558">
        <f>I137+I129+I121+I139</f>
        <v/>
      </c>
      <c r="J140" s="558">
        <f>J137+J129+J121+J139</f>
        <v/>
      </c>
      <c r="K140" s="558">
        <f>K137+K129+K121+K139</f>
        <v/>
      </c>
      <c r="L140" s="558">
        <f>L137+L129+L121+L139</f>
        <v/>
      </c>
      <c r="M140" s="558">
        <f>M137+M129+M121+M139</f>
        <v/>
      </c>
      <c r="N140" s="558">
        <f>N137+N129+N121+N139</f>
        <v/>
      </c>
      <c r="O140" s="558">
        <f>O137+O129+O121+O139</f>
        <v/>
      </c>
      <c r="P140" s="558">
        <f>P137+P129+P121+P139</f>
        <v/>
      </c>
      <c r="Q140" s="558">
        <f>Q137+Q129+Q121+Q139</f>
        <v/>
      </c>
      <c r="R140" s="558">
        <f>R137+R129+R121+R139</f>
        <v/>
      </c>
      <c r="S140" s="558">
        <f>S137+S129+S121+S139</f>
        <v/>
      </c>
      <c r="T140" s="558">
        <f>T137+T129+T121+T139</f>
        <v/>
      </c>
      <c r="U140" s="558">
        <f>U137+U129+U121+U139</f>
        <v/>
      </c>
      <c r="V140" s="558">
        <f>V137+V129+V121+V139</f>
        <v/>
      </c>
      <c r="W140" s="558">
        <f>W137+W129+W121+W139</f>
        <v/>
      </c>
      <c r="X140" s="558">
        <f>X137+X129+X121+X139</f>
        <v/>
      </c>
      <c r="Y140" s="558">
        <f>Y137+Y129+Y121+Y139</f>
        <v/>
      </c>
      <c r="Z140" s="558">
        <f>Z137+Z129+Z121+Z139</f>
        <v/>
      </c>
      <c r="AA140" s="558">
        <f>AA137+AA129+AA121+AA139</f>
        <v/>
      </c>
      <c r="AB140" s="558">
        <f>AB137+AB129+AB121+AB139</f>
        <v/>
      </c>
      <c r="AC140" s="558">
        <f>AC137+AC129+AC121+AC139</f>
        <v/>
      </c>
      <c r="AD140" s="558">
        <f>AD137+AD129+AD121+AD139</f>
        <v/>
      </c>
      <c r="AE140" s="558">
        <f>AE137+AE129+AE121+AE139</f>
        <v/>
      </c>
      <c r="AF140" s="558">
        <f>AF137+AF129+AF121+AF139</f>
        <v/>
      </c>
      <c r="AG140" s="558">
        <f>AG137+AG129+AG121+AG139</f>
        <v/>
      </c>
      <c r="AH140" s="558">
        <f>AH137+AH129+AH121+AH139</f>
        <v/>
      </c>
      <c r="AI140" s="558">
        <f>AI137+AI129+AI121+AI139</f>
        <v/>
      </c>
      <c r="AJ140" s="558">
        <f>AJ137+AJ129+AJ121+AJ139</f>
        <v/>
      </c>
      <c r="AK140" s="558">
        <f>AK137+AK129+AK121+AK139</f>
        <v/>
      </c>
      <c r="AL140" s="558">
        <f>AL137+AL129+AL121+AL139</f>
        <v/>
      </c>
      <c r="AM140" s="558">
        <f>AM137+AM129+AM121+AM139</f>
        <v/>
      </c>
      <c r="AN140" s="558">
        <f>AN137+AN129+AN121+AN139</f>
        <v/>
      </c>
      <c r="AO140" s="18" t="n"/>
      <c r="AP140" s="555" t="n"/>
      <c r="AQ140" s="23" t="n"/>
      <c r="AR140" s="23" t="n"/>
      <c r="AS140" s="23" t="n"/>
      <c r="AT140" s="18" t="n"/>
      <c r="AU140" s="18" t="n"/>
      <c r="AV140" s="18" t="n"/>
      <c r="AW140" s="18" t="n"/>
    </row>
    <row r="141" customFormat="1" s="554">
      <c r="A141" s="556" t="n"/>
      <c r="B141" s="512" t="n"/>
      <c r="C141" s="512" t="n"/>
      <c r="D141" s="512" t="n"/>
      <c r="E141" s="512" t="n"/>
      <c r="F141" s="512" t="n"/>
      <c r="G141" s="512" t="n"/>
      <c r="H141" s="512" t="n"/>
      <c r="I141" s="512" t="n"/>
      <c r="J141" s="512" t="n"/>
      <c r="K141" s="512" t="n"/>
      <c r="L141" s="512" t="n"/>
      <c r="M141" s="512" t="n"/>
      <c r="N141" s="512" t="n"/>
      <c r="O141" s="512" t="n"/>
      <c r="P141" s="512" t="n"/>
      <c r="Q141" s="512" t="n"/>
      <c r="R141" s="512" t="n"/>
      <c r="S141" s="512" t="n"/>
      <c r="T141" s="512" t="n"/>
      <c r="U141" s="512" t="n"/>
      <c r="V141" s="512" t="n"/>
      <c r="W141" s="512" t="n"/>
      <c r="X141" s="512" t="n"/>
      <c r="Y141" s="512" t="n"/>
      <c r="Z141" s="512" t="n"/>
      <c r="AA141" s="512" t="n"/>
      <c r="AB141" s="512" t="n"/>
      <c r="AC141" s="512" t="n"/>
      <c r="AD141" s="512" t="n"/>
      <c r="AE141" s="512" t="n"/>
      <c r="AF141" s="512" t="n"/>
      <c r="AG141" s="512" t="n"/>
      <c r="AH141" s="512" t="n"/>
      <c r="AI141" s="512" t="n"/>
      <c r="AJ141" s="512" t="n"/>
      <c r="AK141" s="512" t="n"/>
      <c r="AL141" s="512" t="n"/>
      <c r="AM141" s="512" t="n"/>
      <c r="AN141" s="512" t="n"/>
      <c r="AO141" s="18" t="n"/>
      <c r="AP141" s="555" t="n"/>
      <c r="AQ141" s="18" t="n"/>
      <c r="AR141" s="18" t="n"/>
      <c r="AS141" s="18" t="n"/>
      <c r="AT141" s="18" t="n"/>
      <c r="AU141" s="18" t="n"/>
      <c r="AV141" s="18" t="n"/>
      <c r="AW141" s="18" t="n"/>
    </row>
    <row r="142">
      <c r="A142" s="60" t="n"/>
      <c r="B142" s="512" t="n"/>
      <c r="C142" s="512" t="n"/>
      <c r="D142" s="512" t="n"/>
      <c r="E142" s="512" t="n"/>
      <c r="F142" s="512" t="n"/>
      <c r="G142" s="512" t="n"/>
      <c r="H142" s="512" t="n"/>
      <c r="I142" s="512" t="n"/>
      <c r="J142" s="512" t="n"/>
      <c r="K142" s="512" t="n"/>
      <c r="L142" s="512" t="n"/>
      <c r="M142" s="512" t="n"/>
      <c r="N142" s="512" t="n"/>
      <c r="O142" s="512" t="n"/>
      <c r="P142" s="512" t="n"/>
      <c r="Q142" s="512" t="n"/>
      <c r="R142" s="512" t="n"/>
      <c r="S142" s="512" t="n"/>
      <c r="T142" s="512" t="n"/>
      <c r="U142" s="512" t="n"/>
      <c r="V142" s="512" t="n"/>
      <c r="W142" s="512" t="n"/>
      <c r="X142" s="512" t="n"/>
      <c r="Y142" s="512" t="n"/>
      <c r="Z142" s="512" t="n"/>
      <c r="AA142" s="512" t="n"/>
      <c r="AB142" s="512" t="n"/>
      <c r="AC142" s="512" t="n"/>
      <c r="AD142" s="512" t="n"/>
      <c r="AE142" s="512" t="n"/>
      <c r="AF142" s="512" t="n"/>
      <c r="AG142" s="512" t="n"/>
      <c r="AH142" s="512" t="n"/>
      <c r="AI142" s="512" t="n"/>
      <c r="AJ142" s="512" t="n"/>
      <c r="AK142" s="512" t="n"/>
      <c r="AL142" s="512" t="n"/>
      <c r="AM142" s="512" t="n"/>
      <c r="AN142" s="512" t="n"/>
      <c r="AO142" s="18" t="n"/>
      <c r="AP142" s="555" t="n"/>
      <c r="AQ142" s="18" t="n"/>
      <c r="AR142" s="18" t="n"/>
      <c r="AS142" s="18" t="n"/>
      <c r="AT142" s="18" t="n"/>
      <c r="AU142" s="18" t="n"/>
      <c r="AV142" s="18" t="n"/>
      <c r="AW142" s="18" t="n"/>
    </row>
    <row r="143">
      <c r="A143" s="583" t="n"/>
      <c r="B143" s="555" t="n"/>
      <c r="C143" s="555" t="n"/>
      <c r="D143" s="555" t="n"/>
      <c r="E143" s="555" t="n"/>
      <c r="F143" s="555" t="n"/>
      <c r="G143" s="555" t="n"/>
      <c r="H143" s="555" t="n"/>
      <c r="I143" s="555" t="n"/>
      <c r="J143" s="555" t="n"/>
      <c r="K143" s="555" t="n"/>
      <c r="L143" s="555" t="n"/>
      <c r="M143" s="555" t="n"/>
      <c r="N143" s="555" t="n"/>
      <c r="O143" s="555" t="n"/>
      <c r="P143" s="555" t="n"/>
      <c r="Q143" s="555" t="n"/>
      <c r="R143" s="555" t="n"/>
      <c r="S143" s="555" t="n"/>
      <c r="T143" s="555" t="n"/>
      <c r="U143" s="555" t="n"/>
      <c r="V143" s="555" t="n"/>
      <c r="W143" s="555" t="n"/>
      <c r="X143" s="555" t="n"/>
      <c r="Y143" s="555" t="n"/>
      <c r="Z143" s="555" t="n"/>
      <c r="AA143" s="555" t="n"/>
      <c r="AB143" s="555" t="n"/>
      <c r="AC143" s="555" t="n"/>
      <c r="AD143" s="555" t="n"/>
      <c r="AE143" s="555" t="n"/>
      <c r="AF143" s="555" t="n"/>
      <c r="AG143" s="555" t="n"/>
      <c r="AH143" s="555" t="n"/>
      <c r="AI143" s="555" t="n"/>
      <c r="AJ143" s="555" t="n"/>
      <c r="AK143" s="555" t="n"/>
      <c r="AL143" s="555" t="n"/>
      <c r="AM143" s="555" t="n"/>
      <c r="AN143" s="555" t="n"/>
      <c r="AO143" s="18" t="n"/>
      <c r="AP143" s="555" t="n"/>
      <c r="AQ143" s="18" t="n"/>
      <c r="AR143" s="18" t="n"/>
      <c r="AS143" s="18" t="n"/>
      <c r="AT143" s="18" t="n"/>
      <c r="AU143" s="18" t="n"/>
      <c r="AV143" s="18" t="n"/>
      <c r="AW143" s="18" t="n"/>
    </row>
    <row r="144">
      <c r="A144" s="62" t="inlineStr">
        <is>
          <t>Invested capital</t>
        </is>
      </c>
      <c r="B144" s="526" t="n"/>
      <c r="C144" s="526" t="n"/>
      <c r="D144" s="526" t="n"/>
      <c r="E144" s="526" t="n"/>
      <c r="F144" s="526" t="n"/>
      <c r="G144" s="526" t="n"/>
      <c r="H144" s="526" t="n"/>
      <c r="I144" s="526" t="n"/>
      <c r="J144" s="526" t="n"/>
      <c r="K144" s="526" t="n"/>
      <c r="L144" s="526" t="n"/>
      <c r="M144" s="526" t="n"/>
      <c r="N144" s="526" t="n"/>
      <c r="O144" s="526" t="n"/>
      <c r="P144" s="526" t="n"/>
      <c r="Q144" s="526" t="n"/>
      <c r="R144" s="526" t="n"/>
      <c r="S144" s="555" t="n"/>
      <c r="T144" s="512">
        <f>+T96+T86+T85+T82+T77+T76-T57-T73-T74+T97-T67-T68+T79+T89</f>
        <v/>
      </c>
      <c r="U144" s="512">
        <f>+U96+U86+U85+U82+U77+U76-U57-U73-U74+U97-U67-U68+U79+U89</f>
        <v/>
      </c>
      <c r="V144" s="512">
        <f>+V96+V86+V85+V82+V77+V76-V57-V73-V74+V97-V67-V68+V79+V89</f>
        <v/>
      </c>
      <c r="W144" s="512">
        <f>+W96+W86+W85+W82+W77+W76-W57-W73-W74+W97-W67-W68+W79+W89</f>
        <v/>
      </c>
      <c r="X144" s="512">
        <f>+X96+X86+X85+X82+X77+X76-X57-X73-X74+X97-X67-X68+X79+X89</f>
        <v/>
      </c>
      <c r="Y144" s="512">
        <f>+Y96+Y86+Y85+Y82+Y77+Y76-Y57-Y73-Y74+Y97-Y67-Y68+Y79+Y89</f>
        <v/>
      </c>
      <c r="Z144" s="512">
        <f>+Z96+Z86+Z85+Z82+Z77+Z76-Z57-Z73-Z74+Z97-Z67-Z68+Z79+Z89</f>
        <v/>
      </c>
      <c r="AA144" s="512">
        <f>+AA96+AA86+AA85+AA82+AA77+AA76-AA57-AA73-AA74+AA97-AA67-AA68+AA79+AA89</f>
        <v/>
      </c>
      <c r="AB144" s="512">
        <f>+AB96+AB86+AB85+AB82+AB77+AB76-AB57-AB73-AB74+AB97-AB67-AB68+AB79+AB89</f>
        <v/>
      </c>
      <c r="AC144" s="512">
        <f>+AC96+AC86+AC85+AC82+AC77+AC76-AC57-AC73-AC74+AC97-AC67-AC68+AC79+AC89</f>
        <v/>
      </c>
      <c r="AD144" s="512">
        <f>+AD96+AD86+AD85+AD82+AD77+AD76-AD57-AD73-AD74+AD97-AD67-AD68+AD79+AD89</f>
        <v/>
      </c>
      <c r="AE144" s="512">
        <f>+AE96+AE86+AE85+AE82+AE77+AE76-AE57-AE73-AE74+AE97-AE67-AE68+AE79+AE89</f>
        <v/>
      </c>
      <c r="AF144" s="512">
        <f>+AF96+AF86+AF85+AF82+AF77+AF76-AF57-AF73-AF74+AF97-AF67-AF68+AF79+AF89</f>
        <v/>
      </c>
      <c r="AG144" s="512">
        <f>+AG96+AG86+AG85+AG82+AG77+AG76-AG57-AG73-AG74+AG97-AG67-AG68+AG79+AG89</f>
        <v/>
      </c>
      <c r="AH144" s="512">
        <f>+AH96+AH86+AH85+AH82+AH77+AH76-AH57-AH73-AH74+AH97-AH67-AH68+AH79+AH89</f>
        <v/>
      </c>
      <c r="AI144" s="512">
        <f>+AI96+AI86+AI85+AI82+AI77+AI76-AI57-AI73-AI74+AI97-AI67-AI68+AI79+AI89</f>
        <v/>
      </c>
      <c r="AJ144" s="512">
        <f>+AJ96+AJ86+AJ85+AJ82+AJ77+AJ76-AJ57-AJ73-AJ74+AJ97-AJ67-AJ68+AJ79+AJ89</f>
        <v/>
      </c>
      <c r="AK144" s="512">
        <f>+AK96+AK86+AK85+AK82+AK77+AK76-AK57-AK73-AK74+AK97-AK67-AK68+AK79+AK89</f>
        <v/>
      </c>
      <c r="AL144" s="512">
        <f>+AL96+AL86+AL85+AL82+AL77+AL76-AL57-AL73-AL74+AL97-AL67-AL68+AL79+AL89</f>
        <v/>
      </c>
      <c r="AM144" s="512">
        <f>+AM96+AM86+AM85+AM82+AM77+AM76-AM57-AM73-AM74+AM97-AM67-AM68+AM79+AM89</f>
        <v/>
      </c>
      <c r="AN144" s="512">
        <f>+AN96+AN86+AN85+AN82+AN77+AN76-AN57-AN73-AN74+AN97-AN67-AN68+AN79+AN89</f>
        <v/>
      </c>
      <c r="AO144" s="18" t="n"/>
      <c r="AP144" s="555" t="n"/>
    </row>
    <row r="145" customFormat="1" s="61">
      <c r="A145" s="43" t="inlineStr">
        <is>
          <t>FCFF</t>
        </is>
      </c>
      <c r="B145" s="526" t="n"/>
      <c r="C145" s="526" t="n"/>
      <c r="D145" s="526" t="n"/>
      <c r="E145" s="526" t="n"/>
      <c r="F145" s="526" t="n"/>
      <c r="G145" s="526" t="n"/>
      <c r="H145" s="526" t="n"/>
      <c r="I145" s="526" t="n"/>
      <c r="J145" s="526" t="n"/>
      <c r="K145" s="526" t="n"/>
      <c r="L145" s="526" t="n"/>
      <c r="M145" s="526" t="n"/>
      <c r="N145" s="526" t="n"/>
      <c r="O145" s="526" t="n"/>
      <c r="P145" s="526" t="n"/>
      <c r="Q145" s="526" t="n"/>
      <c r="R145" s="526" t="n"/>
      <c r="S145" s="574" t="n"/>
      <c r="T145" s="574" t="n"/>
      <c r="U145" s="512" t="n"/>
      <c r="V145" s="512" t="n"/>
      <c r="W145" s="512" t="n"/>
      <c r="X145" s="512" t="n"/>
      <c r="Y145" s="512" t="n"/>
      <c r="Z145" s="512" t="n"/>
      <c r="AA145" s="512" t="n"/>
      <c r="AB145" s="512" t="n"/>
      <c r="AC145" s="512" t="n"/>
      <c r="AD145" s="512" t="n"/>
      <c r="AE145" s="512" t="n"/>
      <c r="AF145" s="512" t="n"/>
      <c r="AG145" s="512" t="n"/>
      <c r="AH145" s="512" t="n"/>
      <c r="AI145" s="512">
        <f>AI121+AI129-AI119*(1-AI23/AI22)</f>
        <v/>
      </c>
      <c r="AJ145" s="512">
        <f>AJ121+AJ129-AJ119*(1-AJ23/AJ22)</f>
        <v/>
      </c>
      <c r="AK145" s="512">
        <f>AK121+AK129-AK119*(1-AK23/AK22)</f>
        <v/>
      </c>
      <c r="AL145" s="512">
        <f>AL121+AL129-AL119*(1-AL23/AL22)</f>
        <v/>
      </c>
      <c r="AM145" s="512">
        <f>AM121+AM129-AM119*(1-AM23/AM22)</f>
        <v/>
      </c>
      <c r="AN145" s="512">
        <f>AN121+AN129-AN119*(1-AN23/AN22)</f>
        <v/>
      </c>
      <c r="AO145" s="18" t="n"/>
      <c r="AP145" s="555" t="n"/>
    </row>
    <row r="146">
      <c r="A146" s="43" t="inlineStr">
        <is>
          <t>Total debt</t>
        </is>
      </c>
      <c r="B146" s="526" t="n"/>
      <c r="C146" s="526" t="n"/>
      <c r="D146" s="526" t="n"/>
      <c r="E146" s="526" t="n"/>
      <c r="F146" s="526" t="n"/>
      <c r="G146" s="526" t="n"/>
      <c r="H146" s="526" t="n"/>
      <c r="I146" s="526" t="n"/>
      <c r="J146" s="526" t="n"/>
      <c r="K146" s="526" t="n"/>
      <c r="L146" s="526" t="n"/>
      <c r="M146" s="526" t="n"/>
      <c r="N146" s="526" t="n"/>
      <c r="O146" s="526" t="n"/>
      <c r="P146" s="526" t="n"/>
      <c r="Q146" s="526" t="n"/>
      <c r="R146" s="526" t="n"/>
      <c r="S146" s="555" t="n"/>
      <c r="T146" s="555">
        <f>+T85+T76</f>
        <v/>
      </c>
      <c r="U146" s="555">
        <f>+U85+U76</f>
        <v/>
      </c>
      <c r="V146" s="555">
        <f>+V85+V76</f>
        <v/>
      </c>
      <c r="W146" s="555">
        <f>+W85+W76</f>
        <v/>
      </c>
      <c r="X146" s="555">
        <f>+X85+X76</f>
        <v/>
      </c>
      <c r="Y146" s="555">
        <f>+Y85+Y76</f>
        <v/>
      </c>
      <c r="Z146" s="555">
        <f>+Z85+Z76</f>
        <v/>
      </c>
      <c r="AA146" s="555">
        <f>+AA85+AA76</f>
        <v/>
      </c>
      <c r="AB146" s="555">
        <f>+AB85+AB76</f>
        <v/>
      </c>
      <c r="AC146" s="555">
        <f>+AC85+AC76</f>
        <v/>
      </c>
      <c r="AD146" s="555">
        <f>+AD85+AD76</f>
        <v/>
      </c>
      <c r="AE146" s="555">
        <f>+AE85+AE76</f>
        <v/>
      </c>
      <c r="AF146" s="555">
        <f>+AF85+AF76</f>
        <v/>
      </c>
      <c r="AG146" s="555">
        <f>+AG85+AG76</f>
        <v/>
      </c>
      <c r="AH146" s="555">
        <f>+AH85+AH76</f>
        <v/>
      </c>
      <c r="AI146" s="555">
        <f>+AI85+AI76</f>
        <v/>
      </c>
      <c r="AJ146" s="555">
        <f>+AJ85+AJ76</f>
        <v/>
      </c>
      <c r="AK146" s="555">
        <f>+AK85+AK76</f>
        <v/>
      </c>
      <c r="AL146" s="555">
        <f>+AL85+AL76</f>
        <v/>
      </c>
      <c r="AM146" s="555">
        <f>+AM85+AM76</f>
        <v/>
      </c>
      <c r="AN146" s="555">
        <f>+AN85+AN76</f>
        <v/>
      </c>
      <c r="AO146" s="18" t="n"/>
      <c r="AP146" s="555" t="n"/>
    </row>
    <row r="147">
      <c r="A147" s="43" t="inlineStr">
        <is>
          <t>Net debt</t>
        </is>
      </c>
      <c r="B147" s="526" t="n"/>
      <c r="C147" s="526" t="n"/>
      <c r="D147" s="526" t="n"/>
      <c r="E147" s="526" t="n"/>
      <c r="F147" s="526" t="n"/>
      <c r="G147" s="526" t="n"/>
      <c r="H147" s="526" t="n"/>
      <c r="I147" s="526" t="n"/>
      <c r="J147" s="526" t="n"/>
      <c r="K147" s="526" t="n"/>
      <c r="L147" s="526" t="n"/>
      <c r="M147" s="526" t="n"/>
      <c r="N147" s="526" t="n"/>
      <c r="O147" s="526" t="n"/>
      <c r="P147" s="526" t="n"/>
      <c r="Q147" s="526" t="n"/>
      <c r="R147" s="526" t="n"/>
      <c r="S147" s="555" t="n"/>
      <c r="T147" s="555">
        <f>+T76+T85-T57</f>
        <v/>
      </c>
      <c r="U147" s="555">
        <f>+U76+U85-U57</f>
        <v/>
      </c>
      <c r="V147" s="555">
        <f>+V76+V85-V57</f>
        <v/>
      </c>
      <c r="W147" s="555">
        <f>+W76+W85-W57</f>
        <v/>
      </c>
      <c r="X147" s="555">
        <f>+X76+X85-X57</f>
        <v/>
      </c>
      <c r="Y147" s="555">
        <f>+Y76+Y85-Y57</f>
        <v/>
      </c>
      <c r="Z147" s="555">
        <f>+Z76+Z85-Z57</f>
        <v/>
      </c>
      <c r="AA147" s="555">
        <f>+AA76+AA85-AA57</f>
        <v/>
      </c>
      <c r="AB147" s="555">
        <f>+AB76+AB85-AB57</f>
        <v/>
      </c>
      <c r="AC147" s="555">
        <f>+AC76+AC85-AC57</f>
        <v/>
      </c>
      <c r="AD147" s="555">
        <f>+AD76+AD85-AD57</f>
        <v/>
      </c>
      <c r="AE147" s="555">
        <f>+AE76+AE85-AE57</f>
        <v/>
      </c>
      <c r="AF147" s="555">
        <f>+AF76+AF85-AF57</f>
        <v/>
      </c>
      <c r="AG147" s="555">
        <f>+AG76+AG85-AG57</f>
        <v/>
      </c>
      <c r="AH147" s="555">
        <f>+AH76+AH85-AH57</f>
        <v/>
      </c>
      <c r="AI147" s="555">
        <f>+AI76+AI85-AI57</f>
        <v/>
      </c>
      <c r="AJ147" s="555">
        <f>+AJ76+AJ85-AJ57</f>
        <v/>
      </c>
      <c r="AK147" s="555">
        <f>+AK76+AK85-AK57</f>
        <v/>
      </c>
      <c r="AL147" s="555">
        <f>+AL76+AL85-AL57</f>
        <v/>
      </c>
      <c r="AM147" s="555">
        <f>+AM76+AM85-AM57</f>
        <v/>
      </c>
      <c r="AN147" s="555">
        <f>+AN76+AN85-AN57</f>
        <v/>
      </c>
      <c r="AO147" s="18" t="n"/>
      <c r="AP147" s="555" t="n"/>
    </row>
    <row r="148">
      <c r="A148" s="43" t="inlineStr">
        <is>
          <t>Net gearing</t>
        </is>
      </c>
      <c r="B148" s="43" t="n"/>
      <c r="C148" s="43" t="n"/>
      <c r="D148" s="43" t="n"/>
      <c r="E148" s="43" t="n"/>
      <c r="F148" s="43" t="n"/>
      <c r="G148" s="43" t="n"/>
      <c r="H148" s="43" t="n"/>
      <c r="I148" s="43" t="n"/>
      <c r="J148" s="43" t="n"/>
      <c r="K148" s="43" t="n"/>
      <c r="L148" s="43" t="n"/>
      <c r="M148" s="43" t="n"/>
      <c r="N148" s="43" t="n"/>
      <c r="O148" s="43" t="n"/>
      <c r="P148" s="43" t="n"/>
      <c r="Q148" s="43" t="n"/>
      <c r="R148" s="43" t="n"/>
      <c r="T148" s="446">
        <f>+T147/SUM(T96:T97)</f>
        <v/>
      </c>
      <c r="U148" s="446">
        <f>+U147/SUM(U96:U97)</f>
        <v/>
      </c>
      <c r="V148" s="446">
        <f>+V147/SUM(V96:V97)</f>
        <v/>
      </c>
      <c r="W148" s="446">
        <f>+W147/SUM(W96:W97)</f>
        <v/>
      </c>
      <c r="X148" s="446">
        <f>+X147/SUM(X96:X97)</f>
        <v/>
      </c>
      <c r="Y148" s="446">
        <f>+Y147/SUM(Y96:Y97)</f>
        <v/>
      </c>
      <c r="Z148" s="446">
        <f>+Z147/SUM(Z96:Z97)</f>
        <v/>
      </c>
      <c r="AA148" s="446">
        <f>+AA147/SUM(AA96:AA97)</f>
        <v/>
      </c>
      <c r="AB148" s="446">
        <f>+AB147/SUM(AB96:AB97)</f>
        <v/>
      </c>
      <c r="AC148" s="446">
        <f>+AC147/SUM(AC96:AC97)</f>
        <v/>
      </c>
      <c r="AD148" s="446">
        <f>+AD147/SUM(AD96:AD97)</f>
        <v/>
      </c>
      <c r="AE148" s="446">
        <f>+AE147/SUM(AE96:AE97)</f>
        <v/>
      </c>
      <c r="AF148" s="446">
        <f>+AF147/SUM(AF96:AF97)</f>
        <v/>
      </c>
      <c r="AG148" s="446">
        <f>+AG147/SUM(AG96:AG97)</f>
        <v/>
      </c>
      <c r="AH148" s="446">
        <f>+AH147/SUM(AH96:AH97)</f>
        <v/>
      </c>
      <c r="AI148" s="446">
        <f>+AI147/SUM(AI96:AI97)</f>
        <v/>
      </c>
      <c r="AJ148" s="446">
        <f>+AJ147/SUM(AJ96:AJ97)</f>
        <v/>
      </c>
      <c r="AK148" s="446">
        <f>+AK147/SUM(AK96:AK97)</f>
        <v/>
      </c>
      <c r="AL148" s="446">
        <f>+AL147/SUM(AL96:AL97)</f>
        <v/>
      </c>
      <c r="AM148" s="446">
        <f>+AM147/SUM(AM96:AM97)</f>
        <v/>
      </c>
      <c r="AN148" s="446">
        <f>+AN147/SUM(AN96:AN97)</f>
        <v/>
      </c>
      <c r="AO148" s="18" t="n"/>
      <c r="AP148" s="555" t="n"/>
    </row>
    <row r="149">
      <c r="A149" s="43" t="inlineStr">
        <is>
          <t>Total debt to capital</t>
        </is>
      </c>
      <c r="B149" s="43" t="n"/>
      <c r="C149" s="43" t="n"/>
      <c r="D149" s="43" t="n"/>
      <c r="E149" s="43" t="n"/>
      <c r="F149" s="43" t="n"/>
      <c r="G149" s="43" t="n"/>
      <c r="H149" s="43" t="n"/>
      <c r="I149" s="43" t="n"/>
      <c r="J149" s="43" t="n"/>
      <c r="K149" s="43" t="n"/>
      <c r="L149" s="43" t="n"/>
      <c r="M149" s="43" t="n"/>
      <c r="N149" s="43" t="n"/>
      <c r="O149" s="43" t="n"/>
      <c r="P149" s="43" t="n"/>
      <c r="Q149" s="43" t="n"/>
      <c r="R149" s="43" t="n"/>
      <c r="T149" s="446">
        <f>+T146/(T146+T96+T97)</f>
        <v/>
      </c>
      <c r="U149" s="446">
        <f>+U146/(U146+U96+U97)</f>
        <v/>
      </c>
      <c r="V149" s="446">
        <f>+V146/(V146+V96+V97)</f>
        <v/>
      </c>
      <c r="W149" s="446">
        <f>+W146/(W146+W96+W97)</f>
        <v/>
      </c>
      <c r="X149" s="446">
        <f>+X146/(X146+X96+X97)</f>
        <v/>
      </c>
      <c r="Y149" s="446">
        <f>+Y146/(Y146+Y96+Y97)</f>
        <v/>
      </c>
      <c r="Z149" s="446">
        <f>+Z146/(Z146+Z96+Z97)</f>
        <v/>
      </c>
      <c r="AA149" s="446">
        <f>+AA146/(AA146+AA96+AA97)</f>
        <v/>
      </c>
      <c r="AB149" s="446">
        <f>+AB146/(AB146+AB96+AB97)</f>
        <v/>
      </c>
      <c r="AC149" s="446">
        <f>+AC146/(AC146+AC96+AC97)</f>
        <v/>
      </c>
      <c r="AD149" s="446">
        <f>+AD146/(AD146+AD96+AD97)</f>
        <v/>
      </c>
      <c r="AE149" s="446">
        <f>+AE146/(AE146+AE96+AE97)</f>
        <v/>
      </c>
      <c r="AF149" s="446">
        <f>+AF146/(AF146+AF96+AF97)</f>
        <v/>
      </c>
      <c r="AG149" s="446">
        <f>+AG146/(AG146+AG96+AG97)</f>
        <v/>
      </c>
      <c r="AH149" s="446">
        <f>+AH146/(AH146+AH96+AH97)</f>
        <v/>
      </c>
      <c r="AI149" s="446">
        <f>+AI146/(AI146+AI96+AI97)</f>
        <v/>
      </c>
      <c r="AJ149" s="446">
        <f>+AJ146/(AJ146+AJ96+AJ97)</f>
        <v/>
      </c>
      <c r="AK149" s="446">
        <f>+AK146/(AK146+AK96+AK97)</f>
        <v/>
      </c>
      <c r="AL149" s="446">
        <f>+AL146/(AL146+AL96+AL97)</f>
        <v/>
      </c>
      <c r="AM149" s="446">
        <f>+AM146/(AM146+AM96+AM97)</f>
        <v/>
      </c>
      <c r="AN149" s="446">
        <f>+AN146/(AN146+AN96+AN97)</f>
        <v/>
      </c>
      <c r="AO149" s="18" t="n"/>
      <c r="AP149" s="555"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T150" s="446" t="n"/>
      <c r="U150" s="446" t="n"/>
      <c r="V150" s="446" t="n"/>
      <c r="W150" s="446" t="n"/>
      <c r="X150" s="446" t="n"/>
      <c r="Y150" s="446" t="n"/>
      <c r="Z150" s="446" t="n"/>
      <c r="AA150" s="446" t="n"/>
      <c r="AB150" s="446" t="n"/>
      <c r="AC150" s="446" t="n"/>
      <c r="AD150" s="446" t="n"/>
      <c r="AE150" s="446" t="n"/>
      <c r="AF150" s="446" t="n"/>
      <c r="AG150" s="446" t="n"/>
      <c r="AH150" s="446" t="n"/>
      <c r="AI150" s="446" t="n"/>
      <c r="AJ150" s="446" t="n"/>
      <c r="AK150" s="446" t="n"/>
      <c r="AL150" s="446" t="n"/>
      <c r="AM150" s="446" t="n"/>
      <c r="AN150" s="446" t="n"/>
      <c r="AP150" s="555" t="n"/>
    </row>
    <row r="151" customFormat="1" s="61">
      <c r="A151" s="6" t="inlineStr">
        <is>
          <t>Interim result</t>
        </is>
      </c>
      <c r="B151" s="594" t="n"/>
      <c r="C151" s="594" t="n"/>
      <c r="D151" s="594" t="n"/>
      <c r="E151" s="594" t="n"/>
      <c r="F151" s="594" t="n"/>
      <c r="G151" s="594" t="n"/>
      <c r="H151" s="594" t="n"/>
      <c r="I151" s="594" t="n"/>
      <c r="J151" s="594" t="n"/>
      <c r="K151" s="594" t="n"/>
      <c r="L151" s="594" t="n"/>
      <c r="M151" s="594" t="n"/>
      <c r="N151" s="594" t="n"/>
      <c r="O151" s="594" t="n"/>
      <c r="P151" s="594" t="n"/>
      <c r="Q151" s="594" t="n"/>
      <c r="R151" s="594" t="n"/>
      <c r="S151" s="595" t="n"/>
      <c r="T151" s="595" t="n"/>
      <c r="U151" s="596" t="n"/>
      <c r="V151" s="596" t="n"/>
      <c r="W151" s="596" t="n"/>
      <c r="X151" s="596" t="n"/>
      <c r="Y151" s="596" t="n"/>
      <c r="Z151" s="596" t="n"/>
      <c r="AA151" s="596" t="n"/>
      <c r="AB151" s="596" t="n"/>
      <c r="AC151" s="596" t="n"/>
      <c r="AD151" s="596" t="n"/>
      <c r="AE151" s="596" t="n"/>
      <c r="AF151" s="596" t="n"/>
      <c r="AG151" s="596" t="n"/>
      <c r="AH151" s="596" t="n"/>
      <c r="AI151" s="596" t="n"/>
      <c r="AJ151" s="596" t="n"/>
      <c r="AK151" s="596" t="n"/>
      <c r="AL151" s="596" t="n"/>
      <c r="AM151" s="596" t="n"/>
      <c r="AN151" s="596" t="n"/>
      <c r="AO151" s="12" t="n"/>
    </row>
    <row r="152" customFormat="1" s="422">
      <c r="A152" s="422" t="inlineStr">
        <is>
          <t>1H revenue</t>
        </is>
      </c>
      <c r="B152" s="597" t="n"/>
      <c r="C152" s="597" t="n"/>
      <c r="D152" s="597" t="n"/>
      <c r="E152" s="597" t="n"/>
      <c r="F152" s="597" t="n"/>
      <c r="G152" s="597" t="n"/>
      <c r="H152" s="597" t="n"/>
      <c r="I152" s="597" t="n"/>
      <c r="J152" s="597" t="n"/>
      <c r="K152" s="597" t="n"/>
      <c r="L152" s="597" t="n"/>
      <c r="M152" s="597" t="n"/>
      <c r="N152" s="597" t="n"/>
      <c r="O152" s="598" t="n">
        <v>16626</v>
      </c>
      <c r="P152" s="598" t="n">
        <v>21412</v>
      </c>
      <c r="Q152" s="598" t="n">
        <v>24672</v>
      </c>
      <c r="R152" s="598" t="n">
        <v>27534</v>
      </c>
      <c r="S152" s="598" t="n">
        <v>23503</v>
      </c>
      <c r="T152" s="599" t="n">
        <v>27618</v>
      </c>
      <c r="U152" s="599" t="n">
        <v>40245</v>
      </c>
      <c r="V152" s="599" t="n">
        <v>46156</v>
      </c>
      <c r="W152" s="599" t="n">
        <v>51706</v>
      </c>
      <c r="X152" s="599" t="n">
        <v>47102</v>
      </c>
      <c r="Y152" s="599" t="n">
        <v>39985</v>
      </c>
      <c r="Z152" s="599" t="n">
        <v>38671</v>
      </c>
      <c r="AA152" s="560" t="n">
        <v>43337</v>
      </c>
      <c r="AB152" s="560" t="n">
        <v>46464</v>
      </c>
      <c r="AC152" s="560" t="n">
        <v>43838</v>
      </c>
      <c r="AD152" s="560" t="n"/>
      <c r="AE152" s="560" t="n"/>
      <c r="AF152" s="560" t="n"/>
      <c r="AG152" s="560" t="n"/>
      <c r="AH152" s="560" t="n"/>
      <c r="AI152" s="560" t="n"/>
      <c r="AJ152" s="560" t="n"/>
      <c r="AK152" s="560" t="n"/>
      <c r="AL152" s="560" t="n"/>
      <c r="AM152" s="560" t="n"/>
      <c r="AN152" s="560" t="n"/>
    </row>
    <row r="153">
      <c r="A153" s="12" t="inlineStr">
        <is>
          <t>1H as % of total</t>
        </is>
      </c>
      <c r="B153" s="526" t="n"/>
      <c r="C153" s="526" t="n"/>
      <c r="D153" s="526" t="n"/>
      <c r="E153" s="526" t="n"/>
      <c r="F153" s="526" t="n"/>
      <c r="G153" s="526" t="n"/>
      <c r="H153" s="526" t="n"/>
      <c r="I153" s="526" t="n"/>
      <c r="J153" s="526" t="n"/>
      <c r="K153" s="526" t="n"/>
      <c r="L153" s="526" t="n"/>
      <c r="M153" s="526" t="n"/>
      <c r="N153" s="526" t="n"/>
      <c r="O153" s="67">
        <f>O152/O7</f>
        <v/>
      </c>
      <c r="P153" s="67">
        <f>P152/P7</f>
        <v/>
      </c>
      <c r="Q153" s="67">
        <f>Q152/Q7</f>
        <v/>
      </c>
      <c r="R153" s="67">
        <f>R152/R7</f>
        <v/>
      </c>
      <c r="S153" s="67">
        <f>S152/S7</f>
        <v/>
      </c>
      <c r="T153" s="67">
        <f>T152/T7</f>
        <v/>
      </c>
      <c r="U153" s="67">
        <f>U152/U7</f>
        <v/>
      </c>
      <c r="V153" s="67">
        <f>V152/V7</f>
        <v/>
      </c>
      <c r="W153" s="67">
        <f>W152/W7</f>
        <v/>
      </c>
      <c r="X153" s="67">
        <f>X152/X7</f>
        <v/>
      </c>
      <c r="Y153" s="67">
        <f>Y152/Y7</f>
        <v/>
      </c>
      <c r="Z153" s="67">
        <f>Z152/Z7</f>
        <v/>
      </c>
      <c r="AA153" s="67">
        <f>AA152/AA7</f>
        <v/>
      </c>
      <c r="AB153" s="67">
        <f>AB152/AB7</f>
        <v/>
      </c>
      <c r="AC153" s="67">
        <f>AC152/AC7</f>
        <v/>
      </c>
      <c r="AD153" s="512" t="n"/>
      <c r="AE153" s="512" t="n"/>
      <c r="AF153" s="512" t="n"/>
      <c r="AG153" s="512" t="n"/>
      <c r="AH153" s="512" t="n"/>
      <c r="AI153" s="512" t="n"/>
      <c r="AJ153" s="512" t="n"/>
      <c r="AK153" s="512" t="n"/>
      <c r="AL153" s="512" t="n"/>
      <c r="AM153" s="512" t="n"/>
      <c r="AN153" s="512" t="n"/>
    </row>
    <row r="154" customFormat="1" s="422">
      <c r="A154" s="422" t="inlineStr">
        <is>
          <t>current year 1H EBIT (CUS)/Op Inc (Final)</t>
        </is>
      </c>
      <c r="B154" s="597" t="n"/>
      <c r="C154" s="597" t="n"/>
      <c r="D154" s="597" t="n"/>
      <c r="E154" s="597" t="n"/>
      <c r="F154" s="597" t="n"/>
      <c r="G154" s="597" t="n"/>
      <c r="H154" s="597" t="n"/>
      <c r="I154" s="597" t="n"/>
      <c r="J154" s="597" t="n"/>
      <c r="K154" s="597" t="n"/>
      <c r="L154" s="597" t="n"/>
      <c r="M154" s="597" t="n"/>
      <c r="N154" s="597" t="n"/>
      <c r="O154" s="600" t="n"/>
      <c r="P154" s="600" t="n"/>
      <c r="Q154" s="600" t="n"/>
      <c r="R154" s="600" t="n">
        <v>6422</v>
      </c>
      <c r="S154" s="600" t="n">
        <v>4714</v>
      </c>
      <c r="T154" s="560" t="n">
        <v>5621</v>
      </c>
      <c r="U154" s="560" t="n">
        <v>6515</v>
      </c>
      <c r="V154" s="560" t="n">
        <v>5377</v>
      </c>
      <c r="W154" s="560" t="n">
        <v>6196</v>
      </c>
      <c r="X154" s="560" t="n">
        <v>7161</v>
      </c>
      <c r="Y154" s="560" t="n">
        <v>7817</v>
      </c>
      <c r="Z154" s="560" t="n">
        <v>8008</v>
      </c>
      <c r="AA154" s="560" t="n">
        <v>8150</v>
      </c>
      <c r="AB154" s="560" t="n">
        <v>9914</v>
      </c>
      <c r="AC154" s="560">
        <f>483+6381</f>
        <v/>
      </c>
      <c r="AD154" s="560" t="n"/>
      <c r="AE154" s="560" t="n"/>
      <c r="AF154" s="560" t="n"/>
      <c r="AG154" s="560" t="n"/>
      <c r="AH154" s="560" t="n"/>
      <c r="AI154" s="560" t="n"/>
      <c r="AJ154" s="560" t="n"/>
      <c r="AK154" s="560" t="n"/>
      <c r="AL154" s="560" t="n"/>
      <c r="AM154" s="560" t="n"/>
      <c r="AN154" s="560" t="n"/>
    </row>
    <row r="155">
      <c r="A155" s="12" t="inlineStr">
        <is>
          <t>1H as % of total</t>
        </is>
      </c>
      <c r="B155" s="526" t="n"/>
      <c r="C155" s="526" t="n"/>
      <c r="D155" s="526" t="n"/>
      <c r="E155" s="526" t="n"/>
      <c r="F155" s="526" t="n"/>
      <c r="G155" s="526" t="n"/>
      <c r="H155" s="526" t="n"/>
      <c r="I155" s="526" t="n"/>
      <c r="J155" s="526" t="n"/>
      <c r="K155" s="526" t="n"/>
      <c r="L155" s="526" t="n"/>
      <c r="M155" s="526" t="n"/>
      <c r="N155" s="526" t="n"/>
      <c r="O155" s="601" t="n"/>
      <c r="P155" s="601" t="n"/>
      <c r="Q155" s="601" t="n"/>
      <c r="R155" s="67">
        <f>R154/R15</f>
        <v/>
      </c>
      <c r="S155" s="67">
        <f>S154/S15</f>
        <v/>
      </c>
      <c r="T155" s="67">
        <f>T154/T15</f>
        <v/>
      </c>
      <c r="U155" s="67">
        <f>U154/U15</f>
        <v/>
      </c>
      <c r="V155" s="67">
        <f>V154/V15</f>
        <v/>
      </c>
      <c r="W155" s="67">
        <f>W154/(W15+4437)</f>
        <v/>
      </c>
      <c r="X155" s="67">
        <f>X154/(X15+4437)</f>
        <v/>
      </c>
      <c r="Y155" s="67">
        <f>Y154/(Y15)</f>
        <v/>
      </c>
      <c r="Z155" s="67">
        <f>Z154/(Z15)</f>
        <v/>
      </c>
      <c r="AA155" s="67">
        <f>AA154/(AA15)</f>
        <v/>
      </c>
      <c r="AB155" s="67">
        <f>AB154/(AB15)</f>
        <v/>
      </c>
      <c r="AC155" s="67">
        <f>AC154/(AC15)</f>
        <v/>
      </c>
      <c r="AD155" s="512" t="n"/>
      <c r="AE155" s="512" t="n"/>
      <c r="AF155" s="512" t="n"/>
      <c r="AG155" s="512" t="n"/>
      <c r="AH155" s="512" t="n"/>
      <c r="AI155" s="512" t="n"/>
      <c r="AJ155" s="512" t="n"/>
      <c r="AK155" s="512" t="n"/>
      <c r="AL155" s="512" t="n"/>
      <c r="AM155" s="512" t="n"/>
      <c r="AN155" s="512" t="n"/>
    </row>
    <row r="156" customFormat="1" s="61">
      <c r="A156" s="12" t="inlineStr">
        <is>
          <t>1H earnings</t>
        </is>
      </c>
      <c r="B156" s="526" t="n"/>
      <c r="C156" s="526" t="n"/>
      <c r="D156" s="526" t="n"/>
      <c r="E156" s="526" t="n"/>
      <c r="F156" s="526" t="n"/>
      <c r="G156" s="526" t="n"/>
      <c r="H156" s="526" t="n"/>
      <c r="I156" s="526" t="n"/>
      <c r="J156" s="526" t="n"/>
      <c r="K156" s="526" t="n"/>
      <c r="L156" s="526" t="n"/>
      <c r="M156" s="526" t="n"/>
      <c r="N156" s="526" t="n"/>
      <c r="O156" s="602" t="n">
        <v>4577</v>
      </c>
      <c r="P156" s="602" t="n">
        <v>4975</v>
      </c>
      <c r="Q156" s="602" t="n">
        <v>7191</v>
      </c>
      <c r="R156" s="602" t="n">
        <v>5610</v>
      </c>
      <c r="S156" s="602" t="n">
        <v>3235</v>
      </c>
      <c r="T156" s="602" t="n">
        <v>5921</v>
      </c>
      <c r="U156" s="574" t="n">
        <v>5800</v>
      </c>
      <c r="V156" s="574" t="n">
        <v>3356</v>
      </c>
      <c r="W156" s="574" t="n">
        <v>3767</v>
      </c>
      <c r="X156" s="574">
        <f>+X158</f>
        <v/>
      </c>
      <c r="Y156" s="574">
        <f>+Y158</f>
        <v/>
      </c>
      <c r="Z156" s="574">
        <f>+Z158</f>
        <v/>
      </c>
      <c r="AA156" s="574">
        <f>+AA158</f>
        <v/>
      </c>
      <c r="AB156" s="512" t="n">
        <v>7886</v>
      </c>
      <c r="AC156" s="512" t="n">
        <v>5474</v>
      </c>
      <c r="AD156" s="512" t="n"/>
      <c r="AE156" s="512" t="n"/>
      <c r="AF156" s="512" t="n"/>
      <c r="AG156" s="512" t="n"/>
      <c r="AH156" s="512" t="n"/>
      <c r="AI156" s="512" t="n"/>
      <c r="AJ156" s="512" t="n"/>
      <c r="AK156" s="512" t="n"/>
      <c r="AL156" s="512" t="n"/>
      <c r="AM156" s="512" t="n"/>
      <c r="AN156" s="512" t="n"/>
    </row>
    <row r="157">
      <c r="A157" s="12" t="inlineStr">
        <is>
          <t>add back non-recurring items</t>
        </is>
      </c>
      <c r="B157" s="526" t="n"/>
      <c r="C157" s="526" t="n"/>
      <c r="D157" s="526" t="n"/>
      <c r="E157" s="526" t="n"/>
      <c r="F157" s="526" t="n"/>
      <c r="G157" s="526" t="n"/>
      <c r="H157" s="526" t="n"/>
      <c r="I157" s="526" t="n"/>
      <c r="J157" s="526" t="n"/>
      <c r="K157" s="526" t="n"/>
      <c r="L157" s="526" t="n"/>
      <c r="M157" s="526" t="n"/>
      <c r="N157" s="526" t="n"/>
      <c r="O157" s="603" t="n">
        <v>0</v>
      </c>
      <c r="P157" s="602" t="n">
        <v>0</v>
      </c>
      <c r="Q157" s="602">
        <f>-1030*(1+Q23/Q22)</f>
        <v/>
      </c>
      <c r="R157" s="602">
        <f>-745*(1+R23/R22)</f>
        <v/>
      </c>
      <c r="S157" s="602">
        <f>+S158-S156</f>
        <v/>
      </c>
      <c r="T157" s="602">
        <f>+T158-T156</f>
        <v/>
      </c>
      <c r="U157" s="602">
        <f>+U158-U156</f>
        <v/>
      </c>
      <c r="V157" s="555">
        <f>+V158-V156</f>
        <v/>
      </c>
      <c r="W157" s="555">
        <f>+W158-W156</f>
        <v/>
      </c>
      <c r="X157" s="555" t="n">
        <v>0</v>
      </c>
      <c r="Y157" s="555" t="n">
        <v>0</v>
      </c>
      <c r="Z157" s="555" t="n">
        <v>0</v>
      </c>
      <c r="AA157" s="555" t="n">
        <v>0</v>
      </c>
      <c r="AB157" s="555" t="n">
        <v>0</v>
      </c>
      <c r="AC157" s="555" t="n">
        <v>0</v>
      </c>
      <c r="AD157" s="512" t="n"/>
      <c r="AE157" s="512" t="n"/>
      <c r="AF157" s="512" t="n"/>
      <c r="AG157" s="512" t="n"/>
      <c r="AH157" s="512" t="n"/>
      <c r="AI157" s="512" t="n"/>
      <c r="AJ157" s="512" t="n"/>
      <c r="AK157" s="512" t="n"/>
      <c r="AL157" s="512" t="n"/>
      <c r="AM157" s="512" t="n"/>
      <c r="AN157" s="512" t="n"/>
    </row>
    <row r="158" customFormat="1" s="422">
      <c r="A158" s="422" t="inlineStr">
        <is>
          <t>1H recurring earnings</t>
        </is>
      </c>
      <c r="B158" s="597" t="n"/>
      <c r="C158" s="597" t="n"/>
      <c r="D158" s="597" t="n"/>
      <c r="E158" s="597" t="n"/>
      <c r="F158" s="597" t="n"/>
      <c r="G158" s="597" t="n"/>
      <c r="H158" s="597" t="n"/>
      <c r="I158" s="597" t="n"/>
      <c r="J158" s="597" t="n"/>
      <c r="K158" s="597" t="n"/>
      <c r="L158" s="597" t="n"/>
      <c r="M158" s="597" t="n"/>
      <c r="N158" s="597" t="n"/>
      <c r="O158" s="598">
        <f>SUM(O156:O157)</f>
        <v/>
      </c>
      <c r="P158" s="598">
        <f>SUM(P156:P157)</f>
        <v/>
      </c>
      <c r="Q158" s="598">
        <f>SUM(Q156:Q157)</f>
        <v/>
      </c>
      <c r="R158" s="598">
        <f>SUM(R156:R157)</f>
        <v/>
      </c>
      <c r="S158" s="598" t="n">
        <v>3603</v>
      </c>
      <c r="T158" s="599" t="n">
        <v>4435</v>
      </c>
      <c r="U158" s="599" t="n">
        <v>5000</v>
      </c>
      <c r="V158" s="599" t="n">
        <v>3897</v>
      </c>
      <c r="W158" s="599" t="n">
        <v>3896</v>
      </c>
      <c r="X158" s="599" t="n">
        <v>4768</v>
      </c>
      <c r="Y158" s="599" t="n">
        <v>5525</v>
      </c>
      <c r="Z158" s="599" t="n">
        <v>6149</v>
      </c>
      <c r="AA158" s="560" t="n">
        <v>5914</v>
      </c>
      <c r="AB158" s="560" t="n">
        <v>7886</v>
      </c>
      <c r="AC158" s="560" t="n">
        <v>5474</v>
      </c>
      <c r="AD158" s="560" t="n"/>
      <c r="AE158" s="560" t="n"/>
      <c r="AF158" s="560" t="n"/>
      <c r="AG158" s="560" t="n"/>
      <c r="AH158" s="560" t="n"/>
      <c r="AI158" s="560" t="n"/>
      <c r="AJ158" s="560" t="n"/>
      <c r="AK158" s="560" t="n"/>
      <c r="AL158" s="560" t="n"/>
      <c r="AM158" s="560" t="n"/>
      <c r="AN158" s="560" t="n"/>
    </row>
    <row r="159">
      <c r="A159" s="12" t="inlineStr">
        <is>
          <t>1H as % of total</t>
        </is>
      </c>
      <c r="B159" s="526" t="n"/>
      <c r="C159" s="526" t="n"/>
      <c r="D159" s="526" t="n"/>
      <c r="E159" s="526" t="n"/>
      <c r="F159" s="526" t="n"/>
      <c r="G159" s="526" t="n"/>
      <c r="H159" s="526" t="n"/>
      <c r="I159" s="526" t="n"/>
      <c r="J159" s="526" t="n"/>
      <c r="K159" s="526" t="n"/>
      <c r="L159" s="526" t="n"/>
      <c r="M159" s="526" t="n"/>
      <c r="N159" s="526" t="n"/>
      <c r="O159" s="67">
        <f>O158/O31</f>
        <v/>
      </c>
      <c r="P159" s="67">
        <f>P158/P31</f>
        <v/>
      </c>
      <c r="Q159" s="67">
        <f>Q158/Q31</f>
        <v/>
      </c>
      <c r="R159" s="67">
        <f>R158/R31</f>
        <v/>
      </c>
      <c r="S159" s="67">
        <f>+S158/S31</f>
        <v/>
      </c>
      <c r="T159" s="67">
        <f>+T158/T31</f>
        <v/>
      </c>
      <c r="U159" s="67">
        <f>+U158/U31</f>
        <v/>
      </c>
      <c r="V159" s="67">
        <f>+(V158+200*0.7+626*0.7)/V31</f>
        <v/>
      </c>
      <c r="W159" s="67">
        <f>+W158/W31</f>
        <v/>
      </c>
      <c r="X159" s="67">
        <f>+X158/X31</f>
        <v/>
      </c>
      <c r="Y159" s="67">
        <f>+Y158/Y31</f>
        <v/>
      </c>
      <c r="Z159" s="67">
        <f>+Z158/Z31</f>
        <v/>
      </c>
      <c r="AA159" s="67">
        <f>+AA158/AA31</f>
        <v/>
      </c>
      <c r="AB159" s="67">
        <f>+AB158/AB31</f>
        <v/>
      </c>
      <c r="AC159" s="67">
        <f>+AC158/AC31</f>
        <v/>
      </c>
      <c r="AD159" s="512" t="n"/>
      <c r="AE159" s="512" t="n"/>
      <c r="AF159" s="512" t="n"/>
      <c r="AG159" s="512" t="n"/>
      <c r="AH159" s="512" t="n"/>
      <c r="AI159" s="512" t="n"/>
      <c r="AJ159" s="512" t="n"/>
      <c r="AK159" s="512" t="n"/>
      <c r="AL159" s="512" t="n"/>
      <c r="AM159" s="512" t="n"/>
      <c r="AN159" s="512" t="n"/>
    </row>
    <row r="160">
      <c r="B160" s="526" t="n"/>
      <c r="C160" s="526" t="n"/>
      <c r="D160" s="526" t="n"/>
      <c r="E160" s="526" t="n"/>
      <c r="F160" s="526" t="n"/>
      <c r="G160" s="526" t="n"/>
      <c r="H160" s="526" t="n"/>
      <c r="I160" s="526" t="n"/>
      <c r="J160" s="526" t="n"/>
      <c r="K160" s="526" t="n"/>
      <c r="L160" s="526" t="n"/>
      <c r="M160" s="526" t="n"/>
      <c r="N160" s="526" t="n"/>
      <c r="O160" s="603" t="n"/>
      <c r="P160" s="602" t="n"/>
      <c r="Q160" s="602" t="n"/>
      <c r="R160" s="602" t="n"/>
      <c r="S160" s="555" t="n"/>
      <c r="T160" s="555" t="n"/>
      <c r="U160" s="555" t="n"/>
      <c r="V160" s="555" t="n"/>
      <c r="W160" s="555" t="n"/>
      <c r="X160" s="555" t="n"/>
      <c r="Y160" s="555" t="n"/>
      <c r="Z160" s="512" t="n"/>
      <c r="AA160" s="512" t="n"/>
      <c r="AB160" s="512" t="n"/>
      <c r="AC160" s="512" t="n"/>
      <c r="AD160" s="512" t="n"/>
      <c r="AE160" s="512" t="n"/>
      <c r="AF160" s="512" t="n"/>
      <c r="AG160" s="512" t="n"/>
      <c r="AH160" s="512" t="n"/>
      <c r="AI160" s="512" t="n"/>
      <c r="AJ160" s="512" t="n"/>
      <c r="AK160" s="512" t="n"/>
      <c r="AL160" s="512" t="n"/>
      <c r="AM160" s="512" t="n"/>
      <c r="AN160" s="512" t="n"/>
    </row>
    <row r="161">
      <c r="A161" s="422" t="inlineStr">
        <is>
          <t>By Segments:</t>
        </is>
      </c>
      <c r="B161" s="526" t="n"/>
      <c r="C161" s="526" t="n"/>
      <c r="D161" s="526" t="n"/>
      <c r="E161" s="526" t="n"/>
      <c r="F161" s="526" t="n"/>
      <c r="G161" s="526" t="n"/>
      <c r="H161" s="526" t="n"/>
      <c r="I161" s="526" t="n"/>
      <c r="J161" s="526" t="n"/>
      <c r="K161" s="526" t="n"/>
      <c r="L161" s="526" t="n"/>
      <c r="M161" s="526" t="n"/>
      <c r="N161" s="526" t="n"/>
      <c r="O161" s="603" t="n"/>
      <c r="P161" s="602" t="n"/>
      <c r="Q161" s="602" t="n"/>
      <c r="R161" s="602" t="n"/>
      <c r="S161" s="555" t="n"/>
      <c r="T161" s="555" t="n"/>
      <c r="U161" s="555" t="n"/>
      <c r="V161" s="555" t="n"/>
      <c r="W161" s="555" t="n"/>
      <c r="X161" s="555" t="n"/>
      <c r="Y161" s="555" t="n"/>
      <c r="Z161" s="512" t="n"/>
      <c r="AA161" s="512" t="n"/>
      <c r="AB161" s="512" t="n"/>
      <c r="AC161" s="512" t="n"/>
      <c r="AD161" s="512" t="n"/>
      <c r="AE161" s="512" t="n"/>
      <c r="AF161" s="512" t="n"/>
      <c r="AG161" s="512" t="n"/>
      <c r="AH161" s="512" t="n"/>
      <c r="AI161" s="512" t="n"/>
      <c r="AJ161" s="512" t="n"/>
      <c r="AK161" s="512" t="n"/>
      <c r="AL161" s="512" t="n"/>
      <c r="AM161" s="512" t="n"/>
      <c r="AN161" s="512" t="n"/>
    </row>
    <row r="162" customFormat="1" s="422">
      <c r="A162" s="426" t="inlineStr">
        <is>
          <t xml:space="preserve">1H Hong Kong </t>
        </is>
      </c>
      <c r="B162" s="597" t="n"/>
      <c r="C162" s="597" t="n"/>
      <c r="D162" s="597" t="n"/>
      <c r="E162" s="597" t="n"/>
      <c r="F162" s="597" t="n"/>
      <c r="G162" s="597" t="n"/>
      <c r="H162" s="597" t="n"/>
      <c r="I162" s="597" t="n"/>
      <c r="J162" s="597" t="n"/>
      <c r="K162" s="597" t="n"/>
      <c r="L162" s="597" t="n"/>
      <c r="M162" s="597" t="n"/>
      <c r="N162" s="597" t="n"/>
      <c r="O162" s="597" t="n"/>
      <c r="P162" s="599" t="n"/>
      <c r="Q162" s="599" t="n">
        <v>3756</v>
      </c>
      <c r="R162" s="599" t="n">
        <v>4040</v>
      </c>
      <c r="S162" s="599" t="n">
        <v>2925</v>
      </c>
      <c r="T162" s="560" t="n">
        <v>3014</v>
      </c>
      <c r="U162" s="560" t="n">
        <v>3114</v>
      </c>
      <c r="V162" s="560" t="n">
        <v>3240</v>
      </c>
      <c r="W162" s="560" t="n">
        <v>3417</v>
      </c>
      <c r="X162" s="560" t="n">
        <v>3674</v>
      </c>
      <c r="Y162" s="560" t="n">
        <v>4052</v>
      </c>
      <c r="Z162" s="560" t="n">
        <v>4276</v>
      </c>
      <c r="AA162" s="560" t="n">
        <v>4356</v>
      </c>
      <c r="AB162" s="560" t="n">
        <v>4497</v>
      </c>
      <c r="AC162" s="560" t="n">
        <v>3587</v>
      </c>
      <c r="AD162" s="560" t="n"/>
      <c r="AE162" s="560" t="n"/>
      <c r="AF162" s="560" t="n"/>
      <c r="AG162" s="560" t="n"/>
      <c r="AH162" s="560" t="n"/>
      <c r="AI162" s="560" t="n"/>
      <c r="AJ162" s="560" t="n"/>
      <c r="AK162" s="560" t="n"/>
      <c r="AL162" s="560" t="n"/>
      <c r="AM162" s="560" t="n"/>
      <c r="AN162" s="560" t="n"/>
    </row>
    <row r="163">
      <c r="A163" s="427" t="inlineStr">
        <is>
          <t>%</t>
        </is>
      </c>
      <c r="B163" s="526" t="n"/>
      <c r="C163" s="526" t="n"/>
      <c r="D163" s="526" t="n"/>
      <c r="E163" s="526" t="n"/>
      <c r="F163" s="526" t="n"/>
      <c r="G163" s="526" t="n"/>
      <c r="H163" s="526" t="n"/>
      <c r="I163" s="526" t="n"/>
      <c r="J163" s="526" t="n"/>
      <c r="K163" s="526" t="n"/>
      <c r="L163" s="526" t="n"/>
      <c r="M163" s="526" t="n"/>
      <c r="N163" s="526" t="n"/>
      <c r="O163" s="526" t="n"/>
      <c r="P163" s="555" t="n"/>
      <c r="Q163" s="446">
        <f>+Q162/SOC!Q46</f>
        <v/>
      </c>
      <c r="R163" s="446">
        <f>+R162/SOC!R46</f>
        <v/>
      </c>
      <c r="S163" s="446">
        <f>+S162/SOC!S46</f>
        <v/>
      </c>
      <c r="T163" s="446">
        <f>+T162/SOC!T46</f>
        <v/>
      </c>
      <c r="U163" s="446">
        <f>+U162/SOC!U46</f>
        <v/>
      </c>
      <c r="V163" s="446">
        <f>+V162/SOC!V46</f>
        <v/>
      </c>
      <c r="W163" s="446">
        <f>+W162/SOC!W46</f>
        <v/>
      </c>
      <c r="X163" s="446">
        <f>+X162/SOC!X46</f>
        <v/>
      </c>
      <c r="Y163" s="446">
        <f>+Y162/SOC!Y46</f>
        <v/>
      </c>
      <c r="Z163" s="446">
        <f>+Z162/SOC!Z46</f>
        <v/>
      </c>
      <c r="AA163" s="446">
        <f>+AA162/SOC!AA46</f>
        <v/>
      </c>
      <c r="AB163" s="446">
        <f>+AB162/SOC!AB46</f>
        <v/>
      </c>
      <c r="AC163" s="446">
        <f>+AC162/SOC!AC46</f>
        <v/>
      </c>
      <c r="AD163" s="512" t="n"/>
      <c r="AE163" s="512" t="n"/>
      <c r="AF163" s="512" t="n"/>
      <c r="AG163" s="512" t="n"/>
      <c r="AH163" s="512" t="n"/>
      <c r="AI163" s="512" t="n"/>
      <c r="AJ163" s="512" t="n"/>
      <c r="AK163" s="512" t="n"/>
      <c r="AL163" s="512" t="n"/>
      <c r="AM163" s="512" t="n"/>
      <c r="AN163" s="512" t="n"/>
    </row>
    <row r="164" customFormat="1" s="422">
      <c r="A164" s="426" t="inlineStr">
        <is>
          <t>1H PSDC+HKBL+Sales to GD+Others</t>
        </is>
      </c>
      <c r="B164" s="597" t="n"/>
      <c r="C164" s="597" t="n"/>
      <c r="D164" s="597" t="n"/>
      <c r="E164" s="597" t="n"/>
      <c r="F164" s="597" t="n"/>
      <c r="G164" s="597" t="n"/>
      <c r="H164" s="597" t="n"/>
      <c r="I164" s="597" t="n"/>
      <c r="J164" s="597" t="n"/>
      <c r="K164" s="597" t="n"/>
      <c r="L164" s="597" t="n"/>
      <c r="M164" s="597" t="n"/>
      <c r="N164" s="597" t="n"/>
      <c r="O164" s="597" t="n"/>
      <c r="P164" s="599" t="n"/>
      <c r="Q164" s="445" t="n"/>
      <c r="R164" s="445" t="n"/>
      <c r="S164" s="445" t="n"/>
      <c r="T164" s="563">
        <f>351-319+25+53</f>
        <v/>
      </c>
      <c r="U164" s="560">
        <f>49+59</f>
        <v/>
      </c>
      <c r="V164" s="560">
        <f>58-64</f>
        <v/>
      </c>
      <c r="W164" s="560">
        <f>55+24</f>
        <v/>
      </c>
      <c r="X164" s="560">
        <f>48-33</f>
        <v/>
      </c>
      <c r="Y164" s="560">
        <f>-6+84</f>
        <v/>
      </c>
      <c r="Z164" s="560">
        <f>113+43</f>
        <v/>
      </c>
      <c r="AA164" s="560">
        <f>148-37</f>
        <v/>
      </c>
      <c r="AB164" s="560" t="n">
        <v>131</v>
      </c>
      <c r="AC164" s="560" t="n">
        <v>102</v>
      </c>
      <c r="AD164" s="560" t="n"/>
      <c r="AE164" s="560" t="n"/>
      <c r="AF164" s="560" t="n"/>
      <c r="AG164" s="560" t="n"/>
      <c r="AH164" s="560" t="n"/>
      <c r="AI164" s="560" t="n"/>
      <c r="AJ164" s="560" t="n"/>
      <c r="AK164" s="560" t="n"/>
      <c r="AL164" s="560" t="n"/>
      <c r="AM164" s="560" t="n"/>
      <c r="AN164" s="560" t="n"/>
    </row>
    <row r="165">
      <c r="A165" s="427" t="inlineStr">
        <is>
          <t>%</t>
        </is>
      </c>
      <c r="B165" s="526" t="n"/>
      <c r="C165" s="526" t="n"/>
      <c r="D165" s="526" t="n"/>
      <c r="E165" s="526" t="n"/>
      <c r="F165" s="526" t="n"/>
      <c r="G165" s="526" t="n"/>
      <c r="H165" s="526" t="n"/>
      <c r="I165" s="526" t="n"/>
      <c r="J165" s="526" t="n"/>
      <c r="K165" s="526" t="n"/>
      <c r="L165" s="526" t="n"/>
      <c r="M165" s="526" t="n"/>
      <c r="N165" s="526" t="n"/>
      <c r="O165" s="526" t="n"/>
      <c r="P165" s="555" t="n"/>
      <c r="Q165" s="446" t="n"/>
      <c r="R165" s="446" t="n"/>
      <c r="S165" s="446" t="n"/>
      <c r="T165" s="446" t="n"/>
      <c r="U165" s="446">
        <f>U164/(Driver!U56+CN!U41)</f>
        <v/>
      </c>
      <c r="V165" s="446">
        <f>V164/(Driver!V56+CN!V41)</f>
        <v/>
      </c>
      <c r="W165" s="446">
        <f>W164/(Driver!W56+CN!W41)</f>
        <v/>
      </c>
      <c r="X165" s="446">
        <f>X164/(Driver!X56+CN!X41)</f>
        <v/>
      </c>
      <c r="Y165" s="446">
        <f>Y164/(Driver!Y56+CN!Y41)</f>
        <v/>
      </c>
      <c r="Z165" s="446">
        <f>Z164/(Driver!Z56+CN!Z41)</f>
        <v/>
      </c>
      <c r="AA165" s="446">
        <f>AA164/(Driver!AA56+CN!AA41)</f>
        <v/>
      </c>
      <c r="AB165" s="446">
        <f>AB164/(Driver!AB56+CN!AB41)</f>
        <v/>
      </c>
      <c r="AC165" s="446">
        <f>AC164/(Driver!AC56+CN!AC41)</f>
        <v/>
      </c>
      <c r="AD165" s="512" t="n"/>
      <c r="AE165" s="512" t="n"/>
      <c r="AF165" s="512" t="n"/>
      <c r="AG165" s="512" t="n"/>
      <c r="AH165" s="512" t="n"/>
      <c r="AI165" s="512" t="n"/>
      <c r="AJ165" s="512" t="n"/>
      <c r="AK165" s="512" t="n"/>
      <c r="AL165" s="512" t="n"/>
      <c r="AM165" s="512" t="n"/>
      <c r="AN165" s="512" t="n"/>
    </row>
    <row r="166" customFormat="1" s="422">
      <c r="A166" s="426" t="inlineStr">
        <is>
          <t>1H China</t>
        </is>
      </c>
      <c r="B166" s="597" t="n"/>
      <c r="C166" s="597" t="n"/>
      <c r="D166" s="597" t="n"/>
      <c r="E166" s="597" t="n"/>
      <c r="F166" s="597" t="n"/>
      <c r="G166" s="597" t="n"/>
      <c r="H166" s="597" t="n"/>
      <c r="I166" s="597" t="n"/>
      <c r="J166" s="597" t="n"/>
      <c r="K166" s="597" t="n"/>
      <c r="L166" s="597" t="n"/>
      <c r="M166" s="597" t="n"/>
      <c r="N166" s="597" t="n"/>
      <c r="O166" s="597" t="n"/>
      <c r="P166" s="599" t="n"/>
      <c r="Q166" s="445" t="n"/>
      <c r="R166" s="445" t="n"/>
      <c r="S166" s="445" t="n"/>
      <c r="T166" s="563">
        <f>458+319</f>
        <v/>
      </c>
      <c r="U166" s="560">
        <f>349+319</f>
        <v/>
      </c>
      <c r="V166" s="560">
        <f>393+268</f>
        <v/>
      </c>
      <c r="W166" s="560" t="n">
        <v>835</v>
      </c>
      <c r="X166" s="560" t="n">
        <v>662</v>
      </c>
      <c r="Y166" s="560" t="n">
        <v>941</v>
      </c>
      <c r="Z166" s="560" t="n">
        <v>841</v>
      </c>
      <c r="AA166" s="560" t="n">
        <v>637</v>
      </c>
      <c r="AB166" s="560" t="n">
        <v>1116</v>
      </c>
      <c r="AC166" s="560" t="n">
        <v>1174</v>
      </c>
      <c r="AD166" s="560" t="n"/>
      <c r="AE166" s="560" t="n"/>
      <c r="AF166" s="560" t="n"/>
      <c r="AG166" s="560" t="n"/>
      <c r="AH166" s="560" t="n"/>
      <c r="AI166" s="560" t="n"/>
      <c r="AJ166" s="560" t="n"/>
      <c r="AK166" s="560" t="n"/>
      <c r="AL166" s="560" t="n"/>
      <c r="AM166" s="560" t="n"/>
      <c r="AN166" s="560" t="n"/>
    </row>
    <row r="167">
      <c r="A167" s="427" t="inlineStr">
        <is>
          <t>%</t>
        </is>
      </c>
      <c r="B167" s="526" t="n"/>
      <c r="C167" s="526" t="n"/>
      <c r="D167" s="526" t="n"/>
      <c r="E167" s="526" t="n"/>
      <c r="F167" s="526" t="n"/>
      <c r="G167" s="526" t="n"/>
      <c r="H167" s="526" t="n"/>
      <c r="I167" s="526" t="n"/>
      <c r="J167" s="526" t="n"/>
      <c r="K167" s="526" t="n"/>
      <c r="L167" s="526" t="n"/>
      <c r="M167" s="526" t="n"/>
      <c r="N167" s="526" t="n"/>
      <c r="O167" s="526" t="n"/>
      <c r="P167" s="555" t="n"/>
      <c r="Q167" s="446" t="n"/>
      <c r="R167" s="446" t="n"/>
      <c r="S167" s="446" t="n"/>
      <c r="T167" s="446">
        <f>T166/CN!T40</f>
        <v/>
      </c>
      <c r="U167" s="446">
        <f>U166/CN!U40</f>
        <v/>
      </c>
      <c r="V167" s="446">
        <f>V166/CN!V40</f>
        <v/>
      </c>
      <c r="W167" s="446">
        <f>W166/CN!W40</f>
        <v/>
      </c>
      <c r="X167" s="446">
        <f>X166/CN!X40</f>
        <v/>
      </c>
      <c r="Y167" s="446">
        <f>Y166/CN!Y40</f>
        <v/>
      </c>
      <c r="Z167" s="446">
        <f>Z166/CN!Z40</f>
        <v/>
      </c>
      <c r="AA167" s="431">
        <f>AA166/(CN!AA40-CN!AA31)</f>
        <v/>
      </c>
      <c r="AB167" s="446">
        <f>AB166/CN!AB40</f>
        <v/>
      </c>
      <c r="AC167" s="446">
        <f>AC166/CN!AC40</f>
        <v/>
      </c>
      <c r="AD167" s="512" t="n"/>
      <c r="AE167" s="512" t="n"/>
      <c r="AF167" s="512" t="n"/>
      <c r="AG167" s="512" t="n"/>
      <c r="AH167" s="512" t="n"/>
      <c r="AI167" s="512" t="n"/>
      <c r="AJ167" s="512" t="n"/>
      <c r="AK167" s="512" t="n"/>
      <c r="AL167" s="512" t="n"/>
      <c r="AM167" s="512" t="n"/>
      <c r="AN167" s="512" t="n"/>
    </row>
    <row r="168" customFormat="1" s="422">
      <c r="A168" s="426" t="inlineStr">
        <is>
          <t>1H Australia</t>
        </is>
      </c>
      <c r="B168" s="597" t="n"/>
      <c r="C168" s="597" t="n"/>
      <c r="D168" s="597" t="n"/>
      <c r="E168" s="597" t="n"/>
      <c r="F168" s="597" t="n"/>
      <c r="G168" s="597" t="n"/>
      <c r="H168" s="597" t="n"/>
      <c r="I168" s="597" t="n"/>
      <c r="J168" s="597" t="n"/>
      <c r="K168" s="597" t="n"/>
      <c r="L168" s="597" t="n"/>
      <c r="M168" s="597" t="n"/>
      <c r="N168" s="597" t="n"/>
      <c r="O168" s="597" t="n"/>
      <c r="P168" s="599" t="n"/>
      <c r="Q168" s="445" t="n"/>
      <c r="R168" s="445" t="n"/>
      <c r="S168" s="445" t="n"/>
      <c r="T168" s="560" t="n">
        <v>461</v>
      </c>
      <c r="U168" s="560" t="n">
        <v>1191</v>
      </c>
      <c r="V168" s="560" t="n">
        <v>268</v>
      </c>
      <c r="W168" s="560" t="n">
        <v>-45</v>
      </c>
      <c r="X168" s="560" t="n">
        <v>585</v>
      </c>
      <c r="Y168" s="560" t="n">
        <v>493</v>
      </c>
      <c r="Z168" s="560" t="n">
        <v>897</v>
      </c>
      <c r="AA168" s="560" t="n">
        <v>758</v>
      </c>
      <c r="AB168" s="560" t="n">
        <v>2257</v>
      </c>
      <c r="AC168" s="560" t="n">
        <v>824</v>
      </c>
      <c r="AD168" s="436" t="n"/>
      <c r="AE168" s="560" t="n"/>
      <c r="AF168" s="560" t="n"/>
      <c r="AG168" s="560" t="n"/>
      <c r="AH168" s="560" t="n"/>
      <c r="AI168" s="560" t="n"/>
      <c r="AJ168" s="560" t="n"/>
      <c r="AK168" s="560" t="n"/>
      <c r="AL168" s="560" t="n"/>
      <c r="AM168" s="560" t="n"/>
      <c r="AN168" s="560" t="n"/>
    </row>
    <row r="169">
      <c r="A169" s="427" t="inlineStr">
        <is>
          <t>%</t>
        </is>
      </c>
      <c r="B169" s="526" t="n"/>
      <c r="C169" s="526" t="n"/>
      <c r="D169" s="526" t="n"/>
      <c r="E169" s="526" t="n"/>
      <c r="F169" s="526" t="n"/>
      <c r="G169" s="526" t="n"/>
      <c r="H169" s="526" t="n"/>
      <c r="I169" s="526" t="n"/>
      <c r="J169" s="526" t="n"/>
      <c r="K169" s="526" t="n"/>
      <c r="L169" s="526" t="n"/>
      <c r="M169" s="526" t="n"/>
      <c r="N169" s="526" t="n"/>
      <c r="O169" s="526" t="n"/>
      <c r="P169" s="555" t="n"/>
      <c r="Q169" s="446" t="n"/>
      <c r="R169" s="446" t="n"/>
      <c r="S169" s="446" t="n"/>
      <c r="T169" s="446">
        <f>T168/Driver!T52</f>
        <v/>
      </c>
      <c r="U169" s="446">
        <f>U168/Driver!U52</f>
        <v/>
      </c>
      <c r="V169" s="446">
        <f>V168/Driver!V52</f>
        <v/>
      </c>
      <c r="W169" s="446">
        <f>W168/Driver!W52</f>
        <v/>
      </c>
      <c r="X169" s="446">
        <f>X168/Driver!X52</f>
        <v/>
      </c>
      <c r="Y169" s="446">
        <f>Y168/Driver!Y52</f>
        <v/>
      </c>
      <c r="Z169" s="446">
        <f>Z168/Driver!Z52</f>
        <v/>
      </c>
      <c r="AA169" s="446">
        <f>AA168/Driver!AA52</f>
        <v/>
      </c>
      <c r="AB169" s="446">
        <f>AB168/Driver!AB52</f>
        <v/>
      </c>
      <c r="AC169" s="446">
        <f>AC168/Driver!AC52</f>
        <v/>
      </c>
      <c r="AD169" s="512" t="n"/>
      <c r="AE169" s="512" t="n"/>
      <c r="AF169" s="512" t="n"/>
      <c r="AG169" s="512" t="n"/>
      <c r="AH169" s="512" t="n"/>
      <c r="AI169" s="512" t="n"/>
      <c r="AJ169" s="512" t="n"/>
      <c r="AK169" s="512" t="n"/>
      <c r="AL169" s="512" t="n"/>
      <c r="AM169" s="512" t="n"/>
      <c r="AN169" s="512" t="n"/>
    </row>
    <row r="170" customFormat="1" s="422">
      <c r="A170" s="426" t="inlineStr">
        <is>
          <t>1H India</t>
        </is>
      </c>
      <c r="B170" s="597" t="n"/>
      <c r="C170" s="597" t="n"/>
      <c r="D170" s="597" t="n"/>
      <c r="E170" s="597" t="n"/>
      <c r="F170" s="597" t="n"/>
      <c r="G170" s="597" t="n"/>
      <c r="H170" s="597" t="n"/>
      <c r="I170" s="597" t="n"/>
      <c r="J170" s="597" t="n"/>
      <c r="K170" s="597" t="n"/>
      <c r="L170" s="597" t="n"/>
      <c r="M170" s="597" t="n"/>
      <c r="N170" s="597" t="n"/>
      <c r="O170" s="597" t="n"/>
      <c r="P170" s="599" t="n"/>
      <c r="Q170" s="445" t="n"/>
      <c r="R170" s="445" t="n"/>
      <c r="S170" s="445" t="n"/>
      <c r="T170" s="560" t="n">
        <v>115</v>
      </c>
      <c r="U170" s="560" t="n">
        <v>183</v>
      </c>
      <c r="V170" s="560" t="n">
        <v>-19</v>
      </c>
      <c r="W170" s="560" t="n">
        <v>-212</v>
      </c>
      <c r="X170" s="560" t="n">
        <v>82</v>
      </c>
      <c r="Y170" s="560" t="n">
        <v>92</v>
      </c>
      <c r="Z170" s="560" t="n">
        <v>200</v>
      </c>
      <c r="AA170" s="560" t="n">
        <v>242</v>
      </c>
      <c r="AB170" s="560" t="n">
        <v>251</v>
      </c>
      <c r="AC170" s="560" t="n">
        <v>120</v>
      </c>
      <c r="AD170" s="560" t="n"/>
      <c r="AE170" s="560" t="n"/>
      <c r="AF170" s="560" t="n"/>
      <c r="AG170" s="560" t="n"/>
      <c r="AH170" s="560" t="n"/>
      <c r="AI170" s="560" t="n"/>
      <c r="AJ170" s="560" t="n"/>
      <c r="AK170" s="560" t="n"/>
      <c r="AL170" s="560" t="n"/>
      <c r="AM170" s="560" t="n"/>
      <c r="AN170" s="560" t="n"/>
    </row>
    <row r="171">
      <c r="A171" s="427" t="inlineStr">
        <is>
          <t>%</t>
        </is>
      </c>
      <c r="B171" s="526" t="n"/>
      <c r="C171" s="526" t="n"/>
      <c r="D171" s="526" t="n"/>
      <c r="E171" s="526" t="n"/>
      <c r="F171" s="526" t="n"/>
      <c r="G171" s="526" t="n"/>
      <c r="H171" s="526" t="n"/>
      <c r="I171" s="526" t="n"/>
      <c r="J171" s="526" t="n"/>
      <c r="K171" s="526" t="n"/>
      <c r="L171" s="526" t="n"/>
      <c r="M171" s="526" t="n"/>
      <c r="N171" s="526" t="n"/>
      <c r="O171" s="526" t="n"/>
      <c r="P171" s="555" t="n"/>
      <c r="Q171" s="446" t="n"/>
      <c r="R171" s="446" t="n"/>
      <c r="S171" s="446" t="n"/>
      <c r="T171" s="446">
        <f>T170/Driver!T54</f>
        <v/>
      </c>
      <c r="U171" s="446">
        <f>U170/Driver!U54</f>
        <v/>
      </c>
      <c r="V171" s="446">
        <f>V170/Driver!V54</f>
        <v/>
      </c>
      <c r="W171" s="446">
        <f>W170/Driver!W54</f>
        <v/>
      </c>
      <c r="X171" s="446">
        <f>X170/Driver!X54</f>
        <v/>
      </c>
      <c r="Y171" s="446">
        <f>Y170/Driver!Y54</f>
        <v/>
      </c>
      <c r="Z171" s="446">
        <f>Z170/Driver!Z54</f>
        <v/>
      </c>
      <c r="AA171" s="446">
        <f>AA170/Driver!AA54</f>
        <v/>
      </c>
      <c r="AB171" s="446">
        <f>AB170/Driver!AB54</f>
        <v/>
      </c>
      <c r="AC171" s="446">
        <f>AC170/Driver!AC54</f>
        <v/>
      </c>
      <c r="AD171" s="512" t="n"/>
      <c r="AE171" s="512" t="n"/>
      <c r="AF171" s="512" t="n"/>
      <c r="AG171" s="512" t="n"/>
      <c r="AH171" s="512" t="n"/>
      <c r="AI171" s="512" t="n"/>
      <c r="AJ171" s="512" t="n"/>
      <c r="AK171" s="512" t="n"/>
      <c r="AL171" s="512" t="n"/>
      <c r="AM171" s="512" t="n"/>
      <c r="AN171" s="512" t="n"/>
    </row>
    <row r="172" customFormat="1" s="422">
      <c r="A172" s="426" t="inlineStr">
        <is>
          <t>1H SEA and TW</t>
        </is>
      </c>
      <c r="B172" s="597" t="n"/>
      <c r="C172" s="597" t="n"/>
      <c r="D172" s="597" t="n"/>
      <c r="E172" s="597" t="n"/>
      <c r="F172" s="597" t="n"/>
      <c r="G172" s="597" t="n"/>
      <c r="H172" s="597" t="n"/>
      <c r="I172" s="597" t="n"/>
      <c r="J172" s="597" t="n"/>
      <c r="K172" s="597" t="n"/>
      <c r="L172" s="597" t="n"/>
      <c r="M172" s="597" t="n"/>
      <c r="N172" s="597" t="n"/>
      <c r="O172" s="597" t="n"/>
      <c r="P172" s="599" t="n"/>
      <c r="Q172" s="445" t="n"/>
      <c r="R172" s="445" t="n"/>
      <c r="S172" s="445" t="n"/>
      <c r="T172" s="560" t="n">
        <v>191</v>
      </c>
      <c r="U172" s="560" t="n">
        <v>28</v>
      </c>
      <c r="V172" s="560" t="n">
        <v>73</v>
      </c>
      <c r="W172" s="560" t="n">
        <v>63</v>
      </c>
      <c r="X172" s="560" t="n">
        <v>113</v>
      </c>
      <c r="Y172" s="560" t="n">
        <v>140</v>
      </c>
      <c r="Z172" s="560" t="n">
        <v>119</v>
      </c>
      <c r="AA172" s="560" t="n">
        <v>81</v>
      </c>
      <c r="AB172" s="560" t="n">
        <v>68</v>
      </c>
      <c r="AC172" s="560" t="n">
        <v>140</v>
      </c>
      <c r="AD172" s="560" t="n"/>
      <c r="AE172" s="560" t="n"/>
      <c r="AF172" s="560" t="n"/>
      <c r="AG172" s="560" t="n"/>
      <c r="AH172" s="560" t="n"/>
      <c r="AI172" s="560" t="n"/>
      <c r="AJ172" s="560" t="n"/>
      <c r="AK172" s="560" t="n"/>
      <c r="AL172" s="560" t="n"/>
      <c r="AM172" s="560" t="n"/>
      <c r="AN172" s="560" t="n"/>
    </row>
    <row r="173">
      <c r="A173" s="427" t="inlineStr">
        <is>
          <t>%</t>
        </is>
      </c>
      <c r="B173" s="526" t="n"/>
      <c r="C173" s="526" t="n"/>
      <c r="D173" s="526" t="n"/>
      <c r="E173" s="526" t="n"/>
      <c r="F173" s="526" t="n"/>
      <c r="G173" s="526" t="n"/>
      <c r="H173" s="526" t="n"/>
      <c r="I173" s="526" t="n"/>
      <c r="J173" s="526" t="n"/>
      <c r="K173" s="526" t="n"/>
      <c r="L173" s="526" t="n"/>
      <c r="M173" s="526" t="n"/>
      <c r="N173" s="526" t="n"/>
      <c r="O173" s="526" t="n"/>
      <c r="P173" s="555" t="n"/>
      <c r="Q173" s="446" t="n"/>
      <c r="R173" s="446" t="n"/>
      <c r="S173" s="446" t="n"/>
      <c r="T173" s="446">
        <f>T172/Driver!T55</f>
        <v/>
      </c>
      <c r="U173" s="446">
        <f>U172/Driver!U55</f>
        <v/>
      </c>
      <c r="V173" s="446">
        <f>V172/Driver!V55</f>
        <v/>
      </c>
      <c r="W173" s="446">
        <f>W172/Driver!W55</f>
        <v/>
      </c>
      <c r="X173" s="446">
        <f>X172/Driver!X55</f>
        <v/>
      </c>
      <c r="Y173" s="446">
        <f>Y172/Driver!Y55</f>
        <v/>
      </c>
      <c r="Z173" s="446">
        <f>Z172/Driver!Z55</f>
        <v/>
      </c>
      <c r="AA173" s="446">
        <f>AA172/Driver!AA55</f>
        <v/>
      </c>
      <c r="AB173" s="446">
        <f>AB172/Driver!AB55</f>
        <v/>
      </c>
      <c r="AC173" s="446">
        <f>AC172/Driver!AC55</f>
        <v/>
      </c>
      <c r="AD173" s="512" t="n"/>
      <c r="AE173" s="512" t="n"/>
      <c r="AF173" s="512" t="n"/>
      <c r="AG173" s="512" t="n"/>
      <c r="AH173" s="512" t="n"/>
      <c r="AI173" s="512" t="n"/>
      <c r="AJ173" s="512" t="n"/>
      <c r="AK173" s="512" t="n"/>
      <c r="AL173" s="512" t="n"/>
      <c r="AM173" s="512" t="n"/>
      <c r="AN173" s="512" t="n"/>
    </row>
    <row r="174" customFormat="1" s="422">
      <c r="A174" s="426" t="inlineStr">
        <is>
          <t>Other, net</t>
        </is>
      </c>
      <c r="B174" s="597" t="n"/>
      <c r="C174" s="597" t="n"/>
      <c r="D174" s="597" t="n"/>
      <c r="E174" s="597" t="n"/>
      <c r="F174" s="597" t="n"/>
      <c r="G174" s="597" t="n"/>
      <c r="H174" s="597" t="n"/>
      <c r="I174" s="597" t="n"/>
      <c r="J174" s="597" t="n"/>
      <c r="K174" s="597" t="n"/>
      <c r="L174" s="597" t="n"/>
      <c r="M174" s="597" t="n"/>
      <c r="N174" s="597" t="n"/>
      <c r="O174" s="597" t="n"/>
      <c r="P174" s="599" t="n"/>
      <c r="Q174" s="445" t="n"/>
      <c r="R174" s="445" t="n"/>
      <c r="S174" s="445" t="n"/>
      <c r="T174" s="560">
        <f>T158-T162-T164-T166-T168-T170-T172</f>
        <v/>
      </c>
      <c r="U174" s="560">
        <f>U158-U162-U164-U166-U168-U170-U172</f>
        <v/>
      </c>
      <c r="V174" s="560">
        <f>V158-V162-V164-V166-V168-V170-V172</f>
        <v/>
      </c>
      <c r="W174" s="560">
        <f>W158-W162-W164-W166-W168-W170-W172</f>
        <v/>
      </c>
      <c r="X174" s="560">
        <f>X158-X162-X164-X166-X168-X170-X172</f>
        <v/>
      </c>
      <c r="Y174" s="560">
        <f>Y158-Y162-Y164-Y166-Y168-Y170-Y172</f>
        <v/>
      </c>
      <c r="Z174" s="560">
        <f>Z158-Z162-Z164-Z166-Z168-Z170-Z172</f>
        <v/>
      </c>
      <c r="AA174" s="560">
        <f>AA158-AA162-AA164-AA166-AA168-AA170-AA172</f>
        <v/>
      </c>
      <c r="AB174" s="560">
        <f>AB158-AB162-AB164-AB166-AB168-AB170-AB172</f>
        <v/>
      </c>
      <c r="AC174" s="560">
        <f>AC158-AC162-AC164-AC166-AC168-AC170-AC172</f>
        <v/>
      </c>
      <c r="AD174" s="560" t="n"/>
      <c r="AE174" s="560" t="n"/>
      <c r="AF174" s="560" t="n"/>
      <c r="AG174" s="560" t="n"/>
      <c r="AH174" s="560" t="n"/>
      <c r="AI174" s="560" t="n"/>
      <c r="AJ174" s="560" t="n"/>
      <c r="AK174" s="560" t="n"/>
      <c r="AL174" s="560" t="n"/>
      <c r="AM174" s="560" t="n"/>
      <c r="AN174" s="560" t="n"/>
    </row>
    <row r="175">
      <c r="A175" s="427" t="inlineStr">
        <is>
          <t>%</t>
        </is>
      </c>
      <c r="B175" s="526" t="n"/>
      <c r="C175" s="526" t="n"/>
      <c r="D175" s="526" t="n"/>
      <c r="E175" s="526" t="n"/>
      <c r="F175" s="526" t="n"/>
      <c r="G175" s="526" t="n"/>
      <c r="H175" s="526" t="n"/>
      <c r="I175" s="526" t="n"/>
      <c r="J175" s="526" t="n"/>
      <c r="K175" s="526" t="n"/>
      <c r="L175" s="526" t="n"/>
      <c r="M175" s="526" t="n"/>
      <c r="N175" s="526" t="n"/>
      <c r="O175" s="526" t="n"/>
      <c r="P175" s="555" t="n"/>
      <c r="Q175" s="446" t="n"/>
      <c r="R175" s="446" t="n"/>
      <c r="S175" s="446" t="n"/>
      <c r="T175" s="446">
        <f>T174/Driver!T57</f>
        <v/>
      </c>
      <c r="U175" s="446">
        <f>U174/Driver!U57</f>
        <v/>
      </c>
      <c r="V175" s="446">
        <f>V174/Driver!V57</f>
        <v/>
      </c>
      <c r="W175" s="446">
        <f>W174/Driver!W57</f>
        <v/>
      </c>
      <c r="X175" s="446">
        <f>X174/Driver!X57</f>
        <v/>
      </c>
      <c r="Y175" s="446">
        <f>Y174/Driver!Y57</f>
        <v/>
      </c>
      <c r="Z175" s="446">
        <f>Z174/Driver!Z57</f>
        <v/>
      </c>
      <c r="AA175" s="446">
        <f>AA174/Driver!AA57</f>
        <v/>
      </c>
      <c r="AB175" s="446">
        <f>AB174/Driver!AB57</f>
        <v/>
      </c>
      <c r="AC175" s="446">
        <f>AC174/Driver!AC57</f>
        <v/>
      </c>
      <c r="AD175" s="512" t="n"/>
      <c r="AE175" s="512" t="n"/>
      <c r="AF175" s="512" t="n"/>
      <c r="AG175" s="512" t="n"/>
      <c r="AH175" s="512" t="n"/>
      <c r="AI175" s="512" t="n"/>
      <c r="AJ175" s="512" t="n"/>
      <c r="AK175" s="512" t="n"/>
      <c r="AL175" s="512" t="n"/>
      <c r="AM175" s="512" t="n"/>
      <c r="AN175" s="512" t="n"/>
    </row>
    <row r="176">
      <c r="B176" s="526" t="n"/>
      <c r="C176" s="526" t="n"/>
      <c r="D176" s="526" t="n"/>
      <c r="E176" s="526" t="n"/>
      <c r="F176" s="526" t="n"/>
      <c r="G176" s="526" t="n"/>
      <c r="H176" s="526" t="n"/>
      <c r="I176" s="526" t="n"/>
      <c r="J176" s="526" t="n"/>
      <c r="K176" s="526" t="n"/>
      <c r="L176" s="526" t="n"/>
      <c r="M176" s="526" t="n"/>
      <c r="N176" s="526" t="n"/>
      <c r="O176" s="526" t="n"/>
      <c r="P176" s="555" t="n"/>
      <c r="Q176" s="446" t="n"/>
      <c r="R176" s="446" t="n"/>
      <c r="S176" s="446" t="n"/>
      <c r="T176" s="446" t="n"/>
      <c r="U176" s="446" t="n"/>
      <c r="V176" s="446" t="n"/>
      <c r="W176" s="446" t="n"/>
      <c r="X176" s="446" t="n"/>
      <c r="Y176" s="446" t="n"/>
      <c r="Z176" s="446" t="n"/>
      <c r="AB176" s="512" t="n"/>
      <c r="AC176" s="512" t="n"/>
      <c r="AD176" s="512" t="n"/>
      <c r="AE176" s="512" t="n"/>
      <c r="AF176" s="512" t="n"/>
      <c r="AG176" s="512" t="n"/>
      <c r="AH176" s="512" t="n"/>
      <c r="AI176" s="512" t="n"/>
      <c r="AJ176" s="512" t="n"/>
      <c r="AK176" s="512" t="n"/>
      <c r="AL176" s="512" t="n"/>
      <c r="AM176" s="512" t="n"/>
      <c r="AN176" s="512" t="n"/>
    </row>
    <row r="177">
      <c r="A177" s="400" t="inlineStr">
        <is>
          <t xml:space="preserve">Note: </t>
        </is>
      </c>
      <c r="B177" s="43" t="n"/>
      <c r="C177" s="43" t="n"/>
      <c r="D177" s="43" t="n"/>
      <c r="E177" s="43" t="n"/>
      <c r="F177" s="43" t="n"/>
      <c r="G177" s="43" t="n"/>
      <c r="H177" s="43" t="n"/>
      <c r="I177" s="43" t="n"/>
      <c r="J177" s="43" t="n"/>
      <c r="K177" s="43" t="n"/>
      <c r="L177" s="43" t="n"/>
      <c r="M177" s="43" t="n"/>
      <c r="N177" s="43" t="n"/>
      <c r="O177" s="43" t="n"/>
      <c r="P177" s="43" t="n"/>
      <c r="Q177" s="43" t="n"/>
      <c r="R177" s="43" t="n"/>
      <c r="T177" s="401" t="inlineStr">
        <is>
          <t>China segement includes "Mainland Business" and "PSDC &amp; HK Branch Line"</t>
        </is>
      </c>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T178" s="401" t="inlineStr">
        <is>
          <t>SoC segment refers to "Local Electricity Business"</t>
        </is>
      </c>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T179" s="401" t="inlineStr">
        <is>
          <t>Daya Bay and PSDC+HKBL are based in China, but used to serve HK</t>
        </is>
      </c>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T180" s="401" t="inlineStr">
        <is>
          <t>HK exports power to China - Power sales to GD from HK</t>
        </is>
      </c>
      <c r="Z180" s="12" t="n"/>
      <c r="AA180" s="12" t="n"/>
      <c r="AB180" s="12" t="n"/>
      <c r="AC180" s="12" t="n"/>
      <c r="AD180" s="12" t="n"/>
      <c r="AE180" s="12" t="n"/>
      <c r="AF180" s="12" t="n"/>
      <c r="AG180" s="12" t="n"/>
      <c r="AH180" s="12" t="n"/>
      <c r="AI180" s="12" t="n"/>
      <c r="AJ180" s="12" t="n"/>
      <c r="AK180" s="12" t="n"/>
      <c r="AL180" s="12" t="n"/>
      <c r="AM180" s="12" t="n"/>
      <c r="AN180" s="12"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Z181" s="12" t="n"/>
      <c r="AA181" s="12" t="n"/>
      <c r="AB181" s="12" t="n"/>
      <c r="AC181" s="12" t="n"/>
      <c r="AD181" s="12" t="n"/>
      <c r="AE181" s="12" t="n"/>
      <c r="AF181" s="12" t="n"/>
      <c r="AG181" s="12" t="n"/>
      <c r="AH181" s="12" t="n"/>
      <c r="AI181" s="12" t="n"/>
      <c r="AJ181" s="12" t="n"/>
      <c r="AK181" s="12" t="n"/>
      <c r="AL181" s="12" t="n"/>
      <c r="AM181" s="12" t="n"/>
      <c r="AN181" s="12"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Z182" s="12" t="n"/>
      <c r="AA182" s="12" t="n"/>
      <c r="AB182" s="12" t="n"/>
      <c r="AC182" s="12" t="n"/>
      <c r="AD182" s="12" t="n"/>
      <c r="AE182" s="12" t="n"/>
      <c r="AF182" s="12" t="n"/>
      <c r="AG182" s="12" t="n"/>
      <c r="AH182" s="12" t="n"/>
      <c r="AI182" s="12" t="n"/>
      <c r="AJ182" s="12" t="n"/>
      <c r="AK182" s="12" t="n"/>
      <c r="AL182" s="12" t="n"/>
      <c r="AM182" s="12" t="n"/>
      <c r="AN182" s="12"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W183" s="604" t="n"/>
      <c r="X183" s="604" t="n"/>
      <c r="Z183" s="12" t="n"/>
      <c r="AA183" s="12" t="n"/>
      <c r="AB183" s="12" t="n"/>
      <c r="AC183" s="12" t="n"/>
      <c r="AD183" s="12" t="n"/>
      <c r="AE183" s="12" t="n"/>
      <c r="AF183" s="12" t="n"/>
      <c r="AG183" s="12" t="n"/>
      <c r="AH183" s="12" t="n"/>
      <c r="AI183" s="12" t="n"/>
      <c r="AJ183" s="12" t="n"/>
      <c r="AK183" s="12" t="n"/>
      <c r="AL183" s="12" t="n"/>
      <c r="AM183" s="12" t="n"/>
      <c r="AN183" s="12"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W184" s="604" t="n"/>
      <c r="X184" s="604" t="n"/>
      <c r="Y184" s="604" t="n"/>
      <c r="Z184" s="12" t="n"/>
      <c r="AA184" s="12" t="n"/>
      <c r="AB184" s="12" t="n"/>
      <c r="AC184" s="12" t="n"/>
      <c r="AD184" s="12" t="n"/>
      <c r="AE184" s="12" t="n"/>
      <c r="AF184" s="12" t="n"/>
      <c r="AG184" s="12" t="n"/>
      <c r="AH184" s="12" t="n"/>
      <c r="AI184" s="12" t="n"/>
      <c r="AJ184" s="12" t="n"/>
      <c r="AK184" s="12" t="n"/>
      <c r="AL184" s="12" t="n"/>
      <c r="AM184" s="12" t="n"/>
      <c r="AN184" s="12"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Z185" s="12" t="n"/>
      <c r="AA185" s="12" t="n"/>
      <c r="AB185" s="12" t="n"/>
      <c r="AC185" s="12" t="n"/>
      <c r="AD185" s="12" t="n"/>
      <c r="AE185" s="12" t="n"/>
      <c r="AF185" s="12" t="n"/>
      <c r="AG185" s="12" t="n"/>
      <c r="AH185" s="12" t="n"/>
      <c r="AI185" s="12" t="n"/>
      <c r="AJ185" s="12" t="n"/>
      <c r="AK185" s="12" t="n"/>
      <c r="AL185" s="12" t="n"/>
      <c r="AM185" s="12" t="n"/>
      <c r="AN185" s="12"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Z186" s="12" t="n"/>
      <c r="AA186" s="12" t="n"/>
      <c r="AB186" s="12" t="n"/>
      <c r="AC186" s="12" t="n"/>
      <c r="AD186" s="12" t="n"/>
      <c r="AE186" s="12" t="n"/>
      <c r="AF186" s="12" t="n"/>
      <c r="AG186" s="12" t="n"/>
      <c r="AH186" s="12" t="n"/>
      <c r="AI186" s="12" t="n"/>
      <c r="AJ186" s="12" t="n"/>
      <c r="AK186" s="12" t="n"/>
      <c r="AL186" s="12" t="n"/>
      <c r="AM186" s="12" t="n"/>
      <c r="AN186" s="12"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Z187" s="12" t="n"/>
      <c r="AA187" s="12" t="n"/>
      <c r="AB187" s="12" t="n"/>
      <c r="AC187" s="12" t="n"/>
      <c r="AD187" s="12" t="n"/>
      <c r="AE187" s="12" t="n"/>
      <c r="AF187" s="12" t="n"/>
      <c r="AG187" s="12" t="n"/>
      <c r="AH187" s="12" t="n"/>
      <c r="AI187" s="12" t="n"/>
      <c r="AJ187" s="12" t="n"/>
      <c r="AK187" s="12" t="n"/>
      <c r="AL187" s="12" t="n"/>
      <c r="AM187" s="12" t="n"/>
      <c r="AN187" s="12"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Z188" s="12" t="n"/>
      <c r="AA188" s="12" t="n"/>
      <c r="AB188" s="12" t="n"/>
      <c r="AC188" s="12" t="n"/>
      <c r="AD188" s="12" t="n"/>
      <c r="AE188" s="12" t="n"/>
      <c r="AF188" s="12" t="n"/>
      <c r="AG188" s="12" t="n"/>
      <c r="AH188" s="12" t="n"/>
      <c r="AI188" s="12" t="n"/>
      <c r="AJ188" s="12" t="n"/>
      <c r="AK188" s="12" t="n"/>
      <c r="AL188" s="12" t="n"/>
      <c r="AM188" s="12" t="n"/>
      <c r="AN188" s="12"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Z189" s="12" t="n"/>
      <c r="AA189" s="12" t="n"/>
      <c r="AB189" s="12" t="n"/>
      <c r="AC189" s="12" t="n"/>
      <c r="AD189" s="12" t="n"/>
      <c r="AE189" s="12" t="n"/>
      <c r="AF189" s="12" t="n"/>
      <c r="AG189" s="12" t="n"/>
      <c r="AH189" s="12" t="n"/>
      <c r="AI189" s="12" t="n"/>
      <c r="AJ189" s="12" t="n"/>
      <c r="AK189" s="12" t="n"/>
      <c r="AL189" s="12" t="n"/>
      <c r="AM189" s="12" t="n"/>
      <c r="AN189" s="12"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Z190" s="12" t="n"/>
      <c r="AA190" s="12" t="n"/>
      <c r="AB190" s="12" t="n"/>
      <c r="AC190" s="12" t="n"/>
      <c r="AD190" s="12" t="n"/>
      <c r="AE190" s="12" t="n"/>
      <c r="AF190" s="12" t="n"/>
      <c r="AG190" s="12" t="n"/>
      <c r="AH190" s="12" t="n"/>
      <c r="AI190" s="12" t="n"/>
      <c r="AJ190" s="12" t="n"/>
      <c r="AK190" s="12" t="n"/>
      <c r="AL190" s="12" t="n"/>
      <c r="AM190" s="12" t="n"/>
      <c r="AN190" s="12"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Z191" s="12" t="n"/>
      <c r="AA191" s="12" t="n"/>
      <c r="AB191" s="12" t="n"/>
      <c r="AC191" s="12" t="n"/>
      <c r="AD191" s="12" t="n"/>
      <c r="AE191" s="12" t="n"/>
      <c r="AF191" s="12" t="n"/>
      <c r="AG191" s="12" t="n"/>
      <c r="AH191" s="12" t="n"/>
      <c r="AI191" s="12" t="n"/>
      <c r="AJ191" s="12" t="n"/>
      <c r="AK191" s="12" t="n"/>
      <c r="AL191" s="12" t="n"/>
      <c r="AM191" s="12" t="n"/>
      <c r="AN191" s="12"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Z192" s="12" t="n"/>
      <c r="AA192" s="12" t="n"/>
      <c r="AB192" s="12" t="n"/>
      <c r="AC192" s="12" t="n"/>
      <c r="AD192" s="12" t="n"/>
      <c r="AE192" s="12" t="n"/>
      <c r="AF192" s="12" t="n"/>
      <c r="AG192" s="12" t="n"/>
      <c r="AH192" s="12" t="n"/>
      <c r="AI192" s="12" t="n"/>
      <c r="AJ192" s="12" t="n"/>
      <c r="AK192" s="12" t="n"/>
      <c r="AL192" s="12" t="n"/>
      <c r="AM192" s="12" t="n"/>
      <c r="AN192" s="12"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Z193" s="12" t="n"/>
      <c r="AA193" s="12" t="n"/>
      <c r="AB193" s="12" t="n"/>
      <c r="AC193" s="12" t="n"/>
      <c r="AD193" s="12" t="n"/>
      <c r="AE193" s="12" t="n"/>
      <c r="AF193" s="12" t="n"/>
      <c r="AG193" s="12" t="n"/>
      <c r="AH193" s="12" t="n"/>
      <c r="AI193" s="12" t="n"/>
      <c r="AJ193" s="12" t="n"/>
      <c r="AK193" s="12" t="n"/>
      <c r="AL193" s="12" t="n"/>
      <c r="AM193" s="12" t="n"/>
      <c r="AN193" s="12"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Z194" s="12" t="n"/>
      <c r="AA194" s="12" t="n"/>
      <c r="AB194" s="12" t="n"/>
      <c r="AC194" s="12" t="n"/>
      <c r="AD194" s="12" t="n"/>
      <c r="AE194" s="12" t="n"/>
      <c r="AF194" s="12" t="n"/>
      <c r="AG194" s="12" t="n"/>
      <c r="AH194" s="12" t="n"/>
      <c r="AI194" s="12" t="n"/>
      <c r="AJ194" s="12" t="n"/>
      <c r="AK194" s="12" t="n"/>
      <c r="AL194" s="12" t="n"/>
      <c r="AM194" s="12" t="n"/>
      <c r="AN194" s="12"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Z195" s="12" t="n"/>
      <c r="AA195" s="12" t="n"/>
      <c r="AB195" s="12" t="n"/>
      <c r="AC195" s="12" t="n"/>
      <c r="AD195" s="12" t="n"/>
      <c r="AE195" s="12" t="n"/>
      <c r="AF195" s="12" t="n"/>
      <c r="AG195" s="12" t="n"/>
      <c r="AH195" s="12" t="n"/>
      <c r="AI195" s="12" t="n"/>
      <c r="AJ195" s="12" t="n"/>
      <c r="AK195" s="12" t="n"/>
      <c r="AL195" s="12" t="n"/>
      <c r="AM195" s="12" t="n"/>
      <c r="AN195" s="12"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Z196" s="12" t="n"/>
      <c r="AA196" s="12" t="n"/>
      <c r="AB196" s="12" t="n"/>
      <c r="AC196" s="12" t="n"/>
      <c r="AD196" s="12" t="n"/>
      <c r="AE196" s="12" t="n"/>
      <c r="AF196" s="12" t="n"/>
      <c r="AG196" s="12" t="n"/>
      <c r="AH196" s="12" t="n"/>
      <c r="AI196" s="12" t="n"/>
      <c r="AJ196" s="12" t="n"/>
      <c r="AK196" s="12" t="n"/>
      <c r="AL196" s="12" t="n"/>
      <c r="AM196" s="12" t="n"/>
      <c r="AN196" s="12"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Z197" s="12" t="n"/>
      <c r="AA197" s="12" t="n"/>
      <c r="AB197" s="12" t="n"/>
      <c r="AC197" s="12" t="n"/>
      <c r="AD197" s="12" t="n"/>
      <c r="AE197" s="12" t="n"/>
      <c r="AF197" s="12" t="n"/>
      <c r="AG197" s="12" t="n"/>
      <c r="AH197" s="12" t="n"/>
      <c r="AI197" s="12" t="n"/>
      <c r="AJ197" s="12" t="n"/>
      <c r="AK197" s="12" t="n"/>
      <c r="AL197" s="12" t="n"/>
      <c r="AM197" s="12" t="n"/>
      <c r="AN197" s="12"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Z198" s="12" t="n"/>
      <c r="AA198" s="12" t="n"/>
      <c r="AB198" s="12" t="n"/>
      <c r="AC198" s="12" t="n"/>
      <c r="AD198" s="12" t="n"/>
      <c r="AE198" s="12" t="n"/>
      <c r="AF198" s="12" t="n"/>
      <c r="AG198" s="12" t="n"/>
      <c r="AH198" s="12" t="n"/>
      <c r="AI198" s="12" t="n"/>
      <c r="AJ198" s="12" t="n"/>
      <c r="AK198" s="12" t="n"/>
      <c r="AL198" s="12" t="n"/>
      <c r="AM198" s="12" t="n"/>
      <c r="AN198" s="12"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Z199" s="12" t="n"/>
      <c r="AA199" s="12" t="n"/>
      <c r="AB199" s="12" t="n"/>
      <c r="AC199" s="12" t="n"/>
      <c r="AD199" s="12" t="n"/>
      <c r="AE199" s="12" t="n"/>
      <c r="AF199" s="12" t="n"/>
      <c r="AG199" s="12" t="n"/>
      <c r="AH199" s="12" t="n"/>
      <c r="AI199" s="12" t="n"/>
      <c r="AJ199" s="12" t="n"/>
      <c r="AK199" s="12" t="n"/>
      <c r="AL199" s="12" t="n"/>
      <c r="AM199" s="12" t="n"/>
      <c r="AN199" s="12"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Z200" s="12" t="n"/>
      <c r="AA200" s="12" t="n"/>
      <c r="AB200" s="12" t="n"/>
      <c r="AC200" s="12" t="n"/>
      <c r="AD200" s="12" t="n"/>
      <c r="AE200" s="12" t="n"/>
      <c r="AF200" s="12" t="n"/>
      <c r="AG200" s="12" t="n"/>
      <c r="AH200" s="12" t="n"/>
      <c r="AI200" s="12" t="n"/>
      <c r="AJ200" s="12" t="n"/>
      <c r="AK200" s="12" t="n"/>
      <c r="AL200" s="12" t="n"/>
      <c r="AM200" s="12" t="n"/>
      <c r="AN200" s="12"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Z201" s="12" t="n"/>
      <c r="AA201" s="12" t="n"/>
      <c r="AB201" s="12" t="n"/>
      <c r="AC201" s="12" t="n"/>
      <c r="AD201" s="12" t="n"/>
      <c r="AE201" s="12" t="n"/>
      <c r="AF201" s="12" t="n"/>
      <c r="AG201" s="12" t="n"/>
      <c r="AH201" s="12" t="n"/>
      <c r="AI201" s="12" t="n"/>
      <c r="AJ201" s="12" t="n"/>
      <c r="AK201" s="12" t="n"/>
      <c r="AL201" s="12" t="n"/>
      <c r="AM201" s="12" t="n"/>
      <c r="AN201" s="12"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Z202" s="12" t="n"/>
      <c r="AA202" s="12" t="n"/>
      <c r="AB202" s="12" t="n"/>
      <c r="AC202" s="12" t="n"/>
      <c r="AD202" s="12" t="n"/>
      <c r="AE202" s="12" t="n"/>
      <c r="AF202" s="12" t="n"/>
      <c r="AG202" s="12" t="n"/>
      <c r="AH202" s="12" t="n"/>
      <c r="AI202" s="12" t="n"/>
      <c r="AJ202" s="12" t="n"/>
      <c r="AK202" s="12" t="n"/>
      <c r="AL202" s="12" t="n"/>
      <c r="AM202" s="12" t="n"/>
      <c r="AN202" s="12"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Z203" s="12" t="n"/>
      <c r="AA203" s="12" t="n"/>
      <c r="AB203" s="12" t="n"/>
      <c r="AC203" s="12" t="n"/>
      <c r="AD203" s="12" t="n"/>
      <c r="AE203" s="12" t="n"/>
      <c r="AF203" s="12" t="n"/>
      <c r="AG203" s="12" t="n"/>
      <c r="AH203" s="12" t="n"/>
      <c r="AI203" s="12" t="n"/>
      <c r="AJ203" s="12" t="n"/>
      <c r="AK203" s="12" t="n"/>
      <c r="AL203" s="12" t="n"/>
      <c r="AM203" s="12" t="n"/>
      <c r="AN203" s="12"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Z204" s="12" t="n"/>
      <c r="AA204" s="12" t="n"/>
      <c r="AB204" s="12" t="n"/>
      <c r="AC204" s="12" t="n"/>
      <c r="AD204" s="12" t="n"/>
      <c r="AE204" s="12" t="n"/>
      <c r="AF204" s="12" t="n"/>
      <c r="AG204" s="12" t="n"/>
      <c r="AH204" s="12" t="n"/>
      <c r="AI204" s="12" t="n"/>
      <c r="AJ204" s="12" t="n"/>
      <c r="AK204" s="12" t="n"/>
      <c r="AL204" s="12" t="n"/>
      <c r="AM204" s="12" t="n"/>
      <c r="AN204" s="12"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Z205" s="12" t="n"/>
      <c r="AA205" s="12" t="n"/>
      <c r="AB205" s="12" t="n"/>
      <c r="AC205" s="12" t="n"/>
      <c r="AD205" s="12" t="n"/>
      <c r="AE205" s="12" t="n"/>
      <c r="AF205" s="12" t="n"/>
      <c r="AG205" s="12" t="n"/>
      <c r="AH205" s="12" t="n"/>
      <c r="AI205" s="12" t="n"/>
      <c r="AJ205" s="12" t="n"/>
      <c r="AK205" s="12" t="n"/>
      <c r="AL205" s="12" t="n"/>
      <c r="AM205" s="12" t="n"/>
      <c r="AN205" s="12"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Z206" s="12" t="n"/>
      <c r="AA206" s="12" t="n"/>
      <c r="AB206" s="12" t="n"/>
      <c r="AC206" s="12" t="n"/>
      <c r="AD206" s="12" t="n"/>
      <c r="AE206" s="12" t="n"/>
      <c r="AF206" s="12" t="n"/>
      <c r="AG206" s="12" t="n"/>
      <c r="AH206" s="12" t="n"/>
      <c r="AI206" s="12" t="n"/>
      <c r="AJ206" s="12" t="n"/>
      <c r="AK206" s="12" t="n"/>
      <c r="AL206" s="12" t="n"/>
      <c r="AM206" s="12" t="n"/>
      <c r="AN206" s="12"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Z207" s="12" t="n"/>
      <c r="AA207" s="12" t="n"/>
      <c r="AB207" s="12" t="n"/>
      <c r="AC207" s="12" t="n"/>
      <c r="AD207" s="12" t="n"/>
      <c r="AE207" s="12" t="n"/>
      <c r="AF207" s="12" t="n"/>
      <c r="AG207" s="12" t="n"/>
      <c r="AH207" s="12" t="n"/>
      <c r="AI207" s="12" t="n"/>
      <c r="AJ207" s="12" t="n"/>
      <c r="AK207" s="12" t="n"/>
      <c r="AL207" s="12" t="n"/>
      <c r="AM207" s="12" t="n"/>
      <c r="AN207" s="12"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Z208" s="12" t="n"/>
      <c r="AA208" s="12" t="n"/>
      <c r="AB208" s="12" t="n"/>
      <c r="AC208" s="12" t="n"/>
      <c r="AD208" s="12" t="n"/>
      <c r="AE208" s="12" t="n"/>
      <c r="AF208" s="12" t="n"/>
      <c r="AG208" s="12" t="n"/>
      <c r="AH208" s="12" t="n"/>
      <c r="AI208" s="12" t="n"/>
      <c r="AJ208" s="12" t="n"/>
      <c r="AK208" s="12" t="n"/>
      <c r="AL208" s="12" t="n"/>
      <c r="AM208" s="12" t="n"/>
      <c r="AN208" s="12"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Z209" s="12" t="n"/>
      <c r="AA209" s="12" t="n"/>
      <c r="AB209" s="12" t="n"/>
      <c r="AC209" s="12" t="n"/>
      <c r="AD209" s="12" t="n"/>
      <c r="AE209" s="12" t="n"/>
      <c r="AF209" s="12" t="n"/>
      <c r="AG209" s="12" t="n"/>
      <c r="AH209" s="12" t="n"/>
      <c r="AI209" s="12" t="n"/>
      <c r="AJ209" s="12" t="n"/>
      <c r="AK209" s="12" t="n"/>
      <c r="AL209" s="12" t="n"/>
      <c r="AM209" s="12" t="n"/>
      <c r="AN209" s="12"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Z210" s="12" t="n"/>
      <c r="AA210" s="12" t="n"/>
      <c r="AB210" s="12" t="n"/>
      <c r="AC210" s="12" t="n"/>
      <c r="AD210" s="12" t="n"/>
      <c r="AE210" s="12" t="n"/>
      <c r="AF210" s="12" t="n"/>
      <c r="AG210" s="12" t="n"/>
      <c r="AH210" s="12" t="n"/>
      <c r="AI210" s="12" t="n"/>
      <c r="AJ210" s="12" t="n"/>
      <c r="AK210" s="12" t="n"/>
      <c r="AL210" s="12" t="n"/>
      <c r="AM210" s="12" t="n"/>
      <c r="AN210" s="12"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Z211" s="12" t="n"/>
      <c r="AA211" s="12" t="n"/>
      <c r="AB211" s="12" t="n"/>
      <c r="AC211" s="12" t="n"/>
      <c r="AD211" s="12" t="n"/>
      <c r="AE211" s="12" t="n"/>
      <c r="AF211" s="12" t="n"/>
      <c r="AG211" s="12" t="n"/>
      <c r="AH211" s="12" t="n"/>
      <c r="AI211" s="12" t="n"/>
      <c r="AJ211" s="12" t="n"/>
      <c r="AK211" s="12" t="n"/>
      <c r="AL211" s="12" t="n"/>
      <c r="AM211" s="12" t="n"/>
      <c r="AN211" s="12"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Z212" s="12" t="n"/>
      <c r="AA212" s="12" t="n"/>
      <c r="AB212" s="12" t="n"/>
      <c r="AC212" s="12" t="n"/>
      <c r="AD212" s="12" t="n"/>
      <c r="AE212" s="12" t="n"/>
      <c r="AF212" s="12" t="n"/>
      <c r="AG212" s="12" t="n"/>
      <c r="AH212" s="12" t="n"/>
      <c r="AI212" s="12" t="n"/>
      <c r="AJ212" s="12" t="n"/>
      <c r="AK212" s="12" t="n"/>
      <c r="AL212" s="12" t="n"/>
      <c r="AM212" s="12" t="n"/>
      <c r="AN212" s="12"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Z213" s="12" t="n"/>
      <c r="AA213" s="12" t="n"/>
      <c r="AB213" s="12" t="n"/>
      <c r="AC213" s="12" t="n"/>
      <c r="AD213" s="12" t="n"/>
      <c r="AE213" s="12" t="n"/>
      <c r="AF213" s="12" t="n"/>
      <c r="AG213" s="12" t="n"/>
      <c r="AH213" s="12" t="n"/>
      <c r="AI213" s="12" t="n"/>
      <c r="AJ213" s="12" t="n"/>
      <c r="AK213" s="12" t="n"/>
      <c r="AL213" s="12" t="n"/>
      <c r="AM213" s="12" t="n"/>
      <c r="AN213" s="12"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Z214" s="12" t="n"/>
      <c r="AA214" s="12" t="n"/>
      <c r="AB214" s="12" t="n"/>
      <c r="AC214" s="12" t="n"/>
      <c r="AD214" s="12" t="n"/>
      <c r="AE214" s="12" t="n"/>
      <c r="AF214" s="12" t="n"/>
      <c r="AG214" s="12" t="n"/>
      <c r="AH214" s="12" t="n"/>
      <c r="AI214" s="12" t="n"/>
      <c r="AJ214" s="12" t="n"/>
      <c r="AK214" s="12" t="n"/>
      <c r="AL214" s="12" t="n"/>
      <c r="AM214" s="12" t="n"/>
      <c r="AN214" s="12"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Z215" s="12" t="n"/>
      <c r="AA215" s="12" t="n"/>
      <c r="AB215" s="12" t="n"/>
      <c r="AC215" s="12" t="n"/>
      <c r="AD215" s="12" t="n"/>
      <c r="AE215" s="12" t="n"/>
      <c r="AF215" s="12" t="n"/>
      <c r="AG215" s="12" t="n"/>
      <c r="AH215" s="12" t="n"/>
      <c r="AI215" s="12" t="n"/>
      <c r="AJ215" s="12" t="n"/>
      <c r="AK215" s="12" t="n"/>
      <c r="AL215" s="12" t="n"/>
      <c r="AM215" s="12" t="n"/>
      <c r="AN215" s="12"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Z216" s="12" t="n"/>
      <c r="AA216" s="12" t="n"/>
      <c r="AB216" s="12" t="n"/>
      <c r="AC216" s="12" t="n"/>
      <c r="AD216" s="12" t="n"/>
      <c r="AE216" s="12" t="n"/>
      <c r="AF216" s="12" t="n"/>
      <c r="AG216" s="12" t="n"/>
      <c r="AH216" s="12" t="n"/>
      <c r="AI216" s="12" t="n"/>
      <c r="AJ216" s="12" t="n"/>
      <c r="AK216" s="12" t="n"/>
      <c r="AL216" s="12" t="n"/>
      <c r="AM216" s="12" t="n"/>
      <c r="AN216" s="12"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Z217" s="12" t="n"/>
      <c r="AA217" s="12" t="n"/>
      <c r="AB217" s="12" t="n"/>
      <c r="AC217" s="12" t="n"/>
      <c r="AD217" s="12" t="n"/>
      <c r="AE217" s="12" t="n"/>
      <c r="AF217" s="12" t="n"/>
      <c r="AG217" s="12" t="n"/>
      <c r="AH217" s="12" t="n"/>
      <c r="AI217" s="12" t="n"/>
      <c r="AJ217" s="12" t="n"/>
      <c r="AK217" s="12" t="n"/>
      <c r="AL217" s="12" t="n"/>
      <c r="AM217" s="12" t="n"/>
      <c r="AN217" s="12"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Z218" s="12" t="n"/>
      <c r="AA218" s="12" t="n"/>
      <c r="AB218" s="12" t="n"/>
      <c r="AC218" s="12" t="n"/>
      <c r="AD218" s="12" t="n"/>
      <c r="AE218" s="12" t="n"/>
      <c r="AF218" s="12" t="n"/>
      <c r="AG218" s="12" t="n"/>
      <c r="AH218" s="12" t="n"/>
      <c r="AI218" s="12" t="n"/>
      <c r="AJ218" s="12" t="n"/>
      <c r="AK218" s="12" t="n"/>
      <c r="AL218" s="12" t="n"/>
      <c r="AM218" s="12" t="n"/>
      <c r="AN218" s="12"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Z219" s="12" t="n"/>
      <c r="AA219" s="12" t="n"/>
      <c r="AB219" s="12" t="n"/>
      <c r="AC219" s="12" t="n"/>
      <c r="AD219" s="12" t="n"/>
      <c r="AE219" s="12" t="n"/>
      <c r="AF219" s="12" t="n"/>
      <c r="AG219" s="12" t="n"/>
      <c r="AH219" s="12" t="n"/>
      <c r="AI219" s="12" t="n"/>
      <c r="AJ219" s="12" t="n"/>
      <c r="AK219" s="12" t="n"/>
      <c r="AL219" s="12" t="n"/>
      <c r="AM219" s="12" t="n"/>
      <c r="AN219" s="12"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Z220" s="12" t="n"/>
      <c r="AA220" s="12" t="n"/>
      <c r="AB220" s="12" t="n"/>
      <c r="AC220" s="12" t="n"/>
      <c r="AD220" s="12" t="n"/>
      <c r="AE220" s="12" t="n"/>
      <c r="AF220" s="12" t="n"/>
      <c r="AG220" s="12" t="n"/>
      <c r="AH220" s="12" t="n"/>
      <c r="AI220" s="12" t="n"/>
      <c r="AJ220" s="12" t="n"/>
      <c r="AK220" s="12" t="n"/>
      <c r="AL220" s="12" t="n"/>
      <c r="AM220" s="12" t="n"/>
      <c r="AN220" s="12"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Z221" s="12" t="n"/>
      <c r="AA221" s="12" t="n"/>
      <c r="AB221" s="12" t="n"/>
      <c r="AC221" s="12" t="n"/>
      <c r="AD221" s="12" t="n"/>
      <c r="AE221" s="12" t="n"/>
      <c r="AF221" s="12" t="n"/>
      <c r="AG221" s="12" t="n"/>
      <c r="AH221" s="12" t="n"/>
      <c r="AI221" s="12" t="n"/>
      <c r="AJ221" s="12" t="n"/>
      <c r="AK221" s="12" t="n"/>
      <c r="AL221" s="12" t="n"/>
      <c r="AM221" s="12" t="n"/>
      <c r="AN221" s="12"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Z222" s="12" t="n"/>
      <c r="AA222" s="12" t="n"/>
      <c r="AB222" s="12" t="n"/>
      <c r="AC222" s="12" t="n"/>
      <c r="AD222" s="12" t="n"/>
      <c r="AE222" s="12" t="n"/>
      <c r="AF222" s="12" t="n"/>
      <c r="AG222" s="12" t="n"/>
      <c r="AH222" s="12" t="n"/>
      <c r="AI222" s="12" t="n"/>
      <c r="AJ222" s="12" t="n"/>
      <c r="AK222" s="12" t="n"/>
      <c r="AL222" s="12" t="n"/>
      <c r="AM222" s="12" t="n"/>
      <c r="AN222" s="12"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Z223" s="12" t="n"/>
      <c r="AA223" s="12" t="n"/>
      <c r="AB223" s="12" t="n"/>
      <c r="AC223" s="12" t="n"/>
      <c r="AD223" s="12" t="n"/>
      <c r="AE223" s="12" t="n"/>
      <c r="AF223" s="12" t="n"/>
      <c r="AG223" s="12" t="n"/>
      <c r="AH223" s="12" t="n"/>
      <c r="AI223" s="12" t="n"/>
      <c r="AJ223" s="12" t="n"/>
      <c r="AK223" s="12" t="n"/>
      <c r="AL223" s="12" t="n"/>
      <c r="AM223" s="12" t="n"/>
      <c r="AN223" s="12"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Z224" s="12" t="n"/>
      <c r="AA224" s="12" t="n"/>
      <c r="AB224" s="12" t="n"/>
      <c r="AC224" s="12" t="n"/>
      <c r="AD224" s="12" t="n"/>
      <c r="AE224" s="12" t="n"/>
      <c r="AF224" s="12" t="n"/>
      <c r="AG224" s="12" t="n"/>
      <c r="AH224" s="12" t="n"/>
      <c r="AI224" s="12" t="n"/>
      <c r="AJ224" s="12" t="n"/>
      <c r="AK224" s="12" t="n"/>
      <c r="AL224" s="12" t="n"/>
      <c r="AM224" s="12" t="n"/>
      <c r="AN224" s="12"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Z225" s="12" t="n"/>
      <c r="AA225" s="12" t="n"/>
      <c r="AB225" s="12" t="n"/>
      <c r="AC225" s="12" t="n"/>
      <c r="AD225" s="12" t="n"/>
      <c r="AE225" s="12" t="n"/>
      <c r="AF225" s="12" t="n"/>
      <c r="AG225" s="12" t="n"/>
      <c r="AH225" s="12" t="n"/>
      <c r="AI225" s="12" t="n"/>
      <c r="AJ225" s="12" t="n"/>
      <c r="AK225" s="12" t="n"/>
      <c r="AL225" s="12" t="n"/>
      <c r="AM225" s="12" t="n"/>
      <c r="AN225" s="12"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Z226" s="12" t="n"/>
      <c r="AA226" s="12" t="n"/>
      <c r="AB226" s="12" t="n"/>
      <c r="AC226" s="12" t="n"/>
      <c r="AD226" s="12" t="n"/>
      <c r="AE226" s="12" t="n"/>
      <c r="AF226" s="12" t="n"/>
      <c r="AG226" s="12" t="n"/>
      <c r="AH226" s="12" t="n"/>
      <c r="AI226" s="12" t="n"/>
      <c r="AJ226" s="12" t="n"/>
      <c r="AK226" s="12" t="n"/>
      <c r="AL226" s="12" t="n"/>
      <c r="AM226" s="12" t="n"/>
      <c r="AN226" s="12"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Z227" s="12" t="n"/>
      <c r="AA227" s="12" t="n"/>
      <c r="AB227" s="12" t="n"/>
      <c r="AC227" s="12" t="n"/>
      <c r="AD227" s="12" t="n"/>
      <c r="AE227" s="12" t="n"/>
      <c r="AF227" s="12" t="n"/>
      <c r="AG227" s="12" t="n"/>
      <c r="AH227" s="12" t="n"/>
      <c r="AI227" s="12" t="n"/>
      <c r="AJ227" s="12" t="n"/>
      <c r="AK227" s="12" t="n"/>
      <c r="AL227" s="12" t="n"/>
      <c r="AM227" s="12" t="n"/>
      <c r="AN227" s="12"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Z228" s="12" t="n"/>
      <c r="AA228" s="12" t="n"/>
      <c r="AB228" s="12" t="n"/>
      <c r="AC228" s="12" t="n"/>
      <c r="AD228" s="12" t="n"/>
      <c r="AE228" s="12" t="n"/>
      <c r="AF228" s="12" t="n"/>
      <c r="AG228" s="12" t="n"/>
      <c r="AH228" s="12" t="n"/>
      <c r="AI228" s="12" t="n"/>
      <c r="AJ228" s="12" t="n"/>
      <c r="AK228" s="12" t="n"/>
      <c r="AL228" s="12" t="n"/>
      <c r="AM228" s="12" t="n"/>
      <c r="AN228" s="12"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Z229" s="12" t="n"/>
      <c r="AA229" s="12" t="n"/>
      <c r="AB229" s="12" t="n"/>
      <c r="AC229" s="12" t="n"/>
      <c r="AD229" s="12" t="n"/>
      <c r="AE229" s="12" t="n"/>
      <c r="AF229" s="12" t="n"/>
      <c r="AG229" s="12" t="n"/>
      <c r="AH229" s="12" t="n"/>
      <c r="AI229" s="12" t="n"/>
      <c r="AJ229" s="12" t="n"/>
      <c r="AK229" s="12" t="n"/>
      <c r="AL229" s="12" t="n"/>
      <c r="AM229" s="12" t="n"/>
      <c r="AN229" s="12"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Z230" s="12" t="n"/>
      <c r="AA230" s="12" t="n"/>
      <c r="AB230" s="12" t="n"/>
      <c r="AC230" s="12" t="n"/>
      <c r="AD230" s="12" t="n"/>
      <c r="AE230" s="12" t="n"/>
      <c r="AF230" s="12" t="n"/>
      <c r="AG230" s="12" t="n"/>
      <c r="AH230" s="12" t="n"/>
      <c r="AI230" s="12" t="n"/>
      <c r="AJ230" s="12" t="n"/>
      <c r="AK230" s="12" t="n"/>
      <c r="AL230" s="12" t="n"/>
      <c r="AM230" s="12" t="n"/>
      <c r="AN230" s="12"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Z231" s="12" t="n"/>
      <c r="AA231" s="12" t="n"/>
      <c r="AB231" s="12" t="n"/>
      <c r="AC231" s="12" t="n"/>
      <c r="AD231" s="12" t="n"/>
      <c r="AE231" s="12" t="n"/>
      <c r="AF231" s="12" t="n"/>
      <c r="AG231" s="12" t="n"/>
      <c r="AH231" s="12" t="n"/>
      <c r="AI231" s="12" t="n"/>
      <c r="AJ231" s="12" t="n"/>
      <c r="AK231" s="12" t="n"/>
      <c r="AL231" s="12" t="n"/>
      <c r="AM231" s="12" t="n"/>
      <c r="AN231" s="12"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Z232" s="12" t="n"/>
      <c r="AA232" s="12" t="n"/>
      <c r="AB232" s="12" t="n"/>
      <c r="AC232" s="12" t="n"/>
      <c r="AD232" s="12" t="n"/>
      <c r="AE232" s="12" t="n"/>
      <c r="AF232" s="12" t="n"/>
      <c r="AG232" s="12" t="n"/>
      <c r="AH232" s="12" t="n"/>
      <c r="AI232" s="12" t="n"/>
      <c r="AJ232" s="12" t="n"/>
      <c r="AK232" s="12" t="n"/>
      <c r="AL232" s="12" t="n"/>
      <c r="AM232" s="12" t="n"/>
      <c r="AN232" s="12"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Z233" s="12" t="n"/>
      <c r="AA233" s="12" t="n"/>
      <c r="AB233" s="12" t="n"/>
      <c r="AC233" s="12" t="n"/>
      <c r="AD233" s="12" t="n"/>
      <c r="AE233" s="12" t="n"/>
      <c r="AF233" s="12" t="n"/>
      <c r="AG233" s="12" t="n"/>
      <c r="AH233" s="12" t="n"/>
      <c r="AI233" s="12" t="n"/>
      <c r="AJ233" s="12" t="n"/>
      <c r="AK233" s="12" t="n"/>
      <c r="AL233" s="12" t="n"/>
      <c r="AM233" s="12" t="n"/>
      <c r="AN233" s="12"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Z234" s="12" t="n"/>
      <c r="AA234" s="12" t="n"/>
      <c r="AB234" s="12" t="n"/>
      <c r="AC234" s="12" t="n"/>
      <c r="AD234" s="12" t="n"/>
      <c r="AE234" s="12" t="n"/>
      <c r="AF234" s="12" t="n"/>
      <c r="AG234" s="12" t="n"/>
      <c r="AH234" s="12" t="n"/>
      <c r="AI234" s="12" t="n"/>
      <c r="AJ234" s="12" t="n"/>
      <c r="AK234" s="12" t="n"/>
      <c r="AL234" s="12" t="n"/>
      <c r="AM234" s="12" t="n"/>
      <c r="AN234" s="12"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Z235" s="12" t="n"/>
      <c r="AA235" s="12" t="n"/>
      <c r="AB235" s="12" t="n"/>
      <c r="AC235" s="12" t="n"/>
      <c r="AD235" s="12" t="n"/>
      <c r="AE235" s="12" t="n"/>
      <c r="AF235" s="12" t="n"/>
      <c r="AG235" s="12" t="n"/>
      <c r="AH235" s="12" t="n"/>
      <c r="AI235" s="12" t="n"/>
      <c r="AJ235" s="12" t="n"/>
      <c r="AK235" s="12" t="n"/>
      <c r="AL235" s="12" t="n"/>
      <c r="AM235" s="12" t="n"/>
      <c r="AN235" s="12"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Z236" s="12" t="n"/>
      <c r="AA236" s="12" t="n"/>
      <c r="AB236" s="12" t="n"/>
      <c r="AC236" s="12" t="n"/>
      <c r="AD236" s="12" t="n"/>
      <c r="AE236" s="12" t="n"/>
      <c r="AF236" s="12" t="n"/>
      <c r="AG236" s="12" t="n"/>
      <c r="AH236" s="12" t="n"/>
      <c r="AI236" s="12" t="n"/>
      <c r="AJ236" s="12" t="n"/>
      <c r="AK236" s="12" t="n"/>
      <c r="AL236" s="12" t="n"/>
      <c r="AM236" s="12" t="n"/>
      <c r="AN236" s="12"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Z237" s="12" t="n"/>
      <c r="AA237" s="12" t="n"/>
      <c r="AB237" s="12" t="n"/>
      <c r="AC237" s="12" t="n"/>
      <c r="AD237" s="12" t="n"/>
      <c r="AE237" s="12" t="n"/>
      <c r="AF237" s="12" t="n"/>
      <c r="AG237" s="12" t="n"/>
      <c r="AH237" s="12" t="n"/>
      <c r="AI237" s="12" t="n"/>
      <c r="AJ237" s="12" t="n"/>
      <c r="AK237" s="12" t="n"/>
      <c r="AL237" s="12" t="n"/>
      <c r="AM237" s="12" t="n"/>
      <c r="AN237" s="12"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Z238" s="12" t="n"/>
      <c r="AA238" s="12" t="n"/>
      <c r="AB238" s="12" t="n"/>
      <c r="AC238" s="12" t="n"/>
      <c r="AD238" s="12" t="n"/>
      <c r="AE238" s="12" t="n"/>
      <c r="AF238" s="12" t="n"/>
      <c r="AG238" s="12" t="n"/>
      <c r="AH238" s="12" t="n"/>
      <c r="AI238" s="12" t="n"/>
      <c r="AJ238" s="12" t="n"/>
      <c r="AK238" s="12" t="n"/>
      <c r="AL238" s="12" t="n"/>
      <c r="AM238" s="12" t="n"/>
      <c r="AN238" s="12"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Z239" s="12" t="n"/>
      <c r="AA239" s="12" t="n"/>
      <c r="AB239" s="12" t="n"/>
      <c r="AC239" s="12" t="n"/>
      <c r="AD239" s="12" t="n"/>
      <c r="AE239" s="12" t="n"/>
      <c r="AF239" s="12" t="n"/>
      <c r="AG239" s="12" t="n"/>
      <c r="AH239" s="12" t="n"/>
      <c r="AI239" s="12" t="n"/>
      <c r="AJ239" s="12" t="n"/>
      <c r="AK239" s="12" t="n"/>
      <c r="AL239" s="12" t="n"/>
      <c r="AM239" s="12" t="n"/>
      <c r="AN239" s="12"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Z240" s="12" t="n"/>
      <c r="AA240" s="12" t="n"/>
      <c r="AB240" s="12" t="n"/>
      <c r="AC240" s="12" t="n"/>
      <c r="AD240" s="12" t="n"/>
      <c r="AE240" s="12" t="n"/>
      <c r="AF240" s="12" t="n"/>
      <c r="AG240" s="12" t="n"/>
      <c r="AH240" s="12" t="n"/>
      <c r="AI240" s="12" t="n"/>
      <c r="AJ240" s="12" t="n"/>
      <c r="AK240" s="12" t="n"/>
      <c r="AL240" s="12" t="n"/>
      <c r="AM240" s="12" t="n"/>
      <c r="AN240" s="12"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Z241" s="12" t="n"/>
      <c r="AA241" s="12" t="n"/>
      <c r="AB241" s="12" t="n"/>
      <c r="AC241" s="12" t="n"/>
      <c r="AD241" s="12" t="n"/>
      <c r="AE241" s="12" t="n"/>
      <c r="AF241" s="12" t="n"/>
      <c r="AG241" s="12" t="n"/>
      <c r="AH241" s="12" t="n"/>
      <c r="AI241" s="12" t="n"/>
      <c r="AJ241" s="12" t="n"/>
      <c r="AK241" s="12" t="n"/>
      <c r="AL241" s="12" t="n"/>
      <c r="AM241" s="12" t="n"/>
      <c r="AN241" s="12"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Z242" s="12" t="n"/>
      <c r="AA242" s="12" t="n"/>
      <c r="AB242" s="12" t="n"/>
      <c r="AC242" s="12" t="n"/>
      <c r="AD242" s="12" t="n"/>
      <c r="AE242" s="12" t="n"/>
      <c r="AF242" s="12" t="n"/>
      <c r="AG242" s="12" t="n"/>
      <c r="AH242" s="12" t="n"/>
      <c r="AI242" s="12" t="n"/>
      <c r="AJ242" s="12" t="n"/>
      <c r="AK242" s="12" t="n"/>
      <c r="AL242" s="12" t="n"/>
      <c r="AM242" s="12" t="n"/>
      <c r="AN242" s="12"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Z243" s="12" t="n"/>
      <c r="AA243" s="12" t="n"/>
      <c r="AB243" s="12" t="n"/>
      <c r="AC243" s="12" t="n"/>
      <c r="AD243" s="12" t="n"/>
      <c r="AE243" s="12" t="n"/>
      <c r="AF243" s="12" t="n"/>
      <c r="AG243" s="12" t="n"/>
      <c r="AH243" s="12" t="n"/>
      <c r="AI243" s="12" t="n"/>
      <c r="AJ243" s="12" t="n"/>
      <c r="AK243" s="12" t="n"/>
      <c r="AL243" s="12" t="n"/>
      <c r="AM243" s="12" t="n"/>
      <c r="AN243" s="12"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Z244" s="12" t="n"/>
      <c r="AA244" s="12" t="n"/>
      <c r="AB244" s="12" t="n"/>
      <c r="AC244" s="12" t="n"/>
      <c r="AD244" s="12" t="n"/>
      <c r="AE244" s="12" t="n"/>
      <c r="AF244" s="12" t="n"/>
      <c r="AG244" s="12" t="n"/>
      <c r="AH244" s="12" t="n"/>
      <c r="AI244" s="12" t="n"/>
      <c r="AJ244" s="12" t="n"/>
      <c r="AK244" s="12" t="n"/>
      <c r="AL244" s="12" t="n"/>
      <c r="AM244" s="12" t="n"/>
      <c r="AN244" s="12"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Z245" s="12" t="n"/>
      <c r="AA245" s="12" t="n"/>
      <c r="AB245" s="12" t="n"/>
      <c r="AC245" s="12" t="n"/>
      <c r="AD245" s="12" t="n"/>
      <c r="AE245" s="12" t="n"/>
      <c r="AF245" s="12" t="n"/>
      <c r="AG245" s="12" t="n"/>
      <c r="AH245" s="12" t="n"/>
      <c r="AI245" s="12" t="n"/>
      <c r="AJ245" s="12" t="n"/>
      <c r="AK245" s="12" t="n"/>
      <c r="AL245" s="12" t="n"/>
      <c r="AM245" s="12" t="n"/>
      <c r="AN245" s="12"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Z246" s="12" t="n"/>
      <c r="AA246" s="12" t="n"/>
      <c r="AB246" s="12" t="n"/>
      <c r="AC246" s="12" t="n"/>
      <c r="AD246" s="12" t="n"/>
      <c r="AE246" s="12" t="n"/>
      <c r="AF246" s="12" t="n"/>
      <c r="AG246" s="12" t="n"/>
      <c r="AH246" s="12" t="n"/>
      <c r="AI246" s="12" t="n"/>
      <c r="AJ246" s="12" t="n"/>
      <c r="AK246" s="12" t="n"/>
      <c r="AL246" s="12" t="n"/>
      <c r="AM246" s="12" t="n"/>
      <c r="AN246" s="12"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Z247" s="12" t="n"/>
      <c r="AA247" s="12" t="n"/>
      <c r="AB247" s="12" t="n"/>
      <c r="AC247" s="12" t="n"/>
      <c r="AD247" s="12" t="n"/>
      <c r="AE247" s="12" t="n"/>
      <c r="AF247" s="12" t="n"/>
      <c r="AG247" s="12" t="n"/>
      <c r="AH247" s="12" t="n"/>
      <c r="AI247" s="12" t="n"/>
      <c r="AJ247" s="12" t="n"/>
      <c r="AK247" s="12" t="n"/>
      <c r="AL247" s="12" t="n"/>
      <c r="AM247" s="12" t="n"/>
      <c r="AN247" s="12"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Z248" s="12" t="n"/>
      <c r="AA248" s="12" t="n"/>
      <c r="AB248" s="12" t="n"/>
      <c r="AC248" s="12" t="n"/>
      <c r="AD248" s="12" t="n"/>
      <c r="AE248" s="12" t="n"/>
      <c r="AF248" s="12" t="n"/>
      <c r="AG248" s="12" t="n"/>
      <c r="AH248" s="12" t="n"/>
      <c r="AI248" s="12" t="n"/>
      <c r="AJ248" s="12" t="n"/>
      <c r="AK248" s="12" t="n"/>
      <c r="AL248" s="12" t="n"/>
      <c r="AM248" s="12" t="n"/>
      <c r="AN248" s="12"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Z249" s="12" t="n"/>
      <c r="AA249" s="12" t="n"/>
      <c r="AB249" s="12" t="n"/>
      <c r="AC249" s="12" t="n"/>
      <c r="AD249" s="12" t="n"/>
      <c r="AE249" s="12" t="n"/>
      <c r="AF249" s="12" t="n"/>
      <c r="AG249" s="12" t="n"/>
      <c r="AH249" s="12" t="n"/>
      <c r="AI249" s="12" t="n"/>
      <c r="AJ249" s="12" t="n"/>
      <c r="AK249" s="12" t="n"/>
      <c r="AL249" s="12" t="n"/>
      <c r="AM249" s="12" t="n"/>
      <c r="AN249" s="12"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Z250" s="12" t="n"/>
      <c r="AA250" s="12" t="n"/>
      <c r="AB250" s="12" t="n"/>
      <c r="AC250" s="12" t="n"/>
      <c r="AD250" s="12" t="n"/>
      <c r="AE250" s="12" t="n"/>
      <c r="AF250" s="12" t="n"/>
      <c r="AG250" s="12" t="n"/>
      <c r="AH250" s="12" t="n"/>
      <c r="AI250" s="12" t="n"/>
      <c r="AJ250" s="12" t="n"/>
      <c r="AK250" s="12" t="n"/>
      <c r="AL250" s="12" t="n"/>
      <c r="AM250" s="12" t="n"/>
      <c r="AN250" s="12"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Z251" s="12" t="n"/>
      <c r="AA251" s="12" t="n"/>
      <c r="AB251" s="12" t="n"/>
      <c r="AC251" s="12" t="n"/>
      <c r="AD251" s="12" t="n"/>
      <c r="AE251" s="12" t="n"/>
      <c r="AF251" s="12" t="n"/>
      <c r="AG251" s="12" t="n"/>
      <c r="AH251" s="12" t="n"/>
      <c r="AI251" s="12" t="n"/>
      <c r="AJ251" s="12" t="n"/>
      <c r="AK251" s="12" t="n"/>
      <c r="AL251" s="12" t="n"/>
      <c r="AM251" s="12" t="n"/>
      <c r="AN251" s="12"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Z252" s="12" t="n"/>
      <c r="AA252" s="12" t="n"/>
      <c r="AB252" s="12" t="n"/>
      <c r="AC252" s="12" t="n"/>
      <c r="AD252" s="12" t="n"/>
      <c r="AE252" s="12" t="n"/>
      <c r="AF252" s="12" t="n"/>
      <c r="AG252" s="12" t="n"/>
      <c r="AH252" s="12" t="n"/>
      <c r="AI252" s="12" t="n"/>
      <c r="AJ252" s="12" t="n"/>
      <c r="AK252" s="12" t="n"/>
      <c r="AL252" s="12" t="n"/>
      <c r="AM252" s="12" t="n"/>
      <c r="AN252" s="12"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Z253" s="12" t="n"/>
      <c r="AA253" s="12" t="n"/>
      <c r="AB253" s="12" t="n"/>
      <c r="AC253" s="12" t="n"/>
      <c r="AD253" s="12" t="n"/>
      <c r="AE253" s="12" t="n"/>
      <c r="AF253" s="12" t="n"/>
      <c r="AG253" s="12" t="n"/>
      <c r="AH253" s="12" t="n"/>
      <c r="AI253" s="12" t="n"/>
      <c r="AJ253" s="12" t="n"/>
      <c r="AK253" s="12" t="n"/>
      <c r="AL253" s="12" t="n"/>
      <c r="AM253" s="12" t="n"/>
      <c r="AN253" s="12"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Z254" s="12" t="n"/>
      <c r="AA254" s="12" t="n"/>
      <c r="AB254" s="12" t="n"/>
      <c r="AC254" s="12" t="n"/>
      <c r="AD254" s="12" t="n"/>
      <c r="AE254" s="12" t="n"/>
      <c r="AF254" s="12" t="n"/>
      <c r="AG254" s="12" t="n"/>
      <c r="AH254" s="12" t="n"/>
      <c r="AI254" s="12" t="n"/>
      <c r="AJ254" s="12" t="n"/>
      <c r="AK254" s="12" t="n"/>
      <c r="AL254" s="12" t="n"/>
      <c r="AM254" s="12" t="n"/>
      <c r="AN254" s="12"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Z255" s="12" t="n"/>
      <c r="AA255" s="12" t="n"/>
      <c r="AB255" s="12" t="n"/>
      <c r="AC255" s="12" t="n"/>
      <c r="AD255" s="12" t="n"/>
      <c r="AE255" s="12" t="n"/>
      <c r="AF255" s="12" t="n"/>
      <c r="AG255" s="12" t="n"/>
      <c r="AH255" s="12" t="n"/>
      <c r="AI255" s="12" t="n"/>
      <c r="AJ255" s="12" t="n"/>
      <c r="AK255" s="12" t="n"/>
      <c r="AL255" s="12" t="n"/>
      <c r="AM255" s="12" t="n"/>
      <c r="AN255" s="12"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Z256" s="12" t="n"/>
      <c r="AA256" s="12" t="n"/>
      <c r="AB256" s="12" t="n"/>
      <c r="AC256" s="12" t="n"/>
      <c r="AD256" s="12" t="n"/>
      <c r="AE256" s="12" t="n"/>
      <c r="AF256" s="12" t="n"/>
      <c r="AG256" s="12" t="n"/>
      <c r="AH256" s="12" t="n"/>
      <c r="AI256" s="12" t="n"/>
      <c r="AJ256" s="12" t="n"/>
      <c r="AK256" s="12" t="n"/>
      <c r="AL256" s="12" t="n"/>
      <c r="AM256" s="12" t="n"/>
      <c r="AN256" s="12"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Z257" s="12" t="n"/>
      <c r="AA257" s="12" t="n"/>
      <c r="AB257" s="12" t="n"/>
      <c r="AC257" s="12" t="n"/>
      <c r="AD257" s="12" t="n"/>
      <c r="AE257" s="12" t="n"/>
      <c r="AF257" s="12" t="n"/>
      <c r="AG257" s="12" t="n"/>
      <c r="AH257" s="12" t="n"/>
      <c r="AI257" s="12" t="n"/>
      <c r="AJ257" s="12" t="n"/>
      <c r="AK257" s="12" t="n"/>
      <c r="AL257" s="12" t="n"/>
      <c r="AM257" s="12" t="n"/>
      <c r="AN257" s="12"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Z258" s="12" t="n"/>
      <c r="AA258" s="12" t="n"/>
      <c r="AB258" s="12" t="n"/>
      <c r="AC258" s="12" t="n"/>
      <c r="AD258" s="12" t="n"/>
      <c r="AE258" s="12" t="n"/>
      <c r="AF258" s="12" t="n"/>
      <c r="AG258" s="12" t="n"/>
      <c r="AH258" s="12" t="n"/>
      <c r="AI258" s="12" t="n"/>
      <c r="AJ258" s="12" t="n"/>
      <c r="AK258" s="12" t="n"/>
      <c r="AL258" s="12" t="n"/>
      <c r="AM258" s="12" t="n"/>
      <c r="AN258" s="12"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Z259" s="12" t="n"/>
      <c r="AA259" s="12" t="n"/>
      <c r="AB259" s="12" t="n"/>
      <c r="AC259" s="12" t="n"/>
      <c r="AD259" s="12" t="n"/>
      <c r="AE259" s="12" t="n"/>
      <c r="AF259" s="12" t="n"/>
      <c r="AG259" s="12" t="n"/>
      <c r="AH259" s="12" t="n"/>
      <c r="AI259" s="12" t="n"/>
      <c r="AJ259" s="12" t="n"/>
      <c r="AK259" s="12" t="n"/>
      <c r="AL259" s="12" t="n"/>
      <c r="AM259" s="12" t="n"/>
      <c r="AN259" s="12"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Z260" s="12" t="n"/>
      <c r="AA260" s="12" t="n"/>
      <c r="AB260" s="12" t="n"/>
      <c r="AC260" s="12" t="n"/>
      <c r="AD260" s="12" t="n"/>
      <c r="AE260" s="12" t="n"/>
      <c r="AF260" s="12" t="n"/>
      <c r="AG260" s="12" t="n"/>
      <c r="AH260" s="12" t="n"/>
      <c r="AI260" s="12" t="n"/>
      <c r="AJ260" s="12" t="n"/>
      <c r="AK260" s="12" t="n"/>
      <c r="AL260" s="12" t="n"/>
      <c r="AM260" s="12" t="n"/>
      <c r="AN260" s="12"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Z261" s="12" t="n"/>
      <c r="AA261" s="12" t="n"/>
      <c r="AB261" s="12" t="n"/>
      <c r="AC261" s="12" t="n"/>
      <c r="AD261" s="12" t="n"/>
      <c r="AE261" s="12" t="n"/>
      <c r="AF261" s="12" t="n"/>
      <c r="AG261" s="12" t="n"/>
      <c r="AH261" s="12" t="n"/>
      <c r="AI261" s="12" t="n"/>
      <c r="AJ261" s="12" t="n"/>
      <c r="AK261" s="12" t="n"/>
      <c r="AL261" s="12" t="n"/>
      <c r="AM261" s="12" t="n"/>
      <c r="AN261" s="12"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Z262" s="12" t="n"/>
      <c r="AA262" s="12" t="n"/>
      <c r="AB262" s="12" t="n"/>
      <c r="AC262" s="12" t="n"/>
      <c r="AD262" s="12" t="n"/>
      <c r="AE262" s="12" t="n"/>
      <c r="AF262" s="12" t="n"/>
      <c r="AG262" s="12" t="n"/>
      <c r="AH262" s="12" t="n"/>
      <c r="AI262" s="12" t="n"/>
      <c r="AJ262" s="12" t="n"/>
      <c r="AK262" s="12" t="n"/>
      <c r="AL262" s="12" t="n"/>
      <c r="AM262" s="12" t="n"/>
      <c r="AN262" s="12"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Z263" s="12" t="n"/>
      <c r="AA263" s="12" t="n"/>
      <c r="AB263" s="12" t="n"/>
      <c r="AC263" s="12" t="n"/>
      <c r="AD263" s="12" t="n"/>
      <c r="AE263" s="12" t="n"/>
      <c r="AF263" s="12" t="n"/>
      <c r="AG263" s="12" t="n"/>
      <c r="AH263" s="12" t="n"/>
      <c r="AI263" s="12" t="n"/>
      <c r="AJ263" s="12" t="n"/>
      <c r="AK263" s="12" t="n"/>
      <c r="AL263" s="12" t="n"/>
      <c r="AM263" s="12" t="n"/>
      <c r="AN263" s="12"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Z264" s="12" t="n"/>
      <c r="AA264" s="12" t="n"/>
      <c r="AB264" s="12" t="n"/>
      <c r="AC264" s="12" t="n"/>
      <c r="AD264" s="12" t="n"/>
      <c r="AE264" s="12" t="n"/>
      <c r="AF264" s="12" t="n"/>
      <c r="AG264" s="12" t="n"/>
      <c r="AH264" s="12" t="n"/>
      <c r="AI264" s="12" t="n"/>
      <c r="AJ264" s="12" t="n"/>
      <c r="AK264" s="12" t="n"/>
      <c r="AL264" s="12" t="n"/>
      <c r="AM264" s="12" t="n"/>
      <c r="AN264" s="12"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Z265" s="12" t="n"/>
      <c r="AA265" s="12" t="n"/>
      <c r="AB265" s="12" t="n"/>
      <c r="AC265" s="12" t="n"/>
      <c r="AD265" s="12" t="n"/>
      <c r="AE265" s="12" t="n"/>
      <c r="AF265" s="12" t="n"/>
      <c r="AG265" s="12" t="n"/>
      <c r="AH265" s="12" t="n"/>
      <c r="AI265" s="12" t="n"/>
      <c r="AJ265" s="12" t="n"/>
      <c r="AK265" s="12" t="n"/>
      <c r="AL265" s="12" t="n"/>
      <c r="AM265" s="12" t="n"/>
      <c r="AN265" s="12"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Z266" s="12" t="n"/>
      <c r="AA266" s="12" t="n"/>
      <c r="AB266" s="12" t="n"/>
      <c r="AC266" s="12" t="n"/>
      <c r="AD266" s="12" t="n"/>
      <c r="AE266" s="12" t="n"/>
      <c r="AF266" s="12" t="n"/>
      <c r="AG266" s="12" t="n"/>
      <c r="AH266" s="12" t="n"/>
      <c r="AI266" s="12" t="n"/>
      <c r="AJ266" s="12" t="n"/>
      <c r="AK266" s="12" t="n"/>
      <c r="AL266" s="12" t="n"/>
      <c r="AM266" s="12" t="n"/>
      <c r="AN266" s="12"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Z267" s="12" t="n"/>
      <c r="AA267" s="12" t="n"/>
      <c r="AB267" s="12" t="n"/>
      <c r="AC267" s="12" t="n"/>
      <c r="AD267" s="12" t="n"/>
      <c r="AE267" s="12" t="n"/>
      <c r="AF267" s="12" t="n"/>
      <c r="AG267" s="12" t="n"/>
      <c r="AH267" s="12" t="n"/>
      <c r="AI267" s="12" t="n"/>
      <c r="AJ267" s="12" t="n"/>
      <c r="AK267" s="12" t="n"/>
      <c r="AL267" s="12" t="n"/>
      <c r="AM267" s="12" t="n"/>
      <c r="AN267" s="12"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Z268" s="12" t="n"/>
      <c r="AA268" s="12" t="n"/>
      <c r="AB268" s="12" t="n"/>
      <c r="AC268" s="12" t="n"/>
      <c r="AD268" s="12" t="n"/>
      <c r="AE268" s="12" t="n"/>
      <c r="AF268" s="12" t="n"/>
      <c r="AG268" s="12" t="n"/>
      <c r="AH268" s="12" t="n"/>
      <c r="AI268" s="12" t="n"/>
      <c r="AJ268" s="12" t="n"/>
      <c r="AK268" s="12" t="n"/>
      <c r="AL268" s="12" t="n"/>
      <c r="AM268" s="12" t="n"/>
      <c r="AN268" s="12"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Z269" s="12" t="n"/>
      <c r="AA269" s="12" t="n"/>
      <c r="AB269" s="12" t="n"/>
      <c r="AC269" s="12" t="n"/>
      <c r="AD269" s="12" t="n"/>
      <c r="AE269" s="12" t="n"/>
      <c r="AF269" s="12" t="n"/>
      <c r="AG269" s="12" t="n"/>
      <c r="AH269" s="12" t="n"/>
      <c r="AI269" s="12" t="n"/>
      <c r="AJ269" s="12" t="n"/>
      <c r="AK269" s="12" t="n"/>
      <c r="AL269" s="12" t="n"/>
      <c r="AM269" s="12" t="n"/>
      <c r="AN269" s="12"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Z270" s="12" t="n"/>
      <c r="AA270" s="12" t="n"/>
      <c r="AB270" s="12" t="n"/>
      <c r="AC270" s="12" t="n"/>
      <c r="AD270" s="12" t="n"/>
      <c r="AE270" s="12" t="n"/>
      <c r="AF270" s="12" t="n"/>
      <c r="AG270" s="12" t="n"/>
      <c r="AH270" s="12" t="n"/>
      <c r="AI270" s="12" t="n"/>
      <c r="AJ270" s="12" t="n"/>
      <c r="AK270" s="12" t="n"/>
      <c r="AL270" s="12" t="n"/>
      <c r="AM270" s="12" t="n"/>
      <c r="AN270" s="12"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Z271" s="12" t="n"/>
      <c r="AA271" s="12" t="n"/>
      <c r="AB271" s="12" t="n"/>
      <c r="AC271" s="12" t="n"/>
      <c r="AD271" s="12" t="n"/>
      <c r="AE271" s="12" t="n"/>
      <c r="AF271" s="12" t="n"/>
      <c r="AG271" s="12" t="n"/>
      <c r="AH271" s="12" t="n"/>
      <c r="AI271" s="12" t="n"/>
      <c r="AJ271" s="12" t="n"/>
      <c r="AK271" s="12" t="n"/>
      <c r="AL271" s="12" t="n"/>
      <c r="AM271" s="12" t="n"/>
      <c r="AN271" s="12"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Z272" s="12" t="n"/>
      <c r="AA272" s="12" t="n"/>
      <c r="AB272" s="12" t="n"/>
      <c r="AC272" s="12" t="n"/>
      <c r="AD272" s="12" t="n"/>
      <c r="AE272" s="12" t="n"/>
      <c r="AF272" s="12" t="n"/>
      <c r="AG272" s="12" t="n"/>
      <c r="AH272" s="12" t="n"/>
      <c r="AI272" s="12" t="n"/>
      <c r="AJ272" s="12" t="n"/>
      <c r="AK272" s="12" t="n"/>
      <c r="AL272" s="12" t="n"/>
      <c r="AM272" s="12" t="n"/>
      <c r="AN272" s="12"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Z273" s="12" t="n"/>
      <c r="AA273" s="12" t="n"/>
      <c r="AB273" s="12" t="n"/>
      <c r="AC273" s="12" t="n"/>
      <c r="AD273" s="12" t="n"/>
      <c r="AE273" s="12" t="n"/>
      <c r="AF273" s="12" t="n"/>
      <c r="AG273" s="12" t="n"/>
      <c r="AH273" s="12" t="n"/>
      <c r="AI273" s="12" t="n"/>
      <c r="AJ273" s="12" t="n"/>
      <c r="AK273" s="12" t="n"/>
      <c r="AL273" s="12" t="n"/>
      <c r="AM273" s="12" t="n"/>
      <c r="AN273" s="12"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Z274" s="12" t="n"/>
      <c r="AA274" s="12" t="n"/>
      <c r="AB274" s="12" t="n"/>
      <c r="AC274" s="12" t="n"/>
      <c r="AD274" s="12" t="n"/>
      <c r="AE274" s="12" t="n"/>
      <c r="AF274" s="12" t="n"/>
      <c r="AG274" s="12" t="n"/>
      <c r="AH274" s="12" t="n"/>
      <c r="AI274" s="12" t="n"/>
      <c r="AJ274" s="12" t="n"/>
      <c r="AK274" s="12" t="n"/>
      <c r="AL274" s="12" t="n"/>
      <c r="AM274" s="12" t="n"/>
      <c r="AN274" s="12"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Z275" s="12" t="n"/>
      <c r="AA275" s="12" t="n"/>
      <c r="AB275" s="12" t="n"/>
      <c r="AC275" s="12" t="n"/>
      <c r="AD275" s="12" t="n"/>
      <c r="AE275" s="12" t="n"/>
      <c r="AF275" s="12" t="n"/>
      <c r="AG275" s="12" t="n"/>
      <c r="AH275" s="12" t="n"/>
      <c r="AI275" s="12" t="n"/>
      <c r="AJ275" s="12" t="n"/>
      <c r="AK275" s="12" t="n"/>
      <c r="AL275" s="12" t="n"/>
      <c r="AM275" s="12" t="n"/>
      <c r="AN275" s="12"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Z276" s="12" t="n"/>
      <c r="AA276" s="12" t="n"/>
      <c r="AB276" s="12" t="n"/>
      <c r="AC276" s="12" t="n"/>
      <c r="AD276" s="12" t="n"/>
      <c r="AE276" s="12" t="n"/>
      <c r="AF276" s="12" t="n"/>
      <c r="AG276" s="12" t="n"/>
      <c r="AH276" s="12" t="n"/>
      <c r="AI276" s="12" t="n"/>
      <c r="AJ276" s="12" t="n"/>
      <c r="AK276" s="12" t="n"/>
      <c r="AL276" s="12" t="n"/>
      <c r="AM276" s="12" t="n"/>
      <c r="AN276" s="12"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Z277" s="12" t="n"/>
      <c r="AA277" s="12" t="n"/>
      <c r="AB277" s="12" t="n"/>
      <c r="AC277" s="12" t="n"/>
      <c r="AD277" s="12" t="n"/>
      <c r="AE277" s="12" t="n"/>
      <c r="AF277" s="12" t="n"/>
      <c r="AG277" s="12" t="n"/>
      <c r="AH277" s="12" t="n"/>
      <c r="AI277" s="12" t="n"/>
      <c r="AJ277" s="12" t="n"/>
      <c r="AK277" s="12" t="n"/>
      <c r="AL277" s="12" t="n"/>
      <c r="AM277" s="12" t="n"/>
      <c r="AN277" s="12"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Z278" s="12" t="n"/>
      <c r="AA278" s="12" t="n"/>
      <c r="AB278" s="12" t="n"/>
      <c r="AC278" s="12" t="n"/>
      <c r="AD278" s="12" t="n"/>
      <c r="AE278" s="12" t="n"/>
      <c r="AF278" s="12" t="n"/>
      <c r="AG278" s="12" t="n"/>
      <c r="AH278" s="12" t="n"/>
      <c r="AI278" s="12" t="n"/>
      <c r="AJ278" s="12" t="n"/>
      <c r="AK278" s="12" t="n"/>
      <c r="AL278" s="12" t="n"/>
      <c r="AM278" s="12" t="n"/>
      <c r="AN278" s="12"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Z279" s="12" t="n"/>
      <c r="AA279" s="12" t="n"/>
      <c r="AB279" s="12" t="n"/>
      <c r="AC279" s="12" t="n"/>
      <c r="AD279" s="12" t="n"/>
      <c r="AE279" s="12" t="n"/>
      <c r="AF279" s="12" t="n"/>
      <c r="AG279" s="12" t="n"/>
      <c r="AH279" s="12" t="n"/>
      <c r="AI279" s="12" t="n"/>
      <c r="AJ279" s="12" t="n"/>
      <c r="AK279" s="12" t="n"/>
      <c r="AL279" s="12" t="n"/>
      <c r="AM279" s="12" t="n"/>
      <c r="AN279" s="12"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Z280" s="12" t="n"/>
      <c r="AA280" s="12" t="n"/>
      <c r="AB280" s="12" t="n"/>
      <c r="AC280" s="12" t="n"/>
      <c r="AD280" s="12" t="n"/>
      <c r="AE280" s="12" t="n"/>
      <c r="AF280" s="12" t="n"/>
      <c r="AG280" s="12" t="n"/>
      <c r="AH280" s="12" t="n"/>
      <c r="AI280" s="12" t="n"/>
      <c r="AJ280" s="12" t="n"/>
      <c r="AK280" s="12" t="n"/>
      <c r="AL280" s="12" t="n"/>
      <c r="AM280" s="12" t="n"/>
      <c r="AN280" s="12"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Z281" s="12" t="n"/>
      <c r="AA281" s="12" t="n"/>
      <c r="AB281" s="12" t="n"/>
      <c r="AC281" s="12" t="n"/>
      <c r="AD281" s="12" t="n"/>
      <c r="AE281" s="12" t="n"/>
      <c r="AF281" s="12" t="n"/>
      <c r="AG281" s="12" t="n"/>
      <c r="AH281" s="12" t="n"/>
      <c r="AI281" s="12" t="n"/>
      <c r="AJ281" s="12" t="n"/>
      <c r="AK281" s="12" t="n"/>
      <c r="AL281" s="12" t="n"/>
      <c r="AM281" s="12" t="n"/>
      <c r="AN281" s="12"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Z282" s="12" t="n"/>
      <c r="AA282" s="12" t="n"/>
      <c r="AB282" s="12" t="n"/>
      <c r="AC282" s="12" t="n"/>
      <c r="AD282" s="12" t="n"/>
      <c r="AE282" s="12" t="n"/>
      <c r="AF282" s="12" t="n"/>
      <c r="AG282" s="12" t="n"/>
      <c r="AH282" s="12" t="n"/>
      <c r="AI282" s="12" t="n"/>
      <c r="AJ282" s="12" t="n"/>
      <c r="AK282" s="12" t="n"/>
      <c r="AL282" s="12" t="n"/>
      <c r="AM282" s="12" t="n"/>
      <c r="AN282" s="12"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Z283" s="12" t="n"/>
      <c r="AA283" s="12" t="n"/>
      <c r="AB283" s="12" t="n"/>
      <c r="AC283" s="12" t="n"/>
      <c r="AD283" s="12" t="n"/>
      <c r="AE283" s="12" t="n"/>
      <c r="AF283" s="12" t="n"/>
      <c r="AG283" s="12" t="n"/>
      <c r="AH283" s="12" t="n"/>
      <c r="AI283" s="12" t="n"/>
      <c r="AJ283" s="12" t="n"/>
      <c r="AK283" s="12" t="n"/>
      <c r="AL283" s="12" t="n"/>
      <c r="AM283" s="12" t="n"/>
      <c r="AN283" s="12"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Z284" s="12" t="n"/>
      <c r="AA284" s="12" t="n"/>
      <c r="AB284" s="12" t="n"/>
      <c r="AC284" s="12" t="n"/>
      <c r="AD284" s="12" t="n"/>
      <c r="AE284" s="12" t="n"/>
      <c r="AF284" s="12" t="n"/>
      <c r="AG284" s="12" t="n"/>
      <c r="AH284" s="12" t="n"/>
      <c r="AI284" s="12" t="n"/>
      <c r="AJ284" s="12" t="n"/>
      <c r="AK284" s="12" t="n"/>
      <c r="AL284" s="12" t="n"/>
      <c r="AM284" s="12" t="n"/>
      <c r="AN284" s="12"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Z285" s="12" t="n"/>
      <c r="AA285" s="12" t="n"/>
      <c r="AB285" s="12" t="n"/>
      <c r="AC285" s="12" t="n"/>
      <c r="AD285" s="12" t="n"/>
      <c r="AE285" s="12" t="n"/>
      <c r="AF285" s="12" t="n"/>
      <c r="AG285" s="12" t="n"/>
      <c r="AH285" s="12" t="n"/>
      <c r="AI285" s="12" t="n"/>
      <c r="AJ285" s="12" t="n"/>
      <c r="AK285" s="12" t="n"/>
      <c r="AL285" s="12" t="n"/>
      <c r="AM285" s="12" t="n"/>
      <c r="AN285" s="12"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Z286" s="12" t="n"/>
      <c r="AA286" s="12" t="n"/>
      <c r="AB286" s="12" t="n"/>
      <c r="AC286" s="12" t="n"/>
      <c r="AD286" s="12" t="n"/>
      <c r="AE286" s="12" t="n"/>
      <c r="AF286" s="12" t="n"/>
      <c r="AG286" s="12" t="n"/>
      <c r="AH286" s="12" t="n"/>
      <c r="AI286" s="12" t="n"/>
      <c r="AJ286" s="12" t="n"/>
      <c r="AK286" s="12" t="n"/>
      <c r="AL286" s="12" t="n"/>
      <c r="AM286" s="12" t="n"/>
      <c r="AN286" s="12"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Z287" s="12" t="n"/>
      <c r="AA287" s="12" t="n"/>
      <c r="AB287" s="12" t="n"/>
      <c r="AC287" s="12" t="n"/>
      <c r="AD287" s="12" t="n"/>
      <c r="AE287" s="12" t="n"/>
      <c r="AF287" s="12" t="n"/>
      <c r="AG287" s="12" t="n"/>
      <c r="AH287" s="12" t="n"/>
      <c r="AI287" s="12" t="n"/>
      <c r="AJ287" s="12" t="n"/>
      <c r="AK287" s="12" t="n"/>
      <c r="AL287" s="12" t="n"/>
      <c r="AM287" s="12" t="n"/>
      <c r="AN287" s="12"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Z288" s="12" t="n"/>
      <c r="AA288" s="12" t="n"/>
      <c r="AB288" s="12" t="n"/>
      <c r="AC288" s="12" t="n"/>
      <c r="AD288" s="12" t="n"/>
      <c r="AE288" s="12" t="n"/>
      <c r="AF288" s="12" t="n"/>
      <c r="AG288" s="12" t="n"/>
      <c r="AH288" s="12" t="n"/>
      <c r="AI288" s="12" t="n"/>
      <c r="AJ288" s="12" t="n"/>
      <c r="AK288" s="12" t="n"/>
      <c r="AL288" s="12" t="n"/>
      <c r="AM288" s="12" t="n"/>
      <c r="AN288" s="12"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Z289" s="12" t="n"/>
      <c r="AA289" s="12" t="n"/>
      <c r="AB289" s="12" t="n"/>
      <c r="AC289" s="12" t="n"/>
      <c r="AD289" s="12" t="n"/>
      <c r="AE289" s="12" t="n"/>
      <c r="AF289" s="12" t="n"/>
      <c r="AG289" s="12" t="n"/>
      <c r="AH289" s="12" t="n"/>
      <c r="AI289" s="12" t="n"/>
      <c r="AJ289" s="12" t="n"/>
      <c r="AK289" s="12" t="n"/>
      <c r="AL289" s="12" t="n"/>
      <c r="AM289" s="12" t="n"/>
      <c r="AN289" s="12"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Z290" s="12" t="n"/>
      <c r="AA290" s="12" t="n"/>
      <c r="AB290" s="12" t="n"/>
      <c r="AC290" s="12" t="n"/>
      <c r="AD290" s="12" t="n"/>
      <c r="AE290" s="12" t="n"/>
      <c r="AF290" s="12" t="n"/>
      <c r="AG290" s="12" t="n"/>
      <c r="AH290" s="12" t="n"/>
      <c r="AI290" s="12" t="n"/>
      <c r="AJ290" s="12" t="n"/>
      <c r="AK290" s="12" t="n"/>
      <c r="AL290" s="12" t="n"/>
      <c r="AM290" s="12" t="n"/>
      <c r="AN290" s="12"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Z291" s="12" t="n"/>
      <c r="AA291" s="12" t="n"/>
      <c r="AB291" s="12" t="n"/>
      <c r="AC291" s="12" t="n"/>
      <c r="AD291" s="12" t="n"/>
      <c r="AE291" s="12" t="n"/>
      <c r="AF291" s="12" t="n"/>
      <c r="AG291" s="12" t="n"/>
      <c r="AH291" s="12" t="n"/>
      <c r="AI291" s="12" t="n"/>
      <c r="AJ291" s="12" t="n"/>
      <c r="AK291" s="12" t="n"/>
      <c r="AL291" s="12" t="n"/>
      <c r="AM291" s="12" t="n"/>
      <c r="AN291" s="12"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Z292" s="12" t="n"/>
      <c r="AA292" s="12" t="n"/>
      <c r="AB292" s="12" t="n"/>
      <c r="AC292" s="12" t="n"/>
      <c r="AD292" s="12" t="n"/>
      <c r="AE292" s="12" t="n"/>
      <c r="AF292" s="12" t="n"/>
      <c r="AG292" s="12" t="n"/>
      <c r="AH292" s="12" t="n"/>
      <c r="AI292" s="12" t="n"/>
      <c r="AJ292" s="12" t="n"/>
      <c r="AK292" s="12" t="n"/>
      <c r="AL292" s="12" t="n"/>
      <c r="AM292" s="12" t="n"/>
      <c r="AN292" s="12"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Z293" s="12" t="n"/>
      <c r="AA293" s="12" t="n"/>
      <c r="AB293" s="12" t="n"/>
      <c r="AC293" s="12" t="n"/>
      <c r="AD293" s="12" t="n"/>
      <c r="AE293" s="12" t="n"/>
      <c r="AF293" s="12" t="n"/>
      <c r="AG293" s="12" t="n"/>
      <c r="AH293" s="12" t="n"/>
      <c r="AI293" s="12" t="n"/>
      <c r="AJ293" s="12" t="n"/>
      <c r="AK293" s="12" t="n"/>
      <c r="AL293" s="12" t="n"/>
      <c r="AM293" s="12" t="n"/>
      <c r="AN293" s="12"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Z294" s="12" t="n"/>
      <c r="AA294" s="12" t="n"/>
      <c r="AB294" s="12" t="n"/>
      <c r="AC294" s="12" t="n"/>
      <c r="AD294" s="12" t="n"/>
      <c r="AE294" s="12" t="n"/>
      <c r="AF294" s="12" t="n"/>
      <c r="AG294" s="12" t="n"/>
      <c r="AH294" s="12" t="n"/>
      <c r="AI294" s="12" t="n"/>
      <c r="AJ294" s="12" t="n"/>
      <c r="AK294" s="12" t="n"/>
      <c r="AL294" s="12" t="n"/>
      <c r="AM294" s="12" t="n"/>
      <c r="AN294" s="12"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Z295" s="12" t="n"/>
      <c r="AA295" s="12" t="n"/>
      <c r="AB295" s="12" t="n"/>
      <c r="AC295" s="12" t="n"/>
      <c r="AD295" s="12" t="n"/>
      <c r="AE295" s="12" t="n"/>
      <c r="AF295" s="12" t="n"/>
      <c r="AG295" s="12" t="n"/>
      <c r="AH295" s="12" t="n"/>
      <c r="AI295" s="12" t="n"/>
      <c r="AJ295" s="12" t="n"/>
      <c r="AK295" s="12" t="n"/>
      <c r="AL295" s="12" t="n"/>
      <c r="AM295" s="12" t="n"/>
      <c r="AN295" s="12"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Z296" s="12" t="n"/>
      <c r="AA296" s="12" t="n"/>
      <c r="AB296" s="12" t="n"/>
      <c r="AC296" s="12" t="n"/>
      <c r="AD296" s="12" t="n"/>
      <c r="AE296" s="12" t="n"/>
      <c r="AF296" s="12" t="n"/>
      <c r="AG296" s="12" t="n"/>
      <c r="AH296" s="12" t="n"/>
      <c r="AI296" s="12" t="n"/>
      <c r="AJ296" s="12" t="n"/>
      <c r="AK296" s="12" t="n"/>
      <c r="AL296" s="12" t="n"/>
      <c r="AM296" s="12" t="n"/>
      <c r="AN296" s="12"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Z297" s="12" t="n"/>
      <c r="AA297" s="12" t="n"/>
      <c r="AB297" s="12" t="n"/>
      <c r="AC297" s="12" t="n"/>
      <c r="AD297" s="12" t="n"/>
      <c r="AE297" s="12" t="n"/>
      <c r="AF297" s="12" t="n"/>
      <c r="AG297" s="12" t="n"/>
      <c r="AH297" s="12" t="n"/>
      <c r="AI297" s="12" t="n"/>
      <c r="AJ297" s="12" t="n"/>
      <c r="AK297" s="12" t="n"/>
      <c r="AL297" s="12" t="n"/>
      <c r="AM297" s="12" t="n"/>
      <c r="AN297" s="12" t="n"/>
    </row>
  </sheetData>
  <printOptions headings="1" gridLines="1"/>
  <pageMargins left="0.7480314960629921" right="0.7480314960629921" top="0.5118110236220472" bottom="0.7086614173228347" header="0.5118110236220472" footer="0.5118110236220472"/>
  <pageSetup orientation="landscape" paperSize="9"/>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S130"/>
  <sheetViews>
    <sheetView showOutlineSymbols="0" zoomScale="130" zoomScaleNormal="130" workbookViewId="0">
      <pane xSplit="26" ySplit="1" topLeftCell="AC2" activePane="bottomRight" state="frozen"/>
      <selection pane="topRight" activeCell="AA1" sqref="AA1"/>
      <selection pane="bottomLeft" activeCell="A2" sqref="A2"/>
      <selection pane="bottomRight" activeCell="AC2" sqref="AC2"/>
    </sheetView>
  </sheetViews>
  <sheetFormatPr baseColWidth="8" defaultColWidth="9.140625" defaultRowHeight="12.75"/>
  <cols>
    <col width="28.42578125" bestFit="1" customWidth="1" style="43" min="1" max="1"/>
    <col hidden="1" outlineLevel="1" width="9.140625" customWidth="1" style="526" min="2" max="20"/>
    <col hidden="1" outlineLevel="1" collapsed="1" width="9.140625" customWidth="1" style="526" min="21" max="21"/>
    <col hidden="1" outlineLevel="1" width="9.140625" customWidth="1" style="526" min="22" max="26"/>
    <col hidden="1" collapsed="1" width="13" customWidth="1" style="526" min="27" max="27"/>
    <col hidden="1" width="13" customWidth="1" style="526" min="28" max="28"/>
    <col width="9.140625" customWidth="1" style="526" min="29" max="31"/>
    <col width="8.5703125" bestFit="1" customWidth="1" style="526" min="32" max="40"/>
    <col width="9.140625" customWidth="1" style="526" min="41" max="16384"/>
  </cols>
  <sheetData>
    <row r="1" customFormat="1" s="62">
      <c r="A1" s="4" t="inlineStr">
        <is>
          <t>HK$ m</t>
        </is>
      </c>
      <c r="B1" s="5">
        <f>Final!B2</f>
        <v/>
      </c>
      <c r="C1" s="5">
        <f>Final!C2</f>
        <v/>
      </c>
      <c r="D1" s="5">
        <f>Final!D2</f>
        <v/>
      </c>
      <c r="E1" s="5">
        <f>Final!E2</f>
        <v/>
      </c>
      <c r="F1" s="5">
        <f>Final!F2</f>
        <v/>
      </c>
      <c r="G1" s="5">
        <f>Final!G2</f>
        <v/>
      </c>
      <c r="H1" s="5">
        <f>Final!H2</f>
        <v/>
      </c>
      <c r="I1" s="5">
        <f>Final!I2</f>
        <v/>
      </c>
      <c r="J1" s="5">
        <f>Final!J2</f>
        <v/>
      </c>
      <c r="K1" s="5">
        <f>Final!K2</f>
        <v/>
      </c>
      <c r="L1" s="5">
        <f>Final!L2</f>
        <v/>
      </c>
      <c r="M1" s="5">
        <f>Final!M2</f>
        <v/>
      </c>
      <c r="N1" s="5">
        <f>Final!N2</f>
        <v/>
      </c>
      <c r="O1" s="5">
        <f>Final!O2</f>
        <v/>
      </c>
      <c r="P1" s="5">
        <f>Final!P2</f>
        <v/>
      </c>
      <c r="Q1" s="5">
        <f>Final!Q2</f>
        <v/>
      </c>
      <c r="R1" s="5">
        <f>Final!R2</f>
        <v/>
      </c>
      <c r="S1" s="5">
        <f>Final!S2</f>
        <v/>
      </c>
      <c r="T1" s="5">
        <f>Final!T2</f>
        <v/>
      </c>
      <c r="U1" s="5">
        <f>Final!U2</f>
        <v/>
      </c>
      <c r="V1" s="5">
        <f>Final!V2</f>
        <v/>
      </c>
      <c r="W1" s="5">
        <f>Final!W2</f>
        <v/>
      </c>
      <c r="X1" s="5">
        <f>Final!X2</f>
        <v/>
      </c>
      <c r="Y1" s="5">
        <f>Final!Y2</f>
        <v/>
      </c>
      <c r="Z1" s="5">
        <f>Final!Z2</f>
        <v/>
      </c>
      <c r="AA1" s="5">
        <f>Final!AA2</f>
        <v/>
      </c>
      <c r="AB1" s="5">
        <f>Final!AB2</f>
        <v/>
      </c>
      <c r="AC1" s="5">
        <f>Final!AC2</f>
        <v/>
      </c>
      <c r="AD1" s="5">
        <f>Final!AD2</f>
        <v/>
      </c>
      <c r="AE1" s="5">
        <f>Final!AE2</f>
        <v/>
      </c>
      <c r="AF1" s="5">
        <f>Final!AF2</f>
        <v/>
      </c>
      <c r="AG1" s="5">
        <f>Final!AG2</f>
        <v/>
      </c>
      <c r="AH1" s="5">
        <f>Final!AH2</f>
        <v/>
      </c>
      <c r="AI1" s="5">
        <f>Final!AI2</f>
        <v/>
      </c>
      <c r="AJ1" s="5">
        <f>Final!AJ2</f>
        <v/>
      </c>
      <c r="AK1" s="5">
        <f>Final!AK2</f>
        <v/>
      </c>
      <c r="AL1" s="5">
        <f>Final!AL2</f>
        <v/>
      </c>
      <c r="AM1" s="5">
        <f>Final!AM2</f>
        <v/>
      </c>
      <c r="AN1" s="5">
        <f>Final!AN2</f>
        <v/>
      </c>
    </row>
    <row r="2">
      <c r="A2" s="157" t="inlineStr">
        <is>
          <t>Income Statements</t>
        </is>
      </c>
      <c r="B2" s="553" t="n"/>
      <c r="C2" s="553" t="n"/>
      <c r="D2" s="553" t="n"/>
      <c r="E2" s="553" t="n"/>
      <c r="F2" s="553" t="n"/>
      <c r="G2" s="553" t="n"/>
      <c r="H2" s="553" t="n"/>
      <c r="I2" s="553" t="n"/>
      <c r="J2" s="553" t="n"/>
      <c r="K2" s="553" t="n"/>
      <c r="L2" s="553" t="n"/>
      <c r="M2" s="553" t="n"/>
      <c r="N2" s="553" t="n"/>
      <c r="O2" s="553" t="n"/>
      <c r="P2" s="553" t="n"/>
      <c r="Q2" s="553" t="n"/>
      <c r="R2" s="553" t="n"/>
      <c r="S2" s="553" t="n"/>
      <c r="T2" s="553" t="n"/>
      <c r="U2" s="553" t="n"/>
      <c r="V2" s="553" t="n"/>
      <c r="W2" s="553" t="n"/>
      <c r="X2" s="553" t="n"/>
      <c r="Y2" s="553" t="n"/>
      <c r="Z2" s="553" t="n"/>
      <c r="AA2" s="553" t="n"/>
      <c r="AB2" s="553" t="n"/>
      <c r="AC2" s="553" t="n"/>
      <c r="AD2" s="553" t="n"/>
      <c r="AE2" s="553" t="n"/>
      <c r="AF2" s="553" t="n"/>
      <c r="AG2" s="553" t="n"/>
      <c r="AH2" s="553" t="n"/>
      <c r="AI2" s="553" t="n"/>
      <c r="AJ2" s="553" t="n"/>
      <c r="AK2" s="553" t="n"/>
      <c r="AL2" s="553" t="n"/>
      <c r="AM2" s="553" t="n"/>
      <c r="AN2" s="553" t="n"/>
    </row>
    <row r="3">
      <c r="A3" s="6" t="inlineStr">
        <is>
          <t>Revenue</t>
        </is>
      </c>
      <c r="B3" s="594" t="n"/>
      <c r="C3" s="594" t="n"/>
      <c r="D3" s="594" t="n"/>
      <c r="E3" s="594" t="n"/>
      <c r="F3" s="594" t="n"/>
      <c r="G3" s="594" t="n"/>
      <c r="H3" s="594" t="n"/>
      <c r="I3" s="594" t="n"/>
      <c r="J3" s="594" t="n"/>
      <c r="K3" s="594" t="n"/>
      <c r="L3" s="594" t="n"/>
      <c r="M3" s="594" t="n"/>
      <c r="N3" s="594" t="n"/>
      <c r="O3" s="594" t="n"/>
      <c r="P3" s="594" t="n"/>
      <c r="Q3" s="594" t="n"/>
      <c r="R3" s="594" t="n"/>
      <c r="S3" s="594" t="n"/>
      <c r="T3" s="594" t="n"/>
      <c r="U3" s="594" t="n"/>
      <c r="V3" s="594" t="n"/>
      <c r="W3" s="594" t="n"/>
      <c r="X3" s="594" t="n"/>
      <c r="Y3" s="594" t="n"/>
      <c r="Z3" s="594" t="n"/>
      <c r="AA3" s="594" t="n"/>
      <c r="AB3" s="594" t="n"/>
      <c r="AC3" s="594" t="n"/>
      <c r="AD3" s="594" t="n"/>
      <c r="AE3" s="594" t="n"/>
      <c r="AF3" s="594" t="n"/>
      <c r="AG3" s="594" t="n"/>
      <c r="AH3" s="594" t="n"/>
      <c r="AI3" s="594" t="n"/>
      <c r="AJ3" s="594" t="n"/>
      <c r="AK3" s="594" t="n"/>
      <c r="AL3" s="594" t="n"/>
      <c r="AM3" s="594" t="n"/>
      <c r="AN3" s="594" t="n"/>
    </row>
    <row r="4">
      <c r="A4" s="10" t="inlineStr">
        <is>
          <t>Hong Kong</t>
        </is>
      </c>
      <c r="B4" s="526">
        <f>SOC!B4</f>
        <v/>
      </c>
      <c r="C4" s="526">
        <f>SOC!C4</f>
        <v/>
      </c>
      <c r="D4" s="526">
        <f>SOC!D4</f>
        <v/>
      </c>
      <c r="E4" s="526">
        <f>SOC!E4</f>
        <v/>
      </c>
      <c r="F4" s="526">
        <f>SOC!F4</f>
        <v/>
      </c>
      <c r="G4" s="526">
        <f>SOC!G4</f>
        <v/>
      </c>
      <c r="H4" s="526">
        <f>SOC!H4</f>
        <v/>
      </c>
      <c r="I4" s="526">
        <f>SOC!I4</f>
        <v/>
      </c>
      <c r="J4" s="526">
        <f>SOC!J4</f>
        <v/>
      </c>
      <c r="K4" s="526">
        <f>SOC!K4</f>
        <v/>
      </c>
      <c r="L4" s="526">
        <f>SOC!L4</f>
        <v/>
      </c>
      <c r="M4" s="526">
        <f>SOC!M4</f>
        <v/>
      </c>
      <c r="N4" s="526">
        <f>SOC!N4</f>
        <v/>
      </c>
      <c r="O4" s="526">
        <f>SOC!O4</f>
        <v/>
      </c>
      <c r="P4" s="526">
        <f>SOC!P4</f>
        <v/>
      </c>
      <c r="Q4" s="526">
        <f>SOC!Q4</f>
        <v/>
      </c>
      <c r="R4" s="526">
        <f>SOC!R4</f>
        <v/>
      </c>
      <c r="S4" s="526">
        <f>SOC!S4</f>
        <v/>
      </c>
      <c r="T4" s="526">
        <f>SOC!T4</f>
        <v/>
      </c>
      <c r="U4" s="526">
        <f>SOC!U4</f>
        <v/>
      </c>
      <c r="V4" s="526">
        <f>SOC!V4</f>
        <v/>
      </c>
      <c r="W4" s="526">
        <f>SOC!W4</f>
        <v/>
      </c>
      <c r="X4" s="526">
        <f>SOC!X4</f>
        <v/>
      </c>
      <c r="Y4" s="526">
        <f>SOC!Y4</f>
        <v/>
      </c>
      <c r="Z4" s="526">
        <f>SOC!Z4</f>
        <v/>
      </c>
      <c r="AA4" s="526">
        <f>SOC!AA4</f>
        <v/>
      </c>
      <c r="AB4" s="526">
        <f>SOC!AB4</f>
        <v/>
      </c>
      <c r="AC4" s="526">
        <f>SOC!AC4</f>
        <v/>
      </c>
      <c r="AD4" s="526">
        <f>SOC!AD4</f>
        <v/>
      </c>
      <c r="AE4" s="526">
        <f>SOC!AE4</f>
        <v/>
      </c>
      <c r="AF4" s="526">
        <f>SOC!AF4</f>
        <v/>
      </c>
      <c r="AG4" s="526">
        <f>SOC!AG4</f>
        <v/>
      </c>
      <c r="AH4" s="526">
        <f>'HK Sales'!AH8</f>
        <v/>
      </c>
      <c r="AI4" s="526">
        <f>'HK Sales'!AI8</f>
        <v/>
      </c>
      <c r="AJ4" s="526">
        <f>'HK Sales'!AJ8</f>
        <v/>
      </c>
      <c r="AK4" s="526">
        <f>'HK Sales'!AK8</f>
        <v/>
      </c>
      <c r="AL4" s="526">
        <f>'HK Sales'!AL8</f>
        <v/>
      </c>
      <c r="AM4" s="526">
        <f>'HK Sales'!AM8</f>
        <v/>
      </c>
      <c r="AN4" s="526">
        <f>'HK Sales'!AN8</f>
        <v/>
      </c>
    </row>
    <row r="5">
      <c r="A5" s="10" t="inlineStr">
        <is>
          <t>Transfer from development fund</t>
        </is>
      </c>
      <c r="O5" s="526" t="n">
        <v>-527</v>
      </c>
      <c r="P5" s="526" t="n">
        <v>202</v>
      </c>
      <c r="Q5" s="526" t="n">
        <v>353</v>
      </c>
      <c r="R5" s="526" t="n">
        <v>-193</v>
      </c>
      <c r="S5" s="526" t="n">
        <v>-143</v>
      </c>
      <c r="T5" s="526" t="n">
        <v>-76</v>
      </c>
      <c r="U5" s="526" t="n">
        <v>586</v>
      </c>
      <c r="V5" s="526" t="n">
        <v>-304</v>
      </c>
      <c r="W5" s="526" t="n">
        <v>641</v>
      </c>
      <c r="X5" s="526" t="n">
        <v>-1020</v>
      </c>
      <c r="Y5" s="526" t="n">
        <v>181</v>
      </c>
      <c r="Z5" s="526" t="n">
        <v>260</v>
      </c>
      <c r="AA5" s="526" t="n">
        <v>98</v>
      </c>
      <c r="AB5" s="526" t="n">
        <v>-322</v>
      </c>
      <c r="AC5" s="526" t="n">
        <v>714</v>
      </c>
      <c r="AD5" s="526" t="n">
        <v>660</v>
      </c>
      <c r="AE5" s="526" t="n">
        <v>1183</v>
      </c>
      <c r="AF5" s="526" t="n">
        <v>604</v>
      </c>
      <c r="AG5" s="526" t="n">
        <v>-48</v>
      </c>
      <c r="AH5" s="526" t="n">
        <v>505</v>
      </c>
      <c r="AI5" s="564">
        <f>SOC!AI23</f>
        <v/>
      </c>
      <c r="AJ5" s="564">
        <f>SOC!AJ23</f>
        <v/>
      </c>
      <c r="AK5" s="564">
        <f>SOC!AK23</f>
        <v/>
      </c>
      <c r="AL5" s="564">
        <f>SOC!AL23</f>
        <v/>
      </c>
      <c r="AM5" s="564">
        <f>SOC!AM23</f>
        <v/>
      </c>
      <c r="AN5" s="564">
        <f>SOC!AN23</f>
        <v/>
      </c>
    </row>
    <row r="6">
      <c r="A6" s="10" t="inlineStr">
        <is>
          <t>Australia</t>
        </is>
      </c>
      <c r="B6" s="526">
        <f>Aus!B5</f>
        <v/>
      </c>
      <c r="C6" s="526">
        <f>Aus!C5</f>
        <v/>
      </c>
      <c r="D6" s="526">
        <f>Aus!D5</f>
        <v/>
      </c>
      <c r="E6" s="526">
        <f>Aus!E5</f>
        <v/>
      </c>
      <c r="F6" s="526">
        <f>Aus!F5</f>
        <v/>
      </c>
      <c r="G6" s="526">
        <f>Aus!G5</f>
        <v/>
      </c>
      <c r="H6" s="526">
        <f>Aus!H5</f>
        <v/>
      </c>
      <c r="I6" s="526">
        <f>Aus!I5</f>
        <v/>
      </c>
      <c r="J6" s="526">
        <f>Aus!J5</f>
        <v/>
      </c>
      <c r="K6" s="526">
        <f>Aus!K5</f>
        <v/>
      </c>
      <c r="L6" s="526">
        <f>Aus!L5</f>
        <v/>
      </c>
      <c r="M6" s="526">
        <f>Aus!M5</f>
        <v/>
      </c>
      <c r="N6" s="526">
        <f>Aus!N5</f>
        <v/>
      </c>
      <c r="O6" s="526">
        <f>Aus!O5</f>
        <v/>
      </c>
      <c r="P6" s="526">
        <f>Aus!P5</f>
        <v/>
      </c>
      <c r="Q6" s="526">
        <f>Aus!Q5</f>
        <v/>
      </c>
      <c r="R6" s="526">
        <f>Aus!R5</f>
        <v/>
      </c>
      <c r="S6" s="526">
        <f>Aus!S5</f>
        <v/>
      </c>
      <c r="T6" s="526">
        <f>Aus!T5</f>
        <v/>
      </c>
      <c r="U6" s="526">
        <f>Aus!U5</f>
        <v/>
      </c>
      <c r="V6" s="526">
        <f>Aus!V5</f>
        <v/>
      </c>
      <c r="W6" s="526">
        <f>Aus!W5</f>
        <v/>
      </c>
      <c r="X6" s="526">
        <f>Aus!X5</f>
        <v/>
      </c>
      <c r="Y6" s="526">
        <f>Aus!Y5</f>
        <v/>
      </c>
      <c r="Z6" s="526">
        <f>Aus!Z5</f>
        <v/>
      </c>
      <c r="AA6" s="526">
        <f>Aus!AA5</f>
        <v/>
      </c>
      <c r="AB6" s="526">
        <f>Aus!AB5</f>
        <v/>
      </c>
      <c r="AC6" s="526">
        <f>Aus!AC5</f>
        <v/>
      </c>
      <c r="AD6" s="526">
        <f>Aus!AD5</f>
        <v/>
      </c>
      <c r="AE6" s="526">
        <f>Aus!AE5</f>
        <v/>
      </c>
      <c r="AF6" s="526">
        <f>Aus!AF5</f>
        <v/>
      </c>
      <c r="AG6" s="526">
        <f>Aus!AG5</f>
        <v/>
      </c>
      <c r="AH6" s="526">
        <f>Aus!AH5</f>
        <v/>
      </c>
      <c r="AI6" s="526">
        <f>Aus!AI5</f>
        <v/>
      </c>
      <c r="AJ6" s="526">
        <f>Aus!AJ5</f>
        <v/>
      </c>
      <c r="AK6" s="526">
        <f>Aus!AK5</f>
        <v/>
      </c>
      <c r="AL6" s="526">
        <f>Aus!AL5</f>
        <v/>
      </c>
      <c r="AM6" s="526">
        <f>Aus!AM5</f>
        <v/>
      </c>
      <c r="AN6" s="526">
        <f>Aus!AN5</f>
        <v/>
      </c>
    </row>
    <row r="7">
      <c r="A7" s="10" t="inlineStr">
        <is>
          <t>China</t>
        </is>
      </c>
      <c r="B7" s="526">
        <f>CN!B4</f>
        <v/>
      </c>
      <c r="C7" s="526">
        <f>CN!C4</f>
        <v/>
      </c>
      <c r="D7" s="526">
        <f>CN!D4</f>
        <v/>
      </c>
      <c r="E7" s="526">
        <f>CN!E4</f>
        <v/>
      </c>
      <c r="F7" s="526">
        <f>CN!F4</f>
        <v/>
      </c>
      <c r="G7" s="526">
        <f>CN!G4</f>
        <v/>
      </c>
      <c r="H7" s="526">
        <f>CN!H4</f>
        <v/>
      </c>
      <c r="I7" s="526">
        <f>CN!I4</f>
        <v/>
      </c>
      <c r="J7" s="526">
        <f>CN!J4</f>
        <v/>
      </c>
      <c r="K7" s="526">
        <f>CN!K4</f>
        <v/>
      </c>
      <c r="L7" s="526">
        <f>CN!L4</f>
        <v/>
      </c>
      <c r="M7" s="526">
        <f>CN!M4</f>
        <v/>
      </c>
      <c r="N7" s="526">
        <f>CN!N4</f>
        <v/>
      </c>
      <c r="O7" s="526">
        <f>CN!O4</f>
        <v/>
      </c>
      <c r="P7" s="526">
        <f>CN!P4</f>
        <v/>
      </c>
      <c r="Q7" s="526">
        <f>CN!Q4</f>
        <v/>
      </c>
      <c r="R7" s="526">
        <f>CN!R4</f>
        <v/>
      </c>
      <c r="S7" s="526">
        <f>CN!S4</f>
        <v/>
      </c>
      <c r="T7" s="526">
        <f>CN!T4</f>
        <v/>
      </c>
      <c r="U7" s="526">
        <f>CN!U4</f>
        <v/>
      </c>
      <c r="V7" s="526">
        <f>CN!V4</f>
        <v/>
      </c>
      <c r="W7" s="526">
        <f>CN!W4</f>
        <v/>
      </c>
      <c r="X7" s="526">
        <f>CN!X4</f>
        <v/>
      </c>
      <c r="Y7" s="526">
        <f>CN!Y4</f>
        <v/>
      </c>
      <c r="Z7" s="526">
        <f>CN!Z4</f>
        <v/>
      </c>
      <c r="AA7" s="526">
        <f>CN!AA4</f>
        <v/>
      </c>
      <c r="AB7" s="526">
        <f>CN!AB4</f>
        <v/>
      </c>
      <c r="AC7" s="526">
        <f>CN!AC4</f>
        <v/>
      </c>
      <c r="AD7" s="526">
        <f>CN!AD4</f>
        <v/>
      </c>
      <c r="AE7" s="526">
        <f>CN!AE4</f>
        <v/>
      </c>
      <c r="AF7" s="526">
        <f>CN!AF4</f>
        <v/>
      </c>
      <c r="AG7" s="526">
        <f>CN!AG4</f>
        <v/>
      </c>
      <c r="AH7" s="526">
        <f>CN!AH4</f>
        <v/>
      </c>
      <c r="AI7" s="526">
        <f>CN!AI4</f>
        <v/>
      </c>
      <c r="AJ7" s="526">
        <f>CN!AJ4</f>
        <v/>
      </c>
      <c r="AK7" s="526">
        <f>CN!AK4</f>
        <v/>
      </c>
      <c r="AL7" s="526">
        <f>CN!AL4</f>
        <v/>
      </c>
      <c r="AM7" s="526">
        <f>CN!AM4</f>
        <v/>
      </c>
      <c r="AN7" s="526">
        <f>CN!AN4</f>
        <v/>
      </c>
    </row>
    <row r="8">
      <c r="A8" s="10" t="inlineStr">
        <is>
          <t>India</t>
        </is>
      </c>
      <c r="B8" s="526">
        <f>India!B5</f>
        <v/>
      </c>
      <c r="C8" s="526">
        <f>India!C5</f>
        <v/>
      </c>
      <c r="D8" s="526">
        <f>India!D5</f>
        <v/>
      </c>
      <c r="E8" s="526">
        <f>India!E5</f>
        <v/>
      </c>
      <c r="F8" s="526">
        <f>India!F5</f>
        <v/>
      </c>
      <c r="G8" s="526">
        <f>India!G5</f>
        <v/>
      </c>
      <c r="H8" s="526">
        <f>India!H5</f>
        <v/>
      </c>
      <c r="I8" s="526">
        <f>India!I5</f>
        <v/>
      </c>
      <c r="J8" s="526">
        <f>India!J5</f>
        <v/>
      </c>
      <c r="K8" s="526">
        <f>India!K5</f>
        <v/>
      </c>
      <c r="L8" s="526">
        <f>India!L5</f>
        <v/>
      </c>
      <c r="M8" s="526">
        <f>India!M5</f>
        <v/>
      </c>
      <c r="N8" s="526">
        <f>India!N5</f>
        <v/>
      </c>
      <c r="O8" s="526">
        <f>India!O5</f>
        <v/>
      </c>
      <c r="P8" s="526">
        <f>India!P5</f>
        <v/>
      </c>
      <c r="Q8" s="526">
        <f>India!Q5</f>
        <v/>
      </c>
      <c r="R8" s="526">
        <f>India!R5</f>
        <v/>
      </c>
      <c r="S8" s="526">
        <f>India!S5</f>
        <v/>
      </c>
      <c r="T8" s="526">
        <f>India!T5</f>
        <v/>
      </c>
      <c r="U8" s="526">
        <f>India!U5</f>
        <v/>
      </c>
      <c r="V8" s="526">
        <f>India!V5</f>
        <v/>
      </c>
      <c r="W8" s="526">
        <f>India!W5</f>
        <v/>
      </c>
      <c r="X8" s="526">
        <f>India!X5</f>
        <v/>
      </c>
      <c r="Y8" s="526">
        <f>India!Y5</f>
        <v/>
      </c>
      <c r="Z8" s="526">
        <f>India!Z5</f>
        <v/>
      </c>
      <c r="AA8" s="526">
        <f>India!AA5</f>
        <v/>
      </c>
      <c r="AB8" s="526">
        <f>India!AB5</f>
        <v/>
      </c>
      <c r="AC8" s="526">
        <f>India!AC5</f>
        <v/>
      </c>
      <c r="AD8" s="526">
        <f>India!AD5</f>
        <v/>
      </c>
      <c r="AE8" s="526">
        <f>India!AE5</f>
        <v/>
      </c>
      <c r="AF8" s="526">
        <f>India!AF5</f>
        <v/>
      </c>
      <c r="AG8" s="526">
        <f>India!AG5</f>
        <v/>
      </c>
      <c r="AH8" s="526">
        <f>India!AH5</f>
        <v/>
      </c>
      <c r="AI8" s="526">
        <f>India!AI5</f>
        <v/>
      </c>
      <c r="AJ8" s="526">
        <f>India!AJ5</f>
        <v/>
      </c>
      <c r="AK8" s="526">
        <f>India!AK5</f>
        <v/>
      </c>
      <c r="AL8" s="526">
        <f>India!AL5</f>
        <v/>
      </c>
      <c r="AM8" s="526">
        <f>India!AM5</f>
        <v/>
      </c>
      <c r="AN8" s="526">
        <f>India!AN5</f>
        <v/>
      </c>
    </row>
    <row r="9">
      <c r="A9" s="10" t="inlineStr">
        <is>
          <t>SEA and Taiwan</t>
        </is>
      </c>
      <c r="B9" s="526">
        <f>SEA!B5</f>
        <v/>
      </c>
      <c r="C9" s="526">
        <f>SEA!C5</f>
        <v/>
      </c>
      <c r="D9" s="526">
        <f>SEA!D5</f>
        <v/>
      </c>
      <c r="E9" s="526">
        <f>SEA!E5</f>
        <v/>
      </c>
      <c r="F9" s="526">
        <f>SEA!F5</f>
        <v/>
      </c>
      <c r="G9" s="526">
        <f>SEA!G5</f>
        <v/>
      </c>
      <c r="H9" s="526">
        <f>SEA!H5</f>
        <v/>
      </c>
      <c r="I9" s="526">
        <f>SEA!I5</f>
        <v/>
      </c>
      <c r="J9" s="526">
        <f>SEA!J5</f>
        <v/>
      </c>
      <c r="K9" s="526">
        <f>SEA!K5</f>
        <v/>
      </c>
      <c r="L9" s="526">
        <f>SEA!L5</f>
        <v/>
      </c>
      <c r="M9" s="526">
        <f>SEA!M5</f>
        <v/>
      </c>
      <c r="N9" s="526">
        <f>SEA!N5</f>
        <v/>
      </c>
      <c r="O9" s="526">
        <f>SEA!O5</f>
        <v/>
      </c>
      <c r="P9" s="526">
        <f>SEA!P5</f>
        <v/>
      </c>
      <c r="Q9" s="526">
        <f>SEA!Q5</f>
        <v/>
      </c>
      <c r="R9" s="526">
        <f>SEA!R5</f>
        <v/>
      </c>
      <c r="S9" s="526">
        <f>SEA!S5</f>
        <v/>
      </c>
      <c r="T9" s="526">
        <f>SEA!T5</f>
        <v/>
      </c>
      <c r="U9" s="526">
        <f>SEA!U5</f>
        <v/>
      </c>
      <c r="V9" s="526">
        <f>SEA!V5</f>
        <v/>
      </c>
      <c r="W9" s="526">
        <f>SEA!W5</f>
        <v/>
      </c>
      <c r="X9" s="526">
        <f>SEA!X5</f>
        <v/>
      </c>
      <c r="Y9" s="526">
        <f>SEA!Y5</f>
        <v/>
      </c>
      <c r="Z9" s="526">
        <f>SEA!Z5</f>
        <v/>
      </c>
      <c r="AA9" s="526">
        <f>SEA!AA5</f>
        <v/>
      </c>
      <c r="AB9" s="526">
        <f>SEA!AB5</f>
        <v/>
      </c>
      <c r="AC9" s="526">
        <f>SEA!AC5</f>
        <v/>
      </c>
      <c r="AD9" s="526">
        <f>SEA!AD5</f>
        <v/>
      </c>
      <c r="AE9" s="526">
        <f>SEA!AE5</f>
        <v/>
      </c>
      <c r="AF9" s="526">
        <f>SEA!AF5</f>
        <v/>
      </c>
      <c r="AG9" s="526">
        <f>SEA!AG5</f>
        <v/>
      </c>
      <c r="AH9" s="526">
        <f>SEA!AH5</f>
        <v/>
      </c>
      <c r="AI9" s="526">
        <f>SEA!AI5</f>
        <v/>
      </c>
      <c r="AJ9" s="526">
        <f>SEA!AJ5</f>
        <v/>
      </c>
      <c r="AK9" s="526">
        <f>SEA!AK5</f>
        <v/>
      </c>
      <c r="AL9" s="526">
        <f>SEA!AL5</f>
        <v/>
      </c>
      <c r="AM9" s="526">
        <f>SEA!AM5</f>
        <v/>
      </c>
      <c r="AN9" s="526">
        <f>SEA!AN5</f>
        <v/>
      </c>
    </row>
    <row r="10">
      <c r="A10" s="10" t="inlineStr">
        <is>
          <t>Others</t>
        </is>
      </c>
      <c r="B10" s="526">
        <f>B11-SUM(B4:B9)</f>
        <v/>
      </c>
      <c r="C10" s="526">
        <f>C11-SUM(C4:C9)</f>
        <v/>
      </c>
      <c r="D10" s="526">
        <f>D11-SUM(D4:D9)</f>
        <v/>
      </c>
      <c r="E10" s="526">
        <f>E11-SUM(E4:E9)</f>
        <v/>
      </c>
      <c r="F10" s="526">
        <f>F11-SUM(F4:F9)</f>
        <v/>
      </c>
      <c r="G10" s="526">
        <f>G11-SUM(G4:G9)</f>
        <v/>
      </c>
      <c r="H10" s="526">
        <f>H11-SUM(H4:H9)</f>
        <v/>
      </c>
      <c r="I10" s="526">
        <f>I11-SUM(I4:I9)</f>
        <v/>
      </c>
      <c r="J10" s="526">
        <f>J11-SUM(J4:J9)</f>
        <v/>
      </c>
      <c r="K10" s="526">
        <f>K11-SUM(K4:K9)</f>
        <v/>
      </c>
      <c r="L10" s="526">
        <f>L11-SUM(L4:L9)</f>
        <v/>
      </c>
      <c r="M10" s="526">
        <f>M11-SUM(M4:M9)</f>
        <v/>
      </c>
      <c r="N10" s="526">
        <f>N11-SUM(N4:N9)</f>
        <v/>
      </c>
      <c r="O10" s="526">
        <f>O11-SUM(O4:O9)</f>
        <v/>
      </c>
      <c r="P10" s="526">
        <f>P11-SUM(P4:P9)</f>
        <v/>
      </c>
      <c r="Q10" s="526">
        <f>Q11-SUM(Q4:Q9)</f>
        <v/>
      </c>
      <c r="R10" s="526">
        <f>R11-SUM(R4:R9)</f>
        <v/>
      </c>
      <c r="S10" s="526">
        <f>S11-SUM(S4:S9)</f>
        <v/>
      </c>
      <c r="T10" s="526">
        <f>T11-SUM(T4:T9)</f>
        <v/>
      </c>
      <c r="U10" s="526">
        <f>U11-SUM(U4:U9)</f>
        <v/>
      </c>
      <c r="V10" s="526">
        <f>V11-SUM(V4:V9)</f>
        <v/>
      </c>
      <c r="W10" s="526">
        <f>W11-SUM(W4:W9)</f>
        <v/>
      </c>
      <c r="X10" s="526">
        <f>X11-SUM(X4:X9)</f>
        <v/>
      </c>
      <c r="Y10" s="526">
        <f>Y11-SUM(Y4:Y9)</f>
        <v/>
      </c>
      <c r="Z10" s="526">
        <f>Z11-SUM(Z4:Z9)</f>
        <v/>
      </c>
      <c r="AA10" s="526">
        <f>AA11-SUM(AA4:AA9)</f>
        <v/>
      </c>
      <c r="AB10" s="526">
        <f>AB11-SUM(AB4:AB9)</f>
        <v/>
      </c>
      <c r="AC10" s="526">
        <f>AC11-SUM(AC4:AC9)</f>
        <v/>
      </c>
      <c r="AD10" s="526">
        <f>AD11-SUM(AD4:AD9)</f>
        <v/>
      </c>
      <c r="AE10" s="526">
        <f>AE11-SUM(AE4:AE9)</f>
        <v/>
      </c>
      <c r="AF10" s="526">
        <f>AF11-SUM(AF4:AF9)</f>
        <v/>
      </c>
      <c r="AG10" s="526">
        <f>AG11-SUM(AG4:AG9)</f>
        <v/>
      </c>
      <c r="AH10" s="526">
        <f>AH11-SUM(AH4:AH9)</f>
        <v/>
      </c>
      <c r="AI10" s="564">
        <f>AH10</f>
        <v/>
      </c>
      <c r="AJ10" s="564">
        <f>AI10</f>
        <v/>
      </c>
      <c r="AK10" s="564">
        <f>AJ10</f>
        <v/>
      </c>
      <c r="AL10" s="564">
        <f>AK10</f>
        <v/>
      </c>
      <c r="AM10" s="564">
        <f>AL10</f>
        <v/>
      </c>
      <c r="AN10" s="564">
        <f>AM10</f>
        <v/>
      </c>
    </row>
    <row r="11">
      <c r="A11" s="109" t="inlineStr">
        <is>
          <t>Total revenue</t>
        </is>
      </c>
      <c r="B11" s="605">
        <f>Final!B7</f>
        <v/>
      </c>
      <c r="C11" s="605">
        <f>Final!C7</f>
        <v/>
      </c>
      <c r="D11" s="605">
        <f>Final!D7</f>
        <v/>
      </c>
      <c r="E11" s="605">
        <f>Final!E7</f>
        <v/>
      </c>
      <c r="F11" s="605">
        <f>Final!F7</f>
        <v/>
      </c>
      <c r="G11" s="605">
        <f>Final!G7</f>
        <v/>
      </c>
      <c r="H11" s="605">
        <f>Final!H7</f>
        <v/>
      </c>
      <c r="I11" s="605">
        <f>Final!I7</f>
        <v/>
      </c>
      <c r="J11" s="605">
        <f>Final!J7</f>
        <v/>
      </c>
      <c r="K11" s="605">
        <f>Final!K7</f>
        <v/>
      </c>
      <c r="L11" s="605">
        <f>Final!L7</f>
        <v/>
      </c>
      <c r="M11" s="605">
        <f>Final!M7</f>
        <v/>
      </c>
      <c r="N11" s="605">
        <f>Final!N7</f>
        <v/>
      </c>
      <c r="O11" s="605">
        <f>Final!O7</f>
        <v/>
      </c>
      <c r="P11" s="605">
        <f>Final!P7</f>
        <v/>
      </c>
      <c r="Q11" s="605">
        <f>Final!Q7</f>
        <v/>
      </c>
      <c r="R11" s="605">
        <f>Final!R7</f>
        <v/>
      </c>
      <c r="S11" s="605">
        <f>Final!S7</f>
        <v/>
      </c>
      <c r="T11" s="605">
        <f>Final!T7</f>
        <v/>
      </c>
      <c r="U11" s="605">
        <f>Final!U7</f>
        <v/>
      </c>
      <c r="V11" s="605">
        <f>Final!V7</f>
        <v/>
      </c>
      <c r="W11" s="605">
        <f>Final!W7</f>
        <v/>
      </c>
      <c r="X11" s="605">
        <f>Final!X7</f>
        <v/>
      </c>
      <c r="Y11" s="605">
        <f>Final!Y7</f>
        <v/>
      </c>
      <c r="Z11" s="605">
        <f>Final!Z7</f>
        <v/>
      </c>
      <c r="AA11" s="605">
        <f>Final!AA7</f>
        <v/>
      </c>
      <c r="AB11" s="605">
        <f>Final!AB7</f>
        <v/>
      </c>
      <c r="AC11" s="605">
        <f>Final!AC7</f>
        <v/>
      </c>
      <c r="AD11" s="605">
        <f>Final!AD7</f>
        <v/>
      </c>
      <c r="AE11" s="605">
        <f>Final!AE7</f>
        <v/>
      </c>
      <c r="AF11" s="605">
        <f>Final!AF7</f>
        <v/>
      </c>
      <c r="AG11" s="605">
        <f>Final!AG7</f>
        <v/>
      </c>
      <c r="AH11" s="605">
        <f>Final!AH7</f>
        <v/>
      </c>
      <c r="AI11" s="605">
        <f>SUM(AI4:AI10)</f>
        <v/>
      </c>
      <c r="AJ11" s="605">
        <f>SUM(AJ4:AJ10)</f>
        <v/>
      </c>
      <c r="AK11" s="605">
        <f>SUM(AK4:AK10)</f>
        <v/>
      </c>
      <c r="AL11" s="605">
        <f>SUM(AL4:AL10)</f>
        <v/>
      </c>
      <c r="AM11" s="605">
        <f>SUM(AM4:AM10)</f>
        <v/>
      </c>
      <c r="AN11" s="605">
        <f>SUM(AN4:AN10)</f>
        <v/>
      </c>
    </row>
    <row r="13">
      <c r="A13" s="6" t="inlineStr">
        <is>
          <t>D&amp;A</t>
        </is>
      </c>
      <c r="B13" s="594" t="n"/>
      <c r="C13" s="594" t="n"/>
      <c r="D13" s="594" t="n"/>
      <c r="E13" s="594" t="n"/>
      <c r="F13" s="594" t="n"/>
      <c r="G13" s="594" t="n"/>
      <c r="H13" s="594" t="n"/>
      <c r="I13" s="594" t="n"/>
      <c r="J13" s="594" t="n"/>
      <c r="K13" s="594" t="n"/>
      <c r="L13" s="594" t="n"/>
      <c r="M13" s="594" t="n"/>
      <c r="N13" s="594" t="n"/>
      <c r="O13" s="594" t="n"/>
      <c r="P13" s="594" t="n"/>
      <c r="Q13" s="594" t="n"/>
      <c r="R13" s="594" t="n"/>
      <c r="S13" s="594" t="n"/>
      <c r="T13" s="594" t="n"/>
      <c r="U13" s="594" t="n"/>
      <c r="V13" s="594" t="n"/>
      <c r="W13" s="594" t="n"/>
      <c r="X13" s="594" t="n"/>
      <c r="Y13" s="594" t="n"/>
      <c r="Z13" s="594" t="n"/>
      <c r="AA13" s="594" t="n"/>
      <c r="AB13" s="594" t="n"/>
      <c r="AC13" s="594" t="n"/>
      <c r="AD13" s="594" t="n"/>
      <c r="AE13" s="594" t="n"/>
      <c r="AF13" s="594" t="n"/>
      <c r="AG13" s="594" t="n"/>
      <c r="AH13" s="594" t="n"/>
      <c r="AI13" s="594" t="n"/>
      <c r="AJ13" s="594" t="n"/>
      <c r="AK13" s="594" t="n"/>
      <c r="AL13" s="594" t="n"/>
      <c r="AM13" s="594" t="n"/>
      <c r="AN13" s="594" t="n"/>
    </row>
    <row r="14">
      <c r="A14" s="10" t="inlineStr">
        <is>
          <t>Hong Kong</t>
        </is>
      </c>
      <c r="O14" s="606">
        <f>SOC!O10</f>
        <v/>
      </c>
      <c r="P14" s="606">
        <f>SOC!P10</f>
        <v/>
      </c>
      <c r="Q14" s="606">
        <f>SOC!Q10</f>
        <v/>
      </c>
      <c r="R14" s="606">
        <f>SOC!R10</f>
        <v/>
      </c>
      <c r="S14" s="606">
        <f>SOC!S10</f>
        <v/>
      </c>
      <c r="T14" s="606">
        <f>SOC!T10</f>
        <v/>
      </c>
      <c r="U14" s="526">
        <f>SOC!U10</f>
        <v/>
      </c>
      <c r="V14" s="526">
        <f>SOC!V10</f>
        <v/>
      </c>
      <c r="W14" s="526">
        <f>SOC!W10</f>
        <v/>
      </c>
      <c r="X14" s="526">
        <f>SOC!X10</f>
        <v/>
      </c>
      <c r="Y14" s="526">
        <f>SOC!Y10</f>
        <v/>
      </c>
      <c r="Z14" s="526">
        <f>SOC!Z10</f>
        <v/>
      </c>
      <c r="AA14" s="526">
        <f>SOC!AA10</f>
        <v/>
      </c>
      <c r="AB14" s="526">
        <f>SOC!AB10</f>
        <v/>
      </c>
      <c r="AC14" s="526">
        <f>SOC!AC10</f>
        <v/>
      </c>
      <c r="AD14" s="526">
        <f>SOC!AD10</f>
        <v/>
      </c>
      <c r="AE14" s="526">
        <f>SOC!AE10</f>
        <v/>
      </c>
      <c r="AF14" s="526">
        <f>SOC!AF10</f>
        <v/>
      </c>
      <c r="AG14" s="526">
        <f>SOC!AG10</f>
        <v/>
      </c>
      <c r="AH14" s="526">
        <f>SOC!AH10</f>
        <v/>
      </c>
      <c r="AI14" s="526">
        <f>SOC!AI10</f>
        <v/>
      </c>
      <c r="AJ14" s="526">
        <f>SOC!AJ10</f>
        <v/>
      </c>
      <c r="AK14" s="526">
        <f>SOC!AK10</f>
        <v/>
      </c>
      <c r="AL14" s="526">
        <f>SOC!AL10</f>
        <v/>
      </c>
      <c r="AM14" s="526">
        <f>SOC!AM10</f>
        <v/>
      </c>
      <c r="AN14" s="526">
        <f>SOC!AN10</f>
        <v/>
      </c>
    </row>
    <row r="15">
      <c r="A15" s="10" t="inlineStr">
        <is>
          <t>Australia</t>
        </is>
      </c>
      <c r="B15" s="526">
        <f>Aus!B15</f>
        <v/>
      </c>
      <c r="C15" s="526">
        <f>Aus!C15</f>
        <v/>
      </c>
      <c r="D15" s="526">
        <f>Aus!D15</f>
        <v/>
      </c>
      <c r="E15" s="526">
        <f>Aus!E15</f>
        <v/>
      </c>
      <c r="F15" s="526">
        <f>Aus!F15</f>
        <v/>
      </c>
      <c r="G15" s="526">
        <f>Aus!G15</f>
        <v/>
      </c>
      <c r="H15" s="526">
        <f>Aus!H15</f>
        <v/>
      </c>
      <c r="I15" s="526">
        <f>Aus!I15</f>
        <v/>
      </c>
      <c r="J15" s="526">
        <f>Aus!J15</f>
        <v/>
      </c>
      <c r="K15" s="526">
        <f>Aus!K15</f>
        <v/>
      </c>
      <c r="L15" s="526">
        <f>Aus!L15</f>
        <v/>
      </c>
      <c r="M15" s="526">
        <f>Aus!M15</f>
        <v/>
      </c>
      <c r="N15" s="526">
        <f>Aus!N15</f>
        <v/>
      </c>
      <c r="O15" s="526">
        <f>Aus!O15</f>
        <v/>
      </c>
      <c r="P15" s="526">
        <f>Aus!P15</f>
        <v/>
      </c>
      <c r="Q15" s="526">
        <f>Aus!Q15</f>
        <v/>
      </c>
      <c r="R15" s="526">
        <f>Aus!R15</f>
        <v/>
      </c>
      <c r="S15" s="526">
        <f>Aus!S15</f>
        <v/>
      </c>
      <c r="T15" s="526">
        <f>Aus!T15</f>
        <v/>
      </c>
      <c r="U15" s="526">
        <f>Aus!U15</f>
        <v/>
      </c>
      <c r="V15" s="526">
        <f>Aus!V15</f>
        <v/>
      </c>
      <c r="W15" s="526">
        <f>Aus!W15</f>
        <v/>
      </c>
      <c r="X15" s="526">
        <f>Aus!X15</f>
        <v/>
      </c>
      <c r="Y15" s="526">
        <f>Aus!Y15</f>
        <v/>
      </c>
      <c r="Z15" s="526">
        <f>Aus!Z15</f>
        <v/>
      </c>
      <c r="AA15" s="526">
        <f>Aus!AA15</f>
        <v/>
      </c>
      <c r="AB15" s="526">
        <f>Aus!AB15</f>
        <v/>
      </c>
      <c r="AC15" s="526">
        <f>Aus!AC15</f>
        <v/>
      </c>
      <c r="AD15" s="526">
        <f>Aus!AD15</f>
        <v/>
      </c>
      <c r="AE15" s="526">
        <f>Aus!AE15</f>
        <v/>
      </c>
      <c r="AF15" s="526">
        <f>Aus!AF15</f>
        <v/>
      </c>
      <c r="AG15" s="526">
        <f>Aus!AG15</f>
        <v/>
      </c>
      <c r="AH15" s="526">
        <f>Aus!AH15</f>
        <v/>
      </c>
      <c r="AI15" s="526">
        <f>Aus!AI15</f>
        <v/>
      </c>
      <c r="AJ15" s="526">
        <f>Aus!AJ15</f>
        <v/>
      </c>
      <c r="AK15" s="526">
        <f>Aus!AK15</f>
        <v/>
      </c>
      <c r="AL15" s="526">
        <f>Aus!AL15</f>
        <v/>
      </c>
      <c r="AM15" s="526">
        <f>Aus!AM15</f>
        <v/>
      </c>
      <c r="AN15" s="526">
        <f>Aus!AN15</f>
        <v/>
      </c>
    </row>
    <row r="16">
      <c r="A16" s="10" t="inlineStr">
        <is>
          <t>China</t>
        </is>
      </c>
      <c r="B16" s="526">
        <f>CN!B11</f>
        <v/>
      </c>
      <c r="C16" s="526">
        <f>CN!C11</f>
        <v/>
      </c>
      <c r="D16" s="526">
        <f>CN!D11</f>
        <v/>
      </c>
      <c r="E16" s="526">
        <f>CN!E11</f>
        <v/>
      </c>
      <c r="F16" s="526">
        <f>CN!F11</f>
        <v/>
      </c>
      <c r="G16" s="526">
        <f>CN!G11</f>
        <v/>
      </c>
      <c r="H16" s="526">
        <f>CN!H11</f>
        <v/>
      </c>
      <c r="I16" s="526">
        <f>CN!I11</f>
        <v/>
      </c>
      <c r="J16" s="526">
        <f>CN!J11</f>
        <v/>
      </c>
      <c r="K16" s="526">
        <f>CN!K11</f>
        <v/>
      </c>
      <c r="L16" s="526">
        <f>CN!L11</f>
        <v/>
      </c>
      <c r="M16" s="526">
        <f>CN!M11</f>
        <v/>
      </c>
      <c r="N16" s="526">
        <f>CN!N11</f>
        <v/>
      </c>
      <c r="O16" s="526">
        <f>CN!O11</f>
        <v/>
      </c>
      <c r="P16" s="526">
        <f>CN!P11</f>
        <v/>
      </c>
      <c r="Q16" s="526">
        <f>CN!Q11</f>
        <v/>
      </c>
      <c r="R16" s="526">
        <f>CN!R11</f>
        <v/>
      </c>
      <c r="S16" s="526">
        <f>CN!S11</f>
        <v/>
      </c>
      <c r="T16" s="526">
        <f>CN!T11</f>
        <v/>
      </c>
      <c r="U16" s="526">
        <f>CN!U11</f>
        <v/>
      </c>
      <c r="V16" s="526">
        <f>CN!V11</f>
        <v/>
      </c>
      <c r="W16" s="526">
        <f>CN!W11</f>
        <v/>
      </c>
      <c r="X16" s="526">
        <f>CN!X11</f>
        <v/>
      </c>
      <c r="Y16" s="526">
        <f>CN!Y11</f>
        <v/>
      </c>
      <c r="Z16" s="526">
        <f>CN!Z11</f>
        <v/>
      </c>
      <c r="AA16" s="526">
        <f>CN!AA11</f>
        <v/>
      </c>
      <c r="AB16" s="526">
        <f>CN!AB11</f>
        <v/>
      </c>
      <c r="AC16" s="526">
        <f>CN!AC11</f>
        <v/>
      </c>
      <c r="AD16" s="526">
        <f>CN!AD11</f>
        <v/>
      </c>
      <c r="AE16" s="526">
        <f>CN!AE11</f>
        <v/>
      </c>
      <c r="AF16" s="526">
        <f>CN!AF11</f>
        <v/>
      </c>
      <c r="AG16" s="526">
        <f>CN!AG11</f>
        <v/>
      </c>
      <c r="AH16" s="526">
        <f>CN!AH11</f>
        <v/>
      </c>
      <c r="AI16" s="526">
        <f>CN!AI11</f>
        <v/>
      </c>
      <c r="AJ16" s="526">
        <f>CN!AJ11</f>
        <v/>
      </c>
      <c r="AK16" s="526">
        <f>CN!AK11</f>
        <v/>
      </c>
      <c r="AL16" s="526">
        <f>CN!AL11</f>
        <v/>
      </c>
      <c r="AM16" s="526">
        <f>CN!AM11</f>
        <v/>
      </c>
      <c r="AN16" s="526">
        <f>CN!AN11</f>
        <v/>
      </c>
    </row>
    <row r="17">
      <c r="A17" s="10" t="inlineStr">
        <is>
          <t>India</t>
        </is>
      </c>
      <c r="B17" s="526">
        <f>India!B8</f>
        <v/>
      </c>
      <c r="C17" s="526">
        <f>India!C8</f>
        <v/>
      </c>
      <c r="D17" s="526">
        <f>India!D8</f>
        <v/>
      </c>
      <c r="E17" s="526">
        <f>India!E8</f>
        <v/>
      </c>
      <c r="F17" s="526">
        <f>India!F8</f>
        <v/>
      </c>
      <c r="G17" s="526">
        <f>India!G8</f>
        <v/>
      </c>
      <c r="H17" s="526">
        <f>India!H8</f>
        <v/>
      </c>
      <c r="I17" s="526">
        <f>India!I8</f>
        <v/>
      </c>
      <c r="J17" s="526">
        <f>India!J8</f>
        <v/>
      </c>
      <c r="K17" s="526">
        <f>India!K8</f>
        <v/>
      </c>
      <c r="L17" s="526">
        <f>India!L8</f>
        <v/>
      </c>
      <c r="M17" s="526">
        <f>India!M8</f>
        <v/>
      </c>
      <c r="N17" s="526">
        <f>India!N8</f>
        <v/>
      </c>
      <c r="O17" s="526">
        <f>India!O8</f>
        <v/>
      </c>
      <c r="P17" s="526">
        <f>India!P8</f>
        <v/>
      </c>
      <c r="Q17" s="526">
        <f>India!Q8</f>
        <v/>
      </c>
      <c r="R17" s="526">
        <f>India!R8</f>
        <v/>
      </c>
      <c r="S17" s="526">
        <f>India!S8</f>
        <v/>
      </c>
      <c r="T17" s="526">
        <f>India!T8</f>
        <v/>
      </c>
      <c r="U17" s="526">
        <f>India!U8</f>
        <v/>
      </c>
      <c r="V17" s="526">
        <f>India!V8</f>
        <v/>
      </c>
      <c r="W17" s="526">
        <f>India!W8</f>
        <v/>
      </c>
      <c r="X17" s="526">
        <f>India!X8</f>
        <v/>
      </c>
      <c r="Y17" s="526">
        <f>India!Y8</f>
        <v/>
      </c>
      <c r="Z17" s="526">
        <f>India!Z8</f>
        <v/>
      </c>
      <c r="AA17" s="526">
        <f>India!AA8</f>
        <v/>
      </c>
      <c r="AB17" s="526">
        <f>India!AB8</f>
        <v/>
      </c>
      <c r="AC17" s="526">
        <f>India!AC8</f>
        <v/>
      </c>
      <c r="AD17" s="526">
        <f>India!AD8</f>
        <v/>
      </c>
      <c r="AE17" s="526" t="n">
        <v>-671</v>
      </c>
      <c r="AF17" s="526" t="n">
        <v>-283</v>
      </c>
      <c r="AG17" s="526" t="n">
        <v>0</v>
      </c>
      <c r="AH17" s="526" t="n">
        <v>0</v>
      </c>
      <c r="AI17" s="564">
        <f>India!AI8</f>
        <v/>
      </c>
      <c r="AJ17" s="564">
        <f>India!AJ8</f>
        <v/>
      </c>
      <c r="AK17" s="564">
        <f>India!AK8</f>
        <v/>
      </c>
      <c r="AL17" s="564">
        <f>India!AL8</f>
        <v/>
      </c>
      <c r="AM17" s="564">
        <f>India!AM8</f>
        <v/>
      </c>
      <c r="AN17" s="564">
        <f>India!AN8</f>
        <v/>
      </c>
    </row>
    <row r="18">
      <c r="A18" s="10" t="inlineStr">
        <is>
          <t>SEA and Taiwan</t>
        </is>
      </c>
      <c r="B18" s="526">
        <f>SEA!B9</f>
        <v/>
      </c>
      <c r="C18" s="526">
        <f>SEA!C9</f>
        <v/>
      </c>
      <c r="D18" s="526">
        <f>SEA!D9</f>
        <v/>
      </c>
      <c r="E18" s="526">
        <f>SEA!E9</f>
        <v/>
      </c>
      <c r="F18" s="526">
        <f>SEA!F9</f>
        <v/>
      </c>
      <c r="G18" s="526">
        <f>SEA!G9</f>
        <v/>
      </c>
      <c r="H18" s="526">
        <f>SEA!H9</f>
        <v/>
      </c>
      <c r="I18" s="526">
        <f>SEA!I9</f>
        <v/>
      </c>
      <c r="J18" s="526">
        <f>SEA!J9</f>
        <v/>
      </c>
      <c r="K18" s="526">
        <f>SEA!K9</f>
        <v/>
      </c>
      <c r="L18" s="526">
        <f>SEA!L9</f>
        <v/>
      </c>
      <c r="M18" s="526">
        <f>SEA!M9</f>
        <v/>
      </c>
      <c r="N18" s="526">
        <f>SEA!N9</f>
        <v/>
      </c>
      <c r="O18" s="526">
        <f>SEA!O9</f>
        <v/>
      </c>
      <c r="P18" s="526">
        <f>SEA!P9</f>
        <v/>
      </c>
      <c r="Q18" s="526">
        <f>SEA!Q9</f>
        <v/>
      </c>
      <c r="R18" s="526">
        <f>SEA!R9</f>
        <v/>
      </c>
      <c r="S18" s="526">
        <f>SEA!S9</f>
        <v/>
      </c>
      <c r="T18" s="526">
        <f>SEA!T9</f>
        <v/>
      </c>
      <c r="U18" s="526">
        <f>SEA!U9</f>
        <v/>
      </c>
      <c r="V18" s="526">
        <f>SEA!V9</f>
        <v/>
      </c>
      <c r="W18" s="526">
        <f>SEA!W9</f>
        <v/>
      </c>
      <c r="X18" s="526">
        <f>SEA!X9</f>
        <v/>
      </c>
      <c r="Y18" s="526">
        <f>SEA!Y9</f>
        <v/>
      </c>
      <c r="Z18" s="526">
        <f>SEA!Z9</f>
        <v/>
      </c>
      <c r="AA18" s="526">
        <f>SEA!AA9</f>
        <v/>
      </c>
      <c r="AB18" s="526">
        <f>SEA!AB9</f>
        <v/>
      </c>
      <c r="AC18" s="526">
        <f>SEA!AC9</f>
        <v/>
      </c>
      <c r="AD18" s="526">
        <f>SEA!AD9</f>
        <v/>
      </c>
      <c r="AE18" s="526">
        <f>SEA!AE9</f>
        <v/>
      </c>
      <c r="AF18" s="526">
        <f>SEA!AF9</f>
        <v/>
      </c>
      <c r="AG18" s="526">
        <f>SEA!AG9</f>
        <v/>
      </c>
      <c r="AH18" s="526">
        <f>SEA!AH9</f>
        <v/>
      </c>
      <c r="AI18" s="526">
        <f>SEA!AI9</f>
        <v/>
      </c>
      <c r="AJ18" s="526">
        <f>SEA!AJ9</f>
        <v/>
      </c>
      <c r="AK18" s="526">
        <f>SEA!AK9</f>
        <v/>
      </c>
      <c r="AL18" s="526">
        <f>SEA!AL9</f>
        <v/>
      </c>
      <c r="AM18" s="526">
        <f>SEA!AM9</f>
        <v/>
      </c>
      <c r="AN18" s="526">
        <f>SEA!AN9</f>
        <v/>
      </c>
    </row>
    <row r="19">
      <c r="A19" s="10" t="inlineStr">
        <is>
          <t>Others</t>
        </is>
      </c>
      <c r="B19" s="526">
        <f>B20-SUM(B14:B18)</f>
        <v/>
      </c>
      <c r="C19" s="526">
        <f>C20-SUM(C14:C18)</f>
        <v/>
      </c>
      <c r="D19" s="526">
        <f>D20-SUM(D14:D18)</f>
        <v/>
      </c>
      <c r="E19" s="526">
        <f>E20-SUM(E14:E18)</f>
        <v/>
      </c>
      <c r="F19" s="526">
        <f>F20-SUM(F14:F18)</f>
        <v/>
      </c>
      <c r="G19" s="526">
        <f>G20-SUM(G14:G18)</f>
        <v/>
      </c>
      <c r="H19" s="526">
        <f>H20-SUM(H14:H18)</f>
        <v/>
      </c>
      <c r="I19" s="526">
        <f>I20-SUM(I14:I18)</f>
        <v/>
      </c>
      <c r="J19" s="526">
        <f>J20-SUM(J14:J18)</f>
        <v/>
      </c>
      <c r="K19" s="526">
        <f>K20-SUM(K14:K18)</f>
        <v/>
      </c>
      <c r="L19" s="526">
        <f>L20-SUM(L14:L18)</f>
        <v/>
      </c>
      <c r="M19" s="526">
        <f>M20-SUM(M14:M18)</f>
        <v/>
      </c>
      <c r="N19" s="526">
        <f>N20-SUM(N14:N18)</f>
        <v/>
      </c>
      <c r="O19" s="526">
        <f>O20-SUM(O14:O18)</f>
        <v/>
      </c>
      <c r="P19" s="526">
        <f>P20-SUM(P14:P18)</f>
        <v/>
      </c>
      <c r="Q19" s="526">
        <f>Q20-SUM(Q14:Q18)</f>
        <v/>
      </c>
      <c r="R19" s="526">
        <f>R20-SUM(R14:R18)</f>
        <v/>
      </c>
      <c r="S19" s="526">
        <f>S20-SUM(S14:S18)</f>
        <v/>
      </c>
      <c r="T19" s="526">
        <f>T20-SUM(T14:T18)</f>
        <v/>
      </c>
      <c r="U19" s="526">
        <f>U20-SUM(U14:U18)</f>
        <v/>
      </c>
      <c r="V19" s="526">
        <f>V20-SUM(V14:V18)</f>
        <v/>
      </c>
      <c r="W19" s="526">
        <f>W20-SUM(W14:W18)</f>
        <v/>
      </c>
      <c r="X19" s="526">
        <f>X20-SUM(X14:X18)</f>
        <v/>
      </c>
      <c r="Y19" s="526">
        <f>Y20-SUM(Y14:Y18)</f>
        <v/>
      </c>
      <c r="Z19" s="526">
        <f>Z20-SUM(Z14:Z18)</f>
        <v/>
      </c>
      <c r="AA19" s="526">
        <f>AA20-SUM(AA14:AA18)</f>
        <v/>
      </c>
      <c r="AB19" s="526">
        <f>AB20-SUM(AB14:AB18)</f>
        <v/>
      </c>
      <c r="AC19" s="526">
        <f>AC20-SUM(AC14:AC18)</f>
        <v/>
      </c>
      <c r="AD19" s="526">
        <f>AD20-SUM(AD14:AD18)</f>
        <v/>
      </c>
      <c r="AE19" s="526">
        <f>AE20-SUM(AE14:AE18)</f>
        <v/>
      </c>
      <c r="AF19" s="526">
        <f>AF20-SUM(AF14:AF18)</f>
        <v/>
      </c>
      <c r="AG19" s="526">
        <f>AG20-SUM(AG14:AG18)</f>
        <v/>
      </c>
      <c r="AH19" s="526">
        <f>AH20-SUM(AH14:AH18)</f>
        <v/>
      </c>
      <c r="AI19" s="564">
        <f>AH19</f>
        <v/>
      </c>
      <c r="AJ19" s="564">
        <f>AI19</f>
        <v/>
      </c>
      <c r="AK19" s="564">
        <f>AJ19</f>
        <v/>
      </c>
      <c r="AL19" s="564">
        <f>AK19</f>
        <v/>
      </c>
      <c r="AM19" s="564">
        <f>AL19</f>
        <v/>
      </c>
      <c r="AN19" s="564">
        <f>AM19</f>
        <v/>
      </c>
    </row>
    <row r="20">
      <c r="A20" s="406" t="inlineStr">
        <is>
          <t>Total Depreciation</t>
        </is>
      </c>
      <c r="B20" s="607">
        <f>B26-B24</f>
        <v/>
      </c>
      <c r="C20" s="607">
        <f>C26-C24</f>
        <v/>
      </c>
      <c r="D20" s="607">
        <f>D26-D24</f>
        <v/>
      </c>
      <c r="E20" s="607">
        <f>E26-E24</f>
        <v/>
      </c>
      <c r="F20" s="607">
        <f>F26-F24</f>
        <v/>
      </c>
      <c r="G20" s="607">
        <f>G26-G24</f>
        <v/>
      </c>
      <c r="H20" s="607">
        <f>H26-H24</f>
        <v/>
      </c>
      <c r="I20" s="607">
        <f>I26-I24</f>
        <v/>
      </c>
      <c r="J20" s="607">
        <f>J26-J24</f>
        <v/>
      </c>
      <c r="K20" s="607">
        <f>K26-K24</f>
        <v/>
      </c>
      <c r="L20" s="607">
        <f>L26-L24</f>
        <v/>
      </c>
      <c r="M20" s="607">
        <f>M26-M24</f>
        <v/>
      </c>
      <c r="N20" s="607">
        <f>N26-N24</f>
        <v/>
      </c>
      <c r="O20" s="607">
        <f>O26-O24</f>
        <v/>
      </c>
      <c r="P20" s="607">
        <f>P26-P24</f>
        <v/>
      </c>
      <c r="Q20" s="607">
        <f>Q26-Q24</f>
        <v/>
      </c>
      <c r="R20" s="607">
        <f>R26-R24</f>
        <v/>
      </c>
      <c r="S20" s="607">
        <f>S26-S24</f>
        <v/>
      </c>
      <c r="T20" s="607">
        <f>T26-T24</f>
        <v/>
      </c>
      <c r="U20" s="607">
        <f>U26-U24</f>
        <v/>
      </c>
      <c r="V20" s="607">
        <f>V26-V24</f>
        <v/>
      </c>
      <c r="W20" s="607">
        <f>W26-W24</f>
        <v/>
      </c>
      <c r="X20" s="607">
        <f>X26-X24</f>
        <v/>
      </c>
      <c r="Y20" s="607">
        <f>Y26-Y24</f>
        <v/>
      </c>
      <c r="Z20" s="607">
        <f>Z26-Z24</f>
        <v/>
      </c>
      <c r="AA20" s="607">
        <f>AA26-AA24</f>
        <v/>
      </c>
      <c r="AB20" s="607">
        <f>AB26-AB24</f>
        <v/>
      </c>
      <c r="AC20" s="607">
        <f>AC26-AC24</f>
        <v/>
      </c>
      <c r="AD20" s="607">
        <f>AD26-AD24</f>
        <v/>
      </c>
      <c r="AE20" s="607">
        <f>AE26-AE24</f>
        <v/>
      </c>
      <c r="AF20" s="607">
        <f>AF26-AF24</f>
        <v/>
      </c>
      <c r="AG20" s="607">
        <f>AG26-AG24</f>
        <v/>
      </c>
      <c r="AH20" s="607">
        <f>AH26-AH24</f>
        <v/>
      </c>
      <c r="AI20" s="607">
        <f>SUM(AI14:AI19)</f>
        <v/>
      </c>
      <c r="AJ20" s="607">
        <f>SUM(AJ14:AJ19)</f>
        <v/>
      </c>
      <c r="AK20" s="607">
        <f>SUM(AK14:AK19)</f>
        <v/>
      </c>
      <c r="AL20" s="607">
        <f>SUM(AL14:AL19)</f>
        <v/>
      </c>
      <c r="AM20" s="607">
        <f>SUM(AM14:AM19)</f>
        <v/>
      </c>
      <c r="AN20" s="607">
        <f>SUM(AN14:AN19)</f>
        <v/>
      </c>
    </row>
    <row r="22">
      <c r="A22" s="10" t="inlineStr">
        <is>
          <t>Australia</t>
        </is>
      </c>
      <c r="B22" s="526">
        <f>Aus!B14</f>
        <v/>
      </c>
      <c r="C22" s="526">
        <f>Aus!C14</f>
        <v/>
      </c>
      <c r="D22" s="526">
        <f>Aus!D14</f>
        <v/>
      </c>
      <c r="E22" s="526">
        <f>Aus!E14</f>
        <v/>
      </c>
      <c r="F22" s="526">
        <f>Aus!F14</f>
        <v/>
      </c>
      <c r="G22" s="526">
        <f>Aus!G14</f>
        <v/>
      </c>
      <c r="H22" s="526">
        <f>Aus!H14</f>
        <v/>
      </c>
      <c r="I22" s="526">
        <f>Aus!I14</f>
        <v/>
      </c>
      <c r="J22" s="526">
        <f>Aus!J14</f>
        <v/>
      </c>
      <c r="K22" s="526">
        <f>Aus!K14</f>
        <v/>
      </c>
      <c r="L22" s="526">
        <f>Aus!L14</f>
        <v/>
      </c>
      <c r="M22" s="526">
        <f>Aus!M14</f>
        <v/>
      </c>
      <c r="N22" s="526">
        <f>Aus!N14</f>
        <v/>
      </c>
      <c r="O22" s="526">
        <f>Aus!O14</f>
        <v/>
      </c>
      <c r="P22" s="526">
        <f>Aus!P14</f>
        <v/>
      </c>
      <c r="Q22" s="526">
        <f>Aus!Q14</f>
        <v/>
      </c>
      <c r="R22" s="526">
        <f>Aus!R14</f>
        <v/>
      </c>
      <c r="S22" s="526">
        <f>Aus!S14</f>
        <v/>
      </c>
      <c r="T22" s="526">
        <f>Aus!T14</f>
        <v/>
      </c>
      <c r="U22" s="526">
        <f>Aus!U14</f>
        <v/>
      </c>
      <c r="V22" s="526">
        <f>Aus!V14</f>
        <v/>
      </c>
      <c r="W22" s="526">
        <f>Aus!W14</f>
        <v/>
      </c>
      <c r="X22" s="526">
        <f>Aus!X14</f>
        <v/>
      </c>
      <c r="Y22" s="526">
        <f>Aus!Y14</f>
        <v/>
      </c>
      <c r="Z22" s="526">
        <f>Aus!Z14</f>
        <v/>
      </c>
      <c r="AA22" s="526">
        <f>Aus!AA14</f>
        <v/>
      </c>
      <c r="AB22" s="526">
        <f>Aus!AB14</f>
        <v/>
      </c>
      <c r="AC22" s="526">
        <f>Aus!AC14</f>
        <v/>
      </c>
      <c r="AD22" s="526">
        <f>Aus!AD14</f>
        <v/>
      </c>
      <c r="AE22" s="526">
        <f>Aus!AE14</f>
        <v/>
      </c>
      <c r="AF22" s="526">
        <f>Aus!AF14</f>
        <v/>
      </c>
      <c r="AG22" s="526">
        <f>Aus!AG14</f>
        <v/>
      </c>
      <c r="AH22" s="526">
        <f>Aus!AH14</f>
        <v/>
      </c>
      <c r="AI22" s="526">
        <f>Aus!AI14</f>
        <v/>
      </c>
      <c r="AJ22" s="526">
        <f>Aus!AJ14</f>
        <v/>
      </c>
      <c r="AK22" s="526">
        <f>Aus!AK14</f>
        <v/>
      </c>
      <c r="AL22" s="526">
        <f>Aus!AL14</f>
        <v/>
      </c>
      <c r="AM22" s="526">
        <f>Aus!AM14</f>
        <v/>
      </c>
      <c r="AN22" s="526">
        <f>Aus!AN14</f>
        <v/>
      </c>
    </row>
    <row r="23">
      <c r="A23" s="10" t="inlineStr">
        <is>
          <t>China</t>
        </is>
      </c>
      <c r="B23" s="526">
        <f>CN!B10</f>
        <v/>
      </c>
      <c r="C23" s="526">
        <f>CN!C10</f>
        <v/>
      </c>
      <c r="D23" s="526">
        <f>CN!D10</f>
        <v/>
      </c>
      <c r="E23" s="526">
        <f>CN!E10</f>
        <v/>
      </c>
      <c r="F23" s="526">
        <f>CN!F10</f>
        <v/>
      </c>
      <c r="G23" s="526">
        <f>CN!G10</f>
        <v/>
      </c>
      <c r="H23" s="526">
        <f>CN!H10</f>
        <v/>
      </c>
      <c r="I23" s="526">
        <f>CN!I10</f>
        <v/>
      </c>
      <c r="J23" s="526">
        <f>CN!J10</f>
        <v/>
      </c>
      <c r="K23" s="526">
        <f>CN!K10</f>
        <v/>
      </c>
      <c r="L23" s="526">
        <f>CN!L10</f>
        <v/>
      </c>
      <c r="M23" s="526">
        <f>CN!M10</f>
        <v/>
      </c>
      <c r="N23" s="526">
        <f>CN!N10</f>
        <v/>
      </c>
      <c r="O23" s="526">
        <f>CN!O10</f>
        <v/>
      </c>
      <c r="P23" s="526">
        <f>CN!P10</f>
        <v/>
      </c>
      <c r="Q23" s="526">
        <f>CN!Q10</f>
        <v/>
      </c>
      <c r="R23" s="526">
        <f>CN!R10</f>
        <v/>
      </c>
      <c r="S23" s="526">
        <f>CN!S10</f>
        <v/>
      </c>
      <c r="T23" s="526">
        <f>CN!T10</f>
        <v/>
      </c>
      <c r="U23" s="526">
        <f>CN!U10</f>
        <v/>
      </c>
      <c r="V23" s="526">
        <f>CN!V10</f>
        <v/>
      </c>
      <c r="W23" s="526">
        <f>CN!W10</f>
        <v/>
      </c>
      <c r="X23" s="526">
        <f>CN!X10</f>
        <v/>
      </c>
      <c r="Y23" s="526">
        <f>CN!Y10</f>
        <v/>
      </c>
      <c r="Z23" s="526">
        <f>CN!Z10</f>
        <v/>
      </c>
      <c r="AA23" s="526">
        <f>CN!AA10</f>
        <v/>
      </c>
      <c r="AB23" s="526">
        <f>CN!AB10</f>
        <v/>
      </c>
      <c r="AC23" s="526">
        <f>CN!AC10</f>
        <v/>
      </c>
      <c r="AD23" s="526">
        <f>CN!AD10</f>
        <v/>
      </c>
      <c r="AE23" s="526">
        <f>CN!AE10</f>
        <v/>
      </c>
      <c r="AF23" s="526">
        <f>CN!AF10</f>
        <v/>
      </c>
      <c r="AG23" s="526">
        <f>CN!AG10</f>
        <v/>
      </c>
      <c r="AH23" s="526">
        <f>CN!AH10</f>
        <v/>
      </c>
      <c r="AI23" s="526">
        <f>CN!AI10</f>
        <v/>
      </c>
      <c r="AJ23" s="526">
        <f>CN!AJ10</f>
        <v/>
      </c>
      <c r="AK23" s="526">
        <f>CN!AK10</f>
        <v/>
      </c>
      <c r="AL23" s="526">
        <f>CN!AL10</f>
        <v/>
      </c>
      <c r="AM23" s="526">
        <f>CN!AM10</f>
        <v/>
      </c>
      <c r="AN23" s="526">
        <f>CN!AN10</f>
        <v/>
      </c>
    </row>
    <row r="24">
      <c r="A24" s="406" t="inlineStr">
        <is>
          <t>Total Amortization</t>
        </is>
      </c>
      <c r="B24" s="607">
        <f>B22+B23</f>
        <v/>
      </c>
      <c r="C24" s="607">
        <f>C22+C23</f>
        <v/>
      </c>
      <c r="D24" s="607">
        <f>D22+D23</f>
        <v/>
      </c>
      <c r="E24" s="607">
        <f>E22+E23</f>
        <v/>
      </c>
      <c r="F24" s="607">
        <f>F22+F23</f>
        <v/>
      </c>
      <c r="G24" s="607">
        <f>G22+G23</f>
        <v/>
      </c>
      <c r="H24" s="607">
        <f>H22+H23</f>
        <v/>
      </c>
      <c r="I24" s="607">
        <f>I22+I23</f>
        <v/>
      </c>
      <c r="J24" s="607">
        <f>J22+J23</f>
        <v/>
      </c>
      <c r="K24" s="607">
        <f>K22+K23</f>
        <v/>
      </c>
      <c r="L24" s="607">
        <f>L22+L23</f>
        <v/>
      </c>
      <c r="M24" s="607">
        <f>M22+M23</f>
        <v/>
      </c>
      <c r="N24" s="607">
        <f>N22+N23</f>
        <v/>
      </c>
      <c r="O24" s="607">
        <f>O22+O23</f>
        <v/>
      </c>
      <c r="P24" s="607">
        <f>P22+P23</f>
        <v/>
      </c>
      <c r="Q24" s="607">
        <f>Q22+Q23</f>
        <v/>
      </c>
      <c r="R24" s="607">
        <f>R22+R23</f>
        <v/>
      </c>
      <c r="S24" s="607">
        <f>S22+S23</f>
        <v/>
      </c>
      <c r="T24" s="607">
        <f>T22+T23</f>
        <v/>
      </c>
      <c r="U24" s="607">
        <f>U22+U23</f>
        <v/>
      </c>
      <c r="V24" s="607">
        <f>V22+V23</f>
        <v/>
      </c>
      <c r="W24" s="607">
        <f>W22+W23</f>
        <v/>
      </c>
      <c r="X24" s="607">
        <f>X22+X23</f>
        <v/>
      </c>
      <c r="Y24" s="607">
        <f>Y22+Y23</f>
        <v/>
      </c>
      <c r="Z24" s="607">
        <f>Z22+Z23</f>
        <v/>
      </c>
      <c r="AA24" s="607">
        <f>AA22+AA23</f>
        <v/>
      </c>
      <c r="AB24" s="607">
        <f>AB22+AB23</f>
        <v/>
      </c>
      <c r="AC24" s="607">
        <f>AC22+AC23</f>
        <v/>
      </c>
      <c r="AD24" s="607">
        <f>AD22+AD23</f>
        <v/>
      </c>
      <c r="AE24" s="607">
        <f>AE22+AE23</f>
        <v/>
      </c>
      <c r="AF24" s="607">
        <f>AF22+AF23</f>
        <v/>
      </c>
      <c r="AG24" s="607">
        <f>AG22+AG23</f>
        <v/>
      </c>
      <c r="AH24" s="607">
        <f>AH22+AH23</f>
        <v/>
      </c>
      <c r="AI24" s="607">
        <f>AI22+AI23</f>
        <v/>
      </c>
      <c r="AJ24" s="607">
        <f>AJ22+AJ23</f>
        <v/>
      </c>
      <c r="AK24" s="607">
        <f>AK22+AK23</f>
        <v/>
      </c>
      <c r="AL24" s="607">
        <f>AL22+AL23</f>
        <v/>
      </c>
      <c r="AM24" s="607">
        <f>AM22+AM23</f>
        <v/>
      </c>
      <c r="AN24" s="607">
        <f>AN22+AN23</f>
        <v/>
      </c>
    </row>
    <row r="26">
      <c r="A26" s="109" t="inlineStr">
        <is>
          <t>Total D&amp;A</t>
        </is>
      </c>
      <c r="B26" s="605">
        <f>Final!B12</f>
        <v/>
      </c>
      <c r="C26" s="605">
        <f>Final!C12</f>
        <v/>
      </c>
      <c r="D26" s="605">
        <f>Final!D12</f>
        <v/>
      </c>
      <c r="E26" s="605">
        <f>Final!E12</f>
        <v/>
      </c>
      <c r="F26" s="605">
        <f>Final!F12</f>
        <v/>
      </c>
      <c r="G26" s="605">
        <f>Final!G12</f>
        <v/>
      </c>
      <c r="H26" s="605">
        <f>Final!H12</f>
        <v/>
      </c>
      <c r="I26" s="605">
        <f>Final!I12</f>
        <v/>
      </c>
      <c r="J26" s="605">
        <f>Final!J12</f>
        <v/>
      </c>
      <c r="K26" s="605">
        <f>Final!K12</f>
        <v/>
      </c>
      <c r="L26" s="605">
        <f>Final!L12</f>
        <v/>
      </c>
      <c r="M26" s="605">
        <f>Final!M12</f>
        <v/>
      </c>
      <c r="N26" s="605">
        <f>Final!N12</f>
        <v/>
      </c>
      <c r="O26" s="605">
        <f>Final!O12</f>
        <v/>
      </c>
      <c r="P26" s="605">
        <f>Final!P12</f>
        <v/>
      </c>
      <c r="Q26" s="605">
        <f>Final!Q12</f>
        <v/>
      </c>
      <c r="R26" s="605">
        <f>Final!R12</f>
        <v/>
      </c>
      <c r="S26" s="605">
        <f>Final!S12</f>
        <v/>
      </c>
      <c r="T26" s="605">
        <f>Final!T12</f>
        <v/>
      </c>
      <c r="U26" s="605">
        <f>Final!U12</f>
        <v/>
      </c>
      <c r="V26" s="605">
        <f>Final!V12</f>
        <v/>
      </c>
      <c r="W26" s="605">
        <f>Final!W12</f>
        <v/>
      </c>
      <c r="X26" s="605">
        <f>Final!X12</f>
        <v/>
      </c>
      <c r="Y26" s="605">
        <f>Final!Y12</f>
        <v/>
      </c>
      <c r="Z26" s="605">
        <f>Final!Z12</f>
        <v/>
      </c>
      <c r="AA26" s="605">
        <f>Final!AA12</f>
        <v/>
      </c>
      <c r="AB26" s="605">
        <f>Final!AB12</f>
        <v/>
      </c>
      <c r="AC26" s="605">
        <f>Final!AC12</f>
        <v/>
      </c>
      <c r="AD26" s="605">
        <f>Final!AD12</f>
        <v/>
      </c>
      <c r="AE26" s="605">
        <f>Final!AE12</f>
        <v/>
      </c>
      <c r="AF26" s="605">
        <f>Final!AF12</f>
        <v/>
      </c>
      <c r="AG26" s="605">
        <f>Final!AG12</f>
        <v/>
      </c>
      <c r="AH26" s="605">
        <f>Final!AH12</f>
        <v/>
      </c>
      <c r="AI26" s="605">
        <f>AI20+AI24</f>
        <v/>
      </c>
      <c r="AJ26" s="605">
        <f>AJ20+AJ24</f>
        <v/>
      </c>
      <c r="AK26" s="605">
        <f>AK20+AK24</f>
        <v/>
      </c>
      <c r="AL26" s="605">
        <f>AL20+AL24</f>
        <v/>
      </c>
      <c r="AM26" s="605">
        <f>AM20+AM24</f>
        <v/>
      </c>
      <c r="AN26" s="605">
        <f>AN20+AN24</f>
        <v/>
      </c>
    </row>
    <row r="27">
      <c r="A27" s="111" t="n"/>
      <c r="B27" s="597" t="n"/>
      <c r="C27" s="597" t="n"/>
      <c r="D27" s="597" t="n"/>
      <c r="E27" s="597" t="n"/>
      <c r="F27" s="597" t="n"/>
      <c r="G27" s="597" t="n"/>
      <c r="H27" s="597" t="n"/>
      <c r="I27" s="597" t="n"/>
      <c r="J27" s="597" t="n"/>
      <c r="K27" s="597" t="n"/>
      <c r="L27" s="597" t="n"/>
      <c r="M27" s="597" t="n"/>
      <c r="N27" s="597" t="n"/>
      <c r="O27" s="597" t="n"/>
      <c r="P27" s="597" t="n"/>
      <c r="Q27" s="597" t="n"/>
      <c r="R27" s="597" t="n"/>
      <c r="S27" s="597" t="n"/>
      <c r="T27" s="597" t="n"/>
      <c r="U27" s="597" t="n"/>
      <c r="V27" s="597" t="n"/>
      <c r="W27" s="597" t="n"/>
      <c r="X27" s="597" t="n"/>
      <c r="Y27" s="597" t="n"/>
      <c r="Z27" s="597" t="n"/>
    </row>
    <row r="28">
      <c r="A28" s="62" t="inlineStr">
        <is>
          <t>Operating Income before JCEs</t>
        </is>
      </c>
      <c r="B28" s="597">
        <f>Final!B15</f>
        <v/>
      </c>
      <c r="C28" s="597">
        <f>Final!C15</f>
        <v/>
      </c>
      <c r="D28" s="597">
        <f>Final!D15</f>
        <v/>
      </c>
      <c r="E28" s="597">
        <f>Final!E15</f>
        <v/>
      </c>
      <c r="F28" s="597">
        <f>Final!F15</f>
        <v/>
      </c>
      <c r="G28" s="597">
        <f>Final!G15</f>
        <v/>
      </c>
      <c r="H28" s="597">
        <f>Final!H15</f>
        <v/>
      </c>
      <c r="I28" s="597">
        <f>Final!I15</f>
        <v/>
      </c>
      <c r="J28" s="597">
        <f>Final!J15</f>
        <v/>
      </c>
      <c r="K28" s="597">
        <f>Final!K15</f>
        <v/>
      </c>
      <c r="L28" s="597">
        <f>Final!L15</f>
        <v/>
      </c>
      <c r="M28" s="597">
        <f>Final!M15</f>
        <v/>
      </c>
      <c r="N28" s="597">
        <f>Final!N15</f>
        <v/>
      </c>
      <c r="O28" s="597">
        <f>Final!O15</f>
        <v/>
      </c>
      <c r="P28" s="597">
        <f>Final!P15</f>
        <v/>
      </c>
      <c r="Q28" s="597">
        <f>Final!Q15</f>
        <v/>
      </c>
      <c r="R28" s="597">
        <f>Final!R15</f>
        <v/>
      </c>
      <c r="S28" s="597">
        <f>Final!S15</f>
        <v/>
      </c>
      <c r="T28" s="597">
        <f>Final!T15</f>
        <v/>
      </c>
      <c r="U28" s="597">
        <f>Final!U15</f>
        <v/>
      </c>
      <c r="V28" s="597">
        <f>Final!V15</f>
        <v/>
      </c>
      <c r="W28" s="597">
        <f>Final!W15</f>
        <v/>
      </c>
      <c r="X28" s="597">
        <f>Final!X15</f>
        <v/>
      </c>
      <c r="Y28" s="597">
        <f>Final!Y15</f>
        <v/>
      </c>
      <c r="Z28" s="597">
        <f>Final!Z15</f>
        <v/>
      </c>
      <c r="AA28" s="597">
        <f>Final!AA15</f>
        <v/>
      </c>
      <c r="AB28" s="597">
        <f>Final!AB15</f>
        <v/>
      </c>
      <c r="AC28" s="597">
        <f>Final!AC15</f>
        <v/>
      </c>
      <c r="AD28" s="597">
        <f>Final!AD15</f>
        <v/>
      </c>
      <c r="AE28" s="597">
        <f>Final!AE15</f>
        <v/>
      </c>
      <c r="AF28" s="597">
        <f>Final!AF15</f>
        <v/>
      </c>
      <c r="AG28" s="597">
        <f>Final!AG15</f>
        <v/>
      </c>
      <c r="AH28" s="597">
        <f>Final!AH15</f>
        <v/>
      </c>
      <c r="AI28" s="597">
        <f>Final!AI15</f>
        <v/>
      </c>
      <c r="AJ28" s="597">
        <f>Final!AJ15</f>
        <v/>
      </c>
      <c r="AK28" s="597">
        <f>Final!AK15</f>
        <v/>
      </c>
      <c r="AL28" s="597">
        <f>Final!AL15</f>
        <v/>
      </c>
      <c r="AM28" s="597">
        <f>Final!AM15</f>
        <v/>
      </c>
      <c r="AN28" s="597">
        <f>Final!AN15</f>
        <v/>
      </c>
    </row>
    <row r="29">
      <c r="A29" s="62" t="n"/>
      <c r="B29" s="597" t="n"/>
      <c r="C29" s="597" t="n"/>
      <c r="D29" s="597" t="n"/>
      <c r="E29" s="597" t="n"/>
      <c r="F29" s="597" t="n"/>
      <c r="G29" s="597" t="n"/>
      <c r="H29" s="597" t="n"/>
      <c r="I29" s="597" t="n"/>
      <c r="J29" s="597" t="n"/>
      <c r="K29" s="597" t="n"/>
      <c r="L29" s="597" t="n"/>
      <c r="M29" s="597" t="n"/>
      <c r="N29" s="597" t="n"/>
      <c r="O29" s="597" t="n"/>
      <c r="P29" s="597" t="n"/>
      <c r="Q29" s="597" t="n"/>
      <c r="R29" s="597" t="n"/>
      <c r="S29" s="597" t="n"/>
      <c r="T29" s="597" t="n"/>
      <c r="U29" s="597" t="n"/>
      <c r="V29" s="597" t="n"/>
      <c r="W29" s="597" t="n"/>
      <c r="X29" s="597" t="n"/>
      <c r="Y29" s="597" t="n"/>
      <c r="Z29" s="597" t="n"/>
      <c r="AA29" s="597" t="n"/>
      <c r="AB29" s="597" t="n"/>
      <c r="AC29" s="597" t="n"/>
      <c r="AD29" s="597" t="n"/>
      <c r="AE29" s="597" t="n"/>
      <c r="AF29" s="597" t="n"/>
      <c r="AG29" s="597" t="n"/>
      <c r="AH29" s="597" t="n"/>
      <c r="AI29" s="597" t="n"/>
      <c r="AJ29" s="597" t="n"/>
      <c r="AK29" s="597" t="n"/>
      <c r="AL29" s="597" t="n"/>
      <c r="AM29" s="597" t="n"/>
      <c r="AN29" s="597" t="n"/>
    </row>
    <row r="30">
      <c r="A30" s="6" t="inlineStr">
        <is>
          <t>JCEs</t>
        </is>
      </c>
      <c r="B30" s="594" t="n"/>
      <c r="C30" s="594" t="n"/>
      <c r="D30" s="594" t="n"/>
      <c r="E30" s="594" t="n"/>
      <c r="F30" s="594" t="n"/>
      <c r="G30" s="594" t="n"/>
      <c r="H30" s="594" t="n"/>
      <c r="I30" s="594" t="n"/>
      <c r="J30" s="594" t="n"/>
      <c r="K30" s="594" t="n"/>
      <c r="L30" s="594" t="n"/>
      <c r="M30" s="594" t="n"/>
      <c r="N30" s="594" t="n"/>
      <c r="O30" s="594" t="n"/>
      <c r="P30" s="594" t="n"/>
      <c r="Q30" s="594" t="n"/>
      <c r="R30" s="594" t="n"/>
      <c r="S30" s="594" t="n"/>
      <c r="T30" s="594" t="n"/>
      <c r="U30" s="594" t="n"/>
      <c r="V30" s="594" t="n"/>
      <c r="W30" s="594" t="n"/>
      <c r="X30" s="594" t="n"/>
      <c r="Y30" s="594" t="n"/>
      <c r="Z30" s="594" t="n"/>
      <c r="AA30" s="594" t="n"/>
      <c r="AB30" s="594" t="n"/>
      <c r="AC30" s="594" t="n"/>
      <c r="AD30" s="594" t="n"/>
      <c r="AE30" s="594" t="n"/>
      <c r="AF30" s="594" t="n"/>
      <c r="AG30" s="594" t="n"/>
      <c r="AH30" s="594" t="n"/>
      <c r="AI30" s="594" t="n"/>
      <c r="AJ30" s="594" t="n"/>
      <c r="AK30" s="594" t="n"/>
      <c r="AL30" s="594" t="n"/>
      <c r="AM30" s="594" t="n"/>
      <c r="AN30" s="594" t="n"/>
    </row>
    <row r="31">
      <c r="A31" s="10" t="inlineStr">
        <is>
          <t>Hong Kong</t>
        </is>
      </c>
    </row>
    <row r="32">
      <c r="A32" s="10" t="inlineStr">
        <is>
          <t>Australia</t>
        </is>
      </c>
      <c r="T32" s="526">
        <f>Aus!T9+Aus!T10</f>
        <v/>
      </c>
      <c r="U32" s="526">
        <f>Aus!U9+Aus!U10</f>
        <v/>
      </c>
      <c r="V32" s="526">
        <f>Aus!V9+Aus!V10</f>
        <v/>
      </c>
      <c r="W32" s="526">
        <f>Aus!W9+Aus!W10</f>
        <v/>
      </c>
      <c r="X32" s="526">
        <f>Aus!X9+Aus!X10</f>
        <v/>
      </c>
      <c r="Y32" s="526">
        <f>Aus!Y9+Aus!Y10</f>
        <v/>
      </c>
      <c r="Z32" s="526">
        <f>Aus!Z9+Aus!Z10</f>
        <v/>
      </c>
      <c r="AA32" s="526">
        <f>Aus!AA9+Aus!AA10</f>
        <v/>
      </c>
      <c r="AB32" s="526">
        <f>Aus!AB9+Aus!AB10</f>
        <v/>
      </c>
      <c r="AC32" s="526">
        <f>Aus!AC9+Aus!AC10</f>
        <v/>
      </c>
      <c r="AD32" s="526">
        <f>Aus!AD9+Aus!AD10</f>
        <v/>
      </c>
      <c r="AE32" s="526">
        <f>Aus!AE9+Aus!AE10</f>
        <v/>
      </c>
      <c r="AF32" s="526">
        <f>Aus!AF9+Aus!AF10</f>
        <v/>
      </c>
      <c r="AG32" s="526">
        <f>Aus!AG9+Aus!AG10</f>
        <v/>
      </c>
      <c r="AH32" s="526">
        <f>Aus!AH9+Aus!AH10</f>
        <v/>
      </c>
      <c r="AI32" s="526">
        <f>Aus!AI9+Aus!AI10</f>
        <v/>
      </c>
      <c r="AJ32" s="526">
        <f>Aus!AJ9+Aus!AJ10</f>
        <v/>
      </c>
      <c r="AK32" s="526">
        <f>Aus!AK9+Aus!AK10</f>
        <v/>
      </c>
      <c r="AL32" s="526">
        <f>Aus!AL9+Aus!AL10</f>
        <v/>
      </c>
      <c r="AM32" s="526">
        <f>Aus!AM9+Aus!AM10</f>
        <v/>
      </c>
      <c r="AN32" s="526">
        <f>Aus!AN9+Aus!AN10</f>
        <v/>
      </c>
    </row>
    <row r="33">
      <c r="A33" s="10" t="inlineStr">
        <is>
          <t>China</t>
        </is>
      </c>
      <c r="T33" s="526">
        <f>CN!T6+CN!T7</f>
        <v/>
      </c>
      <c r="U33" s="526">
        <f>CN!U6+CN!U7</f>
        <v/>
      </c>
      <c r="V33" s="526">
        <f>CN!V6+CN!V7</f>
        <v/>
      </c>
      <c r="W33" s="526">
        <f>CN!W6+CN!W7</f>
        <v/>
      </c>
      <c r="X33" s="526">
        <f>CN!X6+CN!X7</f>
        <v/>
      </c>
      <c r="Y33" s="526">
        <f>CN!Y6+CN!Y7</f>
        <v/>
      </c>
      <c r="Z33" s="526">
        <f>CN!Z6+CN!Z7</f>
        <v/>
      </c>
      <c r="AA33" s="526">
        <f>CN!AA6+CN!AA7</f>
        <v/>
      </c>
      <c r="AB33" s="526">
        <f>CN!AB6+CN!AB7</f>
        <v/>
      </c>
      <c r="AC33" s="526">
        <f>CN!AC6+CN!AC7</f>
        <v/>
      </c>
      <c r="AD33" s="526">
        <f>CN!AD6+CN!AD7</f>
        <v/>
      </c>
      <c r="AE33" s="526">
        <f>CN!AE6+CN!AE7</f>
        <v/>
      </c>
      <c r="AF33" s="526">
        <f>CN!AF6+CN!AF7</f>
        <v/>
      </c>
      <c r="AG33" s="526">
        <f>CN!AG6+CN!AG7</f>
        <v/>
      </c>
      <c r="AH33" s="526">
        <f>CN!AH6+CN!AH7</f>
        <v/>
      </c>
      <c r="AI33" s="526">
        <f>CN!AI6+CN!AI7</f>
        <v/>
      </c>
      <c r="AJ33" s="526">
        <f>CN!AJ6+CN!AJ7</f>
        <v/>
      </c>
      <c r="AK33" s="526">
        <f>CN!AK6+CN!AK7</f>
        <v/>
      </c>
      <c r="AL33" s="526">
        <f>CN!AL6+CN!AL7</f>
        <v/>
      </c>
      <c r="AM33" s="526">
        <f>CN!AM6+CN!AM7</f>
        <v/>
      </c>
      <c r="AN33" s="526">
        <f>CN!AN6+CN!AN7</f>
        <v/>
      </c>
    </row>
    <row r="34">
      <c r="A34" s="10" t="inlineStr">
        <is>
          <t>India</t>
        </is>
      </c>
      <c r="T34" s="526" t="n">
        <v>0</v>
      </c>
      <c r="U34" s="526" t="n">
        <v>0</v>
      </c>
      <c r="V34" s="526" t="n">
        <v>0</v>
      </c>
      <c r="W34" s="526" t="n">
        <v>0</v>
      </c>
      <c r="X34" s="526" t="n">
        <v>0</v>
      </c>
      <c r="Y34" s="526" t="n">
        <v>0</v>
      </c>
      <c r="Z34" s="526" t="n">
        <v>0</v>
      </c>
      <c r="AA34" s="526" t="n">
        <v>0</v>
      </c>
      <c r="AB34" s="526" t="n">
        <v>0</v>
      </c>
      <c r="AC34" s="526" t="n">
        <v>0</v>
      </c>
      <c r="AD34" s="526" t="n">
        <v>0</v>
      </c>
      <c r="AE34" s="526" t="n">
        <v>0</v>
      </c>
      <c r="AF34" s="526" t="n">
        <v>0</v>
      </c>
      <c r="AG34" s="526" t="n">
        <v>0</v>
      </c>
      <c r="AH34" s="526" t="n">
        <v>0</v>
      </c>
      <c r="AI34" s="526" t="n">
        <v>0</v>
      </c>
      <c r="AJ34" s="526" t="n">
        <v>0</v>
      </c>
      <c r="AK34" s="526" t="n">
        <v>0</v>
      </c>
      <c r="AL34" s="526" t="n">
        <v>0</v>
      </c>
      <c r="AM34" s="526" t="n">
        <v>0</v>
      </c>
      <c r="AN34" s="526" t="n">
        <v>0</v>
      </c>
    </row>
    <row r="35">
      <c r="A35" s="10" t="inlineStr">
        <is>
          <t>SEA and Taiwan</t>
        </is>
      </c>
      <c r="T35" s="526">
        <f>SEA!T7</f>
        <v/>
      </c>
      <c r="U35" s="526">
        <f>SEA!U7</f>
        <v/>
      </c>
      <c r="V35" s="526">
        <f>SEA!V7</f>
        <v/>
      </c>
      <c r="W35" s="526">
        <f>SEA!W7</f>
        <v/>
      </c>
      <c r="X35" s="526">
        <f>SEA!X7</f>
        <v/>
      </c>
      <c r="Y35" s="526">
        <f>SEA!Y7</f>
        <v/>
      </c>
      <c r="Z35" s="526">
        <f>SEA!Z7</f>
        <v/>
      </c>
      <c r="AA35" s="526">
        <f>SEA!AA7</f>
        <v/>
      </c>
      <c r="AB35" s="526">
        <f>SEA!AB7</f>
        <v/>
      </c>
      <c r="AC35" s="526">
        <f>SEA!AC7</f>
        <v/>
      </c>
      <c r="AD35" s="526">
        <f>SEA!AD7</f>
        <v/>
      </c>
      <c r="AE35" s="526">
        <f>SEA!AE7</f>
        <v/>
      </c>
      <c r="AF35" s="526">
        <f>SEA!AF7</f>
        <v/>
      </c>
      <c r="AG35" s="526">
        <f>SEA!AG7</f>
        <v/>
      </c>
      <c r="AH35" s="526">
        <f>SEA!AH7</f>
        <v/>
      </c>
      <c r="AI35" s="526">
        <f>SEA!AI7</f>
        <v/>
      </c>
      <c r="AJ35" s="526">
        <f>SEA!AJ7</f>
        <v/>
      </c>
      <c r="AK35" s="526">
        <f>SEA!AK7</f>
        <v/>
      </c>
      <c r="AL35" s="526">
        <f>SEA!AL7</f>
        <v/>
      </c>
      <c r="AM35" s="526">
        <f>SEA!AM7</f>
        <v/>
      </c>
      <c r="AN35" s="526">
        <f>SEA!AN7</f>
        <v/>
      </c>
    </row>
    <row r="36">
      <c r="A36" s="10" t="inlineStr">
        <is>
          <t>Others</t>
        </is>
      </c>
      <c r="T36" s="526">
        <f>T37-SUM(T32:T35)</f>
        <v/>
      </c>
      <c r="U36" s="526">
        <f>U37-SUM(U32:U35)</f>
        <v/>
      </c>
      <c r="V36" s="526">
        <f>V37-SUM(V32:V35)</f>
        <v/>
      </c>
      <c r="W36" s="526">
        <f>W37-SUM(W32:W35)</f>
        <v/>
      </c>
      <c r="X36" s="526">
        <f>X37-SUM(X32:X35)</f>
        <v/>
      </c>
      <c r="Y36" s="526">
        <f>Y37-SUM(Y32:Y35)</f>
        <v/>
      </c>
      <c r="Z36" s="526">
        <f>Z37-SUM(Z32:Z35)</f>
        <v/>
      </c>
      <c r="AA36" s="526">
        <f>AA37-SUM(AA32:AA35)</f>
        <v/>
      </c>
      <c r="AB36" s="526">
        <f>AB37-SUM(AB32:AB35)</f>
        <v/>
      </c>
      <c r="AC36" s="526">
        <f>AC37-SUM(AC32:AC35)</f>
        <v/>
      </c>
      <c r="AD36" s="526">
        <f>AD37-SUM(AD32:AD35)</f>
        <v/>
      </c>
      <c r="AE36" s="526">
        <f>AE37-SUM(AE32:AE35)</f>
        <v/>
      </c>
      <c r="AF36" s="526">
        <f>AF37-SUM(AF32:AF35)</f>
        <v/>
      </c>
      <c r="AG36" s="526">
        <f>AG37-SUM(AG32:AG35)</f>
        <v/>
      </c>
      <c r="AH36" s="526">
        <f>AH37-SUM(AH32:AH35)</f>
        <v/>
      </c>
      <c r="AI36" s="564">
        <f>AH36</f>
        <v/>
      </c>
      <c r="AJ36" s="564">
        <f>AI36</f>
        <v/>
      </c>
      <c r="AK36" s="564">
        <f>AJ36</f>
        <v/>
      </c>
      <c r="AL36" s="564">
        <f>AK36</f>
        <v/>
      </c>
      <c r="AM36" s="564">
        <f>AL36</f>
        <v/>
      </c>
      <c r="AN36" s="564">
        <f>AM36</f>
        <v/>
      </c>
    </row>
    <row r="37">
      <c r="A37" s="109" t="inlineStr">
        <is>
          <t>Total earnings from JCEs</t>
        </is>
      </c>
      <c r="B37" s="605">
        <f>Final!B18+Final!B19</f>
        <v/>
      </c>
      <c r="C37" s="605">
        <f>Final!C18+Final!C19</f>
        <v/>
      </c>
      <c r="D37" s="605">
        <f>Final!D18+Final!D19</f>
        <v/>
      </c>
      <c r="E37" s="605">
        <f>Final!E18+Final!E19</f>
        <v/>
      </c>
      <c r="F37" s="605">
        <f>Final!F18+Final!F19</f>
        <v/>
      </c>
      <c r="G37" s="605">
        <f>Final!G18+Final!G19</f>
        <v/>
      </c>
      <c r="H37" s="605">
        <f>Final!H18+Final!H19</f>
        <v/>
      </c>
      <c r="I37" s="605">
        <f>Final!I18+Final!I19</f>
        <v/>
      </c>
      <c r="J37" s="605">
        <f>Final!J18+Final!J19</f>
        <v/>
      </c>
      <c r="K37" s="605">
        <f>Final!K18+Final!K19</f>
        <v/>
      </c>
      <c r="L37" s="605">
        <f>Final!L18+Final!L19</f>
        <v/>
      </c>
      <c r="M37" s="605">
        <f>Final!M18+Final!M19</f>
        <v/>
      </c>
      <c r="N37" s="605">
        <f>Final!N18+Final!N19</f>
        <v/>
      </c>
      <c r="O37" s="605">
        <f>Final!O18+Final!O19</f>
        <v/>
      </c>
      <c r="P37" s="605">
        <f>Final!P18+Final!P19</f>
        <v/>
      </c>
      <c r="Q37" s="605">
        <f>Final!Q18+Final!Q19</f>
        <v/>
      </c>
      <c r="R37" s="605">
        <f>Final!R18+Final!R19</f>
        <v/>
      </c>
      <c r="S37" s="605">
        <f>Final!S18+Final!S19</f>
        <v/>
      </c>
      <c r="T37" s="605">
        <f>Final!T18+Final!T19</f>
        <v/>
      </c>
      <c r="U37" s="605">
        <f>Final!U18+Final!U19</f>
        <v/>
      </c>
      <c r="V37" s="605">
        <f>Final!V18+Final!V19</f>
        <v/>
      </c>
      <c r="W37" s="605">
        <f>Final!W18+Final!W19</f>
        <v/>
      </c>
      <c r="X37" s="605">
        <f>Final!X18+Final!X19</f>
        <v/>
      </c>
      <c r="Y37" s="605">
        <f>Final!Y18+Final!Y19</f>
        <v/>
      </c>
      <c r="Z37" s="605">
        <f>Final!Z18+Final!Z19</f>
        <v/>
      </c>
      <c r="AA37" s="605">
        <f>Final!AA18+Final!AA19</f>
        <v/>
      </c>
      <c r="AB37" s="605">
        <f>Final!AB18+Final!AB19</f>
        <v/>
      </c>
      <c r="AC37" s="605">
        <f>Final!AC18+Final!AC19</f>
        <v/>
      </c>
      <c r="AD37" s="605">
        <f>Final!AD18+Final!AD19</f>
        <v/>
      </c>
      <c r="AE37" s="605">
        <f>Final!AE18+Final!AE19</f>
        <v/>
      </c>
      <c r="AF37" s="605">
        <f>Final!AF18+Final!AF19</f>
        <v/>
      </c>
      <c r="AG37" s="605">
        <f>Final!AG18+Final!AG19</f>
        <v/>
      </c>
      <c r="AH37" s="605" t="n">
        <v>2655</v>
      </c>
      <c r="AI37" s="605">
        <f>SUM(AI32:AI36)</f>
        <v/>
      </c>
      <c r="AJ37" s="605">
        <f>SUM(AJ32:AJ36)</f>
        <v/>
      </c>
      <c r="AK37" s="605">
        <f>SUM(AK32:AK36)</f>
        <v/>
      </c>
      <c r="AL37" s="605">
        <f>SUM(AL32:AL36)</f>
        <v/>
      </c>
      <c r="AM37" s="605">
        <f>SUM(AM32:AM36)</f>
        <v/>
      </c>
      <c r="AN37" s="605">
        <f>SUM(AN32:AN36)</f>
        <v/>
      </c>
    </row>
    <row r="38">
      <c r="A38" s="111" t="inlineStr">
        <is>
          <t>Earnings from JV</t>
        </is>
      </c>
      <c r="B38" s="526">
        <f>Final!B18</f>
        <v/>
      </c>
      <c r="C38" s="526">
        <f>Final!C18</f>
        <v/>
      </c>
      <c r="D38" s="526">
        <f>Final!D18</f>
        <v/>
      </c>
      <c r="E38" s="526">
        <f>Final!E18</f>
        <v/>
      </c>
      <c r="F38" s="526">
        <f>Final!F18</f>
        <v/>
      </c>
      <c r="G38" s="526">
        <f>Final!G18</f>
        <v/>
      </c>
      <c r="H38" s="526">
        <f>Final!H18</f>
        <v/>
      </c>
      <c r="I38" s="526">
        <f>Final!I18</f>
        <v/>
      </c>
      <c r="J38" s="526">
        <f>Final!J18</f>
        <v/>
      </c>
      <c r="K38" s="526">
        <f>Final!K18</f>
        <v/>
      </c>
      <c r="L38" s="526">
        <f>Final!L18</f>
        <v/>
      </c>
      <c r="M38" s="526">
        <f>Final!M18</f>
        <v/>
      </c>
      <c r="N38" s="526">
        <f>Final!N18</f>
        <v/>
      </c>
      <c r="O38" s="526">
        <f>Final!O18</f>
        <v/>
      </c>
      <c r="P38" s="526">
        <f>Final!P18</f>
        <v/>
      </c>
      <c r="Q38" s="526">
        <f>Final!Q18</f>
        <v/>
      </c>
      <c r="R38" s="526">
        <f>Final!R18</f>
        <v/>
      </c>
      <c r="S38" s="526">
        <f>Final!S18</f>
        <v/>
      </c>
      <c r="T38" s="526">
        <f>Final!T18</f>
        <v/>
      </c>
      <c r="U38" s="526">
        <f>Final!U18</f>
        <v/>
      </c>
      <c r="V38" s="526">
        <f>Final!V18</f>
        <v/>
      </c>
      <c r="W38" s="526">
        <f>Final!W18</f>
        <v/>
      </c>
      <c r="X38" s="526">
        <f>Final!X18</f>
        <v/>
      </c>
      <c r="Y38" s="526">
        <f>Final!Y18</f>
        <v/>
      </c>
      <c r="Z38" s="526">
        <f>Final!Z18</f>
        <v/>
      </c>
      <c r="AA38" s="526">
        <f>Final!AA18</f>
        <v/>
      </c>
      <c r="AB38" s="526">
        <f>Final!AB18</f>
        <v/>
      </c>
      <c r="AC38" s="526">
        <f>Final!AC18</f>
        <v/>
      </c>
      <c r="AD38" s="526">
        <f>Final!AD18</f>
        <v/>
      </c>
      <c r="AE38" s="526">
        <f>Final!AE18</f>
        <v/>
      </c>
      <c r="AF38" s="526">
        <f>Final!AF18</f>
        <v/>
      </c>
      <c r="AG38" s="526">
        <f>Final!AG18</f>
        <v/>
      </c>
      <c r="AH38" s="526">
        <f>Final!AH18</f>
        <v/>
      </c>
      <c r="AI38" s="564">
        <f>AI37-AI39</f>
        <v/>
      </c>
      <c r="AJ38" s="564">
        <f>AJ37-AJ39</f>
        <v/>
      </c>
      <c r="AK38" s="564">
        <f>AK37-AK39</f>
        <v/>
      </c>
      <c r="AL38" s="564">
        <f>AL37-AL39</f>
        <v/>
      </c>
      <c r="AM38" s="564">
        <f>AM37-AM39</f>
        <v/>
      </c>
      <c r="AN38" s="564">
        <f>AN37-AN39</f>
        <v/>
      </c>
    </row>
    <row r="39">
      <c r="A39" s="111" t="inlineStr">
        <is>
          <t>Earnings from Associates</t>
        </is>
      </c>
      <c r="B39" s="526">
        <f>Final!B19</f>
        <v/>
      </c>
      <c r="C39" s="526">
        <f>Final!C19</f>
        <v/>
      </c>
      <c r="D39" s="526">
        <f>Final!D19</f>
        <v/>
      </c>
      <c r="E39" s="526">
        <f>Final!E19</f>
        <v/>
      </c>
      <c r="F39" s="526">
        <f>Final!F19</f>
        <v/>
      </c>
      <c r="G39" s="526">
        <f>Final!G19</f>
        <v/>
      </c>
      <c r="H39" s="526">
        <f>Final!H19</f>
        <v/>
      </c>
      <c r="I39" s="526">
        <f>Final!I19</f>
        <v/>
      </c>
      <c r="J39" s="526">
        <f>Final!J19</f>
        <v/>
      </c>
      <c r="K39" s="526">
        <f>Final!K19</f>
        <v/>
      </c>
      <c r="L39" s="526">
        <f>Final!L19</f>
        <v/>
      </c>
      <c r="M39" s="526">
        <f>Final!M19</f>
        <v/>
      </c>
      <c r="N39" s="526">
        <f>Final!N19</f>
        <v/>
      </c>
      <c r="O39" s="526">
        <f>Final!O19</f>
        <v/>
      </c>
      <c r="P39" s="526">
        <f>Final!P19</f>
        <v/>
      </c>
      <c r="Q39" s="526">
        <f>Final!Q19</f>
        <v/>
      </c>
      <c r="R39" s="526">
        <f>Final!R19</f>
        <v/>
      </c>
      <c r="S39" s="526">
        <f>Final!S19</f>
        <v/>
      </c>
      <c r="T39" s="526">
        <f>Final!T19</f>
        <v/>
      </c>
      <c r="U39" s="526">
        <f>Final!U19</f>
        <v/>
      </c>
      <c r="V39" s="526">
        <f>Final!V19</f>
        <v/>
      </c>
      <c r="W39" s="526">
        <f>Final!W19</f>
        <v/>
      </c>
      <c r="X39" s="526">
        <f>Final!X19</f>
        <v/>
      </c>
      <c r="Y39" s="526">
        <f>Final!Y19</f>
        <v/>
      </c>
      <c r="Z39" s="526">
        <f>Final!Z19</f>
        <v/>
      </c>
      <c r="AA39" s="526">
        <f>Final!AA19</f>
        <v/>
      </c>
      <c r="AB39" s="526">
        <f>Final!AB19</f>
        <v/>
      </c>
      <c r="AC39" s="526">
        <f>Final!AC19</f>
        <v/>
      </c>
      <c r="AD39" s="526">
        <f>Final!AD19</f>
        <v/>
      </c>
      <c r="AE39" s="526">
        <f>Final!AE19</f>
        <v/>
      </c>
      <c r="AF39" s="526">
        <f>Final!AF19</f>
        <v/>
      </c>
      <c r="AG39" s="526">
        <f>Final!AG19</f>
        <v/>
      </c>
      <c r="AH39" s="526">
        <f>Final!AH19</f>
        <v/>
      </c>
      <c r="AI39" s="564">
        <f>CN!AI7+Aus!AI10</f>
        <v/>
      </c>
      <c r="AJ39" s="564">
        <f>CN!AJ7+Aus!AJ10</f>
        <v/>
      </c>
      <c r="AK39" s="564">
        <f>CN!AK7+Aus!AK10</f>
        <v/>
      </c>
      <c r="AL39" s="564">
        <f>CN!AL7+Aus!AL10</f>
        <v/>
      </c>
      <c r="AM39" s="564">
        <f>CN!AM7+Aus!AM10</f>
        <v/>
      </c>
      <c r="AN39" s="564">
        <f>CN!AN7+Aus!AN10</f>
        <v/>
      </c>
    </row>
    <row r="40">
      <c r="A40" s="62" t="n"/>
      <c r="B40" s="597" t="n"/>
      <c r="C40" s="597" t="n"/>
      <c r="D40" s="597" t="n"/>
      <c r="E40" s="597" t="n"/>
      <c r="F40" s="597" t="n"/>
      <c r="G40" s="597" t="n"/>
      <c r="H40" s="597" t="n"/>
      <c r="I40" s="597" t="n"/>
      <c r="J40" s="597" t="n"/>
      <c r="K40" s="597" t="n"/>
      <c r="L40" s="597" t="n"/>
      <c r="M40" s="597" t="n"/>
      <c r="N40" s="597" t="n"/>
      <c r="O40" s="597" t="n"/>
      <c r="P40" s="597" t="n"/>
      <c r="Q40" s="597" t="n"/>
      <c r="R40" s="597" t="n"/>
      <c r="S40" s="597" t="n"/>
      <c r="T40" s="597" t="n"/>
      <c r="U40" s="597" t="n"/>
      <c r="V40" s="597" t="n"/>
      <c r="W40" s="597" t="n"/>
      <c r="X40" s="597" t="n"/>
      <c r="Y40" s="597" t="n"/>
      <c r="Z40" s="597" t="n"/>
    </row>
    <row r="41">
      <c r="A41" s="6" t="inlineStr">
        <is>
          <t>Taxation</t>
        </is>
      </c>
      <c r="B41" s="594" t="n"/>
      <c r="C41" s="594" t="n"/>
      <c r="D41" s="594" t="n"/>
      <c r="E41" s="594" t="n"/>
      <c r="F41" s="594" t="n"/>
      <c r="G41" s="594" t="n"/>
      <c r="H41" s="594" t="n"/>
      <c r="I41" s="594" t="n"/>
      <c r="J41" s="594" t="n"/>
      <c r="K41" s="594" t="n"/>
      <c r="L41" s="594" t="n"/>
      <c r="M41" s="594" t="n"/>
      <c r="N41" s="594" t="n"/>
      <c r="O41" s="594" t="n"/>
      <c r="P41" s="594" t="n"/>
      <c r="Q41" s="594" t="n"/>
      <c r="R41" s="594" t="n"/>
      <c r="S41" s="594" t="n"/>
      <c r="T41" s="594" t="n"/>
      <c r="U41" s="594" t="n"/>
      <c r="V41" s="594" t="n"/>
      <c r="W41" s="594" t="n"/>
      <c r="X41" s="594" t="n"/>
      <c r="Y41" s="594" t="n"/>
      <c r="Z41" s="594" t="n"/>
      <c r="AA41" s="594" t="n"/>
      <c r="AB41" s="594" t="n"/>
      <c r="AC41" s="594" t="n"/>
      <c r="AD41" s="594" t="n"/>
      <c r="AE41" s="594" t="n"/>
      <c r="AF41" s="594" t="n"/>
      <c r="AG41" s="594" t="n"/>
      <c r="AH41" s="594" t="n"/>
      <c r="AI41" s="594" t="n"/>
      <c r="AJ41" s="594" t="n"/>
      <c r="AK41" s="594" t="n"/>
      <c r="AL41" s="594" t="n"/>
      <c r="AM41" s="594" t="n"/>
      <c r="AN41" s="594" t="n"/>
    </row>
    <row r="42">
      <c r="A42" s="10" t="inlineStr">
        <is>
          <t>Hong Kong</t>
        </is>
      </c>
      <c r="B42" s="526">
        <f>SOC!B14</f>
        <v/>
      </c>
      <c r="C42" s="526">
        <f>SOC!C14</f>
        <v/>
      </c>
      <c r="D42" s="526">
        <f>SOC!D14</f>
        <v/>
      </c>
      <c r="E42" s="526">
        <f>SOC!E14</f>
        <v/>
      </c>
      <c r="F42" s="526">
        <f>SOC!F14</f>
        <v/>
      </c>
      <c r="G42" s="526">
        <f>SOC!G14</f>
        <v/>
      </c>
      <c r="H42" s="526">
        <f>SOC!H14</f>
        <v/>
      </c>
      <c r="I42" s="526">
        <f>SOC!I14</f>
        <v/>
      </c>
      <c r="J42" s="526">
        <f>SOC!J14</f>
        <v/>
      </c>
      <c r="K42" s="526">
        <f>SOC!K14</f>
        <v/>
      </c>
      <c r="L42" s="526">
        <f>SOC!L14</f>
        <v/>
      </c>
      <c r="M42" s="526">
        <f>SOC!M14</f>
        <v/>
      </c>
      <c r="N42" s="526">
        <f>SOC!N14</f>
        <v/>
      </c>
      <c r="O42" s="526">
        <f>SOC!O14</f>
        <v/>
      </c>
      <c r="P42" s="526">
        <f>SOC!P14</f>
        <v/>
      </c>
      <c r="Q42" s="526">
        <f>SOC!Q14</f>
        <v/>
      </c>
      <c r="R42" s="526">
        <f>SOC!R14</f>
        <v/>
      </c>
      <c r="S42" s="526">
        <f>SOC!S14</f>
        <v/>
      </c>
      <c r="T42" s="526">
        <f>SOC!T14</f>
        <v/>
      </c>
      <c r="U42" s="526">
        <f>SOC!U14</f>
        <v/>
      </c>
      <c r="V42" s="526">
        <f>SOC!V14</f>
        <v/>
      </c>
      <c r="W42" s="526">
        <f>SOC!W14</f>
        <v/>
      </c>
      <c r="X42" s="526">
        <f>SOC!X14</f>
        <v/>
      </c>
      <c r="Y42" s="526">
        <f>SOC!Y14</f>
        <v/>
      </c>
      <c r="Z42" s="526">
        <f>SOC!Z14</f>
        <v/>
      </c>
      <c r="AA42" s="526">
        <f>SOC!AA14</f>
        <v/>
      </c>
      <c r="AB42" s="526">
        <f>SOC!AB14</f>
        <v/>
      </c>
      <c r="AC42" s="526">
        <f>SOC!AC14</f>
        <v/>
      </c>
      <c r="AD42" s="526">
        <f>SOC!AD14</f>
        <v/>
      </c>
      <c r="AE42" s="526">
        <f>SOC!AE14</f>
        <v/>
      </c>
      <c r="AF42" s="526">
        <f>SOC!AF14</f>
        <v/>
      </c>
      <c r="AG42" s="526">
        <f>SOC!AG14</f>
        <v/>
      </c>
      <c r="AH42" s="526">
        <f>SOC!AH14</f>
        <v/>
      </c>
      <c r="AI42" s="526">
        <f>SOC!AI14</f>
        <v/>
      </c>
      <c r="AJ42" s="526">
        <f>SOC!AJ14</f>
        <v/>
      </c>
      <c r="AK42" s="526">
        <f>SOC!AK14</f>
        <v/>
      </c>
      <c r="AL42" s="526">
        <f>SOC!AL14</f>
        <v/>
      </c>
      <c r="AM42" s="526">
        <f>SOC!AM14</f>
        <v/>
      </c>
      <c r="AN42" s="526">
        <f>SOC!AN14</f>
        <v/>
      </c>
    </row>
    <row r="43">
      <c r="A43" s="10" t="inlineStr">
        <is>
          <t>Australia</t>
        </is>
      </c>
      <c r="B43" s="526">
        <f>Aus!B27</f>
        <v/>
      </c>
      <c r="C43" s="526">
        <f>Aus!C27</f>
        <v/>
      </c>
      <c r="D43" s="526">
        <f>Aus!D27</f>
        <v/>
      </c>
      <c r="E43" s="526">
        <f>Aus!E27</f>
        <v/>
      </c>
      <c r="F43" s="526">
        <f>Aus!F27</f>
        <v/>
      </c>
      <c r="G43" s="526">
        <f>Aus!G27</f>
        <v/>
      </c>
      <c r="H43" s="526">
        <f>Aus!H27</f>
        <v/>
      </c>
      <c r="I43" s="526">
        <f>Aus!I27</f>
        <v/>
      </c>
      <c r="J43" s="526">
        <f>Aus!J27</f>
        <v/>
      </c>
      <c r="K43" s="526">
        <f>Aus!K27</f>
        <v/>
      </c>
      <c r="L43" s="526">
        <f>Aus!L27</f>
        <v/>
      </c>
      <c r="M43" s="526">
        <f>Aus!M27</f>
        <v/>
      </c>
      <c r="N43" s="526">
        <f>Aus!N27</f>
        <v/>
      </c>
      <c r="O43" s="526">
        <f>Aus!O27</f>
        <v/>
      </c>
      <c r="P43" s="526">
        <f>Aus!P27</f>
        <v/>
      </c>
      <c r="Q43" s="526">
        <f>Aus!Q27</f>
        <v/>
      </c>
      <c r="R43" s="526">
        <f>Aus!R27</f>
        <v/>
      </c>
      <c r="S43" s="526">
        <f>Aus!S27</f>
        <v/>
      </c>
      <c r="T43" s="526">
        <f>Aus!T27</f>
        <v/>
      </c>
      <c r="U43" s="526">
        <f>Aus!U27</f>
        <v/>
      </c>
      <c r="V43" s="526">
        <f>Aus!V27</f>
        <v/>
      </c>
      <c r="W43" s="526">
        <f>Aus!W27</f>
        <v/>
      </c>
      <c r="X43" s="526">
        <f>Aus!X27</f>
        <v/>
      </c>
      <c r="Y43" s="526">
        <f>Aus!Y27</f>
        <v/>
      </c>
      <c r="Z43" s="526">
        <f>Aus!Z27</f>
        <v/>
      </c>
      <c r="AA43" s="526">
        <f>Aus!AA27</f>
        <v/>
      </c>
      <c r="AB43" s="526">
        <f>Aus!AB27</f>
        <v/>
      </c>
      <c r="AC43" s="526">
        <f>Aus!AC27</f>
        <v/>
      </c>
      <c r="AD43" s="526">
        <f>Aus!AD27</f>
        <v/>
      </c>
      <c r="AE43" s="526">
        <f>Aus!AE27</f>
        <v/>
      </c>
      <c r="AF43" s="526">
        <f>Aus!AF27</f>
        <v/>
      </c>
      <c r="AG43" s="526">
        <f>Aus!AG27</f>
        <v/>
      </c>
      <c r="AH43" s="526">
        <f>Aus!AH27</f>
        <v/>
      </c>
      <c r="AI43" s="526">
        <f>Aus!AI27</f>
        <v/>
      </c>
      <c r="AJ43" s="526">
        <f>Aus!AJ27</f>
        <v/>
      </c>
      <c r="AK43" s="526">
        <f>Aus!AK27</f>
        <v/>
      </c>
      <c r="AL43" s="526">
        <f>Aus!AL27</f>
        <v/>
      </c>
      <c r="AM43" s="526">
        <f>Aus!AM27</f>
        <v/>
      </c>
      <c r="AN43" s="526">
        <f>Aus!AN27</f>
        <v/>
      </c>
    </row>
    <row r="44">
      <c r="A44" s="10" t="inlineStr">
        <is>
          <t>China</t>
        </is>
      </c>
      <c r="B44" s="526">
        <f>CN!B16</f>
        <v/>
      </c>
      <c r="C44" s="526">
        <f>CN!C16</f>
        <v/>
      </c>
      <c r="D44" s="526">
        <f>CN!D16</f>
        <v/>
      </c>
      <c r="E44" s="526">
        <f>CN!E16</f>
        <v/>
      </c>
      <c r="F44" s="526">
        <f>CN!F16</f>
        <v/>
      </c>
      <c r="G44" s="526">
        <f>CN!G16</f>
        <v/>
      </c>
      <c r="H44" s="526">
        <f>CN!H16</f>
        <v/>
      </c>
      <c r="I44" s="526">
        <f>CN!I16</f>
        <v/>
      </c>
      <c r="J44" s="526">
        <f>CN!J16</f>
        <v/>
      </c>
      <c r="K44" s="526">
        <f>CN!K16</f>
        <v/>
      </c>
      <c r="L44" s="526">
        <f>CN!L16</f>
        <v/>
      </c>
      <c r="M44" s="526">
        <f>CN!M16</f>
        <v/>
      </c>
      <c r="N44" s="526">
        <f>CN!N16</f>
        <v/>
      </c>
      <c r="O44" s="526">
        <f>CN!O16</f>
        <v/>
      </c>
      <c r="P44" s="526">
        <f>CN!P16</f>
        <v/>
      </c>
      <c r="Q44" s="526">
        <f>CN!Q16</f>
        <v/>
      </c>
      <c r="R44" s="526">
        <f>CN!R16</f>
        <v/>
      </c>
      <c r="S44" s="526">
        <f>CN!S16</f>
        <v/>
      </c>
      <c r="T44" s="526">
        <f>CN!T16</f>
        <v/>
      </c>
      <c r="U44" s="526">
        <f>CN!U16</f>
        <v/>
      </c>
      <c r="V44" s="526">
        <f>CN!V16</f>
        <v/>
      </c>
      <c r="W44" s="526">
        <f>CN!W16</f>
        <v/>
      </c>
      <c r="X44" s="526">
        <f>CN!X16</f>
        <v/>
      </c>
      <c r="Y44" s="526">
        <f>CN!Y16</f>
        <v/>
      </c>
      <c r="Z44" s="526">
        <f>CN!Z16</f>
        <v/>
      </c>
      <c r="AA44" s="526">
        <f>CN!AA16</f>
        <v/>
      </c>
      <c r="AB44" s="526">
        <f>CN!AB16</f>
        <v/>
      </c>
      <c r="AC44" s="526">
        <f>CN!AC16</f>
        <v/>
      </c>
      <c r="AD44" s="526">
        <f>CN!AD16</f>
        <v/>
      </c>
      <c r="AE44" s="526">
        <f>CN!AE16</f>
        <v/>
      </c>
      <c r="AF44" s="526">
        <f>CN!AF16</f>
        <v/>
      </c>
      <c r="AG44" s="526">
        <f>CN!AG16</f>
        <v/>
      </c>
      <c r="AH44" s="526">
        <f>CN!AH16</f>
        <v/>
      </c>
      <c r="AI44" s="526">
        <f>CN!AI16</f>
        <v/>
      </c>
      <c r="AJ44" s="526">
        <f>CN!AJ16</f>
        <v/>
      </c>
      <c r="AK44" s="526">
        <f>CN!AK16</f>
        <v/>
      </c>
      <c r="AL44" s="526">
        <f>CN!AL16</f>
        <v/>
      </c>
      <c r="AM44" s="526">
        <f>CN!AM16</f>
        <v/>
      </c>
      <c r="AN44" s="526">
        <f>CN!AN16</f>
        <v/>
      </c>
    </row>
    <row r="45">
      <c r="A45" s="10" t="inlineStr">
        <is>
          <t>India</t>
        </is>
      </c>
      <c r="B45" s="526">
        <f>India!B17</f>
        <v/>
      </c>
      <c r="C45" s="526">
        <f>India!C17</f>
        <v/>
      </c>
      <c r="D45" s="526">
        <f>India!D17</f>
        <v/>
      </c>
      <c r="E45" s="526">
        <f>India!E17</f>
        <v/>
      </c>
      <c r="F45" s="526">
        <f>India!F17</f>
        <v/>
      </c>
      <c r="G45" s="526">
        <f>India!G17</f>
        <v/>
      </c>
      <c r="H45" s="526">
        <f>India!H17</f>
        <v/>
      </c>
      <c r="I45" s="526">
        <f>India!I17</f>
        <v/>
      </c>
      <c r="J45" s="526">
        <f>India!J17</f>
        <v/>
      </c>
      <c r="K45" s="526">
        <f>India!K17</f>
        <v/>
      </c>
      <c r="L45" s="526">
        <f>India!L17</f>
        <v/>
      </c>
      <c r="M45" s="526">
        <f>India!M17</f>
        <v/>
      </c>
      <c r="N45" s="526">
        <f>India!N17</f>
        <v/>
      </c>
      <c r="O45" s="526">
        <f>India!O17</f>
        <v/>
      </c>
      <c r="P45" s="526">
        <f>India!P17</f>
        <v/>
      </c>
      <c r="Q45" s="526">
        <f>India!Q17</f>
        <v/>
      </c>
      <c r="R45" s="526">
        <f>India!R17</f>
        <v/>
      </c>
      <c r="S45" s="526">
        <f>India!S17</f>
        <v/>
      </c>
      <c r="T45" s="526">
        <f>India!T17</f>
        <v/>
      </c>
      <c r="U45" s="526">
        <f>India!U17</f>
        <v/>
      </c>
      <c r="V45" s="526">
        <f>India!V17</f>
        <v/>
      </c>
      <c r="W45" s="526">
        <f>India!W17</f>
        <v/>
      </c>
      <c r="X45" s="526">
        <f>India!X17</f>
        <v/>
      </c>
      <c r="Y45" s="526">
        <f>India!Y17</f>
        <v/>
      </c>
      <c r="Z45" s="526">
        <f>India!Z17</f>
        <v/>
      </c>
      <c r="AA45" s="526">
        <f>India!AA17</f>
        <v/>
      </c>
      <c r="AB45" s="526">
        <f>India!AB17</f>
        <v/>
      </c>
      <c r="AC45" s="526">
        <f>India!AC17</f>
        <v/>
      </c>
      <c r="AD45" s="526">
        <f>India!AD17</f>
        <v/>
      </c>
      <c r="AE45" s="526">
        <f>India!AE17</f>
        <v/>
      </c>
      <c r="AF45" s="526">
        <f>India!AF17</f>
        <v/>
      </c>
      <c r="AG45" s="526">
        <f>India!AG17</f>
        <v/>
      </c>
      <c r="AH45" s="526">
        <f>India!AH17</f>
        <v/>
      </c>
      <c r="AI45" s="526">
        <f>India!AI17</f>
        <v/>
      </c>
      <c r="AJ45" s="526">
        <f>India!AJ17</f>
        <v/>
      </c>
      <c r="AK45" s="526">
        <f>India!AK17</f>
        <v/>
      </c>
      <c r="AL45" s="526">
        <f>India!AL17</f>
        <v/>
      </c>
      <c r="AM45" s="526">
        <f>India!AM17</f>
        <v/>
      </c>
      <c r="AN45" s="526">
        <f>India!AN17</f>
        <v/>
      </c>
    </row>
    <row r="46">
      <c r="A46" s="10" t="inlineStr">
        <is>
          <t>SEA and Taiwan</t>
        </is>
      </c>
      <c r="B46" s="526">
        <f>SEA!B17</f>
        <v/>
      </c>
      <c r="C46" s="526">
        <f>SEA!C17</f>
        <v/>
      </c>
      <c r="D46" s="526">
        <f>SEA!D17</f>
        <v/>
      </c>
      <c r="E46" s="526">
        <f>SEA!E17</f>
        <v/>
      </c>
      <c r="F46" s="526">
        <f>SEA!F17</f>
        <v/>
      </c>
      <c r="G46" s="526">
        <f>SEA!G17</f>
        <v/>
      </c>
      <c r="H46" s="526">
        <f>SEA!H17</f>
        <v/>
      </c>
      <c r="I46" s="526">
        <f>SEA!I17</f>
        <v/>
      </c>
      <c r="J46" s="526">
        <f>SEA!J17</f>
        <v/>
      </c>
      <c r="K46" s="526">
        <f>SEA!K17</f>
        <v/>
      </c>
      <c r="L46" s="526">
        <f>SEA!L17</f>
        <v/>
      </c>
      <c r="M46" s="526">
        <f>SEA!M17</f>
        <v/>
      </c>
      <c r="N46" s="526">
        <f>SEA!N17</f>
        <v/>
      </c>
      <c r="O46" s="526">
        <f>SEA!O17</f>
        <v/>
      </c>
      <c r="P46" s="526">
        <f>SEA!P17</f>
        <v/>
      </c>
      <c r="Q46" s="526">
        <f>SEA!Q17</f>
        <v/>
      </c>
      <c r="R46" s="526">
        <f>SEA!R17</f>
        <v/>
      </c>
      <c r="S46" s="526">
        <f>SEA!S17</f>
        <v/>
      </c>
      <c r="T46" s="526">
        <f>SEA!T17</f>
        <v/>
      </c>
      <c r="U46" s="526">
        <f>SEA!U17</f>
        <v/>
      </c>
      <c r="V46" s="526">
        <f>SEA!V17</f>
        <v/>
      </c>
      <c r="W46" s="526">
        <f>SEA!W17</f>
        <v/>
      </c>
      <c r="X46" s="526">
        <f>SEA!X17</f>
        <v/>
      </c>
      <c r="Y46" s="526">
        <f>SEA!Y17</f>
        <v/>
      </c>
      <c r="Z46" s="526">
        <f>SEA!Z17</f>
        <v/>
      </c>
      <c r="AA46" s="526">
        <f>SEA!AA17</f>
        <v/>
      </c>
      <c r="AB46" s="526">
        <f>SEA!AB17</f>
        <v/>
      </c>
      <c r="AC46" s="526">
        <f>SEA!AC17</f>
        <v/>
      </c>
      <c r="AD46" s="526">
        <f>SEA!AD17</f>
        <v/>
      </c>
      <c r="AE46" s="526">
        <f>SEA!AE17</f>
        <v/>
      </c>
      <c r="AF46" s="526">
        <f>SEA!AF17</f>
        <v/>
      </c>
      <c r="AG46" s="526">
        <f>SEA!AG17</f>
        <v/>
      </c>
      <c r="AH46" s="526">
        <f>SEA!AH17</f>
        <v/>
      </c>
      <c r="AI46" s="526">
        <f>SEA!AI17</f>
        <v/>
      </c>
      <c r="AJ46" s="526">
        <f>SEA!AJ17</f>
        <v/>
      </c>
      <c r="AK46" s="526">
        <f>SEA!AK17</f>
        <v/>
      </c>
      <c r="AL46" s="526">
        <f>SEA!AL17</f>
        <v/>
      </c>
      <c r="AM46" s="526">
        <f>SEA!AM17</f>
        <v/>
      </c>
      <c r="AN46" s="526">
        <f>SEA!AN17</f>
        <v/>
      </c>
    </row>
    <row r="47">
      <c r="A47" s="10" t="inlineStr">
        <is>
          <t>Others</t>
        </is>
      </c>
      <c r="B47" s="526">
        <f>B48-SUM(B42:B46)</f>
        <v/>
      </c>
      <c r="C47" s="526">
        <f>C48-SUM(C42:C46)</f>
        <v/>
      </c>
      <c r="D47" s="526">
        <f>D48-SUM(D42:D46)</f>
        <v/>
      </c>
      <c r="E47" s="526">
        <f>E48-SUM(E42:E46)</f>
        <v/>
      </c>
      <c r="F47" s="526">
        <f>F48-SUM(F42:F46)</f>
        <v/>
      </c>
      <c r="G47" s="526">
        <f>G48-SUM(G42:G46)</f>
        <v/>
      </c>
      <c r="H47" s="526">
        <f>H48-SUM(H42:H46)</f>
        <v/>
      </c>
      <c r="I47" s="526">
        <f>I48-SUM(I42:I46)</f>
        <v/>
      </c>
      <c r="J47" s="526">
        <f>J48-SUM(J42:J46)</f>
        <v/>
      </c>
      <c r="K47" s="526">
        <f>K48-SUM(K42:K46)</f>
        <v/>
      </c>
      <c r="L47" s="526">
        <f>L48-SUM(L42:L46)</f>
        <v/>
      </c>
      <c r="M47" s="526">
        <f>M48-SUM(M42:M46)</f>
        <v/>
      </c>
      <c r="N47" s="526">
        <f>N48-SUM(N42:N46)</f>
        <v/>
      </c>
      <c r="O47" s="526">
        <f>O48-SUM(O42:O46)</f>
        <v/>
      </c>
      <c r="P47" s="526">
        <f>P48-SUM(P42:P46)</f>
        <v/>
      </c>
      <c r="Q47" s="526">
        <f>Q48-SUM(Q42:Q46)</f>
        <v/>
      </c>
      <c r="R47" s="526">
        <f>R48-SUM(R42:R46)</f>
        <v/>
      </c>
      <c r="S47" s="526">
        <f>S48-SUM(S42:S46)</f>
        <v/>
      </c>
      <c r="T47" s="526">
        <f>T48-SUM(T42:T46)</f>
        <v/>
      </c>
      <c r="U47" s="526">
        <f>U48-SUM(U42:U46)</f>
        <v/>
      </c>
      <c r="V47" s="526">
        <f>V48-SUM(V42:V46)</f>
        <v/>
      </c>
      <c r="W47" s="526">
        <f>W48-SUM(W42:W46)</f>
        <v/>
      </c>
      <c r="X47" s="526">
        <f>X48-SUM(X42:X46)</f>
        <v/>
      </c>
      <c r="Y47" s="526">
        <f>Y48-SUM(Y42:Y46)</f>
        <v/>
      </c>
      <c r="Z47" s="526">
        <f>Z48-SUM(Z42:Z46)</f>
        <v/>
      </c>
      <c r="AA47" s="526">
        <f>AA48-SUM(AA42:AA46)</f>
        <v/>
      </c>
      <c r="AB47" s="526">
        <f>AB48-SUM(AB42:AB46)</f>
        <v/>
      </c>
      <c r="AC47" s="526">
        <f>AC48-SUM(AC42:AC46)</f>
        <v/>
      </c>
      <c r="AD47" s="526">
        <f>AD48-SUM(AD42:AD46)</f>
        <v/>
      </c>
      <c r="AE47" s="526">
        <f>AE48-SUM(AE42:AE46)</f>
        <v/>
      </c>
      <c r="AF47" s="526">
        <f>AF48-SUM(AF42:AF46)</f>
        <v/>
      </c>
      <c r="AG47" s="526">
        <f>AG48-SUM(AG42:AG46)</f>
        <v/>
      </c>
      <c r="AH47" s="526">
        <f>AH48-SUM(AH42:AH46)</f>
        <v/>
      </c>
      <c r="AI47" s="564">
        <f>AH47</f>
        <v/>
      </c>
      <c r="AJ47" s="564">
        <f>AI47</f>
        <v/>
      </c>
      <c r="AK47" s="564">
        <f>AJ47</f>
        <v/>
      </c>
      <c r="AL47" s="564">
        <f>AK47</f>
        <v/>
      </c>
      <c r="AM47" s="564">
        <f>AL47</f>
        <v/>
      </c>
      <c r="AN47" s="564">
        <f>AM47</f>
        <v/>
      </c>
    </row>
    <row r="48">
      <c r="A48" s="109" t="inlineStr">
        <is>
          <t>Total</t>
        </is>
      </c>
      <c r="B48" s="605">
        <f>Final!B23</f>
        <v/>
      </c>
      <c r="C48" s="605">
        <f>Final!C23</f>
        <v/>
      </c>
      <c r="D48" s="605">
        <f>Final!D23</f>
        <v/>
      </c>
      <c r="E48" s="605">
        <f>Final!E23</f>
        <v/>
      </c>
      <c r="F48" s="605">
        <f>Final!F23</f>
        <v/>
      </c>
      <c r="G48" s="605">
        <f>Final!G23</f>
        <v/>
      </c>
      <c r="H48" s="605">
        <f>Final!H23</f>
        <v/>
      </c>
      <c r="I48" s="605">
        <f>Final!I23</f>
        <v/>
      </c>
      <c r="J48" s="605">
        <f>Final!J23</f>
        <v/>
      </c>
      <c r="K48" s="605">
        <f>Final!K23</f>
        <v/>
      </c>
      <c r="L48" s="605">
        <f>Final!L23</f>
        <v/>
      </c>
      <c r="M48" s="605">
        <f>Final!M23</f>
        <v/>
      </c>
      <c r="N48" s="605">
        <f>Final!N23</f>
        <v/>
      </c>
      <c r="O48" s="605">
        <f>Final!O23</f>
        <v/>
      </c>
      <c r="P48" s="605">
        <f>Final!P23</f>
        <v/>
      </c>
      <c r="Q48" s="605">
        <f>Final!Q23</f>
        <v/>
      </c>
      <c r="R48" s="605">
        <f>Final!R23</f>
        <v/>
      </c>
      <c r="S48" s="605">
        <f>Final!S23</f>
        <v/>
      </c>
      <c r="T48" s="605">
        <f>Final!T23</f>
        <v/>
      </c>
      <c r="U48" s="605">
        <f>Final!U23</f>
        <v/>
      </c>
      <c r="V48" s="605">
        <f>Final!V23</f>
        <v/>
      </c>
      <c r="W48" s="605">
        <f>Final!W23</f>
        <v/>
      </c>
      <c r="X48" s="605">
        <f>Final!X23</f>
        <v/>
      </c>
      <c r="Y48" s="605">
        <f>Final!Y23</f>
        <v/>
      </c>
      <c r="Z48" s="605">
        <f>Final!Z23</f>
        <v/>
      </c>
      <c r="AA48" s="605">
        <f>Final!AA23</f>
        <v/>
      </c>
      <c r="AB48" s="605">
        <f>Final!AB23</f>
        <v/>
      </c>
      <c r="AC48" s="605">
        <f>Final!AC23</f>
        <v/>
      </c>
      <c r="AD48" s="605">
        <f>Final!AD23</f>
        <v/>
      </c>
      <c r="AE48" s="605">
        <f>Final!AE23</f>
        <v/>
      </c>
      <c r="AF48" s="605">
        <f>Final!AF23</f>
        <v/>
      </c>
      <c r="AG48" s="605">
        <f>Final!AG23</f>
        <v/>
      </c>
      <c r="AH48" s="605">
        <f>Final!AH23</f>
        <v/>
      </c>
      <c r="AI48" s="608">
        <f>SUM(AI42:AI47)</f>
        <v/>
      </c>
      <c r="AJ48" s="608">
        <f>SUM(AJ42:AJ47)</f>
        <v/>
      </c>
      <c r="AK48" s="608">
        <f>SUM(AK42:AK47)</f>
        <v/>
      </c>
      <c r="AL48" s="608">
        <f>SUM(AL42:AL47)</f>
        <v/>
      </c>
      <c r="AM48" s="608">
        <f>SUM(AM42:AM47)</f>
        <v/>
      </c>
      <c r="AN48" s="608">
        <f>SUM(AN42:AN47)</f>
        <v/>
      </c>
    </row>
    <row r="49">
      <c r="A49" s="62" t="n"/>
      <c r="B49" s="597" t="n"/>
      <c r="C49" s="597" t="n"/>
      <c r="D49" s="597" t="n"/>
      <c r="E49" s="597" t="n"/>
      <c r="F49" s="597" t="n"/>
      <c r="G49" s="597" t="n"/>
      <c r="H49" s="597" t="n"/>
      <c r="I49" s="597" t="n"/>
      <c r="J49" s="597" t="n"/>
      <c r="K49" s="597" t="n"/>
      <c r="L49" s="597" t="n"/>
      <c r="M49" s="597" t="n"/>
      <c r="N49" s="597" t="n"/>
      <c r="O49" s="597" t="n"/>
      <c r="P49" s="597" t="n"/>
      <c r="Q49" s="597" t="n"/>
      <c r="R49" s="597" t="n"/>
      <c r="S49" s="597" t="n"/>
      <c r="T49" s="597" t="n"/>
      <c r="U49" s="597" t="n"/>
      <c r="V49" s="597" t="n"/>
      <c r="W49" s="597" t="n"/>
      <c r="X49" s="597" t="n"/>
      <c r="Y49" s="597" t="n"/>
      <c r="Z49" s="597" t="n"/>
      <c r="AA49" s="597" t="n"/>
      <c r="AB49" s="597" t="n"/>
      <c r="AC49" s="597" t="n"/>
      <c r="AD49" s="597" t="n"/>
      <c r="AE49" s="597" t="n"/>
      <c r="AF49" s="137" t="n"/>
      <c r="AG49" s="137" t="n"/>
      <c r="AH49" s="137" t="n"/>
      <c r="AI49" s="597" t="n"/>
      <c r="AJ49" s="597" t="n"/>
      <c r="AK49" s="597" t="n"/>
      <c r="AL49" s="597" t="n"/>
      <c r="AM49" s="597" t="n"/>
      <c r="AN49" s="597" t="n"/>
    </row>
    <row r="50">
      <c r="A50" s="6" t="inlineStr">
        <is>
          <t>Recurring earnings</t>
        </is>
      </c>
      <c r="B50" s="594" t="n"/>
      <c r="C50" s="594" t="n"/>
      <c r="D50" s="594" t="n"/>
      <c r="E50" s="594" t="n"/>
      <c r="F50" s="594" t="n"/>
      <c r="G50" s="594" t="n"/>
      <c r="H50" s="594" t="n"/>
      <c r="I50" s="594" t="n"/>
      <c r="J50" s="594" t="n"/>
      <c r="K50" s="594" t="n"/>
      <c r="L50" s="594" t="n"/>
      <c r="M50" s="594" t="n"/>
      <c r="N50" s="594" t="n"/>
      <c r="O50" s="594" t="n"/>
      <c r="P50" s="594" t="n"/>
      <c r="Q50" s="594" t="n"/>
      <c r="R50" s="594" t="n"/>
      <c r="S50" s="594" t="n"/>
      <c r="T50" s="594" t="n"/>
      <c r="U50" s="594" t="n"/>
      <c r="V50" s="594" t="n"/>
      <c r="W50" s="594" t="n"/>
      <c r="X50" s="594" t="n"/>
      <c r="Y50" s="594" t="n"/>
      <c r="Z50" s="594" t="n"/>
      <c r="AA50" s="609" t="n"/>
      <c r="AB50" s="609" t="n"/>
      <c r="AC50" s="609" t="n"/>
      <c r="AD50" s="609" t="n"/>
      <c r="AE50" s="609" t="n"/>
      <c r="AF50" s="466" t="n"/>
      <c r="AG50" s="466" t="n"/>
      <c r="AH50" s="466" t="n"/>
      <c r="AI50" s="594" t="n"/>
      <c r="AJ50" s="594" t="n"/>
      <c r="AK50" s="594" t="n"/>
      <c r="AL50" s="594" t="n"/>
      <c r="AM50" s="594" t="n"/>
      <c r="AN50" s="594" t="n"/>
    </row>
    <row r="51">
      <c r="A51" s="10" t="inlineStr">
        <is>
          <t>Hong Kong</t>
        </is>
      </c>
      <c r="B51" s="526">
        <f>SOC!B46</f>
        <v/>
      </c>
      <c r="C51" s="526">
        <f>SOC!C46</f>
        <v/>
      </c>
      <c r="D51" s="526">
        <f>SOC!D46</f>
        <v/>
      </c>
      <c r="E51" s="526">
        <f>SOC!E46</f>
        <v/>
      </c>
      <c r="F51" s="526">
        <f>SOC!F46</f>
        <v/>
      </c>
      <c r="G51" s="526">
        <f>SOC!G46</f>
        <v/>
      </c>
      <c r="H51" s="526">
        <f>SOC!H46</f>
        <v/>
      </c>
      <c r="I51" s="526">
        <f>SOC!I46</f>
        <v/>
      </c>
      <c r="J51" s="526">
        <f>SOC!J46</f>
        <v/>
      </c>
      <c r="K51" s="526">
        <f>SOC!K46</f>
        <v/>
      </c>
      <c r="L51" s="526">
        <f>SOC!L46</f>
        <v/>
      </c>
      <c r="M51" s="526">
        <f>SOC!M46</f>
        <v/>
      </c>
      <c r="N51" s="526">
        <f>SOC!N46</f>
        <v/>
      </c>
      <c r="O51" s="526">
        <f>SOC!O46</f>
        <v/>
      </c>
      <c r="P51" s="526">
        <f>SOC!P46</f>
        <v/>
      </c>
      <c r="Q51" s="526">
        <f>SOC!Q46</f>
        <v/>
      </c>
      <c r="R51" s="526">
        <f>SOC!R46</f>
        <v/>
      </c>
      <c r="S51" s="526">
        <f>SOC!S46</f>
        <v/>
      </c>
      <c r="T51" s="526">
        <f>SOC!T46</f>
        <v/>
      </c>
      <c r="U51" s="526">
        <f>SOC!U46</f>
        <v/>
      </c>
      <c r="V51" s="526">
        <f>SOC!V46</f>
        <v/>
      </c>
      <c r="W51" s="526">
        <f>SOC!W46</f>
        <v/>
      </c>
      <c r="X51" s="526">
        <f>SOC!X46</f>
        <v/>
      </c>
      <c r="Y51" s="526">
        <f>SOC!Y46</f>
        <v/>
      </c>
      <c r="Z51" s="526">
        <f>SOC!Z46</f>
        <v/>
      </c>
      <c r="AA51" s="526">
        <f>SOC!AA46</f>
        <v/>
      </c>
      <c r="AB51" s="526">
        <f>SOC!AB46</f>
        <v/>
      </c>
      <c r="AC51" s="526">
        <f>SOC!AC46</f>
        <v/>
      </c>
      <c r="AD51" s="526">
        <f>SOC!AD46</f>
        <v/>
      </c>
      <c r="AE51" s="526">
        <f>SOC!AE46</f>
        <v/>
      </c>
      <c r="AF51" s="526">
        <f>SOC!AF46</f>
        <v/>
      </c>
      <c r="AG51" s="526">
        <f>SOC!AG46</f>
        <v/>
      </c>
      <c r="AH51" s="526">
        <f>SOC!AH46</f>
        <v/>
      </c>
      <c r="AI51" s="526">
        <f>SOC!AI46</f>
        <v/>
      </c>
      <c r="AJ51" s="526">
        <f>SOC!AJ46</f>
        <v/>
      </c>
      <c r="AK51" s="526">
        <f>SOC!AK46</f>
        <v/>
      </c>
      <c r="AL51" s="526">
        <f>SOC!AL46</f>
        <v/>
      </c>
      <c r="AM51" s="526">
        <f>SOC!AM46</f>
        <v/>
      </c>
      <c r="AN51" s="526">
        <f>SOC!AN46</f>
        <v/>
      </c>
    </row>
    <row r="52">
      <c r="A52" s="10" t="inlineStr">
        <is>
          <t>Australia</t>
        </is>
      </c>
      <c r="B52" s="526">
        <f>Aus!B29</f>
        <v/>
      </c>
      <c r="C52" s="526">
        <f>Aus!C29</f>
        <v/>
      </c>
      <c r="D52" s="526">
        <f>Aus!D29</f>
        <v/>
      </c>
      <c r="E52" s="526">
        <f>Aus!E29</f>
        <v/>
      </c>
      <c r="F52" s="526">
        <f>Aus!F29</f>
        <v/>
      </c>
      <c r="G52" s="526">
        <f>Aus!G29</f>
        <v/>
      </c>
      <c r="H52" s="526">
        <f>Aus!H29</f>
        <v/>
      </c>
      <c r="I52" s="526">
        <f>Aus!I29</f>
        <v/>
      </c>
      <c r="J52" s="526">
        <f>Aus!J29</f>
        <v/>
      </c>
      <c r="K52" s="526">
        <f>Aus!K29</f>
        <v/>
      </c>
      <c r="L52" s="526">
        <f>Aus!L29</f>
        <v/>
      </c>
      <c r="M52" s="526">
        <f>Aus!M29</f>
        <v/>
      </c>
      <c r="N52" s="526">
        <f>Aus!N29</f>
        <v/>
      </c>
      <c r="O52" s="526">
        <f>Aus!O29</f>
        <v/>
      </c>
      <c r="P52" s="526">
        <f>Aus!P29</f>
        <v/>
      </c>
      <c r="Q52" s="526">
        <f>Aus!Q29</f>
        <v/>
      </c>
      <c r="R52" s="526">
        <f>Aus!R29</f>
        <v/>
      </c>
      <c r="S52" s="526">
        <f>Aus!S29</f>
        <v/>
      </c>
      <c r="T52" s="526">
        <f>Aus!T29</f>
        <v/>
      </c>
      <c r="U52" s="526">
        <f>Aus!U29</f>
        <v/>
      </c>
      <c r="V52" s="526">
        <f>Aus!V29</f>
        <v/>
      </c>
      <c r="W52" s="526">
        <f>Aus!W29</f>
        <v/>
      </c>
      <c r="X52" s="526">
        <f>Aus!X29</f>
        <v/>
      </c>
      <c r="Y52" s="526">
        <f>Aus!Y29</f>
        <v/>
      </c>
      <c r="Z52" s="526">
        <f>Aus!Z29</f>
        <v/>
      </c>
      <c r="AA52" s="526">
        <f>Aus!AA29</f>
        <v/>
      </c>
      <c r="AB52" s="526">
        <f>Aus!AB29</f>
        <v/>
      </c>
      <c r="AC52" s="526">
        <f>Aus!AC29</f>
        <v/>
      </c>
      <c r="AD52" s="526">
        <f>Aus!AD29</f>
        <v/>
      </c>
      <c r="AE52" s="526">
        <f>Aus!AE29</f>
        <v/>
      </c>
      <c r="AF52" s="526">
        <f>Aus!AF29</f>
        <v/>
      </c>
      <c r="AG52" s="526">
        <f>Aus!AG29</f>
        <v/>
      </c>
      <c r="AH52" s="526">
        <f>Aus!AH29</f>
        <v/>
      </c>
      <c r="AI52" s="526">
        <f>Aus!AI29</f>
        <v/>
      </c>
      <c r="AJ52" s="526">
        <f>Aus!AJ29</f>
        <v/>
      </c>
      <c r="AK52" s="526">
        <f>Aus!AK29</f>
        <v/>
      </c>
      <c r="AL52" s="526">
        <f>Aus!AL29</f>
        <v/>
      </c>
      <c r="AM52" s="526">
        <f>Aus!AM29</f>
        <v/>
      </c>
      <c r="AN52" s="526">
        <f>Aus!AN29</f>
        <v/>
      </c>
      <c r="AR52" s="131" t="n"/>
    </row>
    <row r="53">
      <c r="A53" s="10" t="inlineStr">
        <is>
          <t>China</t>
        </is>
      </c>
      <c r="B53" s="526">
        <f>CN!B20</f>
        <v/>
      </c>
      <c r="C53" s="526">
        <f>CN!C20</f>
        <v/>
      </c>
      <c r="D53" s="526">
        <f>CN!D20</f>
        <v/>
      </c>
      <c r="E53" s="526">
        <f>CN!E20</f>
        <v/>
      </c>
      <c r="F53" s="526">
        <f>CN!F20</f>
        <v/>
      </c>
      <c r="G53" s="526">
        <f>CN!G20</f>
        <v/>
      </c>
      <c r="H53" s="526">
        <f>CN!H20</f>
        <v/>
      </c>
      <c r="I53" s="526">
        <f>CN!I20</f>
        <v/>
      </c>
      <c r="J53" s="526">
        <f>CN!J20</f>
        <v/>
      </c>
      <c r="K53" s="526">
        <f>CN!K20</f>
        <v/>
      </c>
      <c r="L53" s="526">
        <f>CN!L20</f>
        <v/>
      </c>
      <c r="M53" s="526">
        <f>CN!M20</f>
        <v/>
      </c>
      <c r="N53" s="526">
        <f>CN!N20</f>
        <v/>
      </c>
      <c r="O53" s="526">
        <f>CN!O20</f>
        <v/>
      </c>
      <c r="P53" s="526">
        <f>CN!P20</f>
        <v/>
      </c>
      <c r="Q53" s="526">
        <f>CN!Q20</f>
        <v/>
      </c>
      <c r="R53" s="526">
        <f>CN!R20</f>
        <v/>
      </c>
      <c r="S53" s="526">
        <f>CN!S20</f>
        <v/>
      </c>
      <c r="T53" s="526">
        <f>CN!T20</f>
        <v/>
      </c>
      <c r="U53" s="526">
        <f>CN!U20</f>
        <v/>
      </c>
      <c r="V53" s="526">
        <f>CN!V20</f>
        <v/>
      </c>
      <c r="W53" s="526">
        <f>CN!W20</f>
        <v/>
      </c>
      <c r="X53" s="526">
        <f>CN!X20</f>
        <v/>
      </c>
      <c r="Y53" s="526">
        <f>CN!Y20</f>
        <v/>
      </c>
      <c r="Z53" s="526">
        <f>CN!Z20</f>
        <v/>
      </c>
      <c r="AA53" s="526">
        <f>CN!AA20</f>
        <v/>
      </c>
      <c r="AB53" s="526">
        <f>CN!AB20</f>
        <v/>
      </c>
      <c r="AC53" s="526">
        <f>CN!AC20</f>
        <v/>
      </c>
      <c r="AD53" s="526">
        <f>CN!AD20</f>
        <v/>
      </c>
      <c r="AE53" s="526">
        <f>CN!AE20</f>
        <v/>
      </c>
      <c r="AF53" s="526">
        <f>CN!AF20</f>
        <v/>
      </c>
      <c r="AG53" s="526">
        <f>CN!AG20</f>
        <v/>
      </c>
      <c r="AH53" s="526">
        <f>CN!AH20</f>
        <v/>
      </c>
      <c r="AI53" s="526">
        <f>CN!AI20</f>
        <v/>
      </c>
      <c r="AJ53" s="526">
        <f>CN!AJ20</f>
        <v/>
      </c>
      <c r="AK53" s="526">
        <f>CN!AK20</f>
        <v/>
      </c>
      <c r="AL53" s="526">
        <f>CN!AL20</f>
        <v/>
      </c>
      <c r="AM53" s="526">
        <f>CN!AM20</f>
        <v/>
      </c>
      <c r="AN53" s="526">
        <f>CN!AN20</f>
        <v/>
      </c>
    </row>
    <row r="54">
      <c r="A54" s="10" t="inlineStr">
        <is>
          <t>India</t>
        </is>
      </c>
      <c r="B54" s="526">
        <f>India!B19</f>
        <v/>
      </c>
      <c r="C54" s="526">
        <f>India!C19</f>
        <v/>
      </c>
      <c r="D54" s="526">
        <f>India!D19</f>
        <v/>
      </c>
      <c r="E54" s="526">
        <f>India!E19</f>
        <v/>
      </c>
      <c r="F54" s="526">
        <f>India!F19</f>
        <v/>
      </c>
      <c r="G54" s="526">
        <f>India!G19</f>
        <v/>
      </c>
      <c r="H54" s="526">
        <f>India!H19</f>
        <v/>
      </c>
      <c r="I54" s="526">
        <f>India!I19</f>
        <v/>
      </c>
      <c r="J54" s="526">
        <f>India!J19</f>
        <v/>
      </c>
      <c r="K54" s="526">
        <f>India!K19</f>
        <v/>
      </c>
      <c r="L54" s="526">
        <f>India!L19</f>
        <v/>
      </c>
      <c r="M54" s="526">
        <f>India!M19</f>
        <v/>
      </c>
      <c r="N54" s="526">
        <f>India!N19</f>
        <v/>
      </c>
      <c r="O54" s="526">
        <f>India!O19</f>
        <v/>
      </c>
      <c r="P54" s="526">
        <f>India!P19</f>
        <v/>
      </c>
      <c r="Q54" s="526">
        <f>India!Q19</f>
        <v/>
      </c>
      <c r="R54" s="526">
        <f>India!R19</f>
        <v/>
      </c>
      <c r="S54" s="526">
        <f>India!S19</f>
        <v/>
      </c>
      <c r="T54" s="526">
        <f>India!T19</f>
        <v/>
      </c>
      <c r="U54" s="526">
        <f>India!U19</f>
        <v/>
      </c>
      <c r="V54" s="526">
        <f>India!V19</f>
        <v/>
      </c>
      <c r="W54" s="526">
        <f>India!W19</f>
        <v/>
      </c>
      <c r="X54" s="526">
        <f>India!X19</f>
        <v/>
      </c>
      <c r="Y54" s="526">
        <f>India!Y19</f>
        <v/>
      </c>
      <c r="Z54" s="526">
        <f>India!Z19</f>
        <v/>
      </c>
      <c r="AA54" s="526">
        <f>India!AA19</f>
        <v/>
      </c>
      <c r="AB54" s="526">
        <f>India!AB19</f>
        <v/>
      </c>
      <c r="AC54" s="526">
        <f>India!AC19</f>
        <v/>
      </c>
      <c r="AD54" s="526">
        <f>India!AD19</f>
        <v/>
      </c>
      <c r="AE54" s="526">
        <f>India!AE19</f>
        <v/>
      </c>
      <c r="AF54" s="526">
        <f>India!AF19</f>
        <v/>
      </c>
      <c r="AG54" s="526">
        <f>India!AG19</f>
        <v/>
      </c>
      <c r="AH54" s="526">
        <f>India!AH19</f>
        <v/>
      </c>
      <c r="AI54" s="526">
        <f>India!AI19</f>
        <v/>
      </c>
      <c r="AJ54" s="526">
        <f>India!AJ19</f>
        <v/>
      </c>
      <c r="AK54" s="526">
        <f>India!AK19</f>
        <v/>
      </c>
      <c r="AL54" s="526">
        <f>India!AL19</f>
        <v/>
      </c>
      <c r="AM54" s="526">
        <f>India!AM19</f>
        <v/>
      </c>
      <c r="AN54" s="526">
        <f>India!AN19</f>
        <v/>
      </c>
    </row>
    <row r="55">
      <c r="A55" s="10" t="inlineStr">
        <is>
          <t>SEA and Taiwan</t>
        </is>
      </c>
      <c r="B55" s="526">
        <f>SEA!B18</f>
        <v/>
      </c>
      <c r="C55" s="526">
        <f>SEA!C18</f>
        <v/>
      </c>
      <c r="D55" s="526">
        <f>SEA!D18</f>
        <v/>
      </c>
      <c r="E55" s="526">
        <f>SEA!E18</f>
        <v/>
      </c>
      <c r="F55" s="526">
        <f>SEA!F18</f>
        <v/>
      </c>
      <c r="G55" s="526">
        <f>SEA!G18</f>
        <v/>
      </c>
      <c r="H55" s="526">
        <f>SEA!H18</f>
        <v/>
      </c>
      <c r="I55" s="526">
        <f>SEA!I18</f>
        <v/>
      </c>
      <c r="J55" s="526">
        <f>SEA!J18</f>
        <v/>
      </c>
      <c r="K55" s="526">
        <f>SEA!K18</f>
        <v/>
      </c>
      <c r="L55" s="526">
        <f>SEA!L18</f>
        <v/>
      </c>
      <c r="M55" s="526">
        <f>SEA!M18</f>
        <v/>
      </c>
      <c r="N55" s="526">
        <f>SEA!N18</f>
        <v/>
      </c>
      <c r="O55" s="526">
        <f>SEA!O18</f>
        <v/>
      </c>
      <c r="P55" s="526">
        <f>SEA!P18</f>
        <v/>
      </c>
      <c r="Q55" s="526">
        <f>SEA!Q18</f>
        <v/>
      </c>
      <c r="R55" s="526">
        <f>SEA!R18</f>
        <v/>
      </c>
      <c r="S55" s="526">
        <f>SEA!S18</f>
        <v/>
      </c>
      <c r="T55" s="526">
        <f>SEA!T18</f>
        <v/>
      </c>
      <c r="U55" s="526">
        <f>SEA!U18</f>
        <v/>
      </c>
      <c r="V55" s="526">
        <f>SEA!V18</f>
        <v/>
      </c>
      <c r="W55" s="526">
        <f>SEA!W18</f>
        <v/>
      </c>
      <c r="X55" s="526">
        <f>SEA!X18</f>
        <v/>
      </c>
      <c r="Y55" s="526">
        <f>SEA!Y18</f>
        <v/>
      </c>
      <c r="Z55" s="526">
        <f>SEA!Z18</f>
        <v/>
      </c>
      <c r="AA55" s="526">
        <f>SEA!AA18</f>
        <v/>
      </c>
      <c r="AB55" s="526">
        <f>SEA!AB18</f>
        <v/>
      </c>
      <c r="AC55" s="526">
        <f>SEA!AC18</f>
        <v/>
      </c>
      <c r="AD55" s="526">
        <f>SEA!AD18</f>
        <v/>
      </c>
      <c r="AE55" s="526">
        <f>SEA!AE18</f>
        <v/>
      </c>
      <c r="AF55" s="526">
        <f>SEA!AF18</f>
        <v/>
      </c>
      <c r="AG55" s="526">
        <f>SEA!AG18</f>
        <v/>
      </c>
      <c r="AH55" s="526">
        <f>SEA!AH18</f>
        <v/>
      </c>
      <c r="AI55" s="526">
        <f>SEA!AI18</f>
        <v/>
      </c>
      <c r="AJ55" s="526">
        <f>SEA!AJ18</f>
        <v/>
      </c>
      <c r="AK55" s="526">
        <f>SEA!AK18</f>
        <v/>
      </c>
      <c r="AL55" s="526">
        <f>SEA!AL18</f>
        <v/>
      </c>
      <c r="AM55" s="526">
        <f>SEA!AM18</f>
        <v/>
      </c>
      <c r="AN55" s="526">
        <f>SEA!AN18</f>
        <v/>
      </c>
    </row>
    <row r="56" hidden="1">
      <c r="A56" s="10" t="inlineStr">
        <is>
          <t>Sales to Guangdong</t>
        </is>
      </c>
      <c r="T56" s="526" t="n">
        <v>2</v>
      </c>
      <c r="U56" s="526" t="n">
        <v>-4</v>
      </c>
      <c r="V56" s="526" t="n">
        <v>41</v>
      </c>
      <c r="W56" s="526">
        <f>125-17-CN!W41</f>
        <v/>
      </c>
      <c r="X56" s="526">
        <f>71-66-CN!X41</f>
        <v/>
      </c>
      <c r="Y56" s="526" t="n">
        <v>-5</v>
      </c>
      <c r="Z56" s="526" t="n">
        <v>56</v>
      </c>
      <c r="AA56" s="526" t="n">
        <v>65</v>
      </c>
      <c r="AB56" s="526" t="n">
        <v>35</v>
      </c>
      <c r="AC56" s="564" t="n">
        <v>0</v>
      </c>
      <c r="AD56" s="564">
        <f>AC56</f>
        <v/>
      </c>
      <c r="AE56" s="564">
        <f>AD56</f>
        <v/>
      </c>
      <c r="AF56" s="564">
        <f>AE56</f>
        <v/>
      </c>
      <c r="AG56" s="564">
        <f>AF56</f>
        <v/>
      </c>
      <c r="AH56" s="564">
        <f>AG56</f>
        <v/>
      </c>
      <c r="AI56" s="564">
        <f>AH56</f>
        <v/>
      </c>
      <c r="AJ56" s="564">
        <f>AI56</f>
        <v/>
      </c>
      <c r="AK56" s="564">
        <f>AJ56</f>
        <v/>
      </c>
      <c r="AL56" s="564">
        <f>AK56</f>
        <v/>
      </c>
      <c r="AM56" s="564">
        <f>AL56</f>
        <v/>
      </c>
      <c r="AN56" s="564">
        <f>AM56</f>
        <v/>
      </c>
    </row>
    <row r="57">
      <c r="A57" s="10" t="inlineStr">
        <is>
          <t>Others</t>
        </is>
      </c>
      <c r="B57" s="526">
        <f>B58-SUM(B51:B56)</f>
        <v/>
      </c>
      <c r="C57" s="526">
        <f>C58-SUM(C51:C56)</f>
        <v/>
      </c>
      <c r="D57" s="526">
        <f>D58-SUM(D51:D56)</f>
        <v/>
      </c>
      <c r="E57" s="526">
        <f>E58-SUM(E51:E56)</f>
        <v/>
      </c>
      <c r="F57" s="526">
        <f>F58-SUM(F51:F56)</f>
        <v/>
      </c>
      <c r="G57" s="526">
        <f>G58-SUM(G51:G56)</f>
        <v/>
      </c>
      <c r="H57" s="526">
        <f>H58-SUM(H51:H56)</f>
        <v/>
      </c>
      <c r="I57" s="526">
        <f>I58-SUM(I51:I56)</f>
        <v/>
      </c>
      <c r="J57" s="526">
        <f>J58-SUM(J51:J56)</f>
        <v/>
      </c>
      <c r="K57" s="526">
        <f>K58-SUM(K51:K56)</f>
        <v/>
      </c>
      <c r="L57" s="526">
        <f>L58-SUM(L51:L56)</f>
        <v/>
      </c>
      <c r="M57" s="526">
        <f>M58-SUM(M51:M56)</f>
        <v/>
      </c>
      <c r="N57" s="526">
        <f>N58-SUM(N51:N56)</f>
        <v/>
      </c>
      <c r="O57" s="526">
        <f>O58-SUM(O51:O56)</f>
        <v/>
      </c>
      <c r="P57" s="526">
        <f>P58-SUM(P51:P56)</f>
        <v/>
      </c>
      <c r="Q57" s="526">
        <f>Q58-SUM(Q51:Q56)</f>
        <v/>
      </c>
      <c r="R57" s="526">
        <f>R58-SUM(R51:R56)</f>
        <v/>
      </c>
      <c r="S57" s="526">
        <f>S58-SUM(S51:S56)</f>
        <v/>
      </c>
      <c r="T57" s="526">
        <f>T58-SUM(T51:T56)</f>
        <v/>
      </c>
      <c r="U57" s="526">
        <f>U58-SUM(U51:U56)</f>
        <v/>
      </c>
      <c r="V57" s="526">
        <f>V58-SUM(V51:V56)</f>
        <v/>
      </c>
      <c r="W57" s="526">
        <f>W58-SUM(W51:W56)</f>
        <v/>
      </c>
      <c r="X57" s="526">
        <f>X58-SUM(X51:X56)</f>
        <v/>
      </c>
      <c r="Y57" s="526">
        <f>Y58-SUM(Y51:Y56)</f>
        <v/>
      </c>
      <c r="Z57" s="526">
        <f>Z58-SUM(Z51:Z56)</f>
        <v/>
      </c>
      <c r="AA57" s="526">
        <f>AA58-SUM(AA51:AA56)</f>
        <v/>
      </c>
      <c r="AB57" s="526">
        <f>AB58-SUM(AB51:AB56)</f>
        <v/>
      </c>
      <c r="AC57" s="526">
        <f>AC58-SUM(AC51:AC56)</f>
        <v/>
      </c>
      <c r="AD57" s="526">
        <f>AD58-SUM(AD51:AD56)</f>
        <v/>
      </c>
      <c r="AE57" s="526">
        <f>AE58-SUM(AE51:AE56)</f>
        <v/>
      </c>
      <c r="AF57" s="526">
        <f>AF58-SUM(AF51:AF56)</f>
        <v/>
      </c>
      <c r="AG57" s="526">
        <f>AG58-SUM(AG51:AG56)</f>
        <v/>
      </c>
      <c r="AH57" s="526">
        <f>AH58-SUM(AH51:AH56)</f>
        <v/>
      </c>
      <c r="AI57" s="564">
        <f>AH57*1.03</f>
        <v/>
      </c>
      <c r="AJ57" s="564">
        <f>AI57*1.03</f>
        <v/>
      </c>
      <c r="AK57" s="564">
        <f>AJ57*1.03</f>
        <v/>
      </c>
      <c r="AL57" s="564">
        <f>AK57*1.03</f>
        <v/>
      </c>
      <c r="AM57" s="564">
        <f>AL57*1.03</f>
        <v/>
      </c>
      <c r="AN57" s="564">
        <f>AM57*1.03</f>
        <v/>
      </c>
    </row>
    <row r="58">
      <c r="A58" s="109" t="inlineStr">
        <is>
          <t>Total</t>
        </is>
      </c>
      <c r="B58" s="605">
        <f>Final!B31</f>
        <v/>
      </c>
      <c r="C58" s="605">
        <f>Final!C31</f>
        <v/>
      </c>
      <c r="D58" s="605">
        <f>Final!D31</f>
        <v/>
      </c>
      <c r="E58" s="605">
        <f>Final!E31</f>
        <v/>
      </c>
      <c r="F58" s="605">
        <f>Final!F31</f>
        <v/>
      </c>
      <c r="G58" s="605">
        <f>Final!G31</f>
        <v/>
      </c>
      <c r="H58" s="605">
        <f>Final!H31</f>
        <v/>
      </c>
      <c r="I58" s="605">
        <f>Final!I31</f>
        <v/>
      </c>
      <c r="J58" s="605">
        <f>Final!J31</f>
        <v/>
      </c>
      <c r="K58" s="605">
        <f>Final!K31</f>
        <v/>
      </c>
      <c r="L58" s="605">
        <f>Final!L31</f>
        <v/>
      </c>
      <c r="M58" s="605">
        <f>Final!M31</f>
        <v/>
      </c>
      <c r="N58" s="605">
        <f>Final!N31</f>
        <v/>
      </c>
      <c r="O58" s="605">
        <f>Final!O31</f>
        <v/>
      </c>
      <c r="P58" s="605">
        <f>Final!P31</f>
        <v/>
      </c>
      <c r="Q58" s="605">
        <f>Final!Q31</f>
        <v/>
      </c>
      <c r="R58" s="605">
        <f>Final!R31</f>
        <v/>
      </c>
      <c r="S58" s="605">
        <f>Final!S31</f>
        <v/>
      </c>
      <c r="T58" s="605">
        <f>Final!T31</f>
        <v/>
      </c>
      <c r="U58" s="605">
        <f>Final!U31</f>
        <v/>
      </c>
      <c r="V58" s="605">
        <f>Final!V31</f>
        <v/>
      </c>
      <c r="W58" s="605">
        <f>Final!W31</f>
        <v/>
      </c>
      <c r="X58" s="605">
        <f>Final!X31</f>
        <v/>
      </c>
      <c r="Y58" s="605">
        <f>Final!Y31</f>
        <v/>
      </c>
      <c r="Z58" s="605">
        <f>Final!Z31</f>
        <v/>
      </c>
      <c r="AA58" s="605">
        <f>Final!AA31</f>
        <v/>
      </c>
      <c r="AB58" s="605">
        <f>Final!AB31</f>
        <v/>
      </c>
      <c r="AC58" s="605">
        <f>Final!AC31</f>
        <v/>
      </c>
      <c r="AD58" s="605">
        <f>Final!AD31</f>
        <v/>
      </c>
      <c r="AE58" s="605">
        <f>Final!AE31</f>
        <v/>
      </c>
      <c r="AF58" s="605">
        <f>Final!AF31</f>
        <v/>
      </c>
      <c r="AG58" s="605">
        <f>Final!AG31</f>
        <v/>
      </c>
      <c r="AH58" s="605">
        <f>Final!AH31</f>
        <v/>
      </c>
      <c r="AI58" s="608">
        <f>SUM(AI51:AI57)</f>
        <v/>
      </c>
      <c r="AJ58" s="608">
        <f>SUM(AJ51:AJ57)</f>
        <v/>
      </c>
      <c r="AK58" s="608">
        <f>SUM(AK51:AK57)</f>
        <v/>
      </c>
      <c r="AL58" s="608">
        <f>SUM(AL51:AL57)</f>
        <v/>
      </c>
      <c r="AM58" s="608">
        <f>SUM(AM51:AM57)</f>
        <v/>
      </c>
      <c r="AN58" s="608">
        <f>SUM(AN51:AN57)</f>
        <v/>
      </c>
    </row>
    <row r="59">
      <c r="AG59" s="131" t="n"/>
      <c r="AH59" s="131" t="n"/>
    </row>
    <row r="60">
      <c r="A60" s="10" t="inlineStr">
        <is>
          <t>Hong Kong</t>
        </is>
      </c>
      <c r="B60" s="131" t="n"/>
      <c r="C60" s="131">
        <f>C51/B51-1</f>
        <v/>
      </c>
      <c r="D60" s="131">
        <f>D51/C51-1</f>
        <v/>
      </c>
      <c r="E60" s="131">
        <f>E51/D51-1</f>
        <v/>
      </c>
      <c r="F60" s="131">
        <f>F51/E51-1</f>
        <v/>
      </c>
      <c r="G60" s="131">
        <f>G51/F51-1</f>
        <v/>
      </c>
      <c r="H60" s="131">
        <f>H51/G51-1</f>
        <v/>
      </c>
      <c r="I60" s="131">
        <f>I51/H51-1</f>
        <v/>
      </c>
      <c r="J60" s="131">
        <f>J51/I51-1</f>
        <v/>
      </c>
      <c r="K60" s="131">
        <f>K51/J51-1</f>
        <v/>
      </c>
      <c r="L60" s="131">
        <f>L51/K51-1</f>
        <v/>
      </c>
      <c r="M60" s="131">
        <f>M51/L51-1</f>
        <v/>
      </c>
      <c r="N60" s="131">
        <f>N51/M51-1</f>
        <v/>
      </c>
      <c r="O60" s="131">
        <f>O51/N51-1</f>
        <v/>
      </c>
      <c r="P60" s="131">
        <f>P51/O51-1</f>
        <v/>
      </c>
      <c r="Q60" s="131">
        <f>Q51/P51-1</f>
        <v/>
      </c>
      <c r="R60" s="131">
        <f>R51/Q51-1</f>
        <v/>
      </c>
      <c r="S60" s="131">
        <f>S51/R51-1</f>
        <v/>
      </c>
      <c r="T60" s="131">
        <f>T51/S51-1</f>
        <v/>
      </c>
      <c r="U60" s="131">
        <f>U51/T51-1</f>
        <v/>
      </c>
      <c r="V60" s="131">
        <f>V51/U51-1</f>
        <v/>
      </c>
      <c r="W60" s="131">
        <f>W51/V51-1</f>
        <v/>
      </c>
      <c r="X60" s="131">
        <f>X51/W51-1</f>
        <v/>
      </c>
      <c r="Y60" s="131">
        <f>Y51/X51-1</f>
        <v/>
      </c>
      <c r="Z60" s="131">
        <f>Z51/Y51-1</f>
        <v/>
      </c>
      <c r="AA60" s="131">
        <f>AA51/Z51-1</f>
        <v/>
      </c>
      <c r="AB60" s="131">
        <f>AB51/AA51-1</f>
        <v/>
      </c>
      <c r="AC60" s="131">
        <f>AC51/AB51-1</f>
        <v/>
      </c>
      <c r="AD60" s="131">
        <f>AD51/AC51-1</f>
        <v/>
      </c>
      <c r="AE60" s="131">
        <f>AE51/AD51-1</f>
        <v/>
      </c>
      <c r="AF60" s="131">
        <f>AF51/AE51-1</f>
        <v/>
      </c>
      <c r="AG60" s="131">
        <f>AG51/AF51-1</f>
        <v/>
      </c>
      <c r="AH60" s="131">
        <f>AH51/AG51-1</f>
        <v/>
      </c>
      <c r="AI60" s="131">
        <f>AI51/AH51-1</f>
        <v/>
      </c>
      <c r="AJ60" s="131">
        <f>AJ51/AI51-1</f>
        <v/>
      </c>
      <c r="AK60" s="131">
        <f>AK51/AJ51-1</f>
        <v/>
      </c>
      <c r="AL60" s="131">
        <f>AL51/AK51-1</f>
        <v/>
      </c>
      <c r="AM60" s="131">
        <f>AM51/AL51-1</f>
        <v/>
      </c>
      <c r="AN60" s="131">
        <f>AN51/AM51-1</f>
        <v/>
      </c>
    </row>
    <row r="61">
      <c r="A61" s="10" t="inlineStr">
        <is>
          <t>Australia</t>
        </is>
      </c>
      <c r="B61" s="131" t="n"/>
      <c r="C61" s="131" t="n"/>
      <c r="D61" s="131" t="n"/>
      <c r="E61" s="131" t="n"/>
      <c r="F61" s="131" t="n"/>
      <c r="G61" s="131" t="n"/>
      <c r="H61" s="131" t="n"/>
      <c r="I61" s="131" t="n"/>
      <c r="J61" s="131" t="n"/>
      <c r="K61" s="131" t="n"/>
      <c r="L61" s="131" t="n"/>
      <c r="M61" s="131" t="n"/>
      <c r="N61" s="131" t="n"/>
      <c r="O61" s="131">
        <f>O52/N52-1</f>
        <v/>
      </c>
      <c r="P61" s="131">
        <f>P52/O52-1</f>
        <v/>
      </c>
      <c r="Q61" s="131">
        <f>Q52/P52-1</f>
        <v/>
      </c>
      <c r="R61" s="131">
        <f>R52/Q52-1</f>
        <v/>
      </c>
      <c r="S61" s="131">
        <f>S52/R52-1</f>
        <v/>
      </c>
      <c r="T61" s="131">
        <f>T52/S52-1</f>
        <v/>
      </c>
      <c r="U61" s="131">
        <f>U52/T52-1</f>
        <v/>
      </c>
      <c r="V61" s="131">
        <f>V52/U52-1</f>
        <v/>
      </c>
      <c r="W61" s="131">
        <f>W52/V52-1</f>
        <v/>
      </c>
      <c r="X61" s="131">
        <f>X52/W52-1</f>
        <v/>
      </c>
      <c r="Y61" s="131">
        <f>Y52/X52-1</f>
        <v/>
      </c>
      <c r="Z61" s="131">
        <f>Z52/Y52-1</f>
        <v/>
      </c>
      <c r="AA61" s="131">
        <f>AA52/Z52-1</f>
        <v/>
      </c>
      <c r="AB61" s="131">
        <f>AB52/AA52-1</f>
        <v/>
      </c>
      <c r="AC61" s="131">
        <f>AC52/AB52-1</f>
        <v/>
      </c>
      <c r="AD61" s="131">
        <f>AD52/AC52-1</f>
        <v/>
      </c>
      <c r="AE61" s="131">
        <f>AE52/AD52-1</f>
        <v/>
      </c>
      <c r="AF61" s="131">
        <f>AF52/AE52-1</f>
        <v/>
      </c>
      <c r="AG61" s="131">
        <f>AG52/AF52-1</f>
        <v/>
      </c>
      <c r="AH61" s="131">
        <f>AH52/AG52-1</f>
        <v/>
      </c>
      <c r="AI61" s="131">
        <f>AI52/AH52-1</f>
        <v/>
      </c>
      <c r="AJ61" s="131">
        <f>AJ52/AI52-1</f>
        <v/>
      </c>
      <c r="AK61" s="131">
        <f>AK52/AJ52-1</f>
        <v/>
      </c>
      <c r="AL61" s="131">
        <f>AL52/AK52-1</f>
        <v/>
      </c>
      <c r="AM61" s="131">
        <f>AM52/AL52-1</f>
        <v/>
      </c>
      <c r="AN61" s="131">
        <f>AN52/AM52-1</f>
        <v/>
      </c>
    </row>
    <row r="62">
      <c r="A62" s="10" t="inlineStr">
        <is>
          <t>China</t>
        </is>
      </c>
      <c r="B62" s="131" t="n"/>
      <c r="C62" s="131" t="n"/>
      <c r="D62" s="131" t="n"/>
      <c r="E62" s="131" t="n"/>
      <c r="F62" s="131" t="n"/>
      <c r="G62" s="131" t="n"/>
      <c r="H62" s="131" t="n"/>
      <c r="I62" s="131" t="n"/>
      <c r="J62" s="131" t="n"/>
      <c r="K62" s="131" t="n"/>
      <c r="L62" s="131" t="n"/>
      <c r="M62" s="131">
        <f>M53/L53-1</f>
        <v/>
      </c>
      <c r="N62" s="131">
        <f>N53/M53-1</f>
        <v/>
      </c>
      <c r="O62" s="131">
        <f>O53/N53-1</f>
        <v/>
      </c>
      <c r="P62" s="131">
        <f>P53/O53-1</f>
        <v/>
      </c>
      <c r="Q62" s="131">
        <f>Q53/P53-1</f>
        <v/>
      </c>
      <c r="R62" s="131">
        <f>R53/Q53-1</f>
        <v/>
      </c>
      <c r="S62" s="131">
        <f>S53/R53-1</f>
        <v/>
      </c>
      <c r="T62" s="131">
        <f>T53/S53-1</f>
        <v/>
      </c>
      <c r="U62" s="131">
        <f>U53/T53-1</f>
        <v/>
      </c>
      <c r="V62" s="131">
        <f>V53/U53-1</f>
        <v/>
      </c>
      <c r="W62" s="131">
        <f>W53/V53-1</f>
        <v/>
      </c>
      <c r="X62" s="131">
        <f>X53/W53-1</f>
        <v/>
      </c>
      <c r="Y62" s="131">
        <f>Y53/X53-1</f>
        <v/>
      </c>
      <c r="Z62" s="131">
        <f>Z53/Y53-1</f>
        <v/>
      </c>
      <c r="AA62" s="131">
        <f>AA53/Z53-1</f>
        <v/>
      </c>
      <c r="AB62" s="131">
        <f>AB53/AA53-1</f>
        <v/>
      </c>
      <c r="AC62" s="131">
        <f>AC53/AB53-1</f>
        <v/>
      </c>
      <c r="AD62" s="131">
        <f>AD53/AC53-1</f>
        <v/>
      </c>
      <c r="AE62" s="131">
        <f>AE53/AD53-1</f>
        <v/>
      </c>
      <c r="AF62" s="131">
        <f>AF53/AE53-1</f>
        <v/>
      </c>
      <c r="AG62" s="131">
        <f>AG53/AF53-1</f>
        <v/>
      </c>
      <c r="AH62" s="131">
        <f>AH53/AG53-1</f>
        <v/>
      </c>
      <c r="AI62" s="131">
        <f>AI53/AH53-1</f>
        <v/>
      </c>
      <c r="AJ62" s="131">
        <f>AJ53/AI53-1</f>
        <v/>
      </c>
      <c r="AK62" s="131">
        <f>AK53/AJ53-1</f>
        <v/>
      </c>
      <c r="AL62" s="131">
        <f>AL53/AK53-1</f>
        <v/>
      </c>
      <c r="AM62" s="131">
        <f>AM53/AL53-1</f>
        <v/>
      </c>
      <c r="AN62" s="131">
        <f>AN53/AM53-1</f>
        <v/>
      </c>
    </row>
    <row r="63">
      <c r="A63" s="10" t="inlineStr">
        <is>
          <t>India</t>
        </is>
      </c>
      <c r="B63" s="131" t="n"/>
      <c r="C63" s="131" t="n"/>
      <c r="D63" s="131" t="n"/>
      <c r="E63" s="131" t="n"/>
      <c r="F63" s="131" t="n"/>
      <c r="G63" s="131" t="n"/>
      <c r="H63" s="131" t="n"/>
      <c r="I63" s="131" t="n"/>
      <c r="J63" s="131" t="n"/>
      <c r="K63" s="131" t="n"/>
      <c r="L63" s="131" t="n"/>
      <c r="M63" s="131" t="n"/>
      <c r="N63" s="131" t="n"/>
      <c r="O63" s="131" t="n"/>
      <c r="P63" s="131">
        <f>P54/O54-1</f>
        <v/>
      </c>
      <c r="Q63" s="131">
        <f>Q54/P54-1</f>
        <v/>
      </c>
      <c r="R63" s="131">
        <f>R54/Q54-1</f>
        <v/>
      </c>
      <c r="S63" s="131">
        <f>S54/R54-1</f>
        <v/>
      </c>
      <c r="T63" s="131">
        <f>T54/S54-1</f>
        <v/>
      </c>
      <c r="U63" s="131">
        <f>U54/T54-1</f>
        <v/>
      </c>
      <c r="V63" s="131">
        <f>V54/U54-1</f>
        <v/>
      </c>
      <c r="W63" s="131">
        <f>W54/V54-1</f>
        <v/>
      </c>
      <c r="X63" s="131">
        <f>X54/W54-1</f>
        <v/>
      </c>
      <c r="Y63" s="131">
        <f>Y54/X54-1</f>
        <v/>
      </c>
      <c r="Z63" s="131">
        <f>Z54/Y54-1</f>
        <v/>
      </c>
      <c r="AA63" s="131">
        <f>AA54/Z54-1</f>
        <v/>
      </c>
      <c r="AB63" s="131">
        <f>AB54/AA54-1</f>
        <v/>
      </c>
      <c r="AC63" s="131">
        <f>AC54/AB54-1</f>
        <v/>
      </c>
      <c r="AD63" s="131">
        <f>AD54/AC54-1</f>
        <v/>
      </c>
      <c r="AE63" s="131">
        <f>AE54/AD54-1</f>
        <v/>
      </c>
      <c r="AF63" s="131">
        <f>AF54/AE54-1</f>
        <v/>
      </c>
      <c r="AG63" s="131">
        <f>AG54/AF54-1</f>
        <v/>
      </c>
      <c r="AH63" s="131">
        <f>AH54/AG54-1</f>
        <v/>
      </c>
      <c r="AI63" s="131">
        <f>AI54/AH54-1</f>
        <v/>
      </c>
      <c r="AJ63" s="131">
        <f>AJ54/AI54-1</f>
        <v/>
      </c>
      <c r="AK63" s="131">
        <f>AK54/AJ54-1</f>
        <v/>
      </c>
      <c r="AL63" s="131">
        <f>AL54/AK54-1</f>
        <v/>
      </c>
      <c r="AM63" s="131">
        <f>AM54/AL54-1</f>
        <v/>
      </c>
      <c r="AN63" s="131">
        <f>AN54/AM54-1</f>
        <v/>
      </c>
    </row>
    <row r="64">
      <c r="A64" s="10" t="inlineStr">
        <is>
          <t>SEA and Taiwan</t>
        </is>
      </c>
      <c r="B64" s="131" t="n"/>
      <c r="C64" s="131" t="n"/>
      <c r="D64" s="131" t="n"/>
      <c r="E64" s="131" t="n"/>
      <c r="F64" s="131" t="n"/>
      <c r="G64" s="131" t="n"/>
      <c r="H64" s="131" t="n"/>
      <c r="I64" s="131" t="n"/>
      <c r="J64" s="131" t="n"/>
      <c r="K64" s="131" t="n"/>
      <c r="L64" s="131" t="n"/>
      <c r="M64" s="131" t="n"/>
      <c r="N64" s="131" t="n"/>
      <c r="O64" s="131" t="n"/>
      <c r="P64" s="131">
        <f>P55/O55-1</f>
        <v/>
      </c>
      <c r="Q64" s="131">
        <f>Q55/P55-1</f>
        <v/>
      </c>
      <c r="R64" s="131">
        <f>R55/Q55-1</f>
        <v/>
      </c>
      <c r="S64" s="131">
        <f>S55/R55-1</f>
        <v/>
      </c>
      <c r="T64" s="131">
        <f>T55/S55-1</f>
        <v/>
      </c>
      <c r="U64" s="131">
        <f>U55/T55-1</f>
        <v/>
      </c>
      <c r="V64" s="131">
        <f>V55/U55-1</f>
        <v/>
      </c>
      <c r="W64" s="131">
        <f>W55/V55-1</f>
        <v/>
      </c>
      <c r="X64" s="131">
        <f>X55/W55-1</f>
        <v/>
      </c>
      <c r="Y64" s="131">
        <f>Y55/X55-1</f>
        <v/>
      </c>
      <c r="Z64" s="131">
        <f>Z55/Y55-1</f>
        <v/>
      </c>
      <c r="AA64" s="131">
        <f>AA55/Z55-1</f>
        <v/>
      </c>
      <c r="AB64" s="131">
        <f>AB55/AA55-1</f>
        <v/>
      </c>
      <c r="AC64" s="131">
        <f>AC55/AB55-1</f>
        <v/>
      </c>
      <c r="AD64" s="131">
        <f>AD55/AC55-1</f>
        <v/>
      </c>
      <c r="AE64" s="131">
        <f>AE55/AD55-1</f>
        <v/>
      </c>
      <c r="AF64" s="131">
        <f>AF55/AE55-1</f>
        <v/>
      </c>
      <c r="AG64" s="131">
        <f>AG55/AF55-1</f>
        <v/>
      </c>
      <c r="AH64" s="131">
        <f>AH55/AG55-1</f>
        <v/>
      </c>
      <c r="AI64" s="131">
        <f>AI55/AH55-1</f>
        <v/>
      </c>
      <c r="AJ64" s="131">
        <f>AJ55/AI55-1</f>
        <v/>
      </c>
      <c r="AK64" s="131">
        <f>AK55/AJ55-1</f>
        <v/>
      </c>
      <c r="AL64" s="131">
        <f>AL55/AK55-1</f>
        <v/>
      </c>
      <c r="AM64" s="131">
        <f>AM55/AL55-1</f>
        <v/>
      </c>
      <c r="AN64" s="131">
        <f>AN55/AM55-1</f>
        <v/>
      </c>
    </row>
    <row r="65">
      <c r="A65" s="10" t="inlineStr">
        <is>
          <t>Others</t>
        </is>
      </c>
      <c r="B65" s="131" t="n"/>
      <c r="C65" s="131">
        <f>C57/B57-1</f>
        <v/>
      </c>
      <c r="D65" s="131">
        <f>D57/C57-1</f>
        <v/>
      </c>
      <c r="E65" s="131">
        <f>E57/D57-1</f>
        <v/>
      </c>
      <c r="F65" s="131">
        <f>F57/E57-1</f>
        <v/>
      </c>
      <c r="G65" s="131">
        <f>G57/F57-1</f>
        <v/>
      </c>
      <c r="H65" s="131">
        <f>H57/G57-1</f>
        <v/>
      </c>
      <c r="I65" s="131">
        <f>I57/H57-1</f>
        <v/>
      </c>
      <c r="J65" s="131">
        <f>J57/I57-1</f>
        <v/>
      </c>
      <c r="K65" s="131">
        <f>K57/J57-1</f>
        <v/>
      </c>
      <c r="L65" s="131">
        <f>L57/K57-1</f>
        <v/>
      </c>
      <c r="M65" s="131">
        <f>M57/L57-1</f>
        <v/>
      </c>
      <c r="N65" s="131">
        <f>N57/M57-1</f>
        <v/>
      </c>
      <c r="O65" s="131">
        <f>O57/N57-1</f>
        <v/>
      </c>
      <c r="P65" s="131">
        <f>P57/O57-1</f>
        <v/>
      </c>
      <c r="Q65" s="131">
        <f>Q57/P57-1</f>
        <v/>
      </c>
      <c r="R65" s="131">
        <f>R57/Q57-1</f>
        <v/>
      </c>
      <c r="S65" s="131">
        <f>S57/R57-1</f>
        <v/>
      </c>
      <c r="T65" s="131">
        <f>T57/S57-1</f>
        <v/>
      </c>
      <c r="U65" s="131">
        <f>U57/T57-1</f>
        <v/>
      </c>
      <c r="V65" s="131">
        <f>V57/U57-1</f>
        <v/>
      </c>
      <c r="W65" s="131">
        <f>W57/V57-1</f>
        <v/>
      </c>
      <c r="X65" s="131">
        <f>X57/W57-1</f>
        <v/>
      </c>
      <c r="Y65" s="131">
        <f>Y57/X57-1</f>
        <v/>
      </c>
      <c r="Z65" s="131">
        <f>Z57/Y57-1</f>
        <v/>
      </c>
      <c r="AA65" s="131">
        <f>AA57/Z57-1</f>
        <v/>
      </c>
      <c r="AB65" s="131">
        <f>AB57/AA57-1</f>
        <v/>
      </c>
      <c r="AC65" s="131">
        <f>AC57/AB57-1</f>
        <v/>
      </c>
      <c r="AD65" s="131">
        <f>AD57/AC57-1</f>
        <v/>
      </c>
      <c r="AE65" s="131">
        <f>AE57/AD57-1</f>
        <v/>
      </c>
      <c r="AF65" s="131">
        <f>AF57/AE57-1</f>
        <v/>
      </c>
      <c r="AG65" s="131">
        <f>AG57/AF57-1</f>
        <v/>
      </c>
      <c r="AH65" s="131">
        <f>AH57/AG57-1</f>
        <v/>
      </c>
      <c r="AI65" s="131">
        <f>AI57/AH57-1</f>
        <v/>
      </c>
      <c r="AJ65" s="131">
        <f>AJ57/AI57-1</f>
        <v/>
      </c>
      <c r="AK65" s="131">
        <f>AK57/AJ57-1</f>
        <v/>
      </c>
      <c r="AL65" s="131">
        <f>AL57/AK57-1</f>
        <v/>
      </c>
      <c r="AM65" s="131">
        <f>AM57/AL57-1</f>
        <v/>
      </c>
      <c r="AN65" s="131">
        <f>AN57/AM57-1</f>
        <v/>
      </c>
    </row>
    <row r="66" customFormat="1" s="597">
      <c r="A66" s="109" t="inlineStr">
        <is>
          <t>YoY growth</t>
        </is>
      </c>
      <c r="B66" s="410" t="n"/>
      <c r="C66" s="410">
        <f>C58/B58-1</f>
        <v/>
      </c>
      <c r="D66" s="410">
        <f>D58/C58-1</f>
        <v/>
      </c>
      <c r="E66" s="410">
        <f>E58/D58-1</f>
        <v/>
      </c>
      <c r="F66" s="410">
        <f>F58/E58-1</f>
        <v/>
      </c>
      <c r="G66" s="410">
        <f>G58/F58-1</f>
        <v/>
      </c>
      <c r="H66" s="410">
        <f>H58/G58-1</f>
        <v/>
      </c>
      <c r="I66" s="410">
        <f>I58/H58-1</f>
        <v/>
      </c>
      <c r="J66" s="410">
        <f>J58/I58-1</f>
        <v/>
      </c>
      <c r="K66" s="410">
        <f>K58/J58-1</f>
        <v/>
      </c>
      <c r="L66" s="410">
        <f>L58/K58-1</f>
        <v/>
      </c>
      <c r="M66" s="410">
        <f>M58/L58-1</f>
        <v/>
      </c>
      <c r="N66" s="410">
        <f>N58/M58-1</f>
        <v/>
      </c>
      <c r="O66" s="410">
        <f>O58/N58-1</f>
        <v/>
      </c>
      <c r="P66" s="410">
        <f>P58/O58-1</f>
        <v/>
      </c>
      <c r="Q66" s="410">
        <f>Q58/P58-1</f>
        <v/>
      </c>
      <c r="R66" s="410">
        <f>R58/Q58-1</f>
        <v/>
      </c>
      <c r="S66" s="410">
        <f>S58/R58-1</f>
        <v/>
      </c>
      <c r="T66" s="410">
        <f>T58/S58-1</f>
        <v/>
      </c>
      <c r="U66" s="410">
        <f>U58/T58-1</f>
        <v/>
      </c>
      <c r="V66" s="410">
        <f>V58/U58-1</f>
        <v/>
      </c>
      <c r="W66" s="410">
        <f>W58/V58-1</f>
        <v/>
      </c>
      <c r="X66" s="410">
        <f>X58/W58-1</f>
        <v/>
      </c>
      <c r="Y66" s="410">
        <f>Y58/X58-1</f>
        <v/>
      </c>
      <c r="Z66" s="410">
        <f>Z58/Y58-1</f>
        <v/>
      </c>
      <c r="AA66" s="410">
        <f>AA58/Z58-1</f>
        <v/>
      </c>
      <c r="AB66" s="410">
        <f>AB58/AA58-1</f>
        <v/>
      </c>
      <c r="AC66" s="410">
        <f>AC58/AB58-1</f>
        <v/>
      </c>
      <c r="AD66" s="410">
        <f>AD58/AC58-1</f>
        <v/>
      </c>
      <c r="AE66" s="410">
        <f>AE58/AD58-1</f>
        <v/>
      </c>
      <c r="AF66" s="410">
        <f>AF58/AE58-1</f>
        <v/>
      </c>
      <c r="AG66" s="410">
        <f>AG58/AF58-1</f>
        <v/>
      </c>
      <c r="AH66" s="410">
        <f>AH58/AG58-1</f>
        <v/>
      </c>
      <c r="AI66" s="410">
        <f>AI58/AH58-1</f>
        <v/>
      </c>
      <c r="AJ66" s="410">
        <f>AJ58/AI58-1</f>
        <v/>
      </c>
      <c r="AK66" s="410">
        <f>AK58/AJ58-1</f>
        <v/>
      </c>
      <c r="AL66" s="410">
        <f>AL58/AK58-1</f>
        <v/>
      </c>
      <c r="AM66" s="410">
        <f>AM58/AL58-1</f>
        <v/>
      </c>
      <c r="AN66" s="410">
        <f>AN58/AM58-1</f>
        <v/>
      </c>
    </row>
    <row r="67">
      <c r="AB67" s="131" t="n"/>
      <c r="AC67" s="131" t="n"/>
      <c r="AD67" s="131" t="n"/>
      <c r="AE67" s="131" t="n"/>
      <c r="AF67" s="220" t="n"/>
      <c r="AG67" s="220" t="n"/>
      <c r="AH67" s="220" t="n"/>
    </row>
    <row r="68">
      <c r="A68" s="157" t="inlineStr">
        <is>
          <t>Balance Sheet</t>
        </is>
      </c>
      <c r="B68" s="553" t="n"/>
      <c r="C68" s="553" t="n"/>
      <c r="D68" s="553" t="n"/>
      <c r="E68" s="553" t="n"/>
      <c r="F68" s="553" t="n"/>
      <c r="G68" s="553" t="n"/>
      <c r="H68" s="553" t="n"/>
      <c r="I68" s="553" t="n"/>
      <c r="J68" s="553" t="n"/>
      <c r="K68" s="553" t="n"/>
      <c r="L68" s="553" t="n"/>
      <c r="M68" s="553" t="n"/>
      <c r="N68" s="553" t="n"/>
      <c r="O68" s="553" t="n"/>
      <c r="P68" s="553" t="n"/>
      <c r="Q68" s="553" t="n"/>
      <c r="R68" s="553" t="n"/>
      <c r="S68" s="553" t="n"/>
      <c r="T68" s="553" t="n"/>
      <c r="U68" s="553" t="n"/>
      <c r="V68" s="553" t="n"/>
      <c r="W68" s="553" t="n"/>
      <c r="X68" s="553" t="n"/>
      <c r="Y68" s="553" t="n"/>
      <c r="Z68" s="553" t="n"/>
      <c r="AA68" s="553" t="n"/>
      <c r="AB68" s="553" t="n"/>
      <c r="AC68" s="553" t="n"/>
      <c r="AD68" s="553" t="n"/>
      <c r="AE68" s="553" t="n"/>
      <c r="AF68" s="553" t="n"/>
      <c r="AG68" s="553" t="n"/>
      <c r="AH68" s="553" t="n"/>
      <c r="AI68" s="553" t="n"/>
      <c r="AJ68" s="553" t="n"/>
      <c r="AK68" s="553" t="n"/>
      <c r="AL68" s="553" t="n"/>
      <c r="AM68" s="553" t="n"/>
      <c r="AN68" s="553" t="n"/>
    </row>
    <row r="69">
      <c r="A69" s="6" t="inlineStr">
        <is>
          <t>PPE</t>
        </is>
      </c>
      <c r="B69" s="594" t="n"/>
      <c r="C69" s="594" t="n"/>
      <c r="D69" s="594" t="n"/>
      <c r="E69" s="594" t="n"/>
      <c r="F69" s="594" t="n"/>
      <c r="G69" s="594" t="n"/>
      <c r="H69" s="594" t="n"/>
      <c r="I69" s="594" t="n"/>
      <c r="J69" s="594" t="n"/>
      <c r="K69" s="594" t="n"/>
      <c r="L69" s="594" t="n"/>
      <c r="M69" s="594" t="n"/>
      <c r="N69" s="594" t="n"/>
      <c r="O69" s="594" t="n"/>
      <c r="P69" s="594" t="n"/>
      <c r="Q69" s="594" t="n"/>
      <c r="R69" s="594" t="n"/>
      <c r="S69" s="594" t="n"/>
      <c r="T69" s="594" t="n"/>
      <c r="U69" s="594" t="n"/>
      <c r="V69" s="594" t="n"/>
      <c r="W69" s="594" t="n"/>
      <c r="X69" s="594" t="n"/>
      <c r="Y69" s="594" t="n"/>
      <c r="Z69" s="594" t="n"/>
      <c r="AA69" s="594" t="n"/>
      <c r="AB69" s="594" t="n"/>
      <c r="AC69" s="594" t="n"/>
      <c r="AD69" s="594" t="n"/>
      <c r="AE69" s="594" t="n"/>
      <c r="AF69" s="594" t="n"/>
      <c r="AG69" s="594" t="n"/>
      <c r="AH69" s="594" t="n"/>
      <c r="AI69" s="594" t="n"/>
      <c r="AJ69" s="594" t="n"/>
      <c r="AK69" s="594" t="n"/>
      <c r="AL69" s="594" t="n"/>
      <c r="AM69" s="594" t="n"/>
      <c r="AN69" s="594" t="n"/>
    </row>
    <row r="70">
      <c r="A70" s="43" t="inlineStr">
        <is>
          <t>Gross Fixed Assets</t>
        </is>
      </c>
      <c r="B70" s="526" t="n">
        <v>22219</v>
      </c>
      <c r="C70" s="526" t="n">
        <v>24710</v>
      </c>
      <c r="D70" s="526" t="n">
        <v>27468</v>
      </c>
      <c r="E70" s="526" t="n">
        <v>30684</v>
      </c>
      <c r="F70" s="526" t="n">
        <v>33560</v>
      </c>
      <c r="G70" s="526" t="n">
        <v>35984</v>
      </c>
      <c r="H70" s="526" t="n">
        <v>37690</v>
      </c>
      <c r="I70" s="526" t="n">
        <v>40576</v>
      </c>
      <c r="J70" s="526" t="n">
        <v>43523</v>
      </c>
      <c r="K70" s="526" t="n">
        <v>47713</v>
      </c>
      <c r="L70" s="526" t="n">
        <v>52079</v>
      </c>
      <c r="M70" s="526" t="n">
        <v>76206</v>
      </c>
      <c r="N70" s="526" t="n">
        <v>81930</v>
      </c>
      <c r="O70" s="526" t="n">
        <v>90685</v>
      </c>
      <c r="P70" s="526" t="n">
        <v>137985</v>
      </c>
      <c r="Q70" s="526" t="n">
        <v>145170</v>
      </c>
      <c r="R70" s="526" t="n">
        <v>146785</v>
      </c>
      <c r="S70" s="526" t="n">
        <v>162050</v>
      </c>
      <c r="T70" s="526" t="n">
        <v>186145</v>
      </c>
      <c r="U70" s="526" t="n">
        <v>206384</v>
      </c>
      <c r="V70" s="526" t="n">
        <v>215972</v>
      </c>
      <c r="W70" s="526" t="n">
        <v>216947</v>
      </c>
      <c r="X70" s="526" t="n">
        <v>224774</v>
      </c>
      <c r="Y70" s="526">
        <f>221703+6272</f>
        <v/>
      </c>
      <c r="Z70" s="526">
        <f>228517+6344</f>
        <v/>
      </c>
      <c r="AA70" s="526">
        <f>243075+6441</f>
        <v/>
      </c>
      <c r="AB70" s="526">
        <f>248668+6704</f>
        <v/>
      </c>
      <c r="AC70" s="526">
        <f>255682+6050+295+1272</f>
        <v/>
      </c>
      <c r="AD70" s="526">
        <f>268541+7061+352</f>
        <v/>
      </c>
      <c r="AE70" s="526">
        <f>279895+7130+342</f>
        <v/>
      </c>
      <c r="AF70" s="526">
        <f>271066+7582+352</f>
        <v/>
      </c>
      <c r="AG70" s="526">
        <f>282945+7993+376</f>
        <v/>
      </c>
      <c r="AH70" s="526">
        <f>292564+10183+343</f>
        <v/>
      </c>
      <c r="AI70" s="564">
        <f>AH70+AI90</f>
        <v/>
      </c>
      <c r="AJ70" s="564">
        <f>AI70+AJ90</f>
        <v/>
      </c>
      <c r="AK70" s="564">
        <f>AJ70+AK90</f>
        <v/>
      </c>
      <c r="AL70" s="564">
        <f>AK70+AL90</f>
        <v/>
      </c>
      <c r="AM70" s="564">
        <f>AL70+AM90</f>
        <v/>
      </c>
      <c r="AN70" s="564">
        <f>AM70+AN90</f>
        <v/>
      </c>
    </row>
    <row r="71">
      <c r="A71" s="43" t="inlineStr">
        <is>
          <t>Accumulated Depreciation</t>
        </is>
      </c>
      <c r="B71" s="526" t="n">
        <v>-4964</v>
      </c>
      <c r="C71" s="526" t="n">
        <v>-5670</v>
      </c>
      <c r="D71" s="526" t="n">
        <v>-6349</v>
      </c>
      <c r="E71" s="526" t="n">
        <v>-7147</v>
      </c>
      <c r="F71" s="526" t="n">
        <v>-8053</v>
      </c>
      <c r="G71" s="526" t="n">
        <v>-9067</v>
      </c>
      <c r="H71" s="526" t="n">
        <v>-10187</v>
      </c>
      <c r="I71" s="526" t="n">
        <v>-11673</v>
      </c>
      <c r="J71" s="526" t="n">
        <v>-12831</v>
      </c>
      <c r="K71" s="526" t="n">
        <v>-14136</v>
      </c>
      <c r="L71" s="526" t="n">
        <v>-15529</v>
      </c>
      <c r="M71" s="526" t="n">
        <v>-22049</v>
      </c>
      <c r="N71" s="526" t="n">
        <v>-24182</v>
      </c>
      <c r="O71" s="526" t="n">
        <v>-27636</v>
      </c>
      <c r="P71" s="526" t="n">
        <v>-52332</v>
      </c>
      <c r="Q71" s="526" t="n">
        <v>-56561</v>
      </c>
      <c r="R71" s="526" t="n">
        <v>-57662</v>
      </c>
      <c r="S71" s="526" t="n">
        <v>-63192</v>
      </c>
      <c r="T71" s="526" t="n">
        <v>-68685</v>
      </c>
      <c r="U71" s="526" t="n">
        <v>-76002</v>
      </c>
      <c r="V71" s="526" t="n">
        <v>-81643</v>
      </c>
      <c r="W71" s="526" t="n">
        <v>-88265</v>
      </c>
      <c r="X71" s="526" t="n">
        <v>-90945</v>
      </c>
      <c r="Y71" s="526">
        <f>-93902-730</f>
        <v/>
      </c>
      <c r="Z71" s="526">
        <f>-98328-900</f>
        <v/>
      </c>
      <c r="AA71" s="526">
        <f>-105868-1096</f>
        <v/>
      </c>
      <c r="AB71" s="526">
        <f>-107359-1272</f>
        <v/>
      </c>
      <c r="AC71" s="526">
        <f>-112067-1272-295</f>
        <v/>
      </c>
      <c r="AD71" s="526">
        <f>-120087-352</f>
        <v/>
      </c>
      <c r="AE71" s="526">
        <f>-125837-342</f>
        <v/>
      </c>
      <c r="AF71" s="526">
        <f>-123799-352</f>
        <v/>
      </c>
      <c r="AG71" s="526">
        <f>-130159-376</f>
        <v/>
      </c>
      <c r="AH71" s="526">
        <f>-134032-343</f>
        <v/>
      </c>
      <c r="AI71" s="564">
        <f>AH71+AI20</f>
        <v/>
      </c>
      <c r="AJ71" s="564">
        <f>AI71+AJ20</f>
        <v/>
      </c>
      <c r="AK71" s="564">
        <f>AJ71+AK20</f>
        <v/>
      </c>
      <c r="AL71" s="564">
        <f>AK71+AL20</f>
        <v/>
      </c>
      <c r="AM71" s="564">
        <f>AL71+AM20</f>
        <v/>
      </c>
      <c r="AN71" s="564">
        <f>AM71+AN20</f>
        <v/>
      </c>
    </row>
    <row r="72">
      <c r="A72" s="109" t="inlineStr">
        <is>
          <t>Net fixed assets</t>
        </is>
      </c>
      <c r="B72" s="605">
        <f>Final!B65</f>
        <v/>
      </c>
      <c r="C72" s="605">
        <f>Final!C65</f>
        <v/>
      </c>
      <c r="D72" s="605">
        <f>Final!D65</f>
        <v/>
      </c>
      <c r="E72" s="605">
        <f>Final!E65</f>
        <v/>
      </c>
      <c r="F72" s="605">
        <f>Final!F65</f>
        <v/>
      </c>
      <c r="G72" s="605">
        <f>Final!G65</f>
        <v/>
      </c>
      <c r="H72" s="605">
        <f>Final!H65</f>
        <v/>
      </c>
      <c r="I72" s="605">
        <f>Final!I65</f>
        <v/>
      </c>
      <c r="J72" s="605">
        <f>Final!J65</f>
        <v/>
      </c>
      <c r="K72" s="605">
        <f>Final!K65</f>
        <v/>
      </c>
      <c r="L72" s="605">
        <f>Final!L65</f>
        <v/>
      </c>
      <c r="M72" s="605">
        <f>Final!M65</f>
        <v/>
      </c>
      <c r="N72" s="605">
        <f>Final!N65</f>
        <v/>
      </c>
      <c r="O72" s="605">
        <f>Final!O65</f>
        <v/>
      </c>
      <c r="P72" s="605">
        <f>Final!P65</f>
        <v/>
      </c>
      <c r="Q72" s="605">
        <f>Final!Q65</f>
        <v/>
      </c>
      <c r="R72" s="605">
        <f>Final!R65</f>
        <v/>
      </c>
      <c r="S72" s="605">
        <f>Final!S65</f>
        <v/>
      </c>
      <c r="T72" s="605">
        <f>Final!T65</f>
        <v/>
      </c>
      <c r="U72" s="605">
        <f>Final!U65</f>
        <v/>
      </c>
      <c r="V72" s="605">
        <f>Final!V65</f>
        <v/>
      </c>
      <c r="W72" s="605">
        <f>Final!W65</f>
        <v/>
      </c>
      <c r="X72" s="605">
        <f>Final!X65</f>
        <v/>
      </c>
      <c r="Y72" s="605">
        <f>Final!Y65</f>
        <v/>
      </c>
      <c r="Z72" s="605">
        <f>Final!Z65</f>
        <v/>
      </c>
      <c r="AA72" s="605">
        <f>Final!AA65</f>
        <v/>
      </c>
      <c r="AB72" s="605">
        <f>AB70+AB71</f>
        <v/>
      </c>
      <c r="AC72" s="605">
        <f>AC70+AC71</f>
        <v/>
      </c>
      <c r="AD72" s="605">
        <f>AD70+AD71</f>
        <v/>
      </c>
      <c r="AE72" s="605">
        <f>AE70+AE71</f>
        <v/>
      </c>
      <c r="AF72" s="605">
        <f>AF70+AF71</f>
        <v/>
      </c>
      <c r="AG72" s="605">
        <f>AG70+AG71</f>
        <v/>
      </c>
      <c r="AH72" s="605">
        <f>AH70+AH71</f>
        <v/>
      </c>
      <c r="AI72" s="605">
        <f>AI70+AI71</f>
        <v/>
      </c>
      <c r="AJ72" s="605">
        <f>AJ70+AJ71</f>
        <v/>
      </c>
      <c r="AK72" s="605">
        <f>AK70+AK71</f>
        <v/>
      </c>
      <c r="AL72" s="605">
        <f>AL70+AL71</f>
        <v/>
      </c>
      <c r="AM72" s="605">
        <f>AM70+AM71</f>
        <v/>
      </c>
      <c r="AN72" s="605">
        <f>AN70+AN71</f>
        <v/>
      </c>
    </row>
    <row r="73">
      <c r="A73" s="526" t="n"/>
      <c r="B73" s="610">
        <f>B70+B71-B72</f>
        <v/>
      </c>
      <c r="C73" s="610">
        <f>C70+C71-C72</f>
        <v/>
      </c>
      <c r="D73" s="610">
        <f>D70+D71-D72</f>
        <v/>
      </c>
      <c r="E73" s="610">
        <f>E70+E71-E72</f>
        <v/>
      </c>
      <c r="F73" s="610">
        <f>F70+F71-F72</f>
        <v/>
      </c>
      <c r="G73" s="610">
        <f>G70+G71-G72</f>
        <v/>
      </c>
      <c r="H73" s="610">
        <f>H70+H71-H72</f>
        <v/>
      </c>
      <c r="I73" s="610">
        <f>I70+I71-I72</f>
        <v/>
      </c>
      <c r="J73" s="610">
        <f>J70+J71-J72</f>
        <v/>
      </c>
      <c r="K73" s="610">
        <f>K70+K71-K72</f>
        <v/>
      </c>
      <c r="L73" s="610">
        <f>L70+L71-L72</f>
        <v/>
      </c>
      <c r="M73" s="610">
        <f>M70+M71-M72</f>
        <v/>
      </c>
      <c r="N73" s="610">
        <f>N70+N71-N72</f>
        <v/>
      </c>
      <c r="O73" s="610">
        <f>O70+O71-O72</f>
        <v/>
      </c>
      <c r="P73" s="610">
        <f>P70+P71-P72</f>
        <v/>
      </c>
      <c r="Q73" s="610">
        <f>Q70+Q71-Q72</f>
        <v/>
      </c>
      <c r="R73" s="610">
        <f>R70+R71-R72</f>
        <v/>
      </c>
      <c r="S73" s="610">
        <f>S70+S71-S72</f>
        <v/>
      </c>
      <c r="T73" s="610">
        <f>T70+T71-T72</f>
        <v/>
      </c>
      <c r="U73" s="610">
        <f>U70+U71-U72</f>
        <v/>
      </c>
      <c r="V73" s="610">
        <f>V70+V71-V72</f>
        <v/>
      </c>
      <c r="W73" s="610">
        <f>W70+W71-W72</f>
        <v/>
      </c>
      <c r="X73" s="610">
        <f>X70+X71-X72</f>
        <v/>
      </c>
      <c r="Y73" s="610">
        <f>Y70+Y71-Y72</f>
        <v/>
      </c>
      <c r="Z73" s="610">
        <f>Z70+Z71-Z72</f>
        <v/>
      </c>
      <c r="AA73" s="610">
        <f>AA75-SUM(AA76:AA81)</f>
        <v/>
      </c>
      <c r="AB73" s="610">
        <f>AB75-SUM(AB76:AB81)</f>
        <v/>
      </c>
      <c r="AC73" s="610">
        <f>AC75-SUM(AC76:AC81)</f>
        <v/>
      </c>
      <c r="AD73" s="610">
        <f>AD75-SUM(AD76:AD81)</f>
        <v/>
      </c>
      <c r="AE73" s="610">
        <f>AE75-SUM(AE76:AE81)</f>
        <v/>
      </c>
      <c r="AF73" s="610">
        <f>AF75-SUM(AF76:AF81)</f>
        <v/>
      </c>
      <c r="AG73" s="610">
        <f>AG75-SUM(AG76:AG81)</f>
        <v/>
      </c>
      <c r="AH73" s="610">
        <f>AH75-SUM(AH76:AH81)</f>
        <v/>
      </c>
      <c r="AI73" s="610">
        <f>AI75-SUM(AI76:AI81)</f>
        <v/>
      </c>
      <c r="AJ73" s="610">
        <f>AJ75-SUM(AJ76:AJ81)</f>
        <v/>
      </c>
      <c r="AK73" s="610">
        <f>AK75-SUM(AK76:AK81)</f>
        <v/>
      </c>
      <c r="AL73" s="610">
        <f>AL75-SUM(AL76:AL81)</f>
        <v/>
      </c>
      <c r="AM73" s="610">
        <f>AM75-SUM(AM76:AM81)</f>
        <v/>
      </c>
      <c r="AN73" s="610">
        <f>AN75-SUM(AN76:AN81)</f>
        <v/>
      </c>
    </row>
    <row r="74">
      <c r="A74" s="526" t="inlineStr">
        <is>
          <t>Investment properties</t>
        </is>
      </c>
      <c r="S74" s="526" t="n">
        <v>0</v>
      </c>
      <c r="T74" s="526" t="n">
        <v>0</v>
      </c>
      <c r="U74" s="526" t="n">
        <v>0</v>
      </c>
      <c r="V74" s="526" t="n">
        <v>0</v>
      </c>
      <c r="W74" s="526" t="n">
        <v>2221</v>
      </c>
      <c r="X74" s="526" t="n">
        <v>2554</v>
      </c>
      <c r="Y74" s="526" t="n">
        <v>2669</v>
      </c>
      <c r="Z74" s="526" t="n">
        <v>3788</v>
      </c>
      <c r="AA74" s="526" t="n">
        <v>1186</v>
      </c>
      <c r="AB74" s="526" t="n">
        <v>1204</v>
      </c>
      <c r="AC74" s="526" t="n">
        <v>1121</v>
      </c>
      <c r="AD74" s="526" t="n">
        <v>1000</v>
      </c>
      <c r="AE74" s="526" t="n">
        <v>966</v>
      </c>
      <c r="AF74" s="526" t="n">
        <v>909</v>
      </c>
      <c r="AG74" s="526" t="n">
        <v>884</v>
      </c>
      <c r="AH74" s="526" t="n">
        <v>817</v>
      </c>
      <c r="AI74" s="564">
        <f>AH74</f>
        <v/>
      </c>
      <c r="AJ74" s="564">
        <f>AI74</f>
        <v/>
      </c>
      <c r="AK74" s="564">
        <f>AJ74</f>
        <v/>
      </c>
      <c r="AL74" s="564">
        <f>AK74</f>
        <v/>
      </c>
      <c r="AM74" s="564">
        <f>AL74</f>
        <v/>
      </c>
      <c r="AN74" s="564">
        <f>AM74</f>
        <v/>
      </c>
    </row>
    <row r="75">
      <c r="A75" s="109" t="inlineStr">
        <is>
          <t>Net fixed assets and IP</t>
        </is>
      </c>
      <c r="B75" s="605">
        <f>B72+B74</f>
        <v/>
      </c>
      <c r="C75" s="605">
        <f>C72+C74</f>
        <v/>
      </c>
      <c r="D75" s="605">
        <f>D72+D74</f>
        <v/>
      </c>
      <c r="E75" s="605">
        <f>E72+E74</f>
        <v/>
      </c>
      <c r="F75" s="605">
        <f>F72+F74</f>
        <v/>
      </c>
      <c r="G75" s="605">
        <f>G72+G74</f>
        <v/>
      </c>
      <c r="H75" s="605">
        <f>H72+H74</f>
        <v/>
      </c>
      <c r="I75" s="605">
        <f>I72+I74</f>
        <v/>
      </c>
      <c r="J75" s="605">
        <f>J72+J74</f>
        <v/>
      </c>
      <c r="K75" s="605">
        <f>K72+K74</f>
        <v/>
      </c>
      <c r="L75" s="605">
        <f>L72+L74</f>
        <v/>
      </c>
      <c r="M75" s="605">
        <f>M72+M74</f>
        <v/>
      </c>
      <c r="N75" s="605">
        <f>N72+N74</f>
        <v/>
      </c>
      <c r="O75" s="605">
        <f>O72+O74</f>
        <v/>
      </c>
      <c r="P75" s="605">
        <f>P72+P74</f>
        <v/>
      </c>
      <c r="Q75" s="605">
        <f>Q72+Q74</f>
        <v/>
      </c>
      <c r="R75" s="605">
        <f>R72+R74</f>
        <v/>
      </c>
      <c r="S75" s="605">
        <f>S72+S74</f>
        <v/>
      </c>
      <c r="T75" s="605">
        <f>T72+T74</f>
        <v/>
      </c>
      <c r="U75" s="605">
        <f>U72+U74</f>
        <v/>
      </c>
      <c r="V75" s="605">
        <f>V72+V74</f>
        <v/>
      </c>
      <c r="W75" s="605">
        <f>W72+W74</f>
        <v/>
      </c>
      <c r="X75" s="605">
        <f>X72+X74</f>
        <v/>
      </c>
      <c r="Y75" s="605">
        <f>Y72+Y74</f>
        <v/>
      </c>
      <c r="Z75" s="605">
        <f>Z72+Z74</f>
        <v/>
      </c>
      <c r="AA75" s="605">
        <f>AA72+AA74</f>
        <v/>
      </c>
      <c r="AB75" s="605">
        <f>AB72+AB74</f>
        <v/>
      </c>
      <c r="AC75" s="605">
        <f>AC72+AC74</f>
        <v/>
      </c>
      <c r="AD75" s="605">
        <f>AD72+AD74</f>
        <v/>
      </c>
      <c r="AE75" s="605">
        <f>AE72+AE74</f>
        <v/>
      </c>
      <c r="AF75" s="605">
        <f>AF72+AF74</f>
        <v/>
      </c>
      <c r="AG75" s="605">
        <f>AG72+AG74</f>
        <v/>
      </c>
      <c r="AH75" s="605">
        <f>AH72+AH74</f>
        <v/>
      </c>
      <c r="AI75" s="605">
        <f>AI72+AI74</f>
        <v/>
      </c>
      <c r="AJ75" s="605">
        <f>AJ72+AJ74</f>
        <v/>
      </c>
      <c r="AK75" s="605">
        <f>AK72+AK74</f>
        <v/>
      </c>
      <c r="AL75" s="605">
        <f>AL72+AL74</f>
        <v/>
      </c>
      <c r="AM75" s="605">
        <f>AM72+AM74</f>
        <v/>
      </c>
      <c r="AN75" s="605">
        <f>AN72+AN74</f>
        <v/>
      </c>
    </row>
    <row r="76">
      <c r="A76" s="111" t="inlineStr">
        <is>
          <t>Hong Kong</t>
        </is>
      </c>
      <c r="B76" s="526">
        <f>ROAFNA!B46</f>
        <v/>
      </c>
      <c r="C76" s="526">
        <f>ROAFNA!C46</f>
        <v/>
      </c>
      <c r="D76" s="526">
        <f>ROAFNA!D46</f>
        <v/>
      </c>
      <c r="E76" s="526">
        <f>ROAFNA!E46</f>
        <v/>
      </c>
      <c r="F76" s="526">
        <f>ROAFNA!F46</f>
        <v/>
      </c>
      <c r="G76" s="526">
        <f>ROAFNA!G46</f>
        <v/>
      </c>
      <c r="H76" s="526">
        <f>ROAFNA!H46</f>
        <v/>
      </c>
      <c r="I76" s="526">
        <f>ROAFNA!I46</f>
        <v/>
      </c>
      <c r="J76" s="526">
        <f>ROAFNA!J46</f>
        <v/>
      </c>
      <c r="K76" s="526">
        <f>ROAFNA!K46</f>
        <v/>
      </c>
      <c r="L76" s="526">
        <f>ROAFNA!L46</f>
        <v/>
      </c>
      <c r="M76" s="526">
        <f>ROAFNA!M46</f>
        <v/>
      </c>
      <c r="N76" s="526">
        <f>ROAFNA!N46</f>
        <v/>
      </c>
      <c r="O76" s="526">
        <f>ROAFNA!O46</f>
        <v/>
      </c>
      <c r="P76" s="526">
        <f>ROAFNA!P46</f>
        <v/>
      </c>
      <c r="Q76" s="526">
        <f>ROAFNA!Q46</f>
        <v/>
      </c>
      <c r="R76" s="526">
        <f>ROAFNA!R46</f>
        <v/>
      </c>
      <c r="S76" s="526">
        <f>ROAFNA!S46</f>
        <v/>
      </c>
      <c r="T76" s="526">
        <f>ROAFNA!T46</f>
        <v/>
      </c>
      <c r="U76" s="526">
        <f>ROAFNA!U46</f>
        <v/>
      </c>
      <c r="V76" s="526">
        <f>ROAFNA!V46</f>
        <v/>
      </c>
      <c r="W76" s="526">
        <f>ROAFNA!W46</f>
        <v/>
      </c>
      <c r="X76" s="526">
        <f>ROAFNA!X46</f>
        <v/>
      </c>
      <c r="Y76" s="526">
        <f>ROAFNA!Y46</f>
        <v/>
      </c>
      <c r="Z76" s="526">
        <f>ROAFNA!Z46</f>
        <v/>
      </c>
      <c r="AA76" s="526">
        <f>ROAFNA!AA46</f>
        <v/>
      </c>
      <c r="AB76" s="526">
        <f>ROAFNA!AB46</f>
        <v/>
      </c>
      <c r="AC76" s="526">
        <f>ROAFNA!AC46</f>
        <v/>
      </c>
      <c r="AD76" s="526">
        <f>ROAFNA!AD46</f>
        <v/>
      </c>
      <c r="AE76" s="526">
        <f>ROAFNA!AE46</f>
        <v/>
      </c>
      <c r="AF76" s="526">
        <f>ROAFNA!AF46</f>
        <v/>
      </c>
      <c r="AG76" s="526">
        <f>ROAFNA!AG46</f>
        <v/>
      </c>
      <c r="AH76" s="526">
        <f>ROAFNA!AH46</f>
        <v/>
      </c>
      <c r="AI76" s="526">
        <f>ROAFNA!AI46</f>
        <v/>
      </c>
      <c r="AJ76" s="526">
        <f>ROAFNA!AJ46</f>
        <v/>
      </c>
      <c r="AK76" s="526">
        <f>ROAFNA!AK46</f>
        <v/>
      </c>
      <c r="AL76" s="526">
        <f>ROAFNA!AL46</f>
        <v/>
      </c>
      <c r="AM76" s="526">
        <f>ROAFNA!AM46</f>
        <v/>
      </c>
      <c r="AN76" s="526">
        <f>ROAFNA!AN46</f>
        <v/>
      </c>
    </row>
    <row r="77">
      <c r="A77" s="111" t="inlineStr">
        <is>
          <t>Australia</t>
        </is>
      </c>
      <c r="B77" s="526">
        <f>Aus!B88</f>
        <v/>
      </c>
      <c r="C77" s="526">
        <f>Aus!C88</f>
        <v/>
      </c>
      <c r="D77" s="526">
        <f>Aus!D88</f>
        <v/>
      </c>
      <c r="E77" s="526">
        <f>Aus!E88</f>
        <v/>
      </c>
      <c r="F77" s="526">
        <f>Aus!F88</f>
        <v/>
      </c>
      <c r="G77" s="526">
        <f>Aus!G88</f>
        <v/>
      </c>
      <c r="H77" s="526">
        <f>Aus!H88</f>
        <v/>
      </c>
      <c r="I77" s="526">
        <f>Aus!I88</f>
        <v/>
      </c>
      <c r="J77" s="526">
        <f>Aus!J88</f>
        <v/>
      </c>
      <c r="K77" s="526">
        <f>Aus!K88</f>
        <v/>
      </c>
      <c r="L77" s="526">
        <f>Aus!L88</f>
        <v/>
      </c>
      <c r="M77" s="526">
        <f>Aus!M88</f>
        <v/>
      </c>
      <c r="N77" s="526">
        <f>Aus!N88</f>
        <v/>
      </c>
      <c r="O77" s="526">
        <f>Aus!O88</f>
        <v/>
      </c>
      <c r="P77" s="526">
        <f>Aus!P88</f>
        <v/>
      </c>
      <c r="Q77" s="526">
        <f>Aus!Q88</f>
        <v/>
      </c>
      <c r="R77" s="526">
        <f>Aus!R88</f>
        <v/>
      </c>
      <c r="S77" s="526">
        <f>Aus!S88</f>
        <v/>
      </c>
      <c r="T77" s="526">
        <f>Aus!T88</f>
        <v/>
      </c>
      <c r="U77" s="526">
        <f>Aus!U88</f>
        <v/>
      </c>
      <c r="V77" s="526">
        <f>Aus!V88</f>
        <v/>
      </c>
      <c r="W77" s="526">
        <f>Aus!W88</f>
        <v/>
      </c>
      <c r="X77" s="526">
        <f>Aus!X88</f>
        <v/>
      </c>
      <c r="Y77" s="526">
        <f>Aus!Y88</f>
        <v/>
      </c>
      <c r="Z77" s="526">
        <f>Aus!Z88</f>
        <v/>
      </c>
      <c r="AA77" s="526">
        <f>Aus!AA88</f>
        <v/>
      </c>
      <c r="AB77" s="526">
        <f>Aus!AB88</f>
        <v/>
      </c>
      <c r="AC77" s="526">
        <f>Aus!AC88</f>
        <v/>
      </c>
      <c r="AD77" s="526">
        <f>Aus!AD88</f>
        <v/>
      </c>
      <c r="AE77" s="526">
        <f>Aus!AE88</f>
        <v/>
      </c>
      <c r="AF77" s="526">
        <f>Aus!AF88</f>
        <v/>
      </c>
      <c r="AG77" s="526">
        <f>Aus!AG88</f>
        <v/>
      </c>
      <c r="AH77" s="526">
        <f>Aus!AH88</f>
        <v/>
      </c>
      <c r="AI77" s="526">
        <f>Aus!AI88</f>
        <v/>
      </c>
      <c r="AJ77" s="526">
        <f>Aus!AJ88</f>
        <v/>
      </c>
      <c r="AK77" s="526">
        <f>Aus!AK88</f>
        <v/>
      </c>
      <c r="AL77" s="526">
        <f>Aus!AL88</f>
        <v/>
      </c>
      <c r="AM77" s="526">
        <f>Aus!AM88</f>
        <v/>
      </c>
      <c r="AN77" s="526">
        <f>Aus!AN88</f>
        <v/>
      </c>
    </row>
    <row r="78">
      <c r="A78" s="111" t="inlineStr">
        <is>
          <t>China</t>
        </is>
      </c>
      <c r="B78" s="526">
        <f>CN!B157</f>
        <v/>
      </c>
      <c r="C78" s="526">
        <f>CN!C157</f>
        <v/>
      </c>
      <c r="D78" s="526">
        <f>CN!D157</f>
        <v/>
      </c>
      <c r="E78" s="526">
        <f>CN!E157</f>
        <v/>
      </c>
      <c r="F78" s="526">
        <f>CN!F157</f>
        <v/>
      </c>
      <c r="G78" s="526">
        <f>CN!G157</f>
        <v/>
      </c>
      <c r="H78" s="526">
        <f>CN!H157</f>
        <v/>
      </c>
      <c r="I78" s="526">
        <f>CN!I157</f>
        <v/>
      </c>
      <c r="J78" s="526">
        <f>CN!J157</f>
        <v/>
      </c>
      <c r="K78" s="526">
        <f>CN!K157</f>
        <v/>
      </c>
      <c r="L78" s="526">
        <f>CN!L157</f>
        <v/>
      </c>
      <c r="M78" s="526">
        <f>CN!M157</f>
        <v/>
      </c>
      <c r="N78" s="526">
        <f>CN!N157</f>
        <v/>
      </c>
      <c r="O78" s="526">
        <f>CN!O157</f>
        <v/>
      </c>
      <c r="P78" s="526">
        <f>CN!P157</f>
        <v/>
      </c>
      <c r="Q78" s="526">
        <f>CN!Q157</f>
        <v/>
      </c>
      <c r="R78" s="526">
        <f>CN!R157</f>
        <v/>
      </c>
      <c r="S78" s="526">
        <f>CN!S157</f>
        <v/>
      </c>
      <c r="T78" s="526">
        <f>CN!T157</f>
        <v/>
      </c>
      <c r="U78" s="526">
        <f>CN!U157</f>
        <v/>
      </c>
      <c r="V78" s="526">
        <f>CN!V157</f>
        <v/>
      </c>
      <c r="W78" s="526">
        <f>CN!W157</f>
        <v/>
      </c>
      <c r="X78" s="526">
        <f>CN!X157</f>
        <v/>
      </c>
      <c r="Y78" s="526">
        <f>CN!Y157</f>
        <v/>
      </c>
      <c r="Z78" s="526">
        <f>CN!Z157</f>
        <v/>
      </c>
      <c r="AA78" s="526">
        <f>CN!AA157</f>
        <v/>
      </c>
      <c r="AB78" s="526">
        <f>CN!AB157</f>
        <v/>
      </c>
      <c r="AC78" s="526">
        <f>CN!AC157</f>
        <v/>
      </c>
      <c r="AD78" s="526">
        <f>CN!AD157</f>
        <v/>
      </c>
      <c r="AE78" s="526">
        <f>CN!AE157</f>
        <v/>
      </c>
      <c r="AF78" s="526">
        <f>CN!AF157</f>
        <v/>
      </c>
      <c r="AG78" s="526">
        <f>CN!AG157</f>
        <v/>
      </c>
      <c r="AH78" s="526">
        <f>CN!AH157</f>
        <v/>
      </c>
      <c r="AI78" s="526">
        <f>CN!AI157</f>
        <v/>
      </c>
      <c r="AJ78" s="526">
        <f>CN!AJ157</f>
        <v/>
      </c>
      <c r="AK78" s="526">
        <f>CN!AK157</f>
        <v/>
      </c>
      <c r="AL78" s="526">
        <f>CN!AL157</f>
        <v/>
      </c>
      <c r="AM78" s="526">
        <f>CN!AM157</f>
        <v/>
      </c>
      <c r="AN78" s="526">
        <f>CN!AN157</f>
        <v/>
      </c>
    </row>
    <row r="79">
      <c r="A79" s="111" t="inlineStr">
        <is>
          <t>India</t>
        </is>
      </c>
      <c r="B79" s="526">
        <f>India!B50</f>
        <v/>
      </c>
      <c r="C79" s="526">
        <f>India!C50</f>
        <v/>
      </c>
      <c r="D79" s="526">
        <f>India!D50</f>
        <v/>
      </c>
      <c r="E79" s="526">
        <f>India!E50</f>
        <v/>
      </c>
      <c r="F79" s="526">
        <f>India!F50</f>
        <v/>
      </c>
      <c r="G79" s="526">
        <f>India!G50</f>
        <v/>
      </c>
      <c r="H79" s="526">
        <f>India!H50</f>
        <v/>
      </c>
      <c r="I79" s="526">
        <f>India!I50</f>
        <v/>
      </c>
      <c r="J79" s="526">
        <f>India!J50</f>
        <v/>
      </c>
      <c r="K79" s="526">
        <f>India!K50</f>
        <v/>
      </c>
      <c r="L79" s="526">
        <f>India!L50</f>
        <v/>
      </c>
      <c r="M79" s="526">
        <f>India!M50</f>
        <v/>
      </c>
      <c r="N79" s="526">
        <f>India!N50</f>
        <v/>
      </c>
      <c r="O79" s="526">
        <f>India!O50</f>
        <v/>
      </c>
      <c r="P79" s="526">
        <f>India!P50</f>
        <v/>
      </c>
      <c r="Q79" s="526">
        <f>India!Q50</f>
        <v/>
      </c>
      <c r="R79" s="526">
        <f>India!R50</f>
        <v/>
      </c>
      <c r="S79" s="526">
        <f>India!S50</f>
        <v/>
      </c>
      <c r="T79" s="526">
        <f>India!T50</f>
        <v/>
      </c>
      <c r="U79" s="526">
        <f>India!U50</f>
        <v/>
      </c>
      <c r="V79" s="526">
        <f>India!V50</f>
        <v/>
      </c>
      <c r="W79" s="526">
        <f>India!W50</f>
        <v/>
      </c>
      <c r="X79" s="526">
        <f>India!X50</f>
        <v/>
      </c>
      <c r="Y79" s="526">
        <f>India!Y50</f>
        <v/>
      </c>
      <c r="Z79" s="526">
        <f>India!Z50</f>
        <v/>
      </c>
      <c r="AA79" s="526">
        <f>India!AA50</f>
        <v/>
      </c>
      <c r="AB79" s="526">
        <f>India!AB50</f>
        <v/>
      </c>
      <c r="AC79" s="526">
        <f>India!AC50</f>
        <v/>
      </c>
      <c r="AD79" s="526">
        <f>India!AD50</f>
        <v/>
      </c>
      <c r="AE79" s="526">
        <f>India!AE50</f>
        <v/>
      </c>
      <c r="AF79" s="526">
        <f>India!AF50</f>
        <v/>
      </c>
      <c r="AG79" s="526">
        <f>India!AG50</f>
        <v/>
      </c>
      <c r="AH79" s="526">
        <f>India!AH50</f>
        <v/>
      </c>
      <c r="AI79" s="526">
        <f>India!AI50</f>
        <v/>
      </c>
      <c r="AJ79" s="526">
        <f>India!AJ50</f>
        <v/>
      </c>
      <c r="AK79" s="526">
        <f>India!AK50</f>
        <v/>
      </c>
      <c r="AL79" s="526">
        <f>India!AL50</f>
        <v/>
      </c>
      <c r="AM79" s="526">
        <f>India!AM50</f>
        <v/>
      </c>
      <c r="AN79" s="526">
        <f>India!AN50</f>
        <v/>
      </c>
    </row>
    <row r="80">
      <c r="A80" s="111" t="inlineStr">
        <is>
          <t>SEA and Taiwan</t>
        </is>
      </c>
      <c r="B80" s="526" t="n">
        <v>0</v>
      </c>
      <c r="C80" s="526" t="n">
        <v>0</v>
      </c>
      <c r="D80" s="526" t="n">
        <v>0</v>
      </c>
      <c r="E80" s="526" t="n">
        <v>0</v>
      </c>
      <c r="F80" s="526" t="n">
        <v>0</v>
      </c>
      <c r="G80" s="526" t="n">
        <v>0</v>
      </c>
      <c r="H80" s="526" t="n">
        <v>0</v>
      </c>
      <c r="I80" s="526" t="n">
        <v>0</v>
      </c>
      <c r="J80" s="526" t="n">
        <v>0</v>
      </c>
      <c r="K80" s="526" t="n">
        <v>0</v>
      </c>
      <c r="L80" s="526" t="n">
        <v>0</v>
      </c>
      <c r="M80" s="526" t="n">
        <v>0</v>
      </c>
      <c r="N80" s="526" t="n">
        <v>0</v>
      </c>
      <c r="O80" s="526" t="n">
        <v>0</v>
      </c>
      <c r="P80" s="526" t="n">
        <v>0</v>
      </c>
      <c r="Q80" s="526" t="n">
        <v>0</v>
      </c>
      <c r="R80" s="526" t="n">
        <v>0</v>
      </c>
      <c r="S80" s="526" t="n">
        <v>0</v>
      </c>
      <c r="T80" s="526" t="n">
        <v>0</v>
      </c>
      <c r="U80" s="526" t="n">
        <v>0</v>
      </c>
      <c r="V80" s="526" t="n">
        <v>0</v>
      </c>
      <c r="W80" s="526" t="n">
        <v>0</v>
      </c>
      <c r="X80" s="526" t="n">
        <v>0</v>
      </c>
      <c r="Y80" s="526" t="n">
        <v>0</v>
      </c>
      <c r="Z80" s="526" t="n">
        <v>0</v>
      </c>
      <c r="AA80" s="611" t="n">
        <v>0</v>
      </c>
      <c r="AB80" s="611" t="n">
        <v>0</v>
      </c>
      <c r="AC80" s="611" t="n">
        <v>0</v>
      </c>
      <c r="AD80" s="611" t="n">
        <v>0</v>
      </c>
      <c r="AE80" s="611" t="n">
        <v>0</v>
      </c>
      <c r="AF80" s="611" t="n">
        <v>0</v>
      </c>
      <c r="AG80" s="611" t="n">
        <v>0</v>
      </c>
      <c r="AH80" s="611" t="n">
        <v>0</v>
      </c>
      <c r="AI80" s="611" t="n">
        <v>0</v>
      </c>
      <c r="AJ80" s="611" t="n">
        <v>0</v>
      </c>
      <c r="AK80" s="611" t="n">
        <v>0</v>
      </c>
      <c r="AL80" s="611" t="n">
        <v>0</v>
      </c>
      <c r="AM80" s="611" t="n">
        <v>0</v>
      </c>
      <c r="AN80" s="611" t="n">
        <v>0</v>
      </c>
    </row>
    <row r="81">
      <c r="A81" s="111" t="inlineStr">
        <is>
          <t>Others</t>
        </is>
      </c>
      <c r="B81" s="526">
        <f>B75-SUM(B76:B80)</f>
        <v/>
      </c>
      <c r="C81" s="526">
        <f>C75-SUM(C76:C80)</f>
        <v/>
      </c>
      <c r="D81" s="526">
        <f>D75-SUM(D76:D80)</f>
        <v/>
      </c>
      <c r="E81" s="526">
        <f>E75-SUM(E76:E80)</f>
        <v/>
      </c>
      <c r="F81" s="526">
        <f>F75-SUM(F76:F80)</f>
        <v/>
      </c>
      <c r="G81" s="526">
        <f>G75-SUM(G76:G80)</f>
        <v/>
      </c>
      <c r="H81" s="526">
        <f>H75-SUM(H76:H80)</f>
        <v/>
      </c>
      <c r="I81" s="526">
        <f>I75-SUM(I76:I80)</f>
        <v/>
      </c>
      <c r="J81" s="526">
        <f>J75-SUM(J76:J80)</f>
        <v/>
      </c>
      <c r="K81" s="526">
        <f>K75-SUM(K76:K80)</f>
        <v/>
      </c>
      <c r="L81" s="526">
        <f>L75-SUM(L76:L80)</f>
        <v/>
      </c>
      <c r="M81" s="526">
        <f>M75-SUM(M76:M80)</f>
        <v/>
      </c>
      <c r="N81" s="526">
        <f>N75-SUM(N76:N80)</f>
        <v/>
      </c>
      <c r="O81" s="526">
        <f>O75-SUM(O76:O80)</f>
        <v/>
      </c>
      <c r="P81" s="526">
        <f>P75-SUM(P76:P80)</f>
        <v/>
      </c>
      <c r="Q81" s="526">
        <f>Q75-SUM(Q76:Q80)</f>
        <v/>
      </c>
      <c r="R81" s="526">
        <f>R75-SUM(R76:R80)</f>
        <v/>
      </c>
      <c r="S81" s="526">
        <f>S75-SUM(S76:S80)</f>
        <v/>
      </c>
      <c r="T81" s="526">
        <f>T75-SUM(T76:T80)</f>
        <v/>
      </c>
      <c r="U81" s="526">
        <f>U75-SUM(U76:U80)</f>
        <v/>
      </c>
      <c r="V81" s="526">
        <f>V75-SUM(V76:V80)</f>
        <v/>
      </c>
      <c r="W81" s="526">
        <f>W75-SUM(W76:W80)</f>
        <v/>
      </c>
      <c r="X81" s="526">
        <f>X75-SUM(X76:X80)</f>
        <v/>
      </c>
      <c r="Y81" s="526">
        <f>Y75-SUM(Y76:Y80)</f>
        <v/>
      </c>
      <c r="Z81" s="526">
        <f>Z75-SUM(Z76:Z80)</f>
        <v/>
      </c>
      <c r="AA81" s="526">
        <f>AA75-SUM(AA76:AA80)</f>
        <v/>
      </c>
      <c r="AB81" s="526">
        <f>AB75-SUM(AB76:AB80)</f>
        <v/>
      </c>
      <c r="AC81" s="526">
        <f>AC75-SUM(AC76:AC80)</f>
        <v/>
      </c>
      <c r="AD81" s="526">
        <f>AD75-SUM(AD76:AD80)</f>
        <v/>
      </c>
      <c r="AE81" s="526">
        <f>AE75-SUM(AE76:AE80)</f>
        <v/>
      </c>
      <c r="AF81" s="526">
        <f>AF75-SUM(AF76:AF80)</f>
        <v/>
      </c>
      <c r="AG81" s="526">
        <f>AG75-SUM(AG76:AG80)</f>
        <v/>
      </c>
      <c r="AH81" s="526">
        <f>AH75-SUM(AH76:AH80)</f>
        <v/>
      </c>
      <c r="AI81" s="564">
        <f>AH81+AI89+AI19</f>
        <v/>
      </c>
      <c r="AJ81" s="564">
        <f>AI81+AJ89+AJ19</f>
        <v/>
      </c>
      <c r="AK81" s="564">
        <f>AJ81+AK89+AK19</f>
        <v/>
      </c>
      <c r="AL81" s="564">
        <f>AK81+AL89+AL19</f>
        <v/>
      </c>
      <c r="AM81" s="564">
        <f>AL81+AM89+AM19</f>
        <v/>
      </c>
      <c r="AN81" s="564">
        <f>AM81+AN89+AN19</f>
        <v/>
      </c>
    </row>
    <row r="83">
      <c r="A83" s="62" t="inlineStr">
        <is>
          <t>CAPEX</t>
        </is>
      </c>
      <c r="AP83" s="597" t="inlineStr">
        <is>
          <t>Australia</t>
        </is>
      </c>
    </row>
    <row r="84">
      <c r="A84" s="111" t="inlineStr">
        <is>
          <t>Hong Kong</t>
        </is>
      </c>
      <c r="B84" s="526">
        <f>ROAFNA!B59</f>
        <v/>
      </c>
      <c r="C84" s="526">
        <f>ROAFNA!C59</f>
        <v/>
      </c>
      <c r="D84" s="526">
        <f>ROAFNA!D59</f>
        <v/>
      </c>
      <c r="E84" s="526">
        <f>ROAFNA!E59</f>
        <v/>
      </c>
      <c r="F84" s="526">
        <f>ROAFNA!F59</f>
        <v/>
      </c>
      <c r="G84" s="526">
        <f>ROAFNA!G59</f>
        <v/>
      </c>
      <c r="H84" s="526">
        <f>ROAFNA!H59</f>
        <v/>
      </c>
      <c r="I84" s="526">
        <f>ROAFNA!I59</f>
        <v/>
      </c>
      <c r="J84" s="526">
        <f>ROAFNA!J59</f>
        <v/>
      </c>
      <c r="K84" s="526">
        <f>ROAFNA!K59</f>
        <v/>
      </c>
      <c r="L84" s="526">
        <f>ROAFNA!L59</f>
        <v/>
      </c>
      <c r="M84" s="526">
        <f>ROAFNA!M59</f>
        <v/>
      </c>
      <c r="N84" s="526">
        <f>ROAFNA!N59</f>
        <v/>
      </c>
      <c r="O84" s="526">
        <f>ROAFNA!O59</f>
        <v/>
      </c>
      <c r="P84" s="526">
        <f>ROAFNA!P59</f>
        <v/>
      </c>
      <c r="Q84" s="526">
        <f>ROAFNA!Q59</f>
        <v/>
      </c>
      <c r="R84" s="526">
        <f>ROAFNA!R59</f>
        <v/>
      </c>
      <c r="S84" s="526">
        <f>ROAFNA!S59</f>
        <v/>
      </c>
      <c r="T84" s="526">
        <f>ROAFNA!T59</f>
        <v/>
      </c>
      <c r="U84" s="526">
        <f>ROAFNA!U59</f>
        <v/>
      </c>
      <c r="V84" s="526">
        <f>ROAFNA!V59</f>
        <v/>
      </c>
      <c r="W84" s="526">
        <f>ROAFNA!W59</f>
        <v/>
      </c>
      <c r="X84" s="526">
        <f>ROAFNA!X59</f>
        <v/>
      </c>
      <c r="Y84" s="526">
        <f>ROAFNA!Y59</f>
        <v/>
      </c>
      <c r="Z84" s="526">
        <f>ROAFNA!Z59</f>
        <v/>
      </c>
      <c r="AA84" s="526">
        <f>ROAFNA!AA59</f>
        <v/>
      </c>
      <c r="AB84" s="526">
        <f>ROAFNA!AB59</f>
        <v/>
      </c>
      <c r="AC84" s="526">
        <f>ROAFNA!AC59</f>
        <v/>
      </c>
      <c r="AD84" s="526">
        <f>ROAFNA!AD59</f>
        <v/>
      </c>
      <c r="AE84" s="526">
        <f>ROAFNA!AE59</f>
        <v/>
      </c>
      <c r="AF84" s="526">
        <f>ROAFNA!AF59</f>
        <v/>
      </c>
      <c r="AG84" s="526">
        <f>ROAFNA!AG59</f>
        <v/>
      </c>
      <c r="AH84" s="526">
        <f>ROAFNA!AH59</f>
        <v/>
      </c>
      <c r="AI84" s="526">
        <f>ROAFNA!AI59</f>
        <v/>
      </c>
      <c r="AJ84" s="526">
        <f>ROAFNA!AJ59</f>
        <v/>
      </c>
      <c r="AK84" s="526">
        <f>ROAFNA!AK59</f>
        <v/>
      </c>
      <c r="AL84" s="526">
        <f>ROAFNA!AL59</f>
        <v/>
      </c>
      <c r="AM84" s="526">
        <f>ROAFNA!AM59</f>
        <v/>
      </c>
      <c r="AN84" s="526">
        <f>ROAFNA!AN59</f>
        <v/>
      </c>
      <c r="AP84" s="526" t="inlineStr">
        <is>
          <t>Renewable</t>
        </is>
      </c>
      <c r="AQ84" s="526" t="n">
        <v>3000</v>
      </c>
      <c r="AR84" s="526" t="n">
        <v>6</v>
      </c>
      <c r="AS84" s="526" t="n">
        <v>0</v>
      </c>
    </row>
    <row r="85">
      <c r="A85" s="111" t="inlineStr">
        <is>
          <t>Australia</t>
        </is>
      </c>
      <c r="B85" s="526">
        <f>Aus!B91</f>
        <v/>
      </c>
      <c r="C85" s="526">
        <f>Aus!C91</f>
        <v/>
      </c>
      <c r="D85" s="526">
        <f>Aus!D91</f>
        <v/>
      </c>
      <c r="E85" s="526">
        <f>Aus!E91</f>
        <v/>
      </c>
      <c r="F85" s="526">
        <f>Aus!F91</f>
        <v/>
      </c>
      <c r="G85" s="526">
        <f>Aus!G91</f>
        <v/>
      </c>
      <c r="H85" s="526">
        <f>Aus!H91</f>
        <v/>
      </c>
      <c r="I85" s="526">
        <f>Aus!I91</f>
        <v/>
      </c>
      <c r="J85" s="526">
        <f>Aus!J91</f>
        <v/>
      </c>
      <c r="K85" s="526">
        <f>Aus!K91</f>
        <v/>
      </c>
      <c r="L85" s="526">
        <f>Aus!L91</f>
        <v/>
      </c>
      <c r="M85" s="526">
        <f>Aus!M91</f>
        <v/>
      </c>
      <c r="N85" s="526">
        <f>Aus!N91</f>
        <v/>
      </c>
      <c r="O85" s="526">
        <f>Aus!O91</f>
        <v/>
      </c>
      <c r="P85" s="526">
        <f>Aus!P91</f>
        <v/>
      </c>
      <c r="Q85" s="526">
        <f>Aus!Q91</f>
        <v/>
      </c>
      <c r="R85" s="526">
        <f>Aus!R91</f>
        <v/>
      </c>
      <c r="S85" s="526">
        <f>Aus!S91</f>
        <v/>
      </c>
      <c r="T85" s="526">
        <f>Aus!T91</f>
        <v/>
      </c>
      <c r="U85" s="526">
        <f>Aus!U91</f>
        <v/>
      </c>
      <c r="V85" s="526">
        <f>Aus!V91</f>
        <v/>
      </c>
      <c r="W85" s="526">
        <f>Aus!W91</f>
        <v/>
      </c>
      <c r="X85" s="526">
        <f>Aus!X91</f>
        <v/>
      </c>
      <c r="Y85" s="526">
        <f>Aus!Y91</f>
        <v/>
      </c>
      <c r="Z85" s="526">
        <f>Aus!Z91</f>
        <v/>
      </c>
      <c r="AA85" s="526">
        <f>Aus!AA91</f>
        <v/>
      </c>
      <c r="AB85" s="526">
        <f>Aus!AB91</f>
        <v/>
      </c>
      <c r="AC85" s="526">
        <f>Aus!AC91</f>
        <v/>
      </c>
      <c r="AD85" s="526">
        <f>Aus!AD91</f>
        <v/>
      </c>
      <c r="AE85" s="526">
        <f>Aus!AE91</f>
        <v/>
      </c>
      <c r="AF85" s="526">
        <f>Aus!AF91</f>
        <v/>
      </c>
      <c r="AG85" s="526">
        <f>Aus!AG91</f>
        <v/>
      </c>
      <c r="AH85" s="526">
        <f>Aus!AH91</f>
        <v/>
      </c>
      <c r="AI85" s="526">
        <f>Aus!AI91</f>
        <v/>
      </c>
      <c r="AJ85" s="526">
        <f>Aus!AJ91</f>
        <v/>
      </c>
      <c r="AK85" s="526">
        <f>Aus!AK91</f>
        <v/>
      </c>
      <c r="AL85" s="526">
        <f>Aus!AL91</f>
        <v/>
      </c>
      <c r="AM85" s="526">
        <f>Aus!AM91</f>
        <v/>
      </c>
      <c r="AN85" s="526">
        <f>Aus!AN91</f>
        <v/>
      </c>
      <c r="AP85" s="526" t="inlineStr">
        <is>
          <t>flexible</t>
        </is>
      </c>
      <c r="AQ85" s="526">
        <f>1600*2</f>
        <v/>
      </c>
      <c r="AR85" s="526" t="n">
        <v>2</v>
      </c>
      <c r="AS85" s="526">
        <f>AQ85*AR85</f>
        <v/>
      </c>
    </row>
    <row r="86">
      <c r="A86" s="111" t="inlineStr">
        <is>
          <t>China</t>
        </is>
      </c>
      <c r="B86" s="526">
        <f>CN!B160</f>
        <v/>
      </c>
      <c r="C86" s="526">
        <f>CN!C160</f>
        <v/>
      </c>
      <c r="D86" s="526">
        <f>CN!D160</f>
        <v/>
      </c>
      <c r="E86" s="526">
        <f>CN!E160</f>
        <v/>
      </c>
      <c r="F86" s="526">
        <f>CN!F160</f>
        <v/>
      </c>
      <c r="G86" s="526">
        <f>CN!G160</f>
        <v/>
      </c>
      <c r="H86" s="526">
        <f>CN!H160</f>
        <v/>
      </c>
      <c r="I86" s="526">
        <f>CN!I160</f>
        <v/>
      </c>
      <c r="J86" s="526">
        <f>CN!J160</f>
        <v/>
      </c>
      <c r="K86" s="526">
        <f>CN!K160</f>
        <v/>
      </c>
      <c r="L86" s="526">
        <f>CN!L160</f>
        <v/>
      </c>
      <c r="M86" s="526">
        <f>CN!M160</f>
        <v/>
      </c>
      <c r="N86" s="526">
        <f>CN!N160</f>
        <v/>
      </c>
      <c r="O86" s="526">
        <f>CN!O160</f>
        <v/>
      </c>
      <c r="P86" s="526">
        <f>CN!P160</f>
        <v/>
      </c>
      <c r="Q86" s="526">
        <f>CN!Q160</f>
        <v/>
      </c>
      <c r="R86" s="526">
        <f>CN!R160</f>
        <v/>
      </c>
      <c r="S86" s="526">
        <f>CN!S160</f>
        <v/>
      </c>
      <c r="T86" s="526">
        <f>CN!T160</f>
        <v/>
      </c>
      <c r="U86" s="526">
        <f>CN!U160</f>
        <v/>
      </c>
      <c r="V86" s="526">
        <f>CN!V160</f>
        <v/>
      </c>
      <c r="W86" s="526">
        <f>CN!W160</f>
        <v/>
      </c>
      <c r="X86" s="526">
        <f>CN!X160</f>
        <v/>
      </c>
      <c r="Y86" s="526">
        <f>CN!Y160</f>
        <v/>
      </c>
      <c r="Z86" s="526">
        <f>CN!Z160</f>
        <v/>
      </c>
      <c r="AA86" s="526">
        <f>CN!AA160</f>
        <v/>
      </c>
      <c r="AB86" s="526">
        <f>CN!AB160</f>
        <v/>
      </c>
      <c r="AC86" s="526">
        <f>CN!AC160</f>
        <v/>
      </c>
      <c r="AD86" s="526">
        <f>CN!AD160</f>
        <v/>
      </c>
      <c r="AE86" s="526">
        <f>CN!AE160</f>
        <v/>
      </c>
      <c r="AF86" s="526">
        <f>CN!AF160</f>
        <v/>
      </c>
      <c r="AG86" s="526">
        <f>CN!AG160</f>
        <v/>
      </c>
      <c r="AH86" s="526">
        <f>CN!AH160</f>
        <v/>
      </c>
      <c r="AI86" s="526">
        <f>CN!AI160</f>
        <v/>
      </c>
      <c r="AJ86" s="526">
        <f>CN!AJ160</f>
        <v/>
      </c>
      <c r="AK86" s="526">
        <f>CN!AK160</f>
        <v/>
      </c>
      <c r="AL86" s="526">
        <f>CN!AL160</f>
        <v/>
      </c>
      <c r="AM86" s="526">
        <f>CN!AM160</f>
        <v/>
      </c>
      <c r="AN86" s="526">
        <f>CN!AN160</f>
        <v/>
      </c>
      <c r="AP86" s="526" t="inlineStr">
        <is>
          <t>Total</t>
        </is>
      </c>
      <c r="AQ86" s="526">
        <f>SUM(AQ84:AQ85)</f>
        <v/>
      </c>
      <c r="AS86" s="526">
        <f>SUM(AS84:AS85)</f>
        <v/>
      </c>
    </row>
    <row r="87">
      <c r="A87" s="111" t="inlineStr">
        <is>
          <t>India</t>
        </is>
      </c>
      <c r="B87" s="526">
        <f>India!B53</f>
        <v/>
      </c>
      <c r="C87" s="526">
        <f>India!C53</f>
        <v/>
      </c>
      <c r="D87" s="526">
        <f>India!D53</f>
        <v/>
      </c>
      <c r="E87" s="526">
        <f>India!E53</f>
        <v/>
      </c>
      <c r="F87" s="526">
        <f>India!F53</f>
        <v/>
      </c>
      <c r="G87" s="526">
        <f>India!G53</f>
        <v/>
      </c>
      <c r="H87" s="526">
        <f>India!H53</f>
        <v/>
      </c>
      <c r="I87" s="526">
        <f>India!I53</f>
        <v/>
      </c>
      <c r="J87" s="526">
        <f>India!J53</f>
        <v/>
      </c>
      <c r="K87" s="526">
        <f>India!K53</f>
        <v/>
      </c>
      <c r="L87" s="526">
        <f>India!L53</f>
        <v/>
      </c>
      <c r="M87" s="526">
        <f>India!M53</f>
        <v/>
      </c>
      <c r="N87" s="526">
        <f>India!N53</f>
        <v/>
      </c>
      <c r="O87" s="526">
        <f>India!O53</f>
        <v/>
      </c>
      <c r="P87" s="526">
        <f>India!P53</f>
        <v/>
      </c>
      <c r="Q87" s="526">
        <f>India!Q53</f>
        <v/>
      </c>
      <c r="R87" s="526">
        <f>India!R53</f>
        <v/>
      </c>
      <c r="S87" s="526">
        <f>India!S53</f>
        <v/>
      </c>
      <c r="T87" s="526">
        <f>India!T53</f>
        <v/>
      </c>
      <c r="U87" s="526">
        <f>India!U53</f>
        <v/>
      </c>
      <c r="V87" s="526">
        <f>India!V53</f>
        <v/>
      </c>
      <c r="W87" s="526">
        <f>India!W53</f>
        <v/>
      </c>
      <c r="X87" s="526">
        <f>India!X53</f>
        <v/>
      </c>
      <c r="Y87" s="526">
        <f>India!Y53</f>
        <v/>
      </c>
      <c r="Z87" s="526">
        <f>India!Z53</f>
        <v/>
      </c>
      <c r="AA87" s="526">
        <f>India!AA53</f>
        <v/>
      </c>
      <c r="AB87" s="526">
        <f>India!AB53</f>
        <v/>
      </c>
      <c r="AC87" s="526">
        <f>India!AC53</f>
        <v/>
      </c>
      <c r="AD87" s="526">
        <f>India!AD53</f>
        <v/>
      </c>
      <c r="AE87" s="526">
        <f>India!AE53</f>
        <v/>
      </c>
      <c r="AF87" s="526">
        <f>India!AF53</f>
        <v/>
      </c>
      <c r="AG87" s="526">
        <f>India!AG53</f>
        <v/>
      </c>
      <c r="AH87" s="526">
        <f>India!AH53</f>
        <v/>
      </c>
      <c r="AI87" s="526">
        <f>India!AI53</f>
        <v/>
      </c>
      <c r="AJ87" s="526">
        <f>India!AJ53</f>
        <v/>
      </c>
      <c r="AK87" s="526">
        <f>India!AK53</f>
        <v/>
      </c>
      <c r="AL87" s="526">
        <f>India!AL53</f>
        <v/>
      </c>
      <c r="AM87" s="526">
        <f>India!AM53</f>
        <v/>
      </c>
      <c r="AN87" s="526">
        <f>India!AN53</f>
        <v/>
      </c>
      <c r="AP87" s="526" t="inlineStr">
        <is>
          <t>Annual</t>
        </is>
      </c>
      <c r="AS87" s="526">
        <f>AS86/6</f>
        <v/>
      </c>
    </row>
    <row r="88">
      <c r="A88" s="111" t="inlineStr">
        <is>
          <t>SEA and Taiwan</t>
        </is>
      </c>
      <c r="B88" s="526">
        <f>0</f>
        <v/>
      </c>
      <c r="C88" s="526">
        <f>0</f>
        <v/>
      </c>
      <c r="D88" s="526">
        <f>0</f>
        <v/>
      </c>
      <c r="E88" s="526">
        <f>0</f>
        <v/>
      </c>
      <c r="F88" s="526">
        <f>0</f>
        <v/>
      </c>
      <c r="G88" s="526">
        <f>0</f>
        <v/>
      </c>
      <c r="H88" s="526">
        <f>0</f>
        <v/>
      </c>
      <c r="I88" s="526">
        <f>0</f>
        <v/>
      </c>
      <c r="J88" s="526">
        <f>0</f>
        <v/>
      </c>
      <c r="K88" s="526">
        <f>0</f>
        <v/>
      </c>
      <c r="L88" s="526">
        <f>0</f>
        <v/>
      </c>
      <c r="M88" s="526">
        <f>0</f>
        <v/>
      </c>
      <c r="N88" s="526">
        <f>0</f>
        <v/>
      </c>
      <c r="O88" s="526">
        <f>0</f>
        <v/>
      </c>
      <c r="P88" s="526">
        <f>0</f>
        <v/>
      </c>
      <c r="Q88" s="526">
        <f>0</f>
        <v/>
      </c>
      <c r="R88" s="526">
        <f>0</f>
        <v/>
      </c>
      <c r="S88" s="526">
        <f>0</f>
        <v/>
      </c>
      <c r="T88" s="526">
        <f>0</f>
        <v/>
      </c>
      <c r="U88" s="526">
        <f>0</f>
        <v/>
      </c>
      <c r="V88" s="526">
        <f>0</f>
        <v/>
      </c>
      <c r="W88" s="526">
        <f>0</f>
        <v/>
      </c>
      <c r="X88" s="526">
        <f>0</f>
        <v/>
      </c>
      <c r="Y88" s="526">
        <f>0</f>
        <v/>
      </c>
      <c r="Z88" s="526">
        <f>0</f>
        <v/>
      </c>
      <c r="AA88" s="526">
        <f>0</f>
        <v/>
      </c>
      <c r="AB88" s="526">
        <f>0</f>
        <v/>
      </c>
      <c r="AC88" s="526">
        <f>0</f>
        <v/>
      </c>
      <c r="AD88" s="526">
        <f>0</f>
        <v/>
      </c>
      <c r="AE88" s="526">
        <f>0</f>
        <v/>
      </c>
      <c r="AF88" s="526">
        <f>0</f>
        <v/>
      </c>
      <c r="AG88" s="526">
        <f>0</f>
        <v/>
      </c>
      <c r="AH88" s="526">
        <f>0</f>
        <v/>
      </c>
      <c r="AI88" s="526">
        <f>0</f>
        <v/>
      </c>
      <c r="AJ88" s="526">
        <f>0</f>
        <v/>
      </c>
      <c r="AK88" s="526">
        <f>0</f>
        <v/>
      </c>
      <c r="AL88" s="526">
        <f>0</f>
        <v/>
      </c>
      <c r="AM88" s="526">
        <f>0</f>
        <v/>
      </c>
      <c r="AN88" s="526">
        <f>0</f>
        <v/>
      </c>
      <c r="AP88" s="526" t="inlineStr">
        <is>
          <t>50% ownership</t>
        </is>
      </c>
      <c r="AS88" s="526">
        <f>AS87*0.5</f>
        <v/>
      </c>
    </row>
    <row r="89">
      <c r="A89" s="111" t="inlineStr">
        <is>
          <t>Others</t>
        </is>
      </c>
      <c r="K89" s="526">
        <f>K90-SUM(K84:K88)</f>
        <v/>
      </c>
      <c r="L89" s="526">
        <f>L90-SUM(L84:L88)</f>
        <v/>
      </c>
      <c r="M89" s="526">
        <f>M90-SUM(M84:M88)</f>
        <v/>
      </c>
      <c r="N89" s="526">
        <f>N90-SUM(N84:N88)</f>
        <v/>
      </c>
      <c r="O89" s="526">
        <f>O90-SUM(O84:O88)</f>
        <v/>
      </c>
      <c r="P89" s="526">
        <f>P90-SUM(P84:P88)</f>
        <v/>
      </c>
      <c r="Q89" s="526">
        <f>Q90-SUM(Q84:Q88)</f>
        <v/>
      </c>
      <c r="R89" s="526">
        <f>R90-SUM(R84:R88)</f>
        <v/>
      </c>
      <c r="S89" s="526">
        <f>S90-SUM(S84:S88)</f>
        <v/>
      </c>
      <c r="T89" s="526">
        <f>T90-SUM(T84:T88)</f>
        <v/>
      </c>
      <c r="U89" s="526">
        <f>U90-SUM(U84:U88)</f>
        <v/>
      </c>
      <c r="V89" s="526">
        <f>V90-SUM(V84:V88)</f>
        <v/>
      </c>
      <c r="W89" s="526">
        <f>W90-SUM(W84:W88)</f>
        <v/>
      </c>
      <c r="X89" s="526">
        <f>X90-SUM(X84:X88)</f>
        <v/>
      </c>
      <c r="Y89" s="526">
        <f>Y90-SUM(Y84:Y88)</f>
        <v/>
      </c>
      <c r="Z89" s="526">
        <f>Z90-SUM(Z84:Z88)</f>
        <v/>
      </c>
      <c r="AA89" s="526">
        <f>AA90-SUM(AA84:AA88)</f>
        <v/>
      </c>
      <c r="AB89" s="526">
        <f>AB90-SUM(AB84:AB88)</f>
        <v/>
      </c>
      <c r="AC89" s="526">
        <f>AC90-SUM(AC84:AC88)</f>
        <v/>
      </c>
      <c r="AD89" s="526">
        <f>AD90-SUM(AD84:AD88)</f>
        <v/>
      </c>
      <c r="AE89" s="526">
        <f>AE90-SUM(AE84:AE88)</f>
        <v/>
      </c>
      <c r="AF89" s="526">
        <f>AF90-SUM(AF84:AF88)</f>
        <v/>
      </c>
      <c r="AG89" s="526">
        <f>AG90-SUM(AG84:AG88)</f>
        <v/>
      </c>
      <c r="AH89" s="526">
        <f>AH90-SUM(AH84:AH88)</f>
        <v/>
      </c>
      <c r="AI89" s="564" t="n">
        <v>0</v>
      </c>
      <c r="AJ89" s="564">
        <f>AI89</f>
        <v/>
      </c>
      <c r="AK89" s="564">
        <f>AJ89</f>
        <v/>
      </c>
      <c r="AL89" s="564">
        <f>AK89</f>
        <v/>
      </c>
      <c r="AM89" s="564">
        <f>AL89</f>
        <v/>
      </c>
      <c r="AN89" s="564">
        <f>AM89</f>
        <v/>
      </c>
    </row>
    <row r="90">
      <c r="A90" s="109" t="inlineStr">
        <is>
          <t>Total</t>
        </is>
      </c>
      <c r="B90" s="605" t="n"/>
      <c r="C90" s="605" t="n"/>
      <c r="D90" s="605" t="n"/>
      <c r="E90" s="605" t="n"/>
      <c r="F90" s="605" t="n"/>
      <c r="G90" s="605" t="n"/>
      <c r="H90" s="605" t="n"/>
      <c r="I90" s="605" t="n"/>
      <c r="J90" s="605" t="n"/>
      <c r="K90" s="605" t="n">
        <v>4741</v>
      </c>
      <c r="L90" s="605" t="n">
        <v>5134</v>
      </c>
      <c r="M90" s="605" t="n">
        <v>5594</v>
      </c>
      <c r="N90" s="605" t="n">
        <v>5823</v>
      </c>
      <c r="O90" s="605" t="n">
        <v>5640</v>
      </c>
      <c r="P90" s="605" t="n">
        <v>9228</v>
      </c>
      <c r="Q90" s="605" t="n">
        <v>8426</v>
      </c>
      <c r="R90" s="605" t="n">
        <v>7928</v>
      </c>
      <c r="S90" s="605" t="n">
        <v>9837</v>
      </c>
      <c r="T90" s="605" t="n">
        <v>20222</v>
      </c>
      <c r="U90" s="605" t="n">
        <v>18639</v>
      </c>
      <c r="V90" s="605" t="n">
        <v>12281</v>
      </c>
      <c r="W90" s="605" t="n">
        <v>13196</v>
      </c>
      <c r="X90" s="605" t="n">
        <v>10733</v>
      </c>
      <c r="Y90" s="605" t="n">
        <v>11483</v>
      </c>
      <c r="Z90" s="605" t="n">
        <v>10501</v>
      </c>
      <c r="AA90" s="605" t="n">
        <v>12646</v>
      </c>
      <c r="AB90" s="605" t="n">
        <v>11698</v>
      </c>
      <c r="AC90" s="605" t="n">
        <v>11390</v>
      </c>
      <c r="AD90" s="605" t="n">
        <v>12368</v>
      </c>
      <c r="AE90" s="605" t="n">
        <v>14156</v>
      </c>
      <c r="AF90" s="605" t="n">
        <v>15855</v>
      </c>
      <c r="AG90" s="605" t="n">
        <v>15402</v>
      </c>
      <c r="AH90" s="605" t="n">
        <v>15971</v>
      </c>
      <c r="AI90" s="608">
        <f>SUM(AI84:AI89)</f>
        <v/>
      </c>
      <c r="AJ90" s="608">
        <f>SUM(AJ84:AJ89)</f>
        <v/>
      </c>
      <c r="AK90" s="608">
        <f>SUM(AK84:AK89)</f>
        <v/>
      </c>
      <c r="AL90" s="608">
        <f>SUM(AL84:AL89)</f>
        <v/>
      </c>
      <c r="AM90" s="608">
        <f>SUM(AM84:AM89)</f>
        <v/>
      </c>
      <c r="AN90" s="608">
        <f>SUM(AN84:AN89)</f>
        <v/>
      </c>
      <c r="AP90" s="597" t="inlineStr">
        <is>
          <t>China</t>
        </is>
      </c>
    </row>
    <row r="91">
      <c r="AP91" s="526" t="inlineStr">
        <is>
          <t>Renewable</t>
        </is>
      </c>
      <c r="AQ91" s="526" t="n">
        <v>4700</v>
      </c>
      <c r="AR91" s="612" t="n">
        <v>3.5</v>
      </c>
      <c r="AS91" s="526">
        <f>AQ91*AR91</f>
        <v/>
      </c>
    </row>
    <row r="92">
      <c r="A92" s="6" t="inlineStr">
        <is>
          <t>Debt</t>
        </is>
      </c>
      <c r="B92" s="594" t="n"/>
      <c r="C92" s="594" t="n"/>
      <c r="D92" s="594" t="n"/>
      <c r="E92" s="594" t="n"/>
      <c r="F92" s="594" t="n"/>
      <c r="G92" s="594" t="n"/>
      <c r="H92" s="594" t="n"/>
      <c r="I92" s="594" t="n"/>
      <c r="J92" s="594" t="n"/>
      <c r="K92" s="594" t="n"/>
      <c r="L92" s="594" t="n"/>
      <c r="M92" s="594" t="n"/>
      <c r="N92" s="594" t="n"/>
      <c r="O92" s="594" t="n"/>
      <c r="P92" s="594" t="n"/>
      <c r="Q92" s="594" t="n"/>
      <c r="R92" s="594" t="n"/>
      <c r="S92" s="594" t="n"/>
      <c r="T92" s="594" t="n"/>
      <c r="U92" s="594" t="n"/>
      <c r="V92" s="594" t="n"/>
      <c r="W92" s="594" t="n"/>
      <c r="X92" s="594" t="n"/>
      <c r="Y92" s="594" t="n"/>
      <c r="Z92" s="594" t="n"/>
      <c r="AA92" s="594" t="n"/>
      <c r="AB92" s="594" t="n"/>
      <c r="AC92" s="594" t="n"/>
      <c r="AD92" s="594" t="n"/>
      <c r="AE92" s="594" t="n"/>
      <c r="AF92" s="594" t="n"/>
      <c r="AG92" s="594" t="n"/>
      <c r="AH92" s="594" t="n"/>
      <c r="AI92" s="594" t="n"/>
      <c r="AJ92" s="594" t="n"/>
      <c r="AK92" s="594" t="n"/>
      <c r="AL92" s="594" t="n"/>
      <c r="AM92" s="594" t="n"/>
      <c r="AN92" s="594" t="n"/>
      <c r="AP92" s="526" t="inlineStr">
        <is>
          <t>Annual</t>
        </is>
      </c>
      <c r="AS92" s="526">
        <f>AS91/5</f>
        <v/>
      </c>
    </row>
    <row r="93">
      <c r="A93" s="62" t="inlineStr">
        <is>
          <t>Total Debt</t>
        </is>
      </c>
      <c r="B93" s="597">
        <f>Final!B76+Final!B85</f>
        <v/>
      </c>
      <c r="C93" s="597">
        <f>Final!C76+Final!C85</f>
        <v/>
      </c>
      <c r="D93" s="597">
        <f>Final!D76+Final!D85</f>
        <v/>
      </c>
      <c r="E93" s="597">
        <f>Final!E76+Final!E85</f>
        <v/>
      </c>
      <c r="F93" s="597">
        <f>Final!F76+Final!F85</f>
        <v/>
      </c>
      <c r="G93" s="597">
        <f>Final!G76+Final!G85</f>
        <v/>
      </c>
      <c r="H93" s="597">
        <f>Final!H76+Final!H85</f>
        <v/>
      </c>
      <c r="I93" s="597">
        <f>Final!I76+Final!I85</f>
        <v/>
      </c>
      <c r="J93" s="597">
        <f>Final!J76+Final!J85</f>
        <v/>
      </c>
      <c r="K93" s="597">
        <f>Final!K76+Final!K85</f>
        <v/>
      </c>
      <c r="L93" s="597">
        <f>Final!L76+Final!L85</f>
        <v/>
      </c>
      <c r="M93" s="597">
        <f>Final!M76+Final!M85</f>
        <v/>
      </c>
      <c r="N93" s="597">
        <f>Final!N76+Final!N85</f>
        <v/>
      </c>
      <c r="O93" s="597">
        <f>Final!O76+Final!O85</f>
        <v/>
      </c>
      <c r="P93" s="597">
        <f>Final!P76+Final!P85</f>
        <v/>
      </c>
      <c r="Q93" s="597">
        <f>Final!Q76+Final!Q85</f>
        <v/>
      </c>
      <c r="R93" s="597">
        <f>Final!R76+Final!R85</f>
        <v/>
      </c>
      <c r="S93" s="597">
        <f>Final!S76+Final!S85</f>
        <v/>
      </c>
      <c r="T93" s="597">
        <f>Final!T76+Final!T85</f>
        <v/>
      </c>
      <c r="U93" s="597">
        <f>Final!U76+Final!U85</f>
        <v/>
      </c>
      <c r="V93" s="597">
        <f>Final!V76+Final!V85</f>
        <v/>
      </c>
      <c r="W93" s="597">
        <f>Final!W76+Final!W85</f>
        <v/>
      </c>
      <c r="X93" s="597">
        <f>Final!X76+Final!X85</f>
        <v/>
      </c>
      <c r="Y93" s="597">
        <f>Final!Y76+Final!Y85</f>
        <v/>
      </c>
      <c r="Z93" s="597">
        <f>Final!Z76+Final!Z85</f>
        <v/>
      </c>
      <c r="AA93" s="597">
        <f>Final!AA76+Final!AA85</f>
        <v/>
      </c>
      <c r="AB93" s="597">
        <f>Final!AB76+Final!AB85</f>
        <v/>
      </c>
      <c r="AC93" s="597">
        <f>Final!AC76+Final!AC85</f>
        <v/>
      </c>
      <c r="AD93" s="597">
        <f>Final!AD76+Final!AD85</f>
        <v/>
      </c>
      <c r="AE93" s="597">
        <f>Final!AE76+Final!AE85</f>
        <v/>
      </c>
      <c r="AF93" s="597">
        <f>Final!AF76+Final!AF85</f>
        <v/>
      </c>
      <c r="AG93" s="597">
        <f>Final!AG76+Final!AG85</f>
        <v/>
      </c>
      <c r="AH93" s="597">
        <f>Final!AH76+Final!AH85</f>
        <v/>
      </c>
      <c r="AI93" s="613">
        <f>SUM(AI94:AI99)</f>
        <v/>
      </c>
      <c r="AJ93" s="613">
        <f>SUM(AJ94:AJ99)</f>
        <v/>
      </c>
      <c r="AK93" s="613">
        <f>SUM(AK94:AK99)</f>
        <v/>
      </c>
      <c r="AL93" s="613">
        <f>SUM(AL94:AL99)</f>
        <v/>
      </c>
      <c r="AM93" s="613">
        <f>SUM(AM94:AM99)</f>
        <v/>
      </c>
      <c r="AN93" s="613">
        <f>SUM(AN94:AN99)</f>
        <v/>
      </c>
      <c r="AP93" s="526" t="inlineStr">
        <is>
          <t>50% ownership</t>
        </is>
      </c>
      <c r="AS93" s="526">
        <f>AS92*0.5</f>
        <v/>
      </c>
    </row>
    <row r="94">
      <c r="A94" s="111" t="inlineStr">
        <is>
          <t>Hong Kong</t>
        </is>
      </c>
      <c r="B94" s="526">
        <f>ROAFNA!B35</f>
        <v/>
      </c>
      <c r="C94" s="526">
        <f>ROAFNA!C35</f>
        <v/>
      </c>
      <c r="D94" s="526">
        <f>ROAFNA!D35</f>
        <v/>
      </c>
      <c r="E94" s="526">
        <f>ROAFNA!E35</f>
        <v/>
      </c>
      <c r="F94" s="526">
        <f>ROAFNA!F35</f>
        <v/>
      </c>
      <c r="G94" s="526">
        <f>ROAFNA!G35</f>
        <v/>
      </c>
      <c r="H94" s="526">
        <f>ROAFNA!H35</f>
        <v/>
      </c>
      <c r="I94" s="526">
        <f>ROAFNA!I35</f>
        <v/>
      </c>
      <c r="J94" s="526">
        <f>ROAFNA!J35</f>
        <v/>
      </c>
      <c r="K94" s="526">
        <f>ROAFNA!K35</f>
        <v/>
      </c>
      <c r="L94" s="526">
        <f>ROAFNA!L35</f>
        <v/>
      </c>
      <c r="M94" s="526">
        <f>ROAFNA!M35</f>
        <v/>
      </c>
      <c r="N94" s="526">
        <f>ROAFNA!N35</f>
        <v/>
      </c>
      <c r="O94" s="526">
        <f>ROAFNA!O35</f>
        <v/>
      </c>
      <c r="P94" s="526">
        <f>ROAFNA!P35</f>
        <v/>
      </c>
      <c r="Q94" s="526">
        <f>ROAFNA!Q35</f>
        <v/>
      </c>
      <c r="R94" s="526">
        <f>ROAFNA!R35</f>
        <v/>
      </c>
      <c r="S94" s="526">
        <f>ROAFNA!S35</f>
        <v/>
      </c>
      <c r="T94" s="526">
        <f>ROAFNA!T35</f>
        <v/>
      </c>
      <c r="U94" s="526">
        <f>ROAFNA!U35</f>
        <v/>
      </c>
      <c r="V94" s="526">
        <f>ROAFNA!V35</f>
        <v/>
      </c>
      <c r="W94" s="526">
        <f>ROAFNA!W35</f>
        <v/>
      </c>
      <c r="X94" s="526">
        <f>ROAFNA!X35</f>
        <v/>
      </c>
      <c r="Y94" s="526">
        <f>ROAFNA!Y35</f>
        <v/>
      </c>
      <c r="Z94" s="526">
        <f>ROAFNA!Z35</f>
        <v/>
      </c>
      <c r="AA94" s="526">
        <f>ROAFNA!AA35</f>
        <v/>
      </c>
      <c r="AB94" s="526">
        <f>ROAFNA!AB35</f>
        <v/>
      </c>
      <c r="AC94" s="526">
        <f>ROAFNA!AC35</f>
        <v/>
      </c>
      <c r="AD94" s="526">
        <f>ROAFNA!AD35</f>
        <v/>
      </c>
      <c r="AE94" s="526">
        <f>ROAFNA!AE35</f>
        <v/>
      </c>
      <c r="AF94" s="526">
        <f>ROAFNA!AF35</f>
        <v/>
      </c>
      <c r="AG94" s="526">
        <f>ROAFNA!AG35</f>
        <v/>
      </c>
      <c r="AH94" s="526">
        <f>ROAFNA!AH35</f>
        <v/>
      </c>
      <c r="AI94" s="526">
        <f>ROAFNA!AI35</f>
        <v/>
      </c>
      <c r="AJ94" s="526">
        <f>ROAFNA!AJ35</f>
        <v/>
      </c>
      <c r="AK94" s="526">
        <f>ROAFNA!AK35</f>
        <v/>
      </c>
      <c r="AL94" s="526">
        <f>ROAFNA!AL35</f>
        <v/>
      </c>
      <c r="AM94" s="526">
        <f>ROAFNA!AM35</f>
        <v/>
      </c>
      <c r="AN94" s="526">
        <f>ROAFNA!AN35</f>
        <v/>
      </c>
    </row>
    <row r="95">
      <c r="A95" s="111" t="inlineStr">
        <is>
          <t>Australia</t>
        </is>
      </c>
      <c r="B95" s="526">
        <f>Aus!B84</f>
        <v/>
      </c>
      <c r="C95" s="526">
        <f>Aus!C84</f>
        <v/>
      </c>
      <c r="D95" s="526">
        <f>Aus!D84</f>
        <v/>
      </c>
      <c r="E95" s="526">
        <f>Aus!E84</f>
        <v/>
      </c>
      <c r="F95" s="526">
        <f>Aus!F84</f>
        <v/>
      </c>
      <c r="G95" s="526">
        <f>Aus!G84</f>
        <v/>
      </c>
      <c r="H95" s="526">
        <f>Aus!H84</f>
        <v/>
      </c>
      <c r="I95" s="526">
        <f>Aus!I84</f>
        <v/>
      </c>
      <c r="J95" s="526">
        <f>Aus!J84</f>
        <v/>
      </c>
      <c r="K95" s="526">
        <f>Aus!K84</f>
        <v/>
      </c>
      <c r="L95" s="526">
        <f>Aus!L84</f>
        <v/>
      </c>
      <c r="M95" s="526">
        <f>Aus!M84</f>
        <v/>
      </c>
      <c r="N95" s="526">
        <f>Aus!N84</f>
        <v/>
      </c>
      <c r="O95" s="526">
        <f>Aus!O84</f>
        <v/>
      </c>
      <c r="P95" s="526">
        <f>Aus!P84</f>
        <v/>
      </c>
      <c r="Q95" s="526">
        <f>Aus!Q84</f>
        <v/>
      </c>
      <c r="R95" s="526">
        <f>Aus!R84</f>
        <v/>
      </c>
      <c r="S95" s="526">
        <f>Aus!S84</f>
        <v/>
      </c>
      <c r="T95" s="526">
        <f>Aus!T84</f>
        <v/>
      </c>
      <c r="U95" s="526">
        <f>Aus!U84</f>
        <v/>
      </c>
      <c r="V95" s="526">
        <f>Aus!V84</f>
        <v/>
      </c>
      <c r="W95" s="526">
        <f>Aus!W84</f>
        <v/>
      </c>
      <c r="X95" s="526">
        <f>Aus!X84</f>
        <v/>
      </c>
      <c r="Y95" s="526">
        <f>Aus!Y84</f>
        <v/>
      </c>
      <c r="Z95" s="526">
        <f>Aus!Z84</f>
        <v/>
      </c>
      <c r="AA95" s="526">
        <f>Aus!AA84</f>
        <v/>
      </c>
      <c r="AB95" s="526">
        <f>Aus!AB84</f>
        <v/>
      </c>
      <c r="AC95" s="526">
        <f>Aus!AC84</f>
        <v/>
      </c>
      <c r="AD95" s="526">
        <f>Aus!AD84</f>
        <v/>
      </c>
      <c r="AE95" s="526">
        <f>Aus!AE84</f>
        <v/>
      </c>
      <c r="AF95" s="526">
        <f>Aus!AF84</f>
        <v/>
      </c>
      <c r="AG95" s="526">
        <f>Aus!AG84</f>
        <v/>
      </c>
      <c r="AH95" s="526">
        <f>Aus!AH84</f>
        <v/>
      </c>
      <c r="AI95" s="526">
        <f>Aus!AI84</f>
        <v/>
      </c>
      <c r="AJ95" s="526">
        <f>Aus!AJ84</f>
        <v/>
      </c>
      <c r="AK95" s="526">
        <f>Aus!AK84</f>
        <v/>
      </c>
      <c r="AL95" s="526">
        <f>Aus!AL84</f>
        <v/>
      </c>
      <c r="AM95" s="526">
        <f>Aus!AM84</f>
        <v/>
      </c>
      <c r="AN95" s="526">
        <f>Aus!AN84</f>
        <v/>
      </c>
      <c r="AP95" s="597" t="inlineStr">
        <is>
          <t>India</t>
        </is>
      </c>
    </row>
    <row r="96">
      <c r="A96" s="111" t="inlineStr">
        <is>
          <t>China</t>
        </is>
      </c>
      <c r="B96" s="526">
        <f>CN!B163</f>
        <v/>
      </c>
      <c r="C96" s="526">
        <f>CN!C163</f>
        <v/>
      </c>
      <c r="D96" s="526">
        <f>CN!D163</f>
        <v/>
      </c>
      <c r="E96" s="526">
        <f>CN!E163</f>
        <v/>
      </c>
      <c r="F96" s="526">
        <f>CN!F163</f>
        <v/>
      </c>
      <c r="G96" s="526">
        <f>CN!G163</f>
        <v/>
      </c>
      <c r="H96" s="526">
        <f>CN!H163</f>
        <v/>
      </c>
      <c r="I96" s="526">
        <f>CN!I163</f>
        <v/>
      </c>
      <c r="J96" s="526">
        <f>CN!J163</f>
        <v/>
      </c>
      <c r="K96" s="526">
        <f>CN!K163</f>
        <v/>
      </c>
      <c r="L96" s="526">
        <f>CN!L163</f>
        <v/>
      </c>
      <c r="M96" s="526">
        <f>CN!M163</f>
        <v/>
      </c>
      <c r="N96" s="526">
        <f>CN!N163</f>
        <v/>
      </c>
      <c r="O96" s="526">
        <f>CN!O163</f>
        <v/>
      </c>
      <c r="P96" s="526">
        <f>CN!P163</f>
        <v/>
      </c>
      <c r="Q96" s="526">
        <f>CN!Q163</f>
        <v/>
      </c>
      <c r="R96" s="526">
        <f>CN!R163</f>
        <v/>
      </c>
      <c r="S96" s="526">
        <f>CN!S163</f>
        <v/>
      </c>
      <c r="T96" s="526">
        <f>CN!T163</f>
        <v/>
      </c>
      <c r="U96" s="526">
        <f>CN!U163</f>
        <v/>
      </c>
      <c r="V96" s="526">
        <f>CN!V163</f>
        <v/>
      </c>
      <c r="W96" s="526">
        <f>CN!W163</f>
        <v/>
      </c>
      <c r="X96" s="526">
        <f>CN!X163</f>
        <v/>
      </c>
      <c r="Y96" s="526">
        <f>CN!Y163</f>
        <v/>
      </c>
      <c r="Z96" s="526">
        <f>CN!Z163</f>
        <v/>
      </c>
      <c r="AA96" s="526">
        <f>CN!AA163</f>
        <v/>
      </c>
      <c r="AB96" s="526">
        <f>CN!AB163</f>
        <v/>
      </c>
      <c r="AC96" s="526">
        <f>CN!AC163</f>
        <v/>
      </c>
      <c r="AD96" s="526">
        <f>CN!AD163</f>
        <v/>
      </c>
      <c r="AE96" s="526">
        <f>CN!AE163</f>
        <v/>
      </c>
      <c r="AF96" s="526">
        <f>CN!AF163</f>
        <v/>
      </c>
      <c r="AG96" s="526">
        <f>CN!AG163</f>
        <v/>
      </c>
      <c r="AH96" s="526">
        <f>CN!AH163</f>
        <v/>
      </c>
      <c r="AI96" s="526">
        <f>CN!AI163</f>
        <v/>
      </c>
      <c r="AJ96" s="526">
        <f>CN!AJ163</f>
        <v/>
      </c>
      <c r="AK96" s="526">
        <f>CN!AK163</f>
        <v/>
      </c>
      <c r="AL96" s="526">
        <f>CN!AL163</f>
        <v/>
      </c>
      <c r="AM96" s="526">
        <f>CN!AM163</f>
        <v/>
      </c>
      <c r="AN96" s="526">
        <f>CN!AN163</f>
        <v/>
      </c>
      <c r="AP96" s="526" t="inlineStr">
        <is>
          <t>Renewable</t>
        </is>
      </c>
      <c r="AQ96" s="526" t="n">
        <v>8000</v>
      </c>
      <c r="AR96" s="526" t="n">
        <v>3.5</v>
      </c>
      <c r="AS96" s="526">
        <f>AQ96*AR96</f>
        <v/>
      </c>
    </row>
    <row r="97">
      <c r="A97" s="111" t="inlineStr">
        <is>
          <t>India</t>
        </is>
      </c>
      <c r="B97" s="526">
        <f>India!B59</f>
        <v/>
      </c>
      <c r="C97" s="526">
        <f>India!C59</f>
        <v/>
      </c>
      <c r="D97" s="526">
        <f>India!D59</f>
        <v/>
      </c>
      <c r="E97" s="526">
        <f>India!E59</f>
        <v/>
      </c>
      <c r="F97" s="526">
        <f>India!F59</f>
        <v/>
      </c>
      <c r="G97" s="526">
        <f>India!G59</f>
        <v/>
      </c>
      <c r="H97" s="526">
        <f>India!H59</f>
        <v/>
      </c>
      <c r="I97" s="526">
        <f>India!I59</f>
        <v/>
      </c>
      <c r="J97" s="526">
        <f>India!J59</f>
        <v/>
      </c>
      <c r="K97" s="526">
        <f>India!K59</f>
        <v/>
      </c>
      <c r="L97" s="526">
        <f>India!L59</f>
        <v/>
      </c>
      <c r="M97" s="526">
        <f>India!M59</f>
        <v/>
      </c>
      <c r="N97" s="526">
        <f>India!N59</f>
        <v/>
      </c>
      <c r="O97" s="526">
        <f>India!O59</f>
        <v/>
      </c>
      <c r="P97" s="526">
        <f>India!P59</f>
        <v/>
      </c>
      <c r="Q97" s="526">
        <f>India!Q59</f>
        <v/>
      </c>
      <c r="R97" s="526">
        <f>India!R59</f>
        <v/>
      </c>
      <c r="S97" s="526">
        <f>India!S59</f>
        <v/>
      </c>
      <c r="T97" s="526">
        <f>India!T59</f>
        <v/>
      </c>
      <c r="U97" s="526">
        <f>India!U59</f>
        <v/>
      </c>
      <c r="V97" s="526">
        <f>India!V59</f>
        <v/>
      </c>
      <c r="W97" s="526">
        <f>India!W59</f>
        <v/>
      </c>
      <c r="X97" s="526">
        <f>India!X59</f>
        <v/>
      </c>
      <c r="Y97" s="526">
        <f>India!Y59</f>
        <v/>
      </c>
      <c r="Z97" s="526">
        <f>India!Z59</f>
        <v/>
      </c>
      <c r="AA97" s="526">
        <f>India!AA59</f>
        <v/>
      </c>
      <c r="AB97" s="526">
        <f>India!AB59</f>
        <v/>
      </c>
      <c r="AC97" s="526">
        <f>India!AC59</f>
        <v/>
      </c>
      <c r="AD97" s="526">
        <f>India!AD59</f>
        <v/>
      </c>
      <c r="AE97" s="526">
        <f>India!AE59</f>
        <v/>
      </c>
      <c r="AF97" s="526">
        <f>India!AF59</f>
        <v/>
      </c>
      <c r="AG97" s="526">
        <f>India!AG59</f>
        <v/>
      </c>
      <c r="AH97" s="526">
        <f>India!AH59</f>
        <v/>
      </c>
      <c r="AI97" s="526">
        <f>India!AI59</f>
        <v/>
      </c>
      <c r="AJ97" s="526">
        <f>India!AJ59</f>
        <v/>
      </c>
      <c r="AK97" s="526">
        <f>India!AK59</f>
        <v/>
      </c>
      <c r="AL97" s="526">
        <f>India!AL59</f>
        <v/>
      </c>
      <c r="AM97" s="526">
        <f>India!AM59</f>
        <v/>
      </c>
      <c r="AN97" s="526">
        <f>India!AN59</f>
        <v/>
      </c>
      <c r="AP97" s="526" t="inlineStr">
        <is>
          <t>Annual</t>
        </is>
      </c>
      <c r="AS97" s="526">
        <f>AS96/5</f>
        <v/>
      </c>
    </row>
    <row r="98">
      <c r="A98" s="111" t="inlineStr">
        <is>
          <t>SEA and Taiwan</t>
        </is>
      </c>
      <c r="B98" s="526" t="n">
        <v>0</v>
      </c>
      <c r="C98" s="526" t="n">
        <v>0</v>
      </c>
      <c r="D98" s="526" t="n">
        <v>0</v>
      </c>
      <c r="E98" s="526" t="n">
        <v>0</v>
      </c>
      <c r="F98" s="526" t="n">
        <v>0</v>
      </c>
      <c r="G98" s="526" t="n">
        <v>0</v>
      </c>
      <c r="H98" s="526" t="n">
        <v>0</v>
      </c>
      <c r="I98" s="526" t="n">
        <v>0</v>
      </c>
      <c r="J98" s="526" t="n">
        <v>0</v>
      </c>
      <c r="K98" s="526" t="n">
        <v>0</v>
      </c>
      <c r="L98" s="526" t="n">
        <v>0</v>
      </c>
      <c r="M98" s="526" t="n">
        <v>0</v>
      </c>
      <c r="N98" s="526" t="n">
        <v>0</v>
      </c>
      <c r="O98" s="526" t="n">
        <v>0</v>
      </c>
      <c r="P98" s="526" t="n">
        <v>0</v>
      </c>
      <c r="Q98" s="526" t="n">
        <v>0</v>
      </c>
      <c r="R98" s="526" t="n">
        <v>0</v>
      </c>
      <c r="S98" s="526" t="n">
        <v>0</v>
      </c>
      <c r="T98" s="526" t="n">
        <v>0</v>
      </c>
      <c r="U98" s="526" t="n">
        <v>0</v>
      </c>
      <c r="V98" s="526" t="n">
        <v>0</v>
      </c>
      <c r="W98" s="526" t="n">
        <v>0</v>
      </c>
      <c r="X98" s="526" t="n">
        <v>0</v>
      </c>
      <c r="Y98" s="526" t="n">
        <v>0</v>
      </c>
      <c r="Z98" s="526" t="n">
        <v>0</v>
      </c>
      <c r="AA98" s="526" t="n">
        <v>0</v>
      </c>
      <c r="AB98" s="526" t="n">
        <v>0</v>
      </c>
      <c r="AC98" s="526" t="n">
        <v>0</v>
      </c>
      <c r="AD98" s="526" t="n">
        <v>0</v>
      </c>
      <c r="AE98" s="526" t="n">
        <v>0</v>
      </c>
      <c r="AF98" s="526" t="n">
        <v>0</v>
      </c>
      <c r="AG98" s="526" t="n">
        <v>0</v>
      </c>
      <c r="AH98" s="526" t="n">
        <v>0</v>
      </c>
      <c r="AI98" s="526" t="n">
        <v>0</v>
      </c>
      <c r="AJ98" s="526" t="n">
        <v>0</v>
      </c>
      <c r="AK98" s="526" t="n">
        <v>0</v>
      </c>
      <c r="AL98" s="526" t="n">
        <v>0</v>
      </c>
      <c r="AM98" s="526" t="n">
        <v>0</v>
      </c>
      <c r="AN98" s="526" t="n">
        <v>0</v>
      </c>
      <c r="AP98" s="526" t="inlineStr">
        <is>
          <t>50% ownership</t>
        </is>
      </c>
      <c r="AS98" s="526">
        <f>AS97*0.5</f>
        <v/>
      </c>
    </row>
    <row r="99">
      <c r="A99" s="111" t="inlineStr">
        <is>
          <t>Unallocated</t>
        </is>
      </c>
      <c r="B99" s="526">
        <f>B93-SUM(B94:B98)</f>
        <v/>
      </c>
      <c r="C99" s="526">
        <f>C93-SUM(C94:C98)</f>
        <v/>
      </c>
      <c r="D99" s="526">
        <f>D93-SUM(D94:D98)</f>
        <v/>
      </c>
      <c r="E99" s="526">
        <f>E93-SUM(E94:E98)</f>
        <v/>
      </c>
      <c r="F99" s="526">
        <f>F93-SUM(F94:F98)</f>
        <v/>
      </c>
      <c r="G99" s="526">
        <f>G93-SUM(G94:G98)</f>
        <v/>
      </c>
      <c r="H99" s="526">
        <f>H93-SUM(H94:H98)</f>
        <v/>
      </c>
      <c r="I99" s="526">
        <f>I93-SUM(I94:I98)</f>
        <v/>
      </c>
      <c r="J99" s="526">
        <f>J93-SUM(J94:J98)</f>
        <v/>
      </c>
      <c r="K99" s="526">
        <f>K93-SUM(K94:K98)</f>
        <v/>
      </c>
      <c r="L99" s="526">
        <f>L93-SUM(L94:L98)</f>
        <v/>
      </c>
      <c r="M99" s="526">
        <f>M93-SUM(M94:M98)</f>
        <v/>
      </c>
      <c r="N99" s="526">
        <f>N93-SUM(N94:N98)</f>
        <v/>
      </c>
      <c r="O99" s="526">
        <f>O93-SUM(O94:O98)</f>
        <v/>
      </c>
      <c r="P99" s="526">
        <f>P93-SUM(P94:P98)</f>
        <v/>
      </c>
      <c r="Q99" s="526">
        <f>Q93-SUM(Q94:Q98)</f>
        <v/>
      </c>
      <c r="R99" s="526">
        <f>R93-SUM(R94:R98)</f>
        <v/>
      </c>
      <c r="S99" s="526">
        <f>S93-SUM(S94:S98)</f>
        <v/>
      </c>
      <c r="T99" s="526">
        <f>T93-SUM(T94:T98)</f>
        <v/>
      </c>
      <c r="U99" s="526">
        <f>U93-SUM(U94:U98)</f>
        <v/>
      </c>
      <c r="V99" s="526">
        <f>V93-SUM(V94:V98)</f>
        <v/>
      </c>
      <c r="W99" s="526">
        <f>W93-SUM(W94:W98)</f>
        <v/>
      </c>
      <c r="X99" s="526">
        <f>X93-SUM(X94:X98)</f>
        <v/>
      </c>
      <c r="Y99" s="526">
        <f>Y93-SUM(Y94:Y98)</f>
        <v/>
      </c>
      <c r="Z99" s="526">
        <f>Z93-SUM(Z94:Z98)</f>
        <v/>
      </c>
      <c r="AA99" s="526">
        <f>AA93-SUM(AA94:AA98)</f>
        <v/>
      </c>
      <c r="AB99" s="526">
        <f>AB93-SUM(AB94:AB98)</f>
        <v/>
      </c>
      <c r="AC99" s="526">
        <f>AC93-SUM(AC94:AC98)</f>
        <v/>
      </c>
      <c r="AD99" s="526">
        <f>AD93-SUM(AD94:AD98)</f>
        <v/>
      </c>
      <c r="AE99" s="564" t="n">
        <v>0</v>
      </c>
      <c r="AF99" s="564" t="n">
        <v>0</v>
      </c>
      <c r="AG99" s="564" t="n">
        <v>0</v>
      </c>
      <c r="AH99" s="564" t="n">
        <v>0</v>
      </c>
      <c r="AI99" s="564" t="n">
        <v>0</v>
      </c>
      <c r="AJ99" s="564" t="n">
        <v>0</v>
      </c>
      <c r="AK99" s="564" t="n">
        <v>0</v>
      </c>
      <c r="AL99" s="564" t="n">
        <v>0</v>
      </c>
      <c r="AM99" s="564" t="n">
        <v>0</v>
      </c>
      <c r="AN99" s="564" t="n">
        <v>0</v>
      </c>
    </row>
    <row r="100">
      <c r="A100" s="62" t="inlineStr">
        <is>
          <t>Cash</t>
        </is>
      </c>
      <c r="B100" s="597">
        <f>Final!B57</f>
        <v/>
      </c>
      <c r="C100" s="597">
        <f>Final!C57</f>
        <v/>
      </c>
      <c r="D100" s="597">
        <f>Final!D57</f>
        <v/>
      </c>
      <c r="E100" s="597">
        <f>Final!E57</f>
        <v/>
      </c>
      <c r="F100" s="597">
        <f>Final!F57</f>
        <v/>
      </c>
      <c r="G100" s="597">
        <f>Final!G57</f>
        <v/>
      </c>
      <c r="H100" s="597">
        <f>Final!H57</f>
        <v/>
      </c>
      <c r="I100" s="597">
        <f>Final!I57</f>
        <v/>
      </c>
      <c r="J100" s="597">
        <f>Final!J57</f>
        <v/>
      </c>
      <c r="K100" s="597">
        <f>Final!K57</f>
        <v/>
      </c>
      <c r="L100" s="597">
        <f>Final!L57</f>
        <v/>
      </c>
      <c r="M100" s="597">
        <f>Final!M57</f>
        <v/>
      </c>
      <c r="N100" s="597">
        <f>Final!N57</f>
        <v/>
      </c>
      <c r="O100" s="597">
        <f>Final!O57</f>
        <v/>
      </c>
      <c r="P100" s="597">
        <f>Final!P57</f>
        <v/>
      </c>
      <c r="Q100" s="597">
        <f>Final!Q57</f>
        <v/>
      </c>
      <c r="R100" s="597">
        <f>Final!R57</f>
        <v/>
      </c>
      <c r="S100" s="597">
        <f>Final!S57</f>
        <v/>
      </c>
      <c r="T100" s="597">
        <f>Final!T57</f>
        <v/>
      </c>
      <c r="U100" s="597">
        <f>Final!U57</f>
        <v/>
      </c>
      <c r="V100" s="597">
        <f>Final!V57</f>
        <v/>
      </c>
      <c r="W100" s="597">
        <f>Final!W57</f>
        <v/>
      </c>
      <c r="X100" s="597">
        <f>Final!X57</f>
        <v/>
      </c>
      <c r="Y100" s="597">
        <f>Final!Y57</f>
        <v/>
      </c>
      <c r="Z100" s="597">
        <f>Final!Z57</f>
        <v/>
      </c>
      <c r="AA100" s="597">
        <f>Final!AA57</f>
        <v/>
      </c>
      <c r="AB100" s="597">
        <f>Final!AB57</f>
        <v/>
      </c>
      <c r="AC100" s="597">
        <f>Final!AC57</f>
        <v/>
      </c>
      <c r="AD100" s="597">
        <f>Final!AD57</f>
        <v/>
      </c>
      <c r="AE100" s="597">
        <f>Final!AE57</f>
        <v/>
      </c>
      <c r="AF100" s="597">
        <f>Final!AF57</f>
        <v/>
      </c>
      <c r="AG100" s="597">
        <f>Final!AG57</f>
        <v/>
      </c>
      <c r="AH100" s="597">
        <f>Final!AH57</f>
        <v/>
      </c>
      <c r="AI100" s="597">
        <f>Final!AI57</f>
        <v/>
      </c>
      <c r="AJ100" s="597">
        <f>Final!AJ57</f>
        <v/>
      </c>
      <c r="AK100" s="597">
        <f>Final!AK57</f>
        <v/>
      </c>
      <c r="AL100" s="597">
        <f>Final!AL57</f>
        <v/>
      </c>
      <c r="AM100" s="597">
        <f>Final!AM57</f>
        <v/>
      </c>
      <c r="AN100" s="597">
        <f>Final!AN57</f>
        <v/>
      </c>
    </row>
    <row r="101">
      <c r="A101" s="109" t="inlineStr">
        <is>
          <t>Net debt</t>
        </is>
      </c>
      <c r="B101" s="605">
        <f>B93-B100</f>
        <v/>
      </c>
      <c r="C101" s="605">
        <f>C93-C100</f>
        <v/>
      </c>
      <c r="D101" s="605">
        <f>D93-D100</f>
        <v/>
      </c>
      <c r="E101" s="605">
        <f>E93-E100</f>
        <v/>
      </c>
      <c r="F101" s="605">
        <f>F93-F100</f>
        <v/>
      </c>
      <c r="G101" s="605">
        <f>G93-G100</f>
        <v/>
      </c>
      <c r="H101" s="605">
        <f>H93-H100</f>
        <v/>
      </c>
      <c r="I101" s="605">
        <f>I93-I100</f>
        <v/>
      </c>
      <c r="J101" s="605">
        <f>J93-J100</f>
        <v/>
      </c>
      <c r="K101" s="605">
        <f>K93-K100</f>
        <v/>
      </c>
      <c r="L101" s="605">
        <f>L93-L100</f>
        <v/>
      </c>
      <c r="M101" s="605">
        <f>M93-M100</f>
        <v/>
      </c>
      <c r="N101" s="605">
        <f>N93-N100</f>
        <v/>
      </c>
      <c r="O101" s="605">
        <f>O93-O100</f>
        <v/>
      </c>
      <c r="P101" s="605">
        <f>P93-P100</f>
        <v/>
      </c>
      <c r="Q101" s="605">
        <f>Q93-Q100</f>
        <v/>
      </c>
      <c r="R101" s="605">
        <f>R93-R100</f>
        <v/>
      </c>
      <c r="S101" s="605">
        <f>S93-S100</f>
        <v/>
      </c>
      <c r="T101" s="605">
        <f>T93-T100</f>
        <v/>
      </c>
      <c r="U101" s="605">
        <f>U93-U100</f>
        <v/>
      </c>
      <c r="V101" s="605">
        <f>V93-V100</f>
        <v/>
      </c>
      <c r="W101" s="605">
        <f>W93-W100</f>
        <v/>
      </c>
      <c r="X101" s="605">
        <f>X93-X100</f>
        <v/>
      </c>
      <c r="Y101" s="605">
        <f>Y93-Y100</f>
        <v/>
      </c>
      <c r="Z101" s="605">
        <f>Z93-Z100</f>
        <v/>
      </c>
      <c r="AA101" s="605">
        <f>AA93-AA100</f>
        <v/>
      </c>
      <c r="AB101" s="605">
        <f>AB93-AB100</f>
        <v/>
      </c>
      <c r="AC101" s="605">
        <f>AC93-AC100</f>
        <v/>
      </c>
      <c r="AD101" s="605">
        <f>AD93-AD100</f>
        <v/>
      </c>
      <c r="AE101" s="605">
        <f>AE93-AE100</f>
        <v/>
      </c>
      <c r="AF101" s="605">
        <f>AF93-AF100</f>
        <v/>
      </c>
      <c r="AG101" s="605">
        <f>AG93-AG100</f>
        <v/>
      </c>
      <c r="AH101" s="605">
        <f>AH93-AH100</f>
        <v/>
      </c>
      <c r="AI101" s="605">
        <f>AI93-AI100</f>
        <v/>
      </c>
      <c r="AJ101" s="605">
        <f>AJ93-AJ100</f>
        <v/>
      </c>
      <c r="AK101" s="605">
        <f>AK93-AK100</f>
        <v/>
      </c>
      <c r="AL101" s="605">
        <f>AL93-AL100</f>
        <v/>
      </c>
      <c r="AM101" s="605">
        <f>AM93-AM100</f>
        <v/>
      </c>
      <c r="AN101" s="605">
        <f>AN93-AN100</f>
        <v/>
      </c>
      <c r="AP101" s="526" t="inlineStr">
        <is>
          <t>Total</t>
        </is>
      </c>
      <c r="AS101" s="526">
        <f>AS88+AS93+AS98</f>
        <v/>
      </c>
    </row>
    <row r="102">
      <c r="AC102" s="526" t="n"/>
    </row>
    <row r="103">
      <c r="A103" s="43" t="inlineStr">
        <is>
          <t>Interest expense</t>
        </is>
      </c>
      <c r="B103" s="526" t="n">
        <v>-67</v>
      </c>
      <c r="C103" s="526" t="n">
        <v>-70</v>
      </c>
      <c r="D103" s="526" t="n">
        <v>-116</v>
      </c>
      <c r="E103" s="526" t="n">
        <v>-160</v>
      </c>
      <c r="F103" s="526" t="n">
        <v>-136</v>
      </c>
      <c r="G103" s="526" t="n">
        <v>-137</v>
      </c>
      <c r="H103" s="526" t="n">
        <v>-186</v>
      </c>
      <c r="I103" s="526" t="n">
        <v>-247</v>
      </c>
      <c r="J103" s="526" t="n">
        <v>-204</v>
      </c>
      <c r="K103" s="526" t="n">
        <v>-187</v>
      </c>
      <c r="L103" s="526" t="n">
        <v>-189</v>
      </c>
      <c r="M103" s="526" t="n">
        <v>-688</v>
      </c>
      <c r="N103" s="526" t="n">
        <v>-1046</v>
      </c>
      <c r="O103" s="526" t="n">
        <v>-1613</v>
      </c>
      <c r="P103" s="526" t="n">
        <v>-4762</v>
      </c>
      <c r="Q103" s="526" t="n">
        <v>-5041</v>
      </c>
      <c r="R103" s="526" t="n">
        <v>-4245</v>
      </c>
      <c r="S103" s="526" t="n">
        <v>-3477</v>
      </c>
      <c r="T103" s="526" t="n">
        <v>-4212</v>
      </c>
      <c r="U103" s="526" t="n">
        <v>-6005</v>
      </c>
      <c r="V103" s="526" t="n">
        <v>-6423</v>
      </c>
      <c r="W103" s="526" t="n">
        <v>-6522</v>
      </c>
      <c r="X103" s="526" t="n">
        <v>-4180</v>
      </c>
      <c r="Y103" s="526" t="n">
        <v>-4106</v>
      </c>
      <c r="Z103" s="526" t="n">
        <v>-2261</v>
      </c>
      <c r="AA103" s="526" t="n">
        <v>-2180</v>
      </c>
      <c r="AB103" s="526" t="n">
        <v>-2049</v>
      </c>
      <c r="AC103" s="526" t="n">
        <v>-1983</v>
      </c>
      <c r="AD103" s="526" t="n">
        <v>-1873</v>
      </c>
      <c r="AE103" s="526" t="n">
        <v>-1744</v>
      </c>
      <c r="AF103" s="526" t="n">
        <v>-2085</v>
      </c>
      <c r="AG103" s="526" t="n">
        <v>-2139</v>
      </c>
      <c r="AH103" s="526" t="n">
        <v>-2254</v>
      </c>
      <c r="AI103" s="564">
        <f>AI106-AI104</f>
        <v/>
      </c>
      <c r="AJ103" s="564">
        <f>AJ106-AJ104</f>
        <v/>
      </c>
      <c r="AK103" s="564">
        <f>AK106-AK104</f>
        <v/>
      </c>
      <c r="AL103" s="564">
        <f>AL106-AL104</f>
        <v/>
      </c>
      <c r="AM103" s="564">
        <f>AM106-AM104</f>
        <v/>
      </c>
      <c r="AN103" s="564">
        <f>AN106-AN104</f>
        <v/>
      </c>
    </row>
    <row r="104">
      <c r="A104" s="43" t="inlineStr">
        <is>
          <t>Interest income</t>
        </is>
      </c>
      <c r="B104" s="526" t="n">
        <v>0</v>
      </c>
      <c r="C104" s="526" t="n">
        <v>22</v>
      </c>
      <c r="D104" s="526" t="n">
        <v>100</v>
      </c>
      <c r="E104" s="526" t="n">
        <v>112</v>
      </c>
      <c r="F104" s="526" t="n">
        <v>86</v>
      </c>
      <c r="G104" s="526" t="n">
        <v>702</v>
      </c>
      <c r="H104" s="526" t="n">
        <v>1159</v>
      </c>
      <c r="I104" s="526" t="n">
        <v>859</v>
      </c>
      <c r="J104" s="526" t="n">
        <v>110</v>
      </c>
      <c r="K104" s="526" t="n">
        <v>29</v>
      </c>
      <c r="L104" s="526" t="n">
        <v>33</v>
      </c>
      <c r="M104" s="526" t="n">
        <v>47.77930728241563</v>
      </c>
      <c r="N104" s="526" t="n">
        <v>63</v>
      </c>
      <c r="O104" s="526" t="n">
        <v>124</v>
      </c>
      <c r="P104" s="526" t="n">
        <v>138</v>
      </c>
      <c r="Q104" s="526" t="n">
        <v>160</v>
      </c>
      <c r="R104" s="526" t="n">
        <v>124</v>
      </c>
      <c r="S104" s="526" t="n">
        <v>69</v>
      </c>
      <c r="T104" s="526" t="n">
        <v>101</v>
      </c>
      <c r="U104" s="526" t="n">
        <v>146</v>
      </c>
      <c r="V104" s="526" t="n">
        <v>322</v>
      </c>
      <c r="W104" s="526" t="n">
        <v>173</v>
      </c>
      <c r="X104" s="526" t="n">
        <v>131</v>
      </c>
      <c r="Y104" s="526" t="n">
        <v>170</v>
      </c>
      <c r="Z104" s="526" t="n">
        <v>137</v>
      </c>
      <c r="AA104" s="526" t="n">
        <v>151</v>
      </c>
      <c r="AB104" s="526" t="n">
        <v>192</v>
      </c>
      <c r="AC104" s="526" t="n">
        <v>162</v>
      </c>
      <c r="AD104" s="526" t="n">
        <v>136</v>
      </c>
      <c r="AE104" s="526" t="n">
        <v>108</v>
      </c>
      <c r="AF104" s="526" t="n">
        <v>243</v>
      </c>
      <c r="AG104" s="526" t="n">
        <v>270</v>
      </c>
      <c r="AH104" s="526" t="n">
        <v>235</v>
      </c>
      <c r="AI104" s="564">
        <f>AH100*AVERAGE(AF105:AH105)</f>
        <v/>
      </c>
      <c r="AJ104" s="564">
        <f>AI100*AVERAGE(AG105:AI105)</f>
        <v/>
      </c>
      <c r="AK104" s="564">
        <f>AJ100*AVERAGE(AH105:AJ105)</f>
        <v/>
      </c>
      <c r="AL104" s="564">
        <f>AK100*AVERAGE(AI105:AK105)</f>
        <v/>
      </c>
      <c r="AM104" s="564">
        <f>AL100*AVERAGE(AJ105:AL105)</f>
        <v/>
      </c>
      <c r="AN104" s="564">
        <f>AM100*AVERAGE(AK105:AM105)</f>
        <v/>
      </c>
    </row>
    <row r="105">
      <c r="A105" s="43" t="inlineStr">
        <is>
          <t>Interest income yield %</t>
        </is>
      </c>
      <c r="AA105" s="131" t="inlineStr">
        <is>
          <t> </t>
        </is>
      </c>
      <c r="AB105" s="131">
        <f>AB104/AVERAGE(AA100:AB100)</f>
        <v/>
      </c>
      <c r="AC105" s="131">
        <f>AC104/AC100</f>
        <v/>
      </c>
      <c r="AD105" s="131">
        <f>AD104/AD100</f>
        <v/>
      </c>
      <c r="AE105" s="131">
        <f>AE104/AE100</f>
        <v/>
      </c>
      <c r="AF105" s="131">
        <f>AF104/AF100</f>
        <v/>
      </c>
      <c r="AG105" s="131">
        <f>AG104/AG100</f>
        <v/>
      </c>
      <c r="AH105" s="131">
        <f>AH104/AH100</f>
        <v/>
      </c>
      <c r="AI105" s="131">
        <f>AI104/AI100</f>
        <v/>
      </c>
      <c r="AJ105" s="131">
        <f>AJ104/AJ100</f>
        <v/>
      </c>
      <c r="AK105" s="131">
        <f>AK104/AK100</f>
        <v/>
      </c>
      <c r="AL105" s="131">
        <f>AL104/AL100</f>
        <v/>
      </c>
      <c r="AM105" s="131">
        <f>AM104/AM100</f>
        <v/>
      </c>
      <c r="AN105" s="131">
        <f>AN104/AN100</f>
        <v/>
      </c>
    </row>
    <row r="106">
      <c r="A106" s="62" t="inlineStr">
        <is>
          <t>Net financial costs</t>
        </is>
      </c>
      <c r="B106" s="597">
        <f>Final!B21</f>
        <v/>
      </c>
      <c r="C106" s="597">
        <f>Final!C21</f>
        <v/>
      </c>
      <c r="D106" s="597">
        <f>Final!D21</f>
        <v/>
      </c>
      <c r="E106" s="597">
        <f>Final!E21</f>
        <v/>
      </c>
      <c r="F106" s="597">
        <f>Final!F21</f>
        <v/>
      </c>
      <c r="G106" s="597">
        <f>Final!G21</f>
        <v/>
      </c>
      <c r="H106" s="597">
        <f>Final!H21</f>
        <v/>
      </c>
      <c r="I106" s="597">
        <f>Final!I21</f>
        <v/>
      </c>
      <c r="J106" s="597">
        <f>Final!J21</f>
        <v/>
      </c>
      <c r="K106" s="597">
        <f>Final!K21</f>
        <v/>
      </c>
      <c r="L106" s="597">
        <f>Final!L21</f>
        <v/>
      </c>
      <c r="M106" s="597">
        <f>Final!M21</f>
        <v/>
      </c>
      <c r="N106" s="597">
        <f>Final!N21</f>
        <v/>
      </c>
      <c r="O106" s="597">
        <f>Final!O21</f>
        <v/>
      </c>
      <c r="P106" s="597">
        <f>Final!P21</f>
        <v/>
      </c>
      <c r="Q106" s="597">
        <f>Final!Q21</f>
        <v/>
      </c>
      <c r="R106" s="597">
        <f>Final!R21</f>
        <v/>
      </c>
      <c r="S106" s="597">
        <f>Final!S21</f>
        <v/>
      </c>
      <c r="T106" s="597">
        <f>Final!T21</f>
        <v/>
      </c>
      <c r="U106" s="597">
        <f>Final!U21</f>
        <v/>
      </c>
      <c r="V106" s="597">
        <f>Final!V21</f>
        <v/>
      </c>
      <c r="W106" s="597">
        <f>Final!W21</f>
        <v/>
      </c>
      <c r="X106" s="597">
        <f>Final!X21</f>
        <v/>
      </c>
      <c r="Y106" s="597">
        <f>Final!Y21</f>
        <v/>
      </c>
      <c r="Z106" s="597">
        <f>Final!Z21</f>
        <v/>
      </c>
      <c r="AA106" s="597">
        <f>Final!AA21</f>
        <v/>
      </c>
      <c r="AB106" s="597">
        <f>Final!AB21</f>
        <v/>
      </c>
      <c r="AC106" s="597">
        <f>Final!AC21</f>
        <v/>
      </c>
      <c r="AD106" s="597">
        <f>Final!AD21</f>
        <v/>
      </c>
      <c r="AE106" s="597">
        <f>Final!AE21</f>
        <v/>
      </c>
      <c r="AF106" s="597">
        <f>Final!AF21</f>
        <v/>
      </c>
      <c r="AG106" s="597">
        <f>Final!AG21</f>
        <v/>
      </c>
      <c r="AH106" s="597">
        <f>Final!AH21</f>
        <v/>
      </c>
      <c r="AI106" s="597">
        <f>SUM(AI107:AI112)</f>
        <v/>
      </c>
      <c r="AJ106" s="597">
        <f>SUM(AJ107:AJ112)</f>
        <v/>
      </c>
      <c r="AK106" s="597">
        <f>SUM(AK107:AK112)</f>
        <v/>
      </c>
      <c r="AL106" s="597">
        <f>SUM(AL107:AL112)</f>
        <v/>
      </c>
      <c r="AM106" s="597">
        <f>SUM(AM107:AM112)</f>
        <v/>
      </c>
      <c r="AN106" s="597">
        <f>SUM(AN107:AN112)</f>
        <v/>
      </c>
      <c r="AO106" s="614" t="n"/>
    </row>
    <row r="107">
      <c r="A107" s="111" t="inlineStr">
        <is>
          <t>Hong Kong</t>
        </is>
      </c>
      <c r="B107" s="526">
        <f>ROAFNA!B36</f>
        <v/>
      </c>
      <c r="C107" s="526">
        <f>ROAFNA!C36</f>
        <v/>
      </c>
      <c r="D107" s="526">
        <f>ROAFNA!D36</f>
        <v/>
      </c>
      <c r="E107" s="526">
        <f>ROAFNA!E36</f>
        <v/>
      </c>
      <c r="F107" s="526">
        <f>ROAFNA!F36</f>
        <v/>
      </c>
      <c r="G107" s="526">
        <f>ROAFNA!G36</f>
        <v/>
      </c>
      <c r="H107" s="526">
        <f>ROAFNA!H36</f>
        <v/>
      </c>
      <c r="I107" s="526">
        <f>ROAFNA!I36</f>
        <v/>
      </c>
      <c r="J107" s="526">
        <f>ROAFNA!J36</f>
        <v/>
      </c>
      <c r="K107" s="526">
        <f>ROAFNA!K36</f>
        <v/>
      </c>
      <c r="L107" s="526">
        <f>ROAFNA!L36</f>
        <v/>
      </c>
      <c r="M107" s="526">
        <f>ROAFNA!M36</f>
        <v/>
      </c>
      <c r="N107" s="526">
        <f>ROAFNA!N36</f>
        <v/>
      </c>
      <c r="O107" s="526">
        <f>ROAFNA!O36</f>
        <v/>
      </c>
      <c r="P107" s="526">
        <f>ROAFNA!P36</f>
        <v/>
      </c>
      <c r="Q107" s="526">
        <f>ROAFNA!Q36</f>
        <v/>
      </c>
      <c r="R107" s="526">
        <f>ROAFNA!R36</f>
        <v/>
      </c>
      <c r="S107" s="526">
        <f>ROAFNA!S36</f>
        <v/>
      </c>
      <c r="T107" s="526">
        <f>ROAFNA!T36</f>
        <v/>
      </c>
      <c r="U107" s="526">
        <f>ROAFNA!U36</f>
        <v/>
      </c>
      <c r="V107" s="526">
        <f>ROAFNA!V36</f>
        <v/>
      </c>
      <c r="W107" s="526">
        <f>ROAFNA!W36</f>
        <v/>
      </c>
      <c r="X107" s="526">
        <f>ROAFNA!X36</f>
        <v/>
      </c>
      <c r="Y107" s="526">
        <f>ROAFNA!Y36</f>
        <v/>
      </c>
      <c r="Z107" s="526">
        <f>ROAFNA!Z36</f>
        <v/>
      </c>
      <c r="AA107" s="526">
        <f>ROAFNA!AA36</f>
        <v/>
      </c>
      <c r="AB107" s="526">
        <f>ROAFNA!AB36</f>
        <v/>
      </c>
      <c r="AC107" s="526">
        <f>ROAFNA!AC36</f>
        <v/>
      </c>
      <c r="AD107" s="526">
        <f>ROAFNA!AD36</f>
        <v/>
      </c>
      <c r="AE107" s="526">
        <f>ROAFNA!AE36</f>
        <v/>
      </c>
      <c r="AF107" s="526">
        <f>ROAFNA!AF36</f>
        <v/>
      </c>
      <c r="AG107" s="526">
        <f>ROAFNA!AG36</f>
        <v/>
      </c>
      <c r="AH107" s="526">
        <f>ROAFNA!AH36</f>
        <v/>
      </c>
      <c r="AI107" s="526">
        <f>ROAFNA!AI36</f>
        <v/>
      </c>
      <c r="AJ107" s="526">
        <f>ROAFNA!AJ36</f>
        <v/>
      </c>
      <c r="AK107" s="526">
        <f>ROAFNA!AK36</f>
        <v/>
      </c>
      <c r="AL107" s="526">
        <f>ROAFNA!AL36</f>
        <v/>
      </c>
      <c r="AM107" s="526">
        <f>ROAFNA!AM36</f>
        <v/>
      </c>
      <c r="AN107" s="526">
        <f>ROAFNA!AN36</f>
        <v/>
      </c>
      <c r="AQ107" s="1" t="n"/>
    </row>
    <row r="108">
      <c r="A108" s="111" t="inlineStr">
        <is>
          <t>Australia</t>
        </is>
      </c>
      <c r="B108" s="526">
        <f>Aus!B24</f>
        <v/>
      </c>
      <c r="C108" s="526">
        <f>Aus!C24</f>
        <v/>
      </c>
      <c r="D108" s="526">
        <f>Aus!D24</f>
        <v/>
      </c>
      <c r="E108" s="526">
        <f>Aus!E24</f>
        <v/>
      </c>
      <c r="F108" s="526">
        <f>Aus!F24</f>
        <v/>
      </c>
      <c r="G108" s="526">
        <f>Aus!G24</f>
        <v/>
      </c>
      <c r="H108" s="526">
        <f>Aus!H24</f>
        <v/>
      </c>
      <c r="I108" s="526">
        <f>Aus!I24</f>
        <v/>
      </c>
      <c r="J108" s="526">
        <f>Aus!J24</f>
        <v/>
      </c>
      <c r="K108" s="526">
        <f>Aus!K24</f>
        <v/>
      </c>
      <c r="L108" s="526">
        <f>Aus!L24</f>
        <v/>
      </c>
      <c r="M108" s="526">
        <f>Aus!M24</f>
        <v/>
      </c>
      <c r="N108" s="526">
        <f>Aus!N24</f>
        <v/>
      </c>
      <c r="O108" s="526">
        <f>Aus!O24</f>
        <v/>
      </c>
      <c r="P108" s="526">
        <f>Aus!P24</f>
        <v/>
      </c>
      <c r="Q108" s="526">
        <f>Aus!Q24</f>
        <v/>
      </c>
      <c r="R108" s="526">
        <f>Aus!R24</f>
        <v/>
      </c>
      <c r="S108" s="526">
        <f>Aus!S24</f>
        <v/>
      </c>
      <c r="T108" s="526">
        <f>Aus!T24</f>
        <v/>
      </c>
      <c r="U108" s="526">
        <f>Aus!U24</f>
        <v/>
      </c>
      <c r="V108" s="526">
        <f>Aus!V24</f>
        <v/>
      </c>
      <c r="W108" s="526">
        <f>Aus!W24</f>
        <v/>
      </c>
      <c r="X108" s="526">
        <f>Aus!X24</f>
        <v/>
      </c>
      <c r="Y108" s="526">
        <f>Aus!Y24</f>
        <v/>
      </c>
      <c r="Z108" s="526">
        <f>Aus!Z24</f>
        <v/>
      </c>
      <c r="AA108" s="526">
        <f>Aus!AA24</f>
        <v/>
      </c>
      <c r="AB108" s="526">
        <f>Aus!AB24</f>
        <v/>
      </c>
      <c r="AC108" s="526">
        <f>Aus!AC24</f>
        <v/>
      </c>
      <c r="AD108" s="526">
        <f>Aus!AD24</f>
        <v/>
      </c>
      <c r="AE108" s="526">
        <f>Aus!AE24</f>
        <v/>
      </c>
      <c r="AF108" s="526">
        <f>Aus!AF24</f>
        <v/>
      </c>
      <c r="AG108" s="526">
        <f>Aus!AG24</f>
        <v/>
      </c>
      <c r="AH108" s="526">
        <f>Aus!AH24</f>
        <v/>
      </c>
      <c r="AI108" s="526">
        <f>Aus!AI24</f>
        <v/>
      </c>
      <c r="AJ108" s="526">
        <f>Aus!AJ24</f>
        <v/>
      </c>
      <c r="AK108" s="526">
        <f>Aus!AK24</f>
        <v/>
      </c>
      <c r="AL108" s="526">
        <f>Aus!AL24</f>
        <v/>
      </c>
      <c r="AM108" s="526">
        <f>Aus!AM24</f>
        <v/>
      </c>
      <c r="AN108" s="526">
        <f>Aus!AN24</f>
        <v/>
      </c>
    </row>
    <row r="109">
      <c r="A109" s="111" t="inlineStr">
        <is>
          <t>China</t>
        </is>
      </c>
      <c r="B109" s="526">
        <f>CN!B14</f>
        <v/>
      </c>
      <c r="C109" s="526">
        <f>CN!C14</f>
        <v/>
      </c>
      <c r="D109" s="526">
        <f>CN!D14</f>
        <v/>
      </c>
      <c r="E109" s="526">
        <f>CN!E14</f>
        <v/>
      </c>
      <c r="F109" s="526">
        <f>CN!F14</f>
        <v/>
      </c>
      <c r="G109" s="526">
        <f>CN!G14</f>
        <v/>
      </c>
      <c r="H109" s="526">
        <f>CN!H14</f>
        <v/>
      </c>
      <c r="I109" s="526">
        <f>CN!I14</f>
        <v/>
      </c>
      <c r="J109" s="526">
        <f>CN!J14</f>
        <v/>
      </c>
      <c r="K109" s="526">
        <f>CN!K14</f>
        <v/>
      </c>
      <c r="L109" s="526">
        <f>CN!L14</f>
        <v/>
      </c>
      <c r="M109" s="526">
        <f>CN!M14</f>
        <v/>
      </c>
      <c r="N109" s="526">
        <f>CN!N14</f>
        <v/>
      </c>
      <c r="O109" s="526">
        <f>CN!O14</f>
        <v/>
      </c>
      <c r="P109" s="526">
        <f>CN!P14</f>
        <v/>
      </c>
      <c r="Q109" s="526">
        <f>CN!Q14</f>
        <v/>
      </c>
      <c r="R109" s="526">
        <f>CN!R14</f>
        <v/>
      </c>
      <c r="S109" s="526">
        <f>CN!S14</f>
        <v/>
      </c>
      <c r="T109" s="526">
        <f>CN!T14</f>
        <v/>
      </c>
      <c r="U109" s="526">
        <f>CN!U14</f>
        <v/>
      </c>
      <c r="V109" s="526">
        <f>CN!V14</f>
        <v/>
      </c>
      <c r="W109" s="526">
        <f>CN!W14</f>
        <v/>
      </c>
      <c r="X109" s="526">
        <f>CN!X14</f>
        <v/>
      </c>
      <c r="Y109" s="526">
        <f>CN!Y14</f>
        <v/>
      </c>
      <c r="Z109" s="526">
        <f>CN!Z14</f>
        <v/>
      </c>
      <c r="AA109" s="526">
        <f>CN!AA14</f>
        <v/>
      </c>
      <c r="AB109" s="526">
        <f>CN!AB14</f>
        <v/>
      </c>
      <c r="AC109" s="526">
        <f>CN!AC14</f>
        <v/>
      </c>
      <c r="AD109" s="526">
        <f>CN!AD14</f>
        <v/>
      </c>
      <c r="AE109" s="526">
        <f>CN!AE14</f>
        <v/>
      </c>
      <c r="AF109" s="526">
        <f>CN!AF14</f>
        <v/>
      </c>
      <c r="AG109" s="526">
        <f>CN!AG14</f>
        <v/>
      </c>
      <c r="AH109" s="526">
        <f>CN!AH14</f>
        <v/>
      </c>
      <c r="AI109" s="526">
        <f>CN!AI14</f>
        <v/>
      </c>
      <c r="AJ109" s="526">
        <f>CN!AJ14</f>
        <v/>
      </c>
      <c r="AK109" s="526">
        <f>CN!AK14</f>
        <v/>
      </c>
      <c r="AL109" s="526">
        <f>CN!AL14</f>
        <v/>
      </c>
      <c r="AM109" s="526">
        <f>CN!AM14</f>
        <v/>
      </c>
      <c r="AN109" s="526">
        <f>CN!AN14</f>
        <v/>
      </c>
    </row>
    <row r="110">
      <c r="A110" s="111" t="inlineStr">
        <is>
          <t>India</t>
        </is>
      </c>
      <c r="B110" s="526">
        <f>India!B15</f>
        <v/>
      </c>
      <c r="C110" s="526">
        <f>India!C15</f>
        <v/>
      </c>
      <c r="D110" s="526">
        <f>India!D15</f>
        <v/>
      </c>
      <c r="E110" s="526">
        <f>India!E15</f>
        <v/>
      </c>
      <c r="F110" s="526">
        <f>India!F15</f>
        <v/>
      </c>
      <c r="G110" s="526">
        <f>India!G15</f>
        <v/>
      </c>
      <c r="H110" s="526">
        <f>India!H15</f>
        <v/>
      </c>
      <c r="I110" s="526">
        <f>India!I15</f>
        <v/>
      </c>
      <c r="J110" s="526">
        <f>India!J15</f>
        <v/>
      </c>
      <c r="K110" s="526">
        <f>India!K15</f>
        <v/>
      </c>
      <c r="L110" s="526">
        <f>India!L15</f>
        <v/>
      </c>
      <c r="M110" s="526">
        <f>India!M15</f>
        <v/>
      </c>
      <c r="N110" s="526">
        <f>India!N15</f>
        <v/>
      </c>
      <c r="O110" s="526">
        <f>India!O15</f>
        <v/>
      </c>
      <c r="P110" s="526">
        <f>India!P15</f>
        <v/>
      </c>
      <c r="Q110" s="526">
        <f>India!Q15</f>
        <v/>
      </c>
      <c r="R110" s="526">
        <f>India!R15</f>
        <v/>
      </c>
      <c r="S110" s="526">
        <f>India!S15</f>
        <v/>
      </c>
      <c r="T110" s="526">
        <f>India!T15</f>
        <v/>
      </c>
      <c r="U110" s="526">
        <f>India!U15</f>
        <v/>
      </c>
      <c r="V110" s="526">
        <f>India!V15</f>
        <v/>
      </c>
      <c r="W110" s="526">
        <f>India!W15</f>
        <v/>
      </c>
      <c r="X110" s="526">
        <f>India!X15</f>
        <v/>
      </c>
      <c r="Y110" s="526">
        <f>India!Y15</f>
        <v/>
      </c>
      <c r="Z110" s="526">
        <f>India!Z15</f>
        <v/>
      </c>
      <c r="AA110" s="526">
        <f>India!AA15</f>
        <v/>
      </c>
      <c r="AB110" s="526">
        <f>India!AB15</f>
        <v/>
      </c>
      <c r="AC110" s="526">
        <f>India!AC15</f>
        <v/>
      </c>
      <c r="AD110" s="526">
        <f>India!AD15</f>
        <v/>
      </c>
      <c r="AE110" s="526">
        <f>India!AE15</f>
        <v/>
      </c>
      <c r="AF110" s="526">
        <f>India!AF15</f>
        <v/>
      </c>
      <c r="AG110" s="526">
        <f>India!AG15</f>
        <v/>
      </c>
      <c r="AH110" s="526">
        <f>India!AH15</f>
        <v/>
      </c>
      <c r="AI110" s="526">
        <f>India!AI15</f>
        <v/>
      </c>
      <c r="AJ110" s="526">
        <f>India!AJ15</f>
        <v/>
      </c>
      <c r="AK110" s="526">
        <f>India!AK15</f>
        <v/>
      </c>
      <c r="AL110" s="526">
        <f>India!AL15</f>
        <v/>
      </c>
      <c r="AM110" s="526">
        <f>India!AM15</f>
        <v/>
      </c>
      <c r="AN110" s="526">
        <f>India!AN15</f>
        <v/>
      </c>
    </row>
    <row r="111">
      <c r="A111" s="111" t="inlineStr">
        <is>
          <t>SEA and Taiwan</t>
        </is>
      </c>
      <c r="B111" s="526">
        <f>SEA!B15</f>
        <v/>
      </c>
      <c r="C111" s="526">
        <f>SEA!C15</f>
        <v/>
      </c>
      <c r="D111" s="526">
        <f>SEA!D15</f>
        <v/>
      </c>
      <c r="E111" s="526">
        <f>SEA!E15</f>
        <v/>
      </c>
      <c r="F111" s="526">
        <f>SEA!F15</f>
        <v/>
      </c>
      <c r="G111" s="526">
        <f>SEA!G15</f>
        <v/>
      </c>
      <c r="H111" s="526">
        <f>SEA!H15</f>
        <v/>
      </c>
      <c r="I111" s="526">
        <f>SEA!I15</f>
        <v/>
      </c>
      <c r="J111" s="526">
        <f>SEA!J15</f>
        <v/>
      </c>
      <c r="K111" s="526">
        <f>SEA!K15</f>
        <v/>
      </c>
      <c r="L111" s="526">
        <f>SEA!L15</f>
        <v/>
      </c>
      <c r="M111" s="526">
        <f>SEA!M15</f>
        <v/>
      </c>
      <c r="N111" s="526">
        <f>SEA!N15</f>
        <v/>
      </c>
      <c r="O111" s="526">
        <f>SEA!O15</f>
        <v/>
      </c>
      <c r="P111" s="526">
        <f>SEA!P15</f>
        <v/>
      </c>
      <c r="Q111" s="526">
        <f>SEA!Q15</f>
        <v/>
      </c>
      <c r="R111" s="526">
        <f>SEA!R15</f>
        <v/>
      </c>
      <c r="S111" s="526">
        <f>SEA!S15</f>
        <v/>
      </c>
      <c r="T111" s="526">
        <f>SEA!T15</f>
        <v/>
      </c>
      <c r="U111" s="526">
        <f>SEA!U15</f>
        <v/>
      </c>
      <c r="V111" s="526">
        <f>SEA!V15</f>
        <v/>
      </c>
      <c r="W111" s="526">
        <f>SEA!W15</f>
        <v/>
      </c>
      <c r="X111" s="526">
        <f>SEA!X15</f>
        <v/>
      </c>
      <c r="Y111" s="526">
        <f>SEA!Y15</f>
        <v/>
      </c>
      <c r="Z111" s="526">
        <f>SEA!Z15</f>
        <v/>
      </c>
      <c r="AA111" s="526">
        <f>SEA!AA15</f>
        <v/>
      </c>
      <c r="AB111" s="526">
        <f>SEA!AB15</f>
        <v/>
      </c>
      <c r="AC111" s="526">
        <f>SEA!AC15</f>
        <v/>
      </c>
      <c r="AD111" s="526">
        <f>SEA!AD15</f>
        <v/>
      </c>
      <c r="AE111" s="526">
        <f>SEA!AE15</f>
        <v/>
      </c>
      <c r="AF111" s="526">
        <f>SEA!AF15</f>
        <v/>
      </c>
      <c r="AG111" s="526">
        <f>SEA!AG15</f>
        <v/>
      </c>
      <c r="AH111" s="526">
        <f>SEA!AH15</f>
        <v/>
      </c>
      <c r="AI111" s="526">
        <f>SEA!AI15</f>
        <v/>
      </c>
      <c r="AJ111" s="526">
        <f>SEA!AJ15</f>
        <v/>
      </c>
      <c r="AK111" s="526">
        <f>SEA!AK15</f>
        <v/>
      </c>
      <c r="AL111" s="526">
        <f>SEA!AL15</f>
        <v/>
      </c>
      <c r="AM111" s="526">
        <f>SEA!AM15</f>
        <v/>
      </c>
      <c r="AN111" s="526">
        <f>SEA!AN15</f>
        <v/>
      </c>
    </row>
    <row r="112">
      <c r="A112" s="111" t="inlineStr">
        <is>
          <t>Others</t>
        </is>
      </c>
      <c r="B112" s="526">
        <f>B106-SUM(B107:B111)</f>
        <v/>
      </c>
      <c r="C112" s="526">
        <f>C106-SUM(C107:C111)</f>
        <v/>
      </c>
      <c r="D112" s="526">
        <f>D106-SUM(D107:D111)</f>
        <v/>
      </c>
      <c r="E112" s="526">
        <f>E106-SUM(E107:E111)</f>
        <v/>
      </c>
      <c r="F112" s="526">
        <f>F106-SUM(F107:F111)</f>
        <v/>
      </c>
      <c r="G112" s="526">
        <f>G106-SUM(G107:G111)</f>
        <v/>
      </c>
      <c r="H112" s="526">
        <f>H106-SUM(H107:H111)</f>
        <v/>
      </c>
      <c r="I112" s="526">
        <f>I106-SUM(I107:I111)</f>
        <v/>
      </c>
      <c r="J112" s="526">
        <f>J106-SUM(J107:J111)</f>
        <v/>
      </c>
      <c r="K112" s="526">
        <f>K106-SUM(K107:K111)</f>
        <v/>
      </c>
      <c r="L112" s="526">
        <f>L106-SUM(L107:L111)</f>
        <v/>
      </c>
      <c r="M112" s="526">
        <f>M106-SUM(M107:M111)</f>
        <v/>
      </c>
      <c r="N112" s="526">
        <f>N106-SUM(N107:N111)</f>
        <v/>
      </c>
      <c r="O112" s="526">
        <f>O106-SUM(O107:O111)</f>
        <v/>
      </c>
      <c r="P112" s="526">
        <f>P106-SUM(P107:P111)</f>
        <v/>
      </c>
      <c r="Q112" s="526">
        <f>Q106-SUM(Q107:Q111)</f>
        <v/>
      </c>
      <c r="R112" s="526">
        <f>R106-SUM(R107:R111)</f>
        <v/>
      </c>
      <c r="S112" s="526">
        <f>S106-SUM(S107:S111)</f>
        <v/>
      </c>
      <c r="T112" s="526">
        <f>T106-SUM(T107:T111)</f>
        <v/>
      </c>
      <c r="U112" s="526">
        <f>U106-SUM(U107:U111)</f>
        <v/>
      </c>
      <c r="V112" s="526">
        <f>V106-SUM(V107:V111)</f>
        <v/>
      </c>
      <c r="W112" s="526">
        <f>W106-SUM(W107:W111)</f>
        <v/>
      </c>
      <c r="X112" s="526">
        <f>X106-SUM(X107:X111)</f>
        <v/>
      </c>
      <c r="Y112" s="526">
        <f>Y106-SUM(Y107:Y111)</f>
        <v/>
      </c>
      <c r="Z112" s="526">
        <f>Z106-SUM(Z107:Z111)</f>
        <v/>
      </c>
      <c r="AA112" s="526">
        <f>AA106-SUM(AA107:AA111)</f>
        <v/>
      </c>
      <c r="AB112" s="526">
        <f>AB106-SUM(AB107:AB111)</f>
        <v/>
      </c>
      <c r="AC112" s="526">
        <f>AC106-SUM(AC107:AC111)</f>
        <v/>
      </c>
      <c r="AD112" s="526">
        <f>AD106-SUM(AD107:AD111)</f>
        <v/>
      </c>
      <c r="AE112" s="526">
        <f>AE106-SUM(AE107:AE111)</f>
        <v/>
      </c>
      <c r="AF112" s="526">
        <f>AF106-SUM(AF107:AF111)</f>
        <v/>
      </c>
      <c r="AG112" s="526">
        <f>AG106-SUM(AG107:AG111)</f>
        <v/>
      </c>
      <c r="AH112" s="526">
        <f>AH106-SUM(AH107:AH111)</f>
        <v/>
      </c>
      <c r="AI112" s="564">
        <f>AH112</f>
        <v/>
      </c>
      <c r="AJ112" s="564">
        <f>AI112</f>
        <v/>
      </c>
      <c r="AK112" s="564">
        <f>AJ112</f>
        <v/>
      </c>
      <c r="AL112" s="564">
        <f>AK112</f>
        <v/>
      </c>
      <c r="AM112" s="564">
        <f>AL112</f>
        <v/>
      </c>
      <c r="AN112" s="564">
        <f>AM112</f>
        <v/>
      </c>
    </row>
    <row r="114">
      <c r="A114" s="6" t="inlineStr">
        <is>
          <t>JCEs</t>
        </is>
      </c>
      <c r="B114" s="594" t="n"/>
      <c r="C114" s="594" t="n"/>
      <c r="D114" s="594" t="n"/>
      <c r="E114" s="594" t="n"/>
      <c r="F114" s="594" t="n"/>
      <c r="G114" s="594" t="n"/>
      <c r="H114" s="594" t="n"/>
      <c r="I114" s="594" t="n"/>
      <c r="J114" s="594" t="n"/>
      <c r="K114" s="594" t="n"/>
      <c r="L114" s="594" t="n"/>
      <c r="M114" s="594" t="n"/>
      <c r="N114" s="594" t="n"/>
      <c r="O114" s="594" t="n"/>
      <c r="P114" s="594" t="n"/>
      <c r="Q114" s="594" t="n"/>
      <c r="R114" s="594" t="n"/>
      <c r="S114" s="594" t="n"/>
      <c r="T114" s="594" t="n"/>
      <c r="U114" s="594" t="n"/>
      <c r="V114" s="594" t="n"/>
      <c r="W114" s="594" t="n"/>
      <c r="X114" s="594" t="n"/>
      <c r="Y114" s="594" t="n"/>
      <c r="Z114" s="594" t="n"/>
      <c r="AA114" s="594" t="n"/>
      <c r="AB114" s="594" t="n"/>
      <c r="AC114" s="594" t="n"/>
      <c r="AD114" s="594" t="n"/>
      <c r="AE114" s="594" t="n"/>
      <c r="AF114" s="594" t="n"/>
      <c r="AG114" s="594" t="n"/>
      <c r="AH114" s="594" t="n"/>
      <c r="AI114" s="594" t="n"/>
      <c r="AJ114" s="594" t="n"/>
      <c r="AK114" s="594" t="n"/>
      <c r="AL114" s="594" t="n"/>
      <c r="AM114" s="594" t="n"/>
      <c r="AN114" s="594" t="n"/>
    </row>
    <row r="115" customFormat="1" s="526">
      <c r="A115" s="62" t="inlineStr">
        <is>
          <t>Joint Ventures</t>
        </is>
      </c>
    </row>
    <row r="116">
      <c r="A116" s="43" t="inlineStr">
        <is>
          <t>Opening balance</t>
        </is>
      </c>
      <c r="B116" s="526">
        <f>3656+778</f>
        <v/>
      </c>
      <c r="C116" s="526">
        <f>B121</f>
        <v/>
      </c>
      <c r="D116" s="526">
        <f>C121</f>
        <v/>
      </c>
      <c r="E116" s="526">
        <f>D121</f>
        <v/>
      </c>
      <c r="F116" s="526">
        <f>E121</f>
        <v/>
      </c>
      <c r="G116" s="526">
        <f>F121</f>
        <v/>
      </c>
      <c r="H116" s="526">
        <f>G121</f>
        <v/>
      </c>
      <c r="I116" s="526">
        <f>H121</f>
        <v/>
      </c>
      <c r="J116" s="526">
        <f>I121</f>
        <v/>
      </c>
      <c r="K116" s="526">
        <f>J121</f>
        <v/>
      </c>
      <c r="L116" s="526">
        <f>K121</f>
        <v/>
      </c>
      <c r="M116" s="526">
        <f>L121</f>
        <v/>
      </c>
      <c r="N116" s="526">
        <f>M121</f>
        <v/>
      </c>
      <c r="O116" s="526">
        <f>N121</f>
        <v/>
      </c>
      <c r="P116" s="526">
        <f>O121</f>
        <v/>
      </c>
      <c r="Q116" s="526">
        <f>P121</f>
        <v/>
      </c>
      <c r="R116" s="526">
        <f>Q121</f>
        <v/>
      </c>
      <c r="S116" s="526">
        <f>R121</f>
        <v/>
      </c>
      <c r="T116" s="526">
        <f>S121</f>
        <v/>
      </c>
      <c r="U116" s="526">
        <f>T121</f>
        <v/>
      </c>
      <c r="V116" s="526">
        <f>U121</f>
        <v/>
      </c>
      <c r="W116" s="526">
        <f>V121</f>
        <v/>
      </c>
      <c r="X116" s="526">
        <f>W121</f>
        <v/>
      </c>
      <c r="Y116" s="526">
        <f>X121</f>
        <v/>
      </c>
      <c r="Z116" s="526">
        <f>Y121</f>
        <v/>
      </c>
      <c r="AA116" s="526">
        <f>Z121</f>
        <v/>
      </c>
      <c r="AB116" s="526">
        <f>AA121</f>
        <v/>
      </c>
      <c r="AC116" s="526">
        <f>AB121</f>
        <v/>
      </c>
      <c r="AD116" s="526">
        <f>AC121</f>
        <v/>
      </c>
      <c r="AE116" s="526">
        <f>AD121</f>
        <v/>
      </c>
      <c r="AF116" s="526">
        <f>AE121</f>
        <v/>
      </c>
      <c r="AG116" s="526">
        <f>AF121</f>
        <v/>
      </c>
      <c r="AH116" s="526">
        <f>AG121</f>
        <v/>
      </c>
      <c r="AI116" s="526">
        <f>AH121</f>
        <v/>
      </c>
      <c r="AJ116" s="526">
        <f>AI121</f>
        <v/>
      </c>
      <c r="AK116" s="526">
        <f>AJ121</f>
        <v/>
      </c>
      <c r="AL116" s="526">
        <f>AK121</f>
        <v/>
      </c>
      <c r="AM116" s="526">
        <f>AL121</f>
        <v/>
      </c>
      <c r="AN116" s="526">
        <f>AM121</f>
        <v/>
      </c>
    </row>
    <row r="117">
      <c r="A117" s="43" t="inlineStr">
        <is>
          <t>Investment/(repayment) in advance to JV</t>
        </is>
      </c>
      <c r="B117" s="526">
        <f>-Final!B125-B125</f>
        <v/>
      </c>
      <c r="C117" s="526">
        <f>-Final!C125-C125</f>
        <v/>
      </c>
      <c r="D117" s="526">
        <f>-Final!D125-D125</f>
        <v/>
      </c>
      <c r="E117" s="526">
        <f>-Final!E125-E125</f>
        <v/>
      </c>
      <c r="F117" s="526">
        <f>-Final!F125-F125</f>
        <v/>
      </c>
      <c r="G117" s="526">
        <f>-Final!G125-G125</f>
        <v/>
      </c>
      <c r="H117" s="526">
        <f>-Final!H125-H125</f>
        <v/>
      </c>
      <c r="I117" s="526">
        <f>-Final!I125-I125</f>
        <v/>
      </c>
      <c r="J117" s="526">
        <f>-Final!J125-J125</f>
        <v/>
      </c>
      <c r="K117" s="526">
        <f>-Final!K125-K125</f>
        <v/>
      </c>
      <c r="L117" s="526">
        <f>-Final!L125-L125</f>
        <v/>
      </c>
      <c r="M117" s="526">
        <f>-Final!M125-M125</f>
        <v/>
      </c>
      <c r="N117" s="526">
        <f>-Final!N125-N125</f>
        <v/>
      </c>
      <c r="O117" s="526">
        <f>-Final!O125-O125</f>
        <v/>
      </c>
      <c r="P117" s="526">
        <f>-Final!P125-P125</f>
        <v/>
      </c>
      <c r="Q117" s="526">
        <f>-Final!Q125-Q125</f>
        <v/>
      </c>
      <c r="R117" s="526">
        <f>-Final!R125-R125</f>
        <v/>
      </c>
      <c r="S117" s="526">
        <f>-Final!S125-S125</f>
        <v/>
      </c>
      <c r="T117" s="526">
        <f>-Final!T125-T125</f>
        <v/>
      </c>
      <c r="U117" s="526">
        <f>-Final!U125-U125</f>
        <v/>
      </c>
      <c r="V117" s="526">
        <f>-Final!V125-V125</f>
        <v/>
      </c>
      <c r="W117" s="526">
        <f>-Final!W125-W125</f>
        <v/>
      </c>
      <c r="X117" s="526">
        <f>-Final!X125-X125</f>
        <v/>
      </c>
      <c r="Y117" s="526">
        <f>-Final!Y125-Y125</f>
        <v/>
      </c>
      <c r="Z117" s="526">
        <f>-Final!Z125-Z125</f>
        <v/>
      </c>
      <c r="AA117" s="526">
        <f>-Final!AA125-AA125</f>
        <v/>
      </c>
      <c r="AB117" s="526">
        <f>-Final!AB125-AB125</f>
        <v/>
      </c>
      <c r="AC117" s="526">
        <f>-Final!AC125-AC125</f>
        <v/>
      </c>
      <c r="AD117" s="526">
        <f>-Final!AD125-AD125</f>
        <v/>
      </c>
      <c r="AE117" s="526">
        <f>-Final!AE125-AE125</f>
        <v/>
      </c>
      <c r="AF117" s="526">
        <f>-Final!AF125-AF125</f>
        <v/>
      </c>
      <c r="AG117" s="526">
        <f>-Final!AG125-AG125</f>
        <v/>
      </c>
      <c r="AH117" s="526">
        <f>-Final!AH125-AH125</f>
        <v/>
      </c>
      <c r="AI117" s="564">
        <f>+AH117</f>
        <v/>
      </c>
      <c r="AJ117" s="564">
        <f>+AI117</f>
        <v/>
      </c>
      <c r="AK117" s="564">
        <f>+AJ117</f>
        <v/>
      </c>
      <c r="AL117" s="564">
        <f>+AK117</f>
        <v/>
      </c>
      <c r="AM117" s="564">
        <f>+AL117</f>
        <v/>
      </c>
      <c r="AN117" s="564">
        <f>+AM117</f>
        <v/>
      </c>
    </row>
    <row r="118">
      <c r="A118" s="43" t="inlineStr">
        <is>
          <t>Earnings, post-tax</t>
        </is>
      </c>
      <c r="B118" s="526">
        <f>B38</f>
        <v/>
      </c>
      <c r="C118" s="526">
        <f>C38</f>
        <v/>
      </c>
      <c r="D118" s="526">
        <f>D38</f>
        <v/>
      </c>
      <c r="E118" s="526">
        <f>E38</f>
        <v/>
      </c>
      <c r="F118" s="526">
        <f>F38</f>
        <v/>
      </c>
      <c r="G118" s="526">
        <f>G38</f>
        <v/>
      </c>
      <c r="H118" s="526">
        <f>H38</f>
        <v/>
      </c>
      <c r="I118" s="526">
        <f>I38</f>
        <v/>
      </c>
      <c r="J118" s="526">
        <f>J38</f>
        <v/>
      </c>
      <c r="K118" s="526">
        <f>K38</f>
        <v/>
      </c>
      <c r="L118" s="526">
        <f>L38</f>
        <v/>
      </c>
      <c r="M118" s="526">
        <f>M38</f>
        <v/>
      </c>
      <c r="N118" s="526">
        <f>N38</f>
        <v/>
      </c>
      <c r="O118" s="526">
        <f>O38</f>
        <v/>
      </c>
      <c r="P118" s="526">
        <f>P38</f>
        <v/>
      </c>
      <c r="Q118" s="526">
        <f>Q38</f>
        <v/>
      </c>
      <c r="R118" s="526">
        <f>R38</f>
        <v/>
      </c>
      <c r="S118" s="526">
        <f>S38</f>
        <v/>
      </c>
      <c r="T118" s="526">
        <f>T38</f>
        <v/>
      </c>
      <c r="U118" s="526">
        <f>U38</f>
        <v/>
      </c>
      <c r="V118" s="526">
        <f>V38</f>
        <v/>
      </c>
      <c r="W118" s="526">
        <f>W38</f>
        <v/>
      </c>
      <c r="X118" s="526">
        <f>X38</f>
        <v/>
      </c>
      <c r="Y118" s="526">
        <f>Y38</f>
        <v/>
      </c>
      <c r="Z118" s="526">
        <f>Z38</f>
        <v/>
      </c>
      <c r="AA118" s="526">
        <f>AA38</f>
        <v/>
      </c>
      <c r="AB118" s="526">
        <f>AB38</f>
        <v/>
      </c>
      <c r="AC118" s="526">
        <f>AC38</f>
        <v/>
      </c>
      <c r="AD118" s="526">
        <f>AD38</f>
        <v/>
      </c>
      <c r="AE118" s="526">
        <f>AE38</f>
        <v/>
      </c>
      <c r="AF118" s="526">
        <f>AF38</f>
        <v/>
      </c>
      <c r="AG118" s="526">
        <f>AG38</f>
        <v/>
      </c>
      <c r="AH118" s="526">
        <f>AH38</f>
        <v/>
      </c>
      <c r="AI118" s="526">
        <f>AI38</f>
        <v/>
      </c>
      <c r="AJ118" s="526">
        <f>AJ38</f>
        <v/>
      </c>
      <c r="AK118" s="526">
        <f>AK38</f>
        <v/>
      </c>
      <c r="AL118" s="526">
        <f>AL38</f>
        <v/>
      </c>
      <c r="AM118" s="526">
        <f>AM38</f>
        <v/>
      </c>
      <c r="AN118" s="526">
        <f>AN38</f>
        <v/>
      </c>
    </row>
    <row r="119">
      <c r="A119" s="43" t="inlineStr">
        <is>
          <t>Dividends</t>
        </is>
      </c>
      <c r="B119" s="526" t="n">
        <v>-826</v>
      </c>
      <c r="C119" s="526" t="n">
        <v>-897</v>
      </c>
      <c r="D119" s="526" t="n">
        <v>-1286</v>
      </c>
      <c r="E119" s="526" t="n">
        <v>-1272</v>
      </c>
      <c r="F119" s="526" t="n">
        <v>-1357</v>
      </c>
      <c r="G119" s="526" t="n">
        <v>-1331</v>
      </c>
      <c r="H119" s="526" t="n">
        <v>-1546</v>
      </c>
      <c r="I119" s="526" t="n">
        <v>-1901</v>
      </c>
      <c r="J119" s="526">
        <f>-1641-1470</f>
        <v/>
      </c>
      <c r="K119" s="526">
        <f>-1868-1514</f>
        <v/>
      </c>
      <c r="L119" s="526">
        <f>-2318-1581</f>
        <v/>
      </c>
      <c r="M119" s="526">
        <f>-2970-612</f>
        <v/>
      </c>
      <c r="N119" s="526">
        <f>-2612-454</f>
        <v/>
      </c>
      <c r="O119" s="526" t="n">
        <v>-3056</v>
      </c>
      <c r="P119" s="526" t="n">
        <v>-2775</v>
      </c>
      <c r="Q119" s="526" t="n">
        <v>-3759</v>
      </c>
      <c r="R119" s="526" t="n">
        <v>-2676</v>
      </c>
      <c r="S119" s="526" t="n">
        <v>-2557</v>
      </c>
      <c r="T119" s="526" t="n">
        <v>-2594</v>
      </c>
      <c r="U119" s="526" t="n">
        <v>-1998</v>
      </c>
      <c r="V119" s="526" t="n">
        <v>-1686</v>
      </c>
      <c r="W119" s="526" t="n">
        <v>-1911</v>
      </c>
      <c r="X119" s="526" t="n">
        <v>-1105</v>
      </c>
      <c r="Y119" s="526" t="n">
        <v>-2440</v>
      </c>
      <c r="Z119" s="526" t="n">
        <v>-1035</v>
      </c>
      <c r="AA119" s="526" t="n">
        <v>-818</v>
      </c>
      <c r="AB119" s="526" t="n">
        <v>-524</v>
      </c>
      <c r="AC119" s="526" t="n">
        <v>-453</v>
      </c>
      <c r="AD119" s="526" t="n">
        <v>-578</v>
      </c>
      <c r="AE119" s="526" t="n">
        <v>-835</v>
      </c>
      <c r="AF119" s="526" t="n">
        <v>-495</v>
      </c>
      <c r="AG119" s="526" t="n">
        <v>527</v>
      </c>
      <c r="AH119" s="526" t="n">
        <v>770</v>
      </c>
      <c r="AI119" s="564">
        <f>AH119/AG118*AH118</f>
        <v/>
      </c>
      <c r="AJ119" s="564">
        <f>AI119/AH118*AI118</f>
        <v/>
      </c>
      <c r="AK119" s="564">
        <f>AJ119/AI118*AJ118</f>
        <v/>
      </c>
      <c r="AL119" s="564">
        <f>AK119/AJ118*AK118</f>
        <v/>
      </c>
      <c r="AM119" s="564">
        <f>AL119/AK118*AL118</f>
        <v/>
      </c>
      <c r="AN119" s="564">
        <f>AM119/AL118*AM118</f>
        <v/>
      </c>
    </row>
    <row r="120">
      <c r="A120" s="43" t="inlineStr">
        <is>
          <t>Adjustments</t>
        </is>
      </c>
      <c r="B120" s="526">
        <f>B121-SUM(B116:B119)</f>
        <v/>
      </c>
      <c r="C120" s="526">
        <f>C121-SUM(C116:C119)</f>
        <v/>
      </c>
      <c r="D120" s="526">
        <f>D121-SUM(D116:D119)</f>
        <v/>
      </c>
      <c r="E120" s="526">
        <f>E121-SUM(E116:E119)</f>
        <v/>
      </c>
      <c r="F120" s="526">
        <f>F121-SUM(F116:F119)</f>
        <v/>
      </c>
      <c r="G120" s="526">
        <f>G121-SUM(G116:G119)</f>
        <v/>
      </c>
      <c r="H120" s="526">
        <f>H121-SUM(H116:H119)</f>
        <v/>
      </c>
      <c r="I120" s="526">
        <f>I121-SUM(I116:I119)</f>
        <v/>
      </c>
      <c r="J120" s="526">
        <f>J121-SUM(J116:J119)</f>
        <v/>
      </c>
      <c r="K120" s="526">
        <f>K121-SUM(K116:K119)</f>
        <v/>
      </c>
      <c r="L120" s="526">
        <f>L121-SUM(L116:L119)</f>
        <v/>
      </c>
      <c r="M120" s="526">
        <f>M121-SUM(M116:M119)</f>
        <v/>
      </c>
      <c r="N120" s="526">
        <f>N121-SUM(N116:N119)</f>
        <v/>
      </c>
      <c r="O120" s="526">
        <f>O121-SUM(O116:O119)</f>
        <v/>
      </c>
      <c r="P120" s="526">
        <f>P121-SUM(P116:P119)</f>
        <v/>
      </c>
      <c r="Q120" s="526">
        <f>Q121-SUM(Q116:Q119)</f>
        <v/>
      </c>
      <c r="R120" s="526">
        <f>R121-SUM(R116:R119)</f>
        <v/>
      </c>
      <c r="S120" s="526">
        <f>S121-SUM(S116:S119)</f>
        <v/>
      </c>
      <c r="T120" s="526">
        <f>T121-SUM(T116:T119)</f>
        <v/>
      </c>
      <c r="U120" s="526">
        <f>U121-SUM(U116:U119)</f>
        <v/>
      </c>
      <c r="V120" s="526">
        <f>V121-SUM(V116:V119)</f>
        <v/>
      </c>
      <c r="W120" s="526">
        <f>W121-SUM(W116:W119)</f>
        <v/>
      </c>
      <c r="X120" s="526">
        <f>X121-SUM(X116:X119)</f>
        <v/>
      </c>
      <c r="Y120" s="526">
        <f>Y121-SUM(Y116:Y119)</f>
        <v/>
      </c>
      <c r="Z120" s="526">
        <f>Z121-SUM(Z116:Z119)</f>
        <v/>
      </c>
      <c r="AA120" s="526">
        <f>AA121-SUM(AA116:AA119)</f>
        <v/>
      </c>
      <c r="AB120" s="526">
        <f>AB121-SUM(AB116:AB119)</f>
        <v/>
      </c>
      <c r="AC120" s="526">
        <f>AC121-SUM(AC116:AC119)</f>
        <v/>
      </c>
      <c r="AD120" s="526">
        <f>AD121-SUM(AD116:AD119)</f>
        <v/>
      </c>
      <c r="AE120" s="526">
        <f>AE121-SUM(AE116:AE119)</f>
        <v/>
      </c>
      <c r="AF120" s="526">
        <f>AF121-SUM(AF116:AF119)</f>
        <v/>
      </c>
      <c r="AG120" s="526">
        <f>AG121-SUM(AG116:AG119)</f>
        <v/>
      </c>
      <c r="AH120" s="526">
        <f>AH121-SUM(AH116:AH119)</f>
        <v/>
      </c>
      <c r="AI120" s="564" t="n">
        <v>0</v>
      </c>
      <c r="AJ120" s="564" t="n">
        <v>0</v>
      </c>
      <c r="AK120" s="564" t="n">
        <v>0</v>
      </c>
      <c r="AL120" s="564" t="n">
        <v>0</v>
      </c>
      <c r="AM120" s="564" t="n">
        <v>0</v>
      </c>
      <c r="AN120" s="564" t="n">
        <v>0</v>
      </c>
    </row>
    <row r="121">
      <c r="A121" s="109" t="inlineStr">
        <is>
          <t>Closing balance</t>
        </is>
      </c>
      <c r="B121" s="605">
        <f>Final!B67</f>
        <v/>
      </c>
      <c r="C121" s="605">
        <f>Final!C67</f>
        <v/>
      </c>
      <c r="D121" s="605">
        <f>Final!D67</f>
        <v/>
      </c>
      <c r="E121" s="605">
        <f>Final!E67</f>
        <v/>
      </c>
      <c r="F121" s="605">
        <f>Final!F67</f>
        <v/>
      </c>
      <c r="G121" s="605">
        <f>Final!G67</f>
        <v/>
      </c>
      <c r="H121" s="605">
        <f>Final!H67</f>
        <v/>
      </c>
      <c r="I121" s="605">
        <f>Final!I67</f>
        <v/>
      </c>
      <c r="J121" s="605">
        <f>Final!J67</f>
        <v/>
      </c>
      <c r="K121" s="605">
        <f>Final!K67</f>
        <v/>
      </c>
      <c r="L121" s="605">
        <f>Final!L67</f>
        <v/>
      </c>
      <c r="M121" s="605">
        <f>Final!M67</f>
        <v/>
      </c>
      <c r="N121" s="605">
        <f>Final!N67</f>
        <v/>
      </c>
      <c r="O121" s="605">
        <f>Final!O67</f>
        <v/>
      </c>
      <c r="P121" s="605">
        <f>Final!P67</f>
        <v/>
      </c>
      <c r="Q121" s="605">
        <f>Final!Q67</f>
        <v/>
      </c>
      <c r="R121" s="605">
        <f>Final!R67</f>
        <v/>
      </c>
      <c r="S121" s="605">
        <f>Final!S67</f>
        <v/>
      </c>
      <c r="T121" s="605">
        <f>Final!T67</f>
        <v/>
      </c>
      <c r="U121" s="605">
        <f>Final!U67</f>
        <v/>
      </c>
      <c r="V121" s="605">
        <f>Final!V67</f>
        <v/>
      </c>
      <c r="W121" s="605">
        <f>Final!W67</f>
        <v/>
      </c>
      <c r="X121" s="605">
        <f>Final!X67</f>
        <v/>
      </c>
      <c r="Y121" s="605">
        <f>Final!Y67</f>
        <v/>
      </c>
      <c r="Z121" s="605">
        <f>Final!Z67</f>
        <v/>
      </c>
      <c r="AA121" s="605">
        <f>Final!AA67</f>
        <v/>
      </c>
      <c r="AB121" s="605">
        <f>Final!AB67</f>
        <v/>
      </c>
      <c r="AC121" s="605">
        <f>Final!AC67</f>
        <v/>
      </c>
      <c r="AD121" s="605">
        <f>Final!AD67</f>
        <v/>
      </c>
      <c r="AE121" s="605">
        <f>Final!AE67</f>
        <v/>
      </c>
      <c r="AF121" s="605">
        <f>Final!AF67</f>
        <v/>
      </c>
      <c r="AG121" s="605">
        <f>Final!AG67</f>
        <v/>
      </c>
      <c r="AH121" s="605">
        <f>Final!AH67</f>
        <v/>
      </c>
      <c r="AI121" s="608">
        <f>SUM(AI116:AI120)</f>
        <v/>
      </c>
      <c r="AJ121" s="608">
        <f>SUM(AJ116:AJ120)</f>
        <v/>
      </c>
      <c r="AK121" s="608">
        <f>SUM(AK116:AK120)</f>
        <v/>
      </c>
      <c r="AL121" s="608">
        <f>SUM(AL116:AL120)</f>
        <v/>
      </c>
      <c r="AM121" s="608">
        <f>SUM(AM116:AM120)</f>
        <v/>
      </c>
      <c r="AN121" s="608">
        <f>SUM(AN116:AN120)</f>
        <v/>
      </c>
    </row>
    <row r="122">
      <c r="A122" s="62" t="n"/>
      <c r="B122" s="597" t="n"/>
      <c r="C122" s="597" t="n"/>
      <c r="D122" s="597" t="n"/>
      <c r="E122" s="597" t="n"/>
      <c r="F122" s="597" t="n"/>
      <c r="G122" s="597" t="n"/>
      <c r="H122" s="597" t="n"/>
      <c r="I122" s="597" t="n"/>
      <c r="J122" s="597" t="n"/>
      <c r="K122" s="597" t="n"/>
      <c r="L122" s="597" t="n"/>
      <c r="M122" s="597" t="n"/>
      <c r="N122" s="597" t="n"/>
      <c r="O122" s="597" t="n"/>
      <c r="P122" s="597" t="n"/>
      <c r="Q122" s="597" t="n"/>
      <c r="R122" s="597" t="n"/>
      <c r="S122" s="597" t="n"/>
      <c r="T122" s="597" t="n"/>
      <c r="U122" s="597" t="n"/>
      <c r="V122" s="597" t="n"/>
      <c r="W122" s="597" t="n"/>
      <c r="X122" s="597" t="n"/>
      <c r="Y122" s="597" t="n"/>
      <c r="Z122" s="597" t="n"/>
      <c r="AA122" s="597" t="n"/>
      <c r="AB122" s="597" t="n"/>
      <c r="AC122" s="597" t="n"/>
      <c r="AD122" s="597" t="n"/>
      <c r="AE122" s="597" t="n"/>
      <c r="AF122" s="597" t="n"/>
      <c r="AG122" s="597" t="n"/>
      <c r="AH122" s="597" t="n"/>
      <c r="AI122" s="597" t="n"/>
      <c r="AJ122" s="597" t="n"/>
      <c r="AK122" s="597" t="n"/>
      <c r="AL122" s="597" t="n"/>
      <c r="AM122" s="597" t="n"/>
      <c r="AN122" s="597" t="n"/>
    </row>
    <row r="123">
      <c r="A123" s="62" t="inlineStr">
        <is>
          <t>Associates</t>
        </is>
      </c>
      <c r="AC123" s="526" t="n"/>
    </row>
    <row r="124">
      <c r="A124" s="43" t="inlineStr">
        <is>
          <t>Opening balance</t>
        </is>
      </c>
      <c r="C124" s="526">
        <f>B130</f>
        <v/>
      </c>
      <c r="D124" s="526">
        <f>C130</f>
        <v/>
      </c>
      <c r="E124" s="526">
        <f>D130</f>
        <v/>
      </c>
      <c r="F124" s="526">
        <f>E130</f>
        <v/>
      </c>
      <c r="G124" s="526">
        <f>F130</f>
        <v/>
      </c>
      <c r="H124" s="526">
        <f>G130</f>
        <v/>
      </c>
      <c r="I124" s="526">
        <f>H130</f>
        <v/>
      </c>
      <c r="J124" s="526">
        <f>I130</f>
        <v/>
      </c>
      <c r="K124" s="526">
        <f>J130</f>
        <v/>
      </c>
      <c r="L124" s="526">
        <f>K130</f>
        <v/>
      </c>
      <c r="M124" s="526">
        <f>L130</f>
        <v/>
      </c>
      <c r="N124" s="526">
        <f>M130</f>
        <v/>
      </c>
      <c r="O124" s="526">
        <f>N130</f>
        <v/>
      </c>
      <c r="P124" s="526">
        <f>O130</f>
        <v/>
      </c>
      <c r="Q124" s="526">
        <f>P130</f>
        <v/>
      </c>
      <c r="R124" s="526">
        <f>Q130</f>
        <v/>
      </c>
      <c r="S124" s="526">
        <f>R130</f>
        <v/>
      </c>
      <c r="T124" s="526">
        <f>S130</f>
        <v/>
      </c>
      <c r="U124" s="526">
        <f>T130</f>
        <v/>
      </c>
      <c r="V124" s="526">
        <f>U130</f>
        <v/>
      </c>
      <c r="W124" s="526">
        <f>V130</f>
        <v/>
      </c>
      <c r="X124" s="526">
        <f>W130</f>
        <v/>
      </c>
      <c r="Y124" s="526">
        <f>X130</f>
        <v/>
      </c>
      <c r="Z124" s="526">
        <f>Y130</f>
        <v/>
      </c>
      <c r="AA124" s="526">
        <f>Z130</f>
        <v/>
      </c>
      <c r="AB124" s="526">
        <f>AA130</f>
        <v/>
      </c>
      <c r="AC124" s="526">
        <f>AB130</f>
        <v/>
      </c>
      <c r="AD124" s="526">
        <f>AC130</f>
        <v/>
      </c>
      <c r="AE124" s="526">
        <f>AD130</f>
        <v/>
      </c>
      <c r="AF124" s="526">
        <f>AE130</f>
        <v/>
      </c>
      <c r="AG124" s="526">
        <f>AF130</f>
        <v/>
      </c>
      <c r="AH124" s="526">
        <f>AG130</f>
        <v/>
      </c>
      <c r="AI124" s="526">
        <f>AH130</f>
        <v/>
      </c>
      <c r="AJ124" s="526">
        <f>AI130</f>
        <v/>
      </c>
      <c r="AK124" s="526">
        <f>AJ130</f>
        <v/>
      </c>
      <c r="AL124" s="526">
        <f>AK130</f>
        <v/>
      </c>
      <c r="AM124" s="526">
        <f>AL130</f>
        <v/>
      </c>
      <c r="AN124" s="526">
        <f>AM130</f>
        <v/>
      </c>
    </row>
    <row r="125">
      <c r="A125" s="43" t="inlineStr">
        <is>
          <t>Acquisitions</t>
        </is>
      </c>
      <c r="H125" s="526" t="n">
        <v>1882</v>
      </c>
      <c r="I125" s="526" t="n">
        <v>170</v>
      </c>
      <c r="J125" s="526" t="n">
        <v>125</v>
      </c>
      <c r="K125" s="526" t="n">
        <v>61</v>
      </c>
      <c r="L125" s="526">
        <f>1448-1316</f>
        <v/>
      </c>
      <c r="M125" s="526" t="n">
        <v>0</v>
      </c>
      <c r="O125" s="526" t="n">
        <v>5</v>
      </c>
      <c r="P125" s="526" t="n">
        <v>0</v>
      </c>
      <c r="Q125" s="526" t="n">
        <v>275</v>
      </c>
      <c r="U125" s="526" t="n">
        <v>0</v>
      </c>
      <c r="V125" s="526" t="n">
        <v>0</v>
      </c>
      <c r="W125" s="526" t="n">
        <v>0</v>
      </c>
      <c r="X125" s="526" t="n">
        <v>0</v>
      </c>
      <c r="Y125" s="526" t="n">
        <v>0</v>
      </c>
      <c r="Z125" s="526" t="n">
        <v>0</v>
      </c>
      <c r="AA125" s="526" t="n">
        <v>6343</v>
      </c>
      <c r="AB125" s="526" t="n">
        <v>0</v>
      </c>
      <c r="AC125" s="526" t="n">
        <v>0</v>
      </c>
      <c r="AD125" s="564" t="n">
        <v>0</v>
      </c>
      <c r="AE125" s="564" t="n">
        <v>0</v>
      </c>
      <c r="AF125" s="564" t="n">
        <v>0</v>
      </c>
      <c r="AG125" s="564" t="n">
        <v>0</v>
      </c>
      <c r="AH125" s="564" t="n">
        <v>0</v>
      </c>
      <c r="AI125" s="564" t="n">
        <v>0</v>
      </c>
      <c r="AJ125" s="564" t="n">
        <v>0</v>
      </c>
      <c r="AK125" s="564" t="n">
        <v>0</v>
      </c>
      <c r="AL125" s="564" t="n">
        <v>0</v>
      </c>
      <c r="AM125" s="564" t="n">
        <v>0</v>
      </c>
      <c r="AN125" s="564" t="n">
        <v>0</v>
      </c>
    </row>
    <row r="126">
      <c r="A126" s="43" t="inlineStr">
        <is>
          <t>Earnings</t>
        </is>
      </c>
      <c r="H126" s="526">
        <f>H39</f>
        <v/>
      </c>
      <c r="I126" s="526">
        <f>I39</f>
        <v/>
      </c>
      <c r="J126" s="526">
        <f>J39</f>
        <v/>
      </c>
      <c r="K126" s="526">
        <f>K39</f>
        <v/>
      </c>
      <c r="L126" s="526">
        <f>L39</f>
        <v/>
      </c>
      <c r="M126" s="526">
        <f>M39</f>
        <v/>
      </c>
      <c r="N126" s="526">
        <f>N39</f>
        <v/>
      </c>
      <c r="O126" s="526">
        <f>O39</f>
        <v/>
      </c>
      <c r="P126" s="526">
        <f>P39</f>
        <v/>
      </c>
      <c r="Q126" s="526">
        <f>Q39</f>
        <v/>
      </c>
      <c r="R126" s="526">
        <f>R39</f>
        <v/>
      </c>
      <c r="S126" s="526">
        <f>S39</f>
        <v/>
      </c>
      <c r="T126" s="526">
        <f>T39</f>
        <v/>
      </c>
      <c r="U126" s="526">
        <f>U39</f>
        <v/>
      </c>
      <c r="V126" s="526">
        <f>V39</f>
        <v/>
      </c>
      <c r="W126" s="526">
        <f>W39</f>
        <v/>
      </c>
      <c r="X126" s="526">
        <f>X39</f>
        <v/>
      </c>
      <c r="Y126" s="526">
        <f>Y39</f>
        <v/>
      </c>
      <c r="Z126" s="526">
        <f>Z39</f>
        <v/>
      </c>
      <c r="AA126" s="526">
        <f>AA39</f>
        <v/>
      </c>
      <c r="AB126" s="526">
        <f>AB39</f>
        <v/>
      </c>
      <c r="AC126" s="526">
        <f>AC39</f>
        <v/>
      </c>
      <c r="AD126" s="526">
        <f>AD39</f>
        <v/>
      </c>
      <c r="AE126" s="526">
        <f>AE39</f>
        <v/>
      </c>
      <c r="AF126" s="526">
        <f>AF39</f>
        <v/>
      </c>
      <c r="AG126" s="526">
        <f>AG39</f>
        <v/>
      </c>
      <c r="AH126" s="526">
        <f>AH39</f>
        <v/>
      </c>
      <c r="AI126" s="526">
        <f>AI39</f>
        <v/>
      </c>
      <c r="AJ126" s="526">
        <f>AJ39</f>
        <v/>
      </c>
      <c r="AK126" s="526">
        <f>AK39</f>
        <v/>
      </c>
      <c r="AL126" s="526">
        <f>AL39</f>
        <v/>
      </c>
      <c r="AM126" s="526">
        <f>AM39</f>
        <v/>
      </c>
      <c r="AN126" s="526">
        <f>AN39</f>
        <v/>
      </c>
    </row>
    <row r="127">
      <c r="A127" s="43" t="inlineStr">
        <is>
          <t>Dividends</t>
        </is>
      </c>
      <c r="K127" s="526" t="n">
        <v>-57</v>
      </c>
      <c r="L127" s="526" t="n">
        <v>-53</v>
      </c>
      <c r="M127" s="526" t="n">
        <v>-50</v>
      </c>
      <c r="N127" s="526" t="n">
        <v>-60</v>
      </c>
      <c r="O127" s="526" t="n">
        <v>-61</v>
      </c>
      <c r="P127" s="526" t="n">
        <v>0</v>
      </c>
      <c r="Q127" s="526" t="n">
        <v>0</v>
      </c>
      <c r="R127" s="526" t="n">
        <v>0</v>
      </c>
      <c r="S127" s="526" t="n">
        <v>0</v>
      </c>
      <c r="T127" s="526" t="n">
        <v>0</v>
      </c>
      <c r="U127" s="526" t="n">
        <v>-1232</v>
      </c>
      <c r="V127" s="526">
        <f>-523-61</f>
        <v/>
      </c>
      <c r="W127" s="526">
        <f>-803-24</f>
        <v/>
      </c>
      <c r="X127" s="526">
        <f>-900-64</f>
        <v/>
      </c>
      <c r="Y127" s="526">
        <f>-796-120</f>
        <v/>
      </c>
      <c r="Z127" s="526">
        <f>-889-43</f>
        <v/>
      </c>
      <c r="AA127" s="526">
        <f>-910-9</f>
        <v/>
      </c>
      <c r="AB127" s="526">
        <f>-930-13</f>
        <v/>
      </c>
      <c r="AC127" s="526">
        <f>-1653-13</f>
        <v/>
      </c>
      <c r="AD127" s="526">
        <f>-1742-13</f>
        <v/>
      </c>
      <c r="AE127" s="526">
        <f>-1721-15</f>
        <v/>
      </c>
      <c r="AF127" s="526">
        <f>-1831-14</f>
        <v/>
      </c>
      <c r="AG127" s="526">
        <f>-1830-15</f>
        <v/>
      </c>
      <c r="AH127" s="526">
        <f>-1659-15</f>
        <v/>
      </c>
      <c r="AI127" s="564">
        <f>AH127/AG126*AH126</f>
        <v/>
      </c>
      <c r="AJ127" s="564">
        <f>AI127/AH126*AI126</f>
        <v/>
      </c>
      <c r="AK127" s="564">
        <f>AJ127/AI126*AJ126</f>
        <v/>
      </c>
      <c r="AL127" s="564">
        <f>AK127/AJ126*AK126</f>
        <v/>
      </c>
      <c r="AM127" s="564">
        <f>AL127/AK126*AL126</f>
        <v/>
      </c>
      <c r="AN127" s="564">
        <f>AM127/AL126*AM126</f>
        <v/>
      </c>
    </row>
    <row r="128">
      <c r="A128" s="43" t="inlineStr">
        <is>
          <t>Goodwill amortization</t>
        </is>
      </c>
      <c r="H128" s="526" t="n">
        <v>-24</v>
      </c>
      <c r="I128" s="526" t="n">
        <v>-120</v>
      </c>
      <c r="J128" s="526">
        <f>-936+28</f>
        <v/>
      </c>
      <c r="K128" s="526" t="n">
        <v>-8</v>
      </c>
      <c r="L128" s="526">
        <f>-10</f>
        <v/>
      </c>
      <c r="M128" s="526">
        <f>M133-L133</f>
        <v/>
      </c>
      <c r="N128" s="526">
        <f>N133-M133</f>
        <v/>
      </c>
      <c r="O128" s="526">
        <f>O133-N133</f>
        <v/>
      </c>
      <c r="P128" s="526" t="n">
        <v>0</v>
      </c>
      <c r="Q128" s="526">
        <f>P128</f>
        <v/>
      </c>
      <c r="R128" s="526">
        <f>Q128</f>
        <v/>
      </c>
      <c r="S128" s="526">
        <f>R128</f>
        <v/>
      </c>
      <c r="T128" s="526" t="n">
        <v>0</v>
      </c>
      <c r="U128" s="526">
        <f>T128</f>
        <v/>
      </c>
      <c r="V128" s="526">
        <f>U128</f>
        <v/>
      </c>
      <c r="W128" s="526">
        <f>V128</f>
        <v/>
      </c>
      <c r="X128" s="526">
        <f>W128</f>
        <v/>
      </c>
      <c r="Y128" s="526">
        <f>X128</f>
        <v/>
      </c>
      <c r="Z128" s="526">
        <f>Y128</f>
        <v/>
      </c>
      <c r="AA128" s="526">
        <f>Z128</f>
        <v/>
      </c>
      <c r="AB128" s="526">
        <f>AA128</f>
        <v/>
      </c>
      <c r="AC128" s="526">
        <f>AB128</f>
        <v/>
      </c>
      <c r="AD128" s="526">
        <f>AC128</f>
        <v/>
      </c>
      <c r="AE128" s="526">
        <f>AD128</f>
        <v/>
      </c>
      <c r="AF128" s="526">
        <f>AE128</f>
        <v/>
      </c>
      <c r="AG128" s="526">
        <f>AF128</f>
        <v/>
      </c>
      <c r="AH128" s="526">
        <f>AG128</f>
        <v/>
      </c>
      <c r="AI128" s="564" t="n">
        <v>0</v>
      </c>
      <c r="AJ128" s="564" t="n">
        <v>0</v>
      </c>
      <c r="AK128" s="564" t="n">
        <v>0</v>
      </c>
      <c r="AL128" s="564" t="n">
        <v>0</v>
      </c>
      <c r="AM128" s="564" t="n">
        <v>0</v>
      </c>
      <c r="AN128" s="564" t="n">
        <v>0</v>
      </c>
    </row>
    <row r="129">
      <c r="A129" s="43" t="inlineStr">
        <is>
          <t>Adjustments</t>
        </is>
      </c>
      <c r="H129" s="526">
        <f>H130-SUM(H124:H128)</f>
        <v/>
      </c>
      <c r="I129" s="526">
        <f>I130-SUM(I124:I128)</f>
        <v/>
      </c>
      <c r="J129" s="526">
        <f>J130-SUM(J124:J128)</f>
        <v/>
      </c>
      <c r="K129" s="526">
        <f>K130-SUM(K124:K128)</f>
        <v/>
      </c>
      <c r="L129" s="526">
        <f>L130-SUM(L124:L128)</f>
        <v/>
      </c>
      <c r="M129" s="526">
        <f>M130-SUM(M124:M128)</f>
        <v/>
      </c>
      <c r="N129" s="526">
        <f>N130-SUM(N124:N128)</f>
        <v/>
      </c>
      <c r="O129" s="526">
        <f>O130-SUM(O124:O128)</f>
        <v/>
      </c>
      <c r="P129" s="526">
        <f>P130-SUM(P124:P128)</f>
        <v/>
      </c>
      <c r="Q129" s="526">
        <f>Q130-SUM(Q124:Q128)</f>
        <v/>
      </c>
      <c r="R129" s="526">
        <f>R130-SUM(R124:R128)</f>
        <v/>
      </c>
      <c r="S129" s="526">
        <f>S130-SUM(S124:S128)</f>
        <v/>
      </c>
      <c r="T129" s="526">
        <f>T130-SUM(T124:T128)</f>
        <v/>
      </c>
      <c r="U129" s="526">
        <f>U130-SUM(U124:U128)</f>
        <v/>
      </c>
      <c r="V129" s="526">
        <f>V130-SUM(V124:V128)</f>
        <v/>
      </c>
      <c r="W129" s="526">
        <f>W130-SUM(W124:W128)</f>
        <v/>
      </c>
      <c r="X129" s="526">
        <f>X130-SUM(X124:X128)</f>
        <v/>
      </c>
      <c r="Y129" s="526">
        <f>Y130-SUM(Y124:Y128)</f>
        <v/>
      </c>
      <c r="Z129" s="526">
        <f>Z130-SUM(Z124:Z128)</f>
        <v/>
      </c>
      <c r="AA129" s="526">
        <f>AA130-SUM(AA124:AA128)</f>
        <v/>
      </c>
      <c r="AB129" s="526">
        <f>AB130-SUM(AB124:AB128)</f>
        <v/>
      </c>
      <c r="AC129" s="526">
        <f>AC130-SUM(AC124:AC128)</f>
        <v/>
      </c>
      <c r="AD129" s="526">
        <f>AD130-SUM(AD124:AD128)</f>
        <v/>
      </c>
      <c r="AE129" s="526">
        <f>AE130-SUM(AE124:AE128)</f>
        <v/>
      </c>
      <c r="AF129" s="526">
        <f>AF130-SUM(AF124:AF128)</f>
        <v/>
      </c>
      <c r="AG129" s="526">
        <f>AG130-SUM(AG124:AG128)</f>
        <v/>
      </c>
      <c r="AH129" s="526">
        <f>AH130-SUM(AH124:AH128)</f>
        <v/>
      </c>
      <c r="AI129" s="564" t="n">
        <v>0</v>
      </c>
      <c r="AJ129" s="564" t="n">
        <v>0</v>
      </c>
      <c r="AK129" s="564" t="n">
        <v>0</v>
      </c>
      <c r="AL129" s="564" t="n">
        <v>0</v>
      </c>
      <c r="AM129" s="564" t="n">
        <v>0</v>
      </c>
      <c r="AN129" s="564" t="n">
        <v>0</v>
      </c>
    </row>
    <row r="130">
      <c r="A130" s="109" t="inlineStr">
        <is>
          <t>Closing balance</t>
        </is>
      </c>
      <c r="B130" s="605">
        <f>SUM(B124:B129)</f>
        <v/>
      </c>
      <c r="C130" s="605">
        <f>SUM(C124:C129)</f>
        <v/>
      </c>
      <c r="D130" s="605">
        <f>SUM(D124:D129)</f>
        <v/>
      </c>
      <c r="E130" s="605">
        <f>SUM(E124:E129)</f>
        <v/>
      </c>
      <c r="F130" s="605">
        <f>SUM(F124:F129)</f>
        <v/>
      </c>
      <c r="G130" s="605">
        <f>SUM(G124:G129)</f>
        <v/>
      </c>
      <c r="H130" s="605">
        <f>Final!H68</f>
        <v/>
      </c>
      <c r="I130" s="605">
        <f>Final!I68</f>
        <v/>
      </c>
      <c r="J130" s="605">
        <f>Final!J68</f>
        <v/>
      </c>
      <c r="K130" s="605">
        <f>Final!K68</f>
        <v/>
      </c>
      <c r="L130" s="605">
        <f>Final!L68</f>
        <v/>
      </c>
      <c r="M130" s="605">
        <f>Final!M68</f>
        <v/>
      </c>
      <c r="N130" s="605">
        <f>Final!N68</f>
        <v/>
      </c>
      <c r="O130" s="605">
        <f>Final!O68</f>
        <v/>
      </c>
      <c r="P130" s="605">
        <f>Final!P68</f>
        <v/>
      </c>
      <c r="Q130" s="605">
        <f>Final!Q68</f>
        <v/>
      </c>
      <c r="R130" s="605">
        <f>Final!R68</f>
        <v/>
      </c>
      <c r="S130" s="605">
        <f>Final!S68</f>
        <v/>
      </c>
      <c r="T130" s="605">
        <f>Final!T68</f>
        <v/>
      </c>
      <c r="U130" s="605">
        <f>Final!U68</f>
        <v/>
      </c>
      <c r="V130" s="605">
        <f>Final!V68</f>
        <v/>
      </c>
      <c r="W130" s="605">
        <f>Final!W68</f>
        <v/>
      </c>
      <c r="X130" s="605">
        <f>Final!X68</f>
        <v/>
      </c>
      <c r="Y130" s="605">
        <f>Final!Y68</f>
        <v/>
      </c>
      <c r="Z130" s="605">
        <f>Final!Z68</f>
        <v/>
      </c>
      <c r="AA130" s="605">
        <f>Final!AA68</f>
        <v/>
      </c>
      <c r="AB130" s="605">
        <f>Final!AB68</f>
        <v/>
      </c>
      <c r="AC130" s="605">
        <f>Final!AC68</f>
        <v/>
      </c>
      <c r="AD130" s="605">
        <f>Final!AD68</f>
        <v/>
      </c>
      <c r="AE130" s="605">
        <f>Final!AE68</f>
        <v/>
      </c>
      <c r="AF130" s="605">
        <f>Final!AF68</f>
        <v/>
      </c>
      <c r="AG130" s="605">
        <f>Final!AG68</f>
        <v/>
      </c>
      <c r="AH130" s="605">
        <f>Final!AH68</f>
        <v/>
      </c>
      <c r="AI130" s="608">
        <f>SUM(AI124:AI129)</f>
        <v/>
      </c>
      <c r="AJ130" s="608">
        <f>SUM(AJ124:AJ129)</f>
        <v/>
      </c>
      <c r="AK130" s="608">
        <f>SUM(AK124:AK129)</f>
        <v/>
      </c>
      <c r="AL130" s="608">
        <f>SUM(AL124:AL129)</f>
        <v/>
      </c>
      <c r="AM130" s="608">
        <f>SUM(AM124:AM129)</f>
        <v/>
      </c>
      <c r="AN130" s="608">
        <f>SUM(AN124:AN129)</f>
        <v/>
      </c>
    </row>
  </sheetData>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codeName="Sheet7" transitionEvaluation="1">
    <tabColor theme="5"/>
    <outlinePr summaryBelow="1" summaryRight="1"/>
    <pageSetUpPr fitToPage="1"/>
  </sheetPr>
  <dimension ref="A1:AX49"/>
  <sheetViews>
    <sheetView showOutlineSymbols="0" zoomScale="160" zoomScaleNormal="160" workbookViewId="0">
      <pane xSplit="18" ySplit="2" topLeftCell="AC26" activePane="bottomRight" state="frozen"/>
      <selection pane="topRight" activeCell="S1" sqref="S1"/>
      <selection pane="bottomLeft" activeCell="A3" sqref="A3"/>
      <selection pane="bottomRight" activeCell="AF55" sqref="AF55"/>
    </sheetView>
  </sheetViews>
  <sheetFormatPr baseColWidth="8" defaultColWidth="9.140625" defaultRowHeight="12.75"/>
  <cols>
    <col width="25.28515625" customWidth="1" style="43" min="1" max="1"/>
    <col hidden="1" outlineLevel="1" width="10.140625" customWidth="1" style="43" min="2" max="5"/>
    <col hidden="1" outlineLevel="1" collapsed="1" width="10.42578125" customWidth="1" style="43" min="6" max="6"/>
    <col hidden="1" outlineLevel="1" width="9.140625" customWidth="1" style="43" min="7" max="8"/>
    <col hidden="1" outlineLevel="1" width="10.28515625" customWidth="1" style="43" min="9" max="9"/>
    <col hidden="1" outlineLevel="1" width="9.140625" customWidth="1" style="43" min="10" max="10"/>
    <col hidden="1" outlineLevel="1" width="9.28515625" customWidth="1" style="43" min="11" max="12"/>
    <col hidden="1" outlineLevel="1" width="9.140625" customWidth="1" style="43" min="13" max="18"/>
    <col hidden="1" collapsed="1" width="13" customWidth="1" style="43" min="19" max="19"/>
    <col hidden="1" width="13" customWidth="1" style="43" min="20" max="27"/>
    <col hidden="1" width="7.5703125" customWidth="1" style="43" min="28" max="28"/>
    <col width="7.5703125" bestFit="1" customWidth="1" style="43" min="29" max="40"/>
    <col width="8.85546875" customWidth="1" style="43" min="41" max="41"/>
    <col width="9.140625" customWidth="1" style="43" min="42" max="16384"/>
  </cols>
  <sheetData>
    <row r="1" customFormat="1" s="526">
      <c r="A1" s="157" t="inlineStr">
        <is>
          <t>SoC Income statement</t>
        </is>
      </c>
      <c r="B1" s="553" t="n"/>
      <c r="C1" s="553" t="n"/>
      <c r="D1" s="553" t="n"/>
      <c r="E1" s="553" t="n"/>
      <c r="F1" s="553" t="n"/>
      <c r="G1" s="553" t="n"/>
      <c r="H1" s="553" t="n"/>
      <c r="I1" s="553" t="n"/>
      <c r="J1" s="553" t="n"/>
      <c r="K1" s="553" t="n"/>
      <c r="L1" s="553" t="n"/>
      <c r="M1" s="553" t="n"/>
      <c r="N1" s="553" t="n"/>
      <c r="O1" s="553" t="n"/>
      <c r="P1" s="553" t="n"/>
      <c r="Q1" s="553" t="n"/>
      <c r="R1" s="553" t="n"/>
      <c r="S1" s="553" t="n"/>
      <c r="T1" s="553" t="n"/>
      <c r="U1" s="553" t="n"/>
      <c r="V1" s="553" t="n"/>
      <c r="W1" s="553" t="n"/>
      <c r="X1" s="553" t="n"/>
      <c r="Y1" s="553" t="n"/>
      <c r="Z1" s="553" t="n"/>
      <c r="AA1" s="553" t="n"/>
      <c r="AB1" s="553" t="n"/>
      <c r="AC1" s="553" t="n"/>
      <c r="AD1" s="553" t="n"/>
      <c r="AE1" s="553" t="n"/>
      <c r="AF1" s="553" t="n"/>
      <c r="AG1" s="553" t="n"/>
      <c r="AH1" s="553" t="n"/>
      <c r="AI1" s="553" t="n"/>
      <c r="AJ1" s="553" t="n"/>
      <c r="AK1" s="553" t="n"/>
      <c r="AL1" s="553" t="n"/>
      <c r="AM1" s="553" t="n"/>
      <c r="AN1" s="553" t="n"/>
    </row>
    <row r="2">
      <c r="A2" s="175" t="n"/>
      <c r="B2" s="175" t="n">
        <v>1992</v>
      </c>
      <c r="C2" s="175" t="n">
        <v>1993</v>
      </c>
      <c r="D2" s="176" t="n">
        <v>1994</v>
      </c>
      <c r="E2" s="176" t="n">
        <v>1995</v>
      </c>
      <c r="F2" s="176" t="n">
        <v>1996</v>
      </c>
      <c r="G2" s="176" t="n">
        <v>1997</v>
      </c>
      <c r="H2" s="176" t="n">
        <v>1998</v>
      </c>
      <c r="I2" s="177" t="inlineStr">
        <is>
          <t>1999R</t>
        </is>
      </c>
      <c r="J2" s="615" t="n">
        <v>2000</v>
      </c>
      <c r="K2" s="177" t="n">
        <v>2001</v>
      </c>
      <c r="L2" s="177" t="n">
        <v>2002</v>
      </c>
      <c r="M2" s="177">
        <f>Final!M2</f>
        <v/>
      </c>
      <c r="N2" s="177">
        <f>Final!N2</f>
        <v/>
      </c>
      <c r="O2" s="177">
        <f>Final!O2</f>
        <v/>
      </c>
      <c r="P2" s="177">
        <f>Final!P2</f>
        <v/>
      </c>
      <c r="Q2" s="177">
        <f>Final!Q2</f>
        <v/>
      </c>
      <c r="R2" s="177">
        <f>Final!R2</f>
        <v/>
      </c>
      <c r="S2" s="177">
        <f>Final!S2</f>
        <v/>
      </c>
      <c r="T2" s="177">
        <f>Final!T2</f>
        <v/>
      </c>
      <c r="U2" s="177">
        <f>Final!U2</f>
        <v/>
      </c>
      <c r="V2" s="177">
        <f>Final!V2</f>
        <v/>
      </c>
      <c r="W2" s="177">
        <f>Final!W2</f>
        <v/>
      </c>
      <c r="X2" s="177">
        <f>Final!X2</f>
        <v/>
      </c>
      <c r="Y2" s="177">
        <f>Final!Y2</f>
        <v/>
      </c>
      <c r="Z2" s="177">
        <f>Final!Z2</f>
        <v/>
      </c>
      <c r="AA2" s="177">
        <f>Final!AA2</f>
        <v/>
      </c>
      <c r="AB2" s="177">
        <f>Final!AB2</f>
        <v/>
      </c>
      <c r="AC2" s="177">
        <f>Final!AC2</f>
        <v/>
      </c>
      <c r="AD2" s="177">
        <f>Final!AD2</f>
        <v/>
      </c>
      <c r="AE2" s="177">
        <f>Final!AE2</f>
        <v/>
      </c>
      <c r="AF2" s="177">
        <f>Final!AF2</f>
        <v/>
      </c>
      <c r="AG2" s="177">
        <f>Final!AG2</f>
        <v/>
      </c>
      <c r="AH2" s="177">
        <f>Final!AH2</f>
        <v/>
      </c>
      <c r="AI2" s="177">
        <f>Final!AI2</f>
        <v/>
      </c>
      <c r="AJ2" s="177">
        <f>Final!AJ2</f>
        <v/>
      </c>
      <c r="AK2" s="177">
        <f>Final!AK2</f>
        <v/>
      </c>
      <c r="AL2" s="177">
        <f>Final!AL2</f>
        <v/>
      </c>
      <c r="AM2" s="177">
        <f>Final!AM2</f>
        <v/>
      </c>
      <c r="AN2" s="177">
        <f>Final!AN2</f>
        <v/>
      </c>
      <c r="AP2" s="177" t="n"/>
      <c r="AR2" s="177" t="n"/>
      <c r="AS2" s="177" t="n"/>
      <c r="AT2" s="177" t="n"/>
      <c r="AU2" s="177" t="n"/>
      <c r="AV2" s="177" t="n"/>
      <c r="AW2" s="177" t="n"/>
      <c r="AX2" s="177" t="n"/>
    </row>
    <row r="3" customFormat="1" s="49">
      <c r="B3" s="220" t="n"/>
      <c r="C3" s="220" t="n"/>
      <c r="D3" s="220" t="n"/>
      <c r="E3" s="220" t="n"/>
      <c r="F3" s="220" t="n"/>
      <c r="G3" s="220" t="n"/>
      <c r="H3" s="220" t="n"/>
      <c r="I3" s="220" t="n"/>
      <c r="J3" s="220" t="n"/>
      <c r="K3" s="220" t="n"/>
      <c r="L3" s="220" t="n"/>
      <c r="M3" s="220" t="n"/>
      <c r="N3" s="220" t="n"/>
      <c r="O3" s="220" t="n"/>
      <c r="P3" s="220" t="n"/>
      <c r="Q3" s="220" t="n"/>
      <c r="R3" s="220" t="n"/>
      <c r="S3" s="220" t="n"/>
      <c r="T3" s="220" t="n"/>
      <c r="U3" s="220" t="n"/>
      <c r="V3" s="220" t="n"/>
      <c r="W3" s="220" t="n"/>
      <c r="X3" s="220" t="n"/>
      <c r="Y3" s="220" t="n"/>
      <c r="Z3" s="220" t="n"/>
      <c r="AA3" s="220" t="n"/>
      <c r="AB3" s="220" t="n"/>
      <c r="AC3" s="220" t="n"/>
      <c r="AD3" s="220" t="n"/>
      <c r="AE3" s="220" t="n"/>
      <c r="AF3" s="220" t="n"/>
      <c r="AG3" s="220" t="n"/>
      <c r="AH3" s="220" t="n"/>
      <c r="AI3" s="220" t="n"/>
      <c r="AJ3" s="220" t="n"/>
      <c r="AK3" s="220" t="n"/>
      <c r="AL3" s="220" t="n"/>
      <c r="AM3" s="220" t="n"/>
      <c r="AN3" s="220" t="n"/>
      <c r="AO3" s="43" t="n"/>
    </row>
    <row r="4" customFormat="1" s="616">
      <c r="A4" s="617" t="inlineStr">
        <is>
          <t>SoC revenues</t>
        </is>
      </c>
      <c r="B4" s="560" t="n">
        <v>13229</v>
      </c>
      <c r="C4" s="560" t="n">
        <v>14573</v>
      </c>
      <c r="D4" s="560" t="n">
        <v>14903</v>
      </c>
      <c r="E4" s="560" t="n">
        <v>16758</v>
      </c>
      <c r="F4" s="560" t="n">
        <v>18295</v>
      </c>
      <c r="G4" s="560" t="n">
        <v>20638</v>
      </c>
      <c r="H4" s="560" t="n">
        <v>22547</v>
      </c>
      <c r="I4" s="560" t="n">
        <v>28642</v>
      </c>
      <c r="J4" s="560" t="n">
        <v>24224</v>
      </c>
      <c r="K4" s="560" t="n">
        <v>24806</v>
      </c>
      <c r="L4" s="560" t="n">
        <v>25844</v>
      </c>
      <c r="M4" s="560" t="n">
        <v>25739</v>
      </c>
      <c r="N4" s="560" t="n">
        <v>26773</v>
      </c>
      <c r="O4" s="560" t="n">
        <v>28836</v>
      </c>
      <c r="P4" s="560" t="n">
        <v>29091</v>
      </c>
      <c r="Q4" s="560" t="n">
        <v>29331</v>
      </c>
      <c r="R4" s="560">
        <f>23755+6631</f>
        <v/>
      </c>
      <c r="S4" s="560" t="n">
        <v>28437</v>
      </c>
      <c r="T4" s="560" t="n">
        <v>30016</v>
      </c>
      <c r="U4" s="560" t="n">
        <v>30928</v>
      </c>
      <c r="V4" s="560" t="n">
        <v>33944</v>
      </c>
      <c r="W4" s="560" t="n">
        <v>33184</v>
      </c>
      <c r="X4" s="560" t="n">
        <v>36092</v>
      </c>
      <c r="Y4" s="560" t="n">
        <v>38205</v>
      </c>
      <c r="Z4" s="560" t="n">
        <v>37223</v>
      </c>
      <c r="AA4" s="560" t="n">
        <v>39259</v>
      </c>
      <c r="AB4" s="560">
        <f>32023+9063</f>
        <v/>
      </c>
      <c r="AC4" s="560" t="n">
        <v>40633</v>
      </c>
      <c r="AD4" s="560" t="n">
        <v>41905</v>
      </c>
      <c r="AE4" s="560" t="n">
        <v>45379</v>
      </c>
      <c r="AF4" s="560" t="n">
        <v>51103</v>
      </c>
      <c r="AG4" s="560" t="n">
        <v>50455</v>
      </c>
      <c r="AH4" s="560" t="n">
        <v>50804</v>
      </c>
      <c r="AI4" s="563">
        <f>'HK Sales'!AI8</f>
        <v/>
      </c>
      <c r="AJ4" s="563">
        <f>'HK Sales'!AJ8</f>
        <v/>
      </c>
      <c r="AK4" s="563">
        <f>'HK Sales'!AK8</f>
        <v/>
      </c>
      <c r="AL4" s="563">
        <f>'HK Sales'!AL8</f>
        <v/>
      </c>
      <c r="AM4" s="563">
        <f>'HK Sales'!AM8</f>
        <v/>
      </c>
      <c r="AN4" s="563">
        <f>'HK Sales'!AN8</f>
        <v/>
      </c>
      <c r="AO4" s="43" t="n"/>
    </row>
    <row r="5" customFormat="1" s="616">
      <c r="B5" s="526" t="n"/>
      <c r="C5" s="526" t="n"/>
      <c r="D5" s="526" t="n"/>
      <c r="E5" s="526" t="n"/>
      <c r="F5" s="526" t="n"/>
      <c r="G5" s="526" t="n"/>
      <c r="H5" s="526" t="n"/>
      <c r="I5" s="526" t="n"/>
      <c r="J5" s="526" t="n"/>
      <c r="K5" s="526" t="n"/>
      <c r="L5" s="526" t="n"/>
      <c r="M5" s="526" t="n"/>
      <c r="N5" s="526" t="n"/>
      <c r="O5" s="526" t="n"/>
      <c r="P5" s="526" t="n"/>
      <c r="Q5" s="526" t="n"/>
      <c r="R5" s="526" t="n"/>
      <c r="S5" s="526" t="n"/>
      <c r="T5" s="526" t="n"/>
      <c r="U5" s="526" t="n"/>
      <c r="V5" s="526" t="n"/>
      <c r="W5" s="526" t="n"/>
      <c r="X5" s="526" t="n"/>
      <c r="Y5" s="526" t="n"/>
      <c r="Z5" s="526" t="n"/>
      <c r="AA5" s="526" t="n"/>
      <c r="AB5" s="526" t="n"/>
      <c r="AC5" s="526" t="n"/>
      <c r="AD5" s="526" t="n"/>
      <c r="AE5" s="526" t="n"/>
      <c r="AF5" s="526" t="n"/>
      <c r="AG5" s="526" t="n"/>
      <c r="AH5" s="526" t="n"/>
      <c r="AI5" s="526" t="n"/>
      <c r="AJ5" s="526" t="n"/>
      <c r="AK5" s="526" t="n"/>
      <c r="AL5" s="526" t="n"/>
      <c r="AM5" s="526" t="n"/>
      <c r="AN5" s="526" t="n"/>
      <c r="AO5" s="43" t="n"/>
    </row>
    <row r="6" customFormat="1" s="616">
      <c r="A6" s="616" t="inlineStr">
        <is>
          <t>Fuel costs</t>
        </is>
      </c>
      <c r="B6" s="526" t="n">
        <v>-2922</v>
      </c>
      <c r="C6" s="526" t="n">
        <v>-3064</v>
      </c>
      <c r="D6" s="526" t="n">
        <v>-1923</v>
      </c>
      <c r="E6" s="526" t="n">
        <v>-2085</v>
      </c>
      <c r="F6" s="526" t="n">
        <v>-2226</v>
      </c>
      <c r="G6" s="526" t="n">
        <v>-3045</v>
      </c>
      <c r="H6" s="526" t="n">
        <v>-2801</v>
      </c>
      <c r="I6" s="526" t="n">
        <v>-3600</v>
      </c>
      <c r="J6" s="526" t="n">
        <v>-2912</v>
      </c>
      <c r="K6" s="526" t="n">
        <v>-2897</v>
      </c>
      <c r="L6" s="526" t="n">
        <v>-3268</v>
      </c>
      <c r="M6" s="526" t="n">
        <v>-2901</v>
      </c>
      <c r="N6" s="526" t="n">
        <v>-3482</v>
      </c>
      <c r="O6" s="526" t="n">
        <v>-4153</v>
      </c>
      <c r="P6" s="526" t="n">
        <v>-4363</v>
      </c>
      <c r="Q6" s="526" t="n">
        <v>-4905</v>
      </c>
      <c r="R6" s="526">
        <f>-1744-5024</f>
        <v/>
      </c>
      <c r="S6" s="526" t="n">
        <v>-7029</v>
      </c>
      <c r="T6" s="526" t="n">
        <v>-7848</v>
      </c>
      <c r="U6" s="526" t="n">
        <v>-8784</v>
      </c>
      <c r="V6" s="526" t="n">
        <v>-10061</v>
      </c>
      <c r="W6" s="526" t="n">
        <v>-9645</v>
      </c>
      <c r="X6" s="526" t="n">
        <v>-10375</v>
      </c>
      <c r="Y6" s="526" t="n">
        <v>-12682</v>
      </c>
      <c r="Z6" s="526" t="n">
        <v>-10978</v>
      </c>
      <c r="AA6" s="526" t="n">
        <v>-11901</v>
      </c>
      <c r="AB6" s="526">
        <f>-10021-3081</f>
        <v/>
      </c>
      <c r="AC6" s="526" t="n">
        <v>-13150</v>
      </c>
      <c r="AD6" s="526" t="n">
        <v>-13790</v>
      </c>
      <c r="AE6" s="526" t="n">
        <v>-15667</v>
      </c>
      <c r="AF6" s="526" t="n">
        <v>-21939</v>
      </c>
      <c r="AG6" s="526" t="n">
        <v>-20974</v>
      </c>
      <c r="AH6" s="526" t="n">
        <v>-19713</v>
      </c>
      <c r="AI6" s="564">
        <f>'SOC Accounts'!AI69</f>
        <v/>
      </c>
      <c r="AJ6" s="564">
        <f>'SOC Accounts'!AJ69</f>
        <v/>
      </c>
      <c r="AK6" s="564">
        <f>'SOC Accounts'!AK69</f>
        <v/>
      </c>
      <c r="AL6" s="564">
        <f>'SOC Accounts'!AL69</f>
        <v/>
      </c>
      <c r="AM6" s="564">
        <f>'SOC Accounts'!AM69</f>
        <v/>
      </c>
      <c r="AN6" s="564">
        <f>'SOC Accounts'!AN69</f>
        <v/>
      </c>
      <c r="AO6" s="43" t="n"/>
    </row>
    <row r="7" customFormat="1" s="616">
      <c r="A7" s="616" t="inlineStr">
        <is>
          <t>Operating costs</t>
        </is>
      </c>
      <c r="B7" s="526">
        <f>-4471-B10</f>
        <v/>
      </c>
      <c r="C7" s="526">
        <f>-4788-C10</f>
        <v/>
      </c>
      <c r="D7" s="526">
        <f>-4360-D10</f>
        <v/>
      </c>
      <c r="E7" s="526" t="n">
        <v>-2782</v>
      </c>
      <c r="F7" s="526" t="n">
        <v>-2747</v>
      </c>
      <c r="G7" s="526" t="n">
        <v>-2472</v>
      </c>
      <c r="H7" s="526" t="n">
        <v>-2329</v>
      </c>
      <c r="I7" s="526" t="n">
        <v>-3098</v>
      </c>
      <c r="J7" s="526" t="n">
        <v>-2636</v>
      </c>
      <c r="K7" s="526" t="n">
        <v>-2965</v>
      </c>
      <c r="L7" s="526" t="n">
        <v>-2848</v>
      </c>
      <c r="M7" s="526" t="n">
        <v>-2817</v>
      </c>
      <c r="N7" s="526" t="n">
        <v>-3166</v>
      </c>
      <c r="O7" s="526" t="n">
        <v>-3106</v>
      </c>
      <c r="P7" s="526" t="n">
        <v>-3328</v>
      </c>
      <c r="Q7" s="526" t="n">
        <v>-3342</v>
      </c>
      <c r="R7" s="526">
        <f>-811-2389</f>
        <v/>
      </c>
      <c r="S7" s="526" t="n">
        <v>-3102</v>
      </c>
      <c r="T7" s="526" t="n">
        <v>-3467</v>
      </c>
      <c r="U7" s="526" t="n">
        <v>-3516</v>
      </c>
      <c r="V7" s="526" t="n">
        <v>-3698</v>
      </c>
      <c r="W7" s="526" t="n">
        <v>-3711</v>
      </c>
      <c r="X7" s="526" t="n">
        <v>-3842</v>
      </c>
      <c r="Y7" s="526" t="n">
        <v>-4068</v>
      </c>
      <c r="Z7" s="526" t="n">
        <v>-4312</v>
      </c>
      <c r="AA7" s="526" t="n">
        <v>-4405</v>
      </c>
      <c r="AB7" s="526">
        <f>-3385-1149</f>
        <v/>
      </c>
      <c r="AC7" s="526" t="n">
        <v>-5036</v>
      </c>
      <c r="AD7" s="526" t="n">
        <v>-5170</v>
      </c>
      <c r="AE7" s="526" t="n">
        <v>-5186</v>
      </c>
      <c r="AF7" s="526" t="n">
        <v>-5027</v>
      </c>
      <c r="AG7" s="526" t="n">
        <v>-5336</v>
      </c>
      <c r="AH7" s="526" t="n">
        <v>-5571</v>
      </c>
      <c r="AI7" s="564">
        <f>'SOC Accounts'!AI48</f>
        <v/>
      </c>
      <c r="AJ7" s="564">
        <f>'SOC Accounts'!AJ48</f>
        <v/>
      </c>
      <c r="AK7" s="564">
        <f>'SOC Accounts'!AK48</f>
        <v/>
      </c>
      <c r="AL7" s="564">
        <f>'SOC Accounts'!AL48</f>
        <v/>
      </c>
      <c r="AM7" s="564">
        <f>'SOC Accounts'!AM48</f>
        <v/>
      </c>
      <c r="AN7" s="564">
        <f>'SOC Accounts'!AN48</f>
        <v/>
      </c>
      <c r="AO7" s="43" t="n"/>
    </row>
    <row r="8" customFormat="1" s="616">
      <c r="A8" s="616" t="inlineStr">
        <is>
          <t>Purchase of nuclear power</t>
        </is>
      </c>
      <c r="B8" s="526" t="n">
        <v>0</v>
      </c>
      <c r="C8" s="526" t="n">
        <v>0</v>
      </c>
      <c r="D8" s="526" t="n">
        <v>-2841</v>
      </c>
      <c r="E8" s="526" t="n">
        <v>-3255</v>
      </c>
      <c r="F8" s="526" t="n">
        <v>-3771</v>
      </c>
      <c r="G8" s="526" t="n">
        <v>-3683</v>
      </c>
      <c r="H8" s="526" t="n">
        <v>-3645</v>
      </c>
      <c r="I8" s="526" t="n">
        <v>-4835</v>
      </c>
      <c r="J8" s="526" t="n">
        <v>-4587</v>
      </c>
      <c r="K8" s="526" t="n">
        <v>-5013</v>
      </c>
      <c r="L8" s="526" t="n">
        <v>-4976</v>
      </c>
      <c r="M8" s="526" t="n">
        <v>-5134</v>
      </c>
      <c r="N8" s="526" t="n">
        <v>-4763</v>
      </c>
      <c r="O8" s="526" t="n">
        <v>-5029</v>
      </c>
      <c r="P8" s="526" t="n">
        <v>-5040</v>
      </c>
      <c r="Q8" s="526" t="n">
        <v>-4971</v>
      </c>
      <c r="R8" s="526">
        <f>-1088-3943</f>
        <v/>
      </c>
      <c r="S8" s="526" t="n">
        <v>-5237</v>
      </c>
      <c r="T8" s="526" t="n">
        <v>-5003</v>
      </c>
      <c r="U8" s="526" t="n">
        <v>-4879</v>
      </c>
      <c r="V8" s="526" t="n">
        <v>-4636</v>
      </c>
      <c r="W8" s="526" t="n">
        <v>-4619</v>
      </c>
      <c r="X8" s="526" t="n">
        <v>-4867</v>
      </c>
      <c r="Y8" s="526" t="n">
        <v>-5203</v>
      </c>
      <c r="Z8" s="526" t="n">
        <v>-5198</v>
      </c>
      <c r="AA8" s="526" t="n">
        <v>-5380</v>
      </c>
      <c r="AB8" s="526">
        <f>-4564-979</f>
        <v/>
      </c>
      <c r="AC8" s="526" t="n">
        <v>-5643</v>
      </c>
      <c r="AD8" s="526" t="n">
        <v>-5582</v>
      </c>
      <c r="AE8" s="526" t="n">
        <v>-5678</v>
      </c>
      <c r="AF8" s="526" t="n">
        <v>-5822</v>
      </c>
      <c r="AG8" s="526" t="n">
        <v>-5802</v>
      </c>
      <c r="AH8" s="526" t="n">
        <v>-5800</v>
      </c>
      <c r="AI8" s="564">
        <f>'SOC Accounts'!AI45</f>
        <v/>
      </c>
      <c r="AJ8" s="564">
        <f>'SOC Accounts'!AJ45</f>
        <v/>
      </c>
      <c r="AK8" s="564">
        <f>'SOC Accounts'!AK45</f>
        <v/>
      </c>
      <c r="AL8" s="564">
        <f>'SOC Accounts'!AL45</f>
        <v/>
      </c>
      <c r="AM8" s="564">
        <f>'SOC Accounts'!AM45</f>
        <v/>
      </c>
      <c r="AN8" s="564">
        <f>'SOC Accounts'!AN45</f>
        <v/>
      </c>
      <c r="AO8" s="43" t="n"/>
    </row>
    <row r="9" customFormat="1" s="616">
      <c r="A9" s="616" t="inlineStr">
        <is>
          <t>Operating interest</t>
        </is>
      </c>
      <c r="B9" s="526" t="n">
        <v>0</v>
      </c>
      <c r="C9" s="526" t="n">
        <v>0</v>
      </c>
      <c r="D9" s="526" t="n">
        <v>0</v>
      </c>
      <c r="E9" s="526" t="n">
        <v>-371</v>
      </c>
      <c r="F9" s="526" t="n">
        <v>-410</v>
      </c>
      <c r="G9" s="526" t="n">
        <v>-951</v>
      </c>
      <c r="H9" s="526" t="n">
        <v>-1131</v>
      </c>
      <c r="I9" s="526" t="n">
        <v>-1473</v>
      </c>
      <c r="J9" s="526" t="n">
        <v>-1097</v>
      </c>
      <c r="K9" s="526" t="n">
        <v>-931</v>
      </c>
      <c r="L9" s="526" t="n">
        <v>-617</v>
      </c>
      <c r="M9" s="526" t="n">
        <v>-459</v>
      </c>
      <c r="N9" s="526" t="n">
        <v>-415</v>
      </c>
      <c r="O9" s="526" t="n">
        <v>-543</v>
      </c>
      <c r="P9" s="526" t="n">
        <v>-718</v>
      </c>
      <c r="Q9" s="526" t="n">
        <v>-739</v>
      </c>
      <c r="R9" s="526">
        <f>-142-395</f>
        <v/>
      </c>
      <c r="S9" s="526" t="n">
        <v>-537</v>
      </c>
      <c r="T9" s="526" t="n">
        <v>-677</v>
      </c>
      <c r="U9" s="526" t="n">
        <v>-742</v>
      </c>
      <c r="V9" s="526" t="n">
        <v>-783</v>
      </c>
      <c r="W9" s="526" t="n">
        <v>-863</v>
      </c>
      <c r="X9" s="526" t="n">
        <v>-834</v>
      </c>
      <c r="Y9" s="526" t="n">
        <v>-940</v>
      </c>
      <c r="Z9" s="526" t="n">
        <v>-997</v>
      </c>
      <c r="AA9" s="526" t="n">
        <v>-994</v>
      </c>
      <c r="AB9" s="526">
        <f>-750-246</f>
        <v/>
      </c>
      <c r="AC9" s="526" t="n">
        <v>-978</v>
      </c>
      <c r="AD9" s="526" t="n">
        <v>-976</v>
      </c>
      <c r="AE9" s="526" t="n">
        <v>-857</v>
      </c>
      <c r="AF9" s="526" t="n">
        <v>-800</v>
      </c>
      <c r="AG9" s="526" t="n">
        <v>-1154</v>
      </c>
      <c r="AH9" s="526" t="n">
        <v>-1407</v>
      </c>
      <c r="AI9" s="564">
        <f>AH9+AH17-AI17</f>
        <v/>
      </c>
      <c r="AJ9" s="564">
        <f>AI9+AI17-AJ17</f>
        <v/>
      </c>
      <c r="AK9" s="564">
        <f>AJ9+AJ17-AK17</f>
        <v/>
      </c>
      <c r="AL9" s="564">
        <f>AK9+AK17-AL17</f>
        <v/>
      </c>
      <c r="AM9" s="564">
        <f>AL9+AL17-AM17</f>
        <v/>
      </c>
      <c r="AN9" s="564">
        <f>AM9+AM17-AN17</f>
        <v/>
      </c>
      <c r="AO9" s="43" t="n"/>
    </row>
    <row r="10" customFormat="1" s="616">
      <c r="A10" s="616" t="inlineStr">
        <is>
          <t>Depreciation</t>
        </is>
      </c>
      <c r="B10" s="526" t="n">
        <v>-1777</v>
      </c>
      <c r="C10" s="526" t="n">
        <v>-1893</v>
      </c>
      <c r="D10" s="526" t="n">
        <v>-1489</v>
      </c>
      <c r="E10" s="526" t="n">
        <v>-1624</v>
      </c>
      <c r="F10" s="526" t="n">
        <v>-1797</v>
      </c>
      <c r="G10" s="526" t="n">
        <v>-2277</v>
      </c>
      <c r="H10" s="526" t="n">
        <v>-2522</v>
      </c>
      <c r="I10" s="526" t="n">
        <v>-3360</v>
      </c>
      <c r="J10" s="526" t="n">
        <v>-3025</v>
      </c>
      <c r="K10" s="526" t="n">
        <v>-3026</v>
      </c>
      <c r="L10" s="526" t="n">
        <v>-3164</v>
      </c>
      <c r="M10" s="526" t="n">
        <v>-3439</v>
      </c>
      <c r="N10" s="526" t="n">
        <v>-3452</v>
      </c>
      <c r="O10" s="526" t="n">
        <v>-3746</v>
      </c>
      <c r="P10" s="526" t="n">
        <v>-4117</v>
      </c>
      <c r="Q10" s="526" t="n">
        <v>-3699</v>
      </c>
      <c r="R10" s="526">
        <f>-771-2234</f>
        <v/>
      </c>
      <c r="S10" s="526" t="n">
        <v>-3149</v>
      </c>
      <c r="T10" s="526" t="n">
        <v>-3427</v>
      </c>
      <c r="U10" s="526" t="n">
        <v>-3863</v>
      </c>
      <c r="V10" s="526" t="n">
        <v>-4146</v>
      </c>
      <c r="W10" s="526" t="n">
        <v>-4475</v>
      </c>
      <c r="X10" s="526" t="n">
        <v>-3901</v>
      </c>
      <c r="Y10" s="526" t="n">
        <v>-4143</v>
      </c>
      <c r="Z10" s="526" t="n">
        <v>-4375</v>
      </c>
      <c r="AA10" s="526" t="n">
        <v>-4706</v>
      </c>
      <c r="AB10" s="526">
        <f>-3778-1153</f>
        <v/>
      </c>
      <c r="AC10" s="526" t="n">
        <v>-4753</v>
      </c>
      <c r="AD10" s="526" t="n">
        <v>-5011</v>
      </c>
      <c r="AE10" s="526" t="n">
        <v>-5434</v>
      </c>
      <c r="AF10" s="526" t="n">
        <v>-5313</v>
      </c>
      <c r="AG10" s="526" t="n">
        <v>-5380</v>
      </c>
      <c r="AH10" s="526" t="n">
        <v>-5683</v>
      </c>
      <c r="AI10" s="564">
        <f>ROAFNA!AI49</f>
        <v/>
      </c>
      <c r="AJ10" s="564">
        <f>ROAFNA!AJ49</f>
        <v/>
      </c>
      <c r="AK10" s="564">
        <f>ROAFNA!AK49</f>
        <v/>
      </c>
      <c r="AL10" s="564">
        <f>ROAFNA!AL49</f>
        <v/>
      </c>
      <c r="AM10" s="564">
        <f>ROAFNA!AM49</f>
        <v/>
      </c>
      <c r="AN10" s="564">
        <f>ROAFNA!AN49</f>
        <v/>
      </c>
      <c r="AO10" s="43" t="n"/>
    </row>
    <row r="11">
      <c r="A11" s="43" t="inlineStr">
        <is>
          <t>Misc</t>
        </is>
      </c>
      <c r="B11" s="526" t="n">
        <v>0</v>
      </c>
      <c r="C11" s="526" t="n">
        <v>0</v>
      </c>
      <c r="D11" s="526" t="n">
        <v>0</v>
      </c>
      <c r="E11" s="526" t="n">
        <v>-158</v>
      </c>
      <c r="F11" s="526" t="n">
        <v>-279</v>
      </c>
      <c r="G11" s="526">
        <f>-238-317</f>
        <v/>
      </c>
      <c r="H11" s="526">
        <f>-23+1</f>
        <v/>
      </c>
      <c r="I11" s="526">
        <f>-18-91</f>
        <v/>
      </c>
      <c r="J11" s="526" t="n">
        <v>-99</v>
      </c>
      <c r="K11" s="526" t="n">
        <v>1</v>
      </c>
      <c r="L11" s="526" t="n">
        <v>0</v>
      </c>
      <c r="M11" s="526" t="n">
        <v>-494</v>
      </c>
      <c r="N11" s="526" t="n">
        <v>-176</v>
      </c>
      <c r="O11" s="526" t="n">
        <v>0</v>
      </c>
      <c r="P11" s="526">
        <f>O11</f>
        <v/>
      </c>
      <c r="Q11" s="526">
        <f>P11</f>
        <v/>
      </c>
      <c r="R11" s="526" t="n">
        <v>-60</v>
      </c>
      <c r="S11" s="526" t="n">
        <v>-246</v>
      </c>
      <c r="T11" s="526" t="n">
        <v>-224</v>
      </c>
      <c r="U11" s="526" t="n">
        <v>-282</v>
      </c>
      <c r="V11" s="526" t="n">
        <v>-229</v>
      </c>
      <c r="W11" s="526" t="n">
        <v>-52</v>
      </c>
      <c r="X11" s="526">
        <f>10</f>
        <v/>
      </c>
      <c r="Y11" s="526" t="n">
        <v>57</v>
      </c>
      <c r="Z11" s="526" t="n">
        <v>109</v>
      </c>
      <c r="AA11" s="526" t="n">
        <v>56</v>
      </c>
      <c r="AB11" s="526">
        <f>88-219</f>
        <v/>
      </c>
      <c r="AC11" s="526" t="n">
        <v>-188</v>
      </c>
      <c r="AD11" s="526" t="n">
        <v>-141</v>
      </c>
      <c r="AE11" s="526" t="n">
        <v>-111</v>
      </c>
      <c r="AF11" s="526" t="n">
        <v>-73</v>
      </c>
      <c r="AG11" s="526" t="n">
        <v>-120</v>
      </c>
      <c r="AH11" s="526" t="n">
        <v>-80</v>
      </c>
      <c r="AI11" s="618">
        <f>AH11</f>
        <v/>
      </c>
      <c r="AJ11" s="618">
        <f>AI11</f>
        <v/>
      </c>
      <c r="AK11" s="618">
        <f>AJ11</f>
        <v/>
      </c>
      <c r="AL11" s="618">
        <f>AK11</f>
        <v/>
      </c>
      <c r="AM11" s="618">
        <f>AL11</f>
        <v/>
      </c>
      <c r="AN11" s="618">
        <f>AM11</f>
        <v/>
      </c>
    </row>
    <row r="12" customFormat="1" s="617">
      <c r="A12" s="617" t="inlineStr">
        <is>
          <t>Total operating expenses</t>
        </is>
      </c>
      <c r="B12" s="597">
        <f>SUM(B6:B11)</f>
        <v/>
      </c>
      <c r="C12" s="597">
        <f>SUM(C6:C11)</f>
        <v/>
      </c>
      <c r="D12" s="597">
        <f>SUM(D6:D11)</f>
        <v/>
      </c>
      <c r="E12" s="597">
        <f>SUM(E6:E11)</f>
        <v/>
      </c>
      <c r="F12" s="597">
        <f>SUM(F6:F11)</f>
        <v/>
      </c>
      <c r="G12" s="597">
        <f>SUM(G6:G11)</f>
        <v/>
      </c>
      <c r="H12" s="597">
        <f>SUM(H6:H11)</f>
        <v/>
      </c>
      <c r="I12" s="597">
        <f>SUM(I6:I11)</f>
        <v/>
      </c>
      <c r="J12" s="597">
        <f>SUM(J6:J11)</f>
        <v/>
      </c>
      <c r="K12" s="597">
        <f>SUM(K6:K11)</f>
        <v/>
      </c>
      <c r="L12" s="597">
        <f>SUM(L6:L11)</f>
        <v/>
      </c>
      <c r="M12" s="597">
        <f>SUM(M6:M11)</f>
        <v/>
      </c>
      <c r="N12" s="597">
        <f>SUM(N6:N11)</f>
        <v/>
      </c>
      <c r="O12" s="597">
        <f>SUM(O6:O11)</f>
        <v/>
      </c>
      <c r="P12" s="597">
        <f>SUM(P6:P11)</f>
        <v/>
      </c>
      <c r="Q12" s="597">
        <f>SUM(Q6:Q11)</f>
        <v/>
      </c>
      <c r="R12" s="597">
        <f>SUM(R6:R11)</f>
        <v/>
      </c>
      <c r="S12" s="597">
        <f>SUM(S6:S11)</f>
        <v/>
      </c>
      <c r="T12" s="597">
        <f>SUM(T6:T11)</f>
        <v/>
      </c>
      <c r="U12" s="597">
        <f>SUM(U6:U11)</f>
        <v/>
      </c>
      <c r="V12" s="597">
        <f>SUM(V6:V11)</f>
        <v/>
      </c>
      <c r="W12" s="597">
        <f>SUM(W6:W11)</f>
        <v/>
      </c>
      <c r="X12" s="597">
        <f>SUM(X6:X11)</f>
        <v/>
      </c>
      <c r="Y12" s="597">
        <f>SUM(Y6:Y11)</f>
        <v/>
      </c>
      <c r="Z12" s="597">
        <f>SUM(Z6:Z11)</f>
        <v/>
      </c>
      <c r="AA12" s="597">
        <f>SUM(AA6:AA11)</f>
        <v/>
      </c>
      <c r="AB12" s="597">
        <f>SUM(AB6:AB11)</f>
        <v/>
      </c>
      <c r="AC12" s="597">
        <f>SUM(AC6:AC11)</f>
        <v/>
      </c>
      <c r="AD12" s="597">
        <f>SUM(AD6:AD11)</f>
        <v/>
      </c>
      <c r="AE12" s="597">
        <f>SUM(AE6:AE11)</f>
        <v/>
      </c>
      <c r="AF12" s="597">
        <f>SUM(AF6:AF11)</f>
        <v/>
      </c>
      <c r="AG12" s="597">
        <f>SUM(AG6:AG11)</f>
        <v/>
      </c>
      <c r="AH12" s="597">
        <f>SUM(AH6:AH11)</f>
        <v/>
      </c>
      <c r="AI12" s="597">
        <f>SUM(AI6:AI11)</f>
        <v/>
      </c>
      <c r="AJ12" s="597">
        <f>SUM(AJ6:AJ11)</f>
        <v/>
      </c>
      <c r="AK12" s="597">
        <f>SUM(AK6:AK11)</f>
        <v/>
      </c>
      <c r="AL12" s="597">
        <f>SUM(AL6:AL11)</f>
        <v/>
      </c>
      <c r="AM12" s="597">
        <f>SUM(AM6:AM11)</f>
        <v/>
      </c>
      <c r="AN12" s="597">
        <f>SUM(AN6:AN11)</f>
        <v/>
      </c>
      <c r="AO12" s="43" t="n"/>
    </row>
    <row r="13" customFormat="1" s="616">
      <c r="A13" s="617" t="inlineStr">
        <is>
          <t>Pretax profits</t>
        </is>
      </c>
      <c r="B13" s="597">
        <f>B4+B12</f>
        <v/>
      </c>
      <c r="C13" s="597">
        <f>C4+C12</f>
        <v/>
      </c>
      <c r="D13" s="597">
        <f>D4+D12</f>
        <v/>
      </c>
      <c r="E13" s="597">
        <f>E4+E12</f>
        <v/>
      </c>
      <c r="F13" s="597">
        <f>F4+F12</f>
        <v/>
      </c>
      <c r="G13" s="597">
        <f>G4+G12</f>
        <v/>
      </c>
      <c r="H13" s="597">
        <f>H4+H12</f>
        <v/>
      </c>
      <c r="I13" s="597">
        <f>I4+I12</f>
        <v/>
      </c>
      <c r="J13" s="597">
        <f>J4+J12</f>
        <v/>
      </c>
      <c r="K13" s="597">
        <f>K4+K12</f>
        <v/>
      </c>
      <c r="L13" s="597">
        <f>L4+L12</f>
        <v/>
      </c>
      <c r="M13" s="597">
        <f>M4+M12</f>
        <v/>
      </c>
      <c r="N13" s="597">
        <f>N4+N12</f>
        <v/>
      </c>
      <c r="O13" s="597">
        <f>O4+O12</f>
        <v/>
      </c>
      <c r="P13" s="597">
        <f>P4+P12</f>
        <v/>
      </c>
      <c r="Q13" s="597">
        <f>Q4+Q12</f>
        <v/>
      </c>
      <c r="R13" s="597">
        <f>R4+R12</f>
        <v/>
      </c>
      <c r="S13" s="597">
        <f>S4+S12</f>
        <v/>
      </c>
      <c r="T13" s="597">
        <f>T4+T12</f>
        <v/>
      </c>
      <c r="U13" s="597">
        <f>U4+U12</f>
        <v/>
      </c>
      <c r="V13" s="597">
        <f>V4+V12</f>
        <v/>
      </c>
      <c r="W13" s="597">
        <f>W4+W12</f>
        <v/>
      </c>
      <c r="X13" s="597">
        <f>X4+X12</f>
        <v/>
      </c>
      <c r="Y13" s="597">
        <f>Y4+Y12</f>
        <v/>
      </c>
      <c r="Z13" s="597">
        <f>Z4+Z12</f>
        <v/>
      </c>
      <c r="AA13" s="597">
        <f>AA4+AA12</f>
        <v/>
      </c>
      <c r="AB13" s="597">
        <f>AB4+AB12</f>
        <v/>
      </c>
      <c r="AC13" s="597">
        <f>AC4+AC12</f>
        <v/>
      </c>
      <c r="AD13" s="597">
        <f>AD4+AD12</f>
        <v/>
      </c>
      <c r="AE13" s="597">
        <f>AE4+AE12</f>
        <v/>
      </c>
      <c r="AF13" s="597">
        <f>AF4+AF12</f>
        <v/>
      </c>
      <c r="AG13" s="597">
        <f>AG4+AG12</f>
        <v/>
      </c>
      <c r="AH13" s="597">
        <f>AH4+AH12</f>
        <v/>
      </c>
      <c r="AI13" s="597">
        <f>AI4+AI12</f>
        <v/>
      </c>
      <c r="AJ13" s="597">
        <f>AJ4+AJ12</f>
        <v/>
      </c>
      <c r="AK13" s="597">
        <f>AK4+AK12</f>
        <v/>
      </c>
      <c r="AL13" s="597">
        <f>AL4+AL12</f>
        <v/>
      </c>
      <c r="AM13" s="597">
        <f>AM4+AM12</f>
        <v/>
      </c>
      <c r="AN13" s="597">
        <f>AN4+AN12</f>
        <v/>
      </c>
      <c r="AO13" s="43" t="n"/>
    </row>
    <row r="14" customFormat="1" s="616">
      <c r="A14" s="616" t="inlineStr">
        <is>
          <t>Taxation</t>
        </is>
      </c>
      <c r="B14" s="526" t="n">
        <v>-962</v>
      </c>
      <c r="C14" s="526" t="n">
        <v>-1110</v>
      </c>
      <c r="D14" s="526" t="n">
        <v>-826</v>
      </c>
      <c r="E14" s="526" t="n">
        <v>-1016</v>
      </c>
      <c r="F14" s="526" t="n">
        <v>-1135</v>
      </c>
      <c r="G14" s="526" t="n">
        <v>-1202</v>
      </c>
      <c r="H14" s="526" t="n">
        <v>-1512</v>
      </c>
      <c r="I14" s="526">
        <f>-1341-378</f>
        <v/>
      </c>
      <c r="J14" s="526" t="n">
        <v>-1418</v>
      </c>
      <c r="K14" s="526" t="n">
        <v>-1138</v>
      </c>
      <c r="L14" s="526" t="n">
        <v>-1478</v>
      </c>
      <c r="M14" s="526" t="n">
        <v>-1652</v>
      </c>
      <c r="N14" s="526" t="n">
        <v>-1967</v>
      </c>
      <c r="O14" s="526" t="n">
        <v>-2102</v>
      </c>
      <c r="P14" s="526" t="n">
        <v>-1878</v>
      </c>
      <c r="Q14" s="526" t="n">
        <v>-1909</v>
      </c>
      <c r="R14" s="526">
        <f>-1514-338</f>
        <v/>
      </c>
      <c r="S14" s="526" t="n">
        <v>-1554</v>
      </c>
      <c r="T14" s="526" t="n">
        <v>-1597</v>
      </c>
      <c r="U14" s="526" t="n">
        <v>-1528</v>
      </c>
      <c r="V14" s="526" t="n">
        <v>-1772</v>
      </c>
      <c r="W14" s="526" t="n">
        <v>-1649</v>
      </c>
      <c r="X14" s="526" t="n">
        <v>-2048</v>
      </c>
      <c r="Y14" s="526" t="n">
        <v>-1865</v>
      </c>
      <c r="Z14" s="526" t="n">
        <v>-1895</v>
      </c>
      <c r="AA14" s="526" t="n">
        <v>-1989</v>
      </c>
      <c r="AB14" s="526">
        <f>-1589-412</f>
        <v/>
      </c>
      <c r="AC14" s="526" t="n">
        <v>-1853</v>
      </c>
      <c r="AD14" s="526" t="n">
        <v>-1904</v>
      </c>
      <c r="AE14" s="526" t="n">
        <v>-2100</v>
      </c>
      <c r="AF14" s="526" t="n">
        <v>-1924</v>
      </c>
      <c r="AG14" s="526" t="n">
        <v>-1933</v>
      </c>
      <c r="AH14" s="526" t="n">
        <v>-2112</v>
      </c>
      <c r="AI14" s="564">
        <f>-AI13*AI15</f>
        <v/>
      </c>
      <c r="AJ14" s="564">
        <f>-AJ13*AJ15</f>
        <v/>
      </c>
      <c r="AK14" s="564">
        <f>-AK13*AK15</f>
        <v/>
      </c>
      <c r="AL14" s="564">
        <f>-AL13*AL15</f>
        <v/>
      </c>
      <c r="AM14" s="564">
        <f>-AM13*AM15</f>
        <v/>
      </c>
      <c r="AN14" s="564">
        <f>-AN13*AN15</f>
        <v/>
      </c>
      <c r="AO14" s="43" t="n"/>
    </row>
    <row r="15" customFormat="1" s="616">
      <c r="A15" s="616" t="inlineStr">
        <is>
          <t>Tax rate (%)</t>
        </is>
      </c>
      <c r="B15" s="131">
        <f>-B14/B13</f>
        <v/>
      </c>
      <c r="C15" s="131">
        <f>-C14/C13</f>
        <v/>
      </c>
      <c r="D15" s="131">
        <f>-D14/D13</f>
        <v/>
      </c>
      <c r="E15" s="131">
        <f>-E14/E13</f>
        <v/>
      </c>
      <c r="F15" s="131">
        <f>-F14/F13</f>
        <v/>
      </c>
      <c r="G15" s="131">
        <f>-G14/G13</f>
        <v/>
      </c>
      <c r="H15" s="131">
        <f>-H14/H13</f>
        <v/>
      </c>
      <c r="I15" s="131">
        <f>-I14/I13</f>
        <v/>
      </c>
      <c r="J15" s="131">
        <f>-J14/J13</f>
        <v/>
      </c>
      <c r="K15" s="131">
        <f>-K14/K13</f>
        <v/>
      </c>
      <c r="L15" s="131">
        <f>-L14/L13</f>
        <v/>
      </c>
      <c r="M15" s="131">
        <f>-M14/M13</f>
        <v/>
      </c>
      <c r="N15" s="131">
        <f>-N14/N13</f>
        <v/>
      </c>
      <c r="O15" s="131">
        <f>-O14/O13</f>
        <v/>
      </c>
      <c r="P15" s="131">
        <f>-P14/P13</f>
        <v/>
      </c>
      <c r="Q15" s="131">
        <f>-Q14/Q13</f>
        <v/>
      </c>
      <c r="R15" s="131">
        <f>-R14/R13</f>
        <v/>
      </c>
      <c r="S15" s="131">
        <f>-S14/S13</f>
        <v/>
      </c>
      <c r="T15" s="131">
        <f>-T14/T13</f>
        <v/>
      </c>
      <c r="U15" s="131">
        <f>-U14/U13</f>
        <v/>
      </c>
      <c r="V15" s="131">
        <f>-V14/V13</f>
        <v/>
      </c>
      <c r="W15" s="131">
        <f>-W14/W13</f>
        <v/>
      </c>
      <c r="X15" s="131">
        <f>-X14/X13</f>
        <v/>
      </c>
      <c r="Y15" s="131">
        <f>-Y14/Y13</f>
        <v/>
      </c>
      <c r="Z15" s="131">
        <f>-Z14/Z13</f>
        <v/>
      </c>
      <c r="AA15" s="131">
        <f>-AA14/AA13</f>
        <v/>
      </c>
      <c r="AB15" s="131">
        <f>-AB14/AB13</f>
        <v/>
      </c>
      <c r="AC15" s="131">
        <f>-AC14/AC13</f>
        <v/>
      </c>
      <c r="AD15" s="131">
        <f>-AD14/AD13</f>
        <v/>
      </c>
      <c r="AE15" s="131">
        <f>-AE14/AE13</f>
        <v/>
      </c>
      <c r="AF15" s="131">
        <f>-AF14/AF13</f>
        <v/>
      </c>
      <c r="AG15" s="131">
        <f>-AG14/AG13</f>
        <v/>
      </c>
      <c r="AH15" s="131">
        <f>-AH14/AH13</f>
        <v/>
      </c>
      <c r="AI15" s="230">
        <f>AH15</f>
        <v/>
      </c>
      <c r="AJ15" s="230">
        <f>AI15</f>
        <v/>
      </c>
      <c r="AK15" s="230">
        <f>AJ15</f>
        <v/>
      </c>
      <c r="AL15" s="230">
        <f>AK15</f>
        <v/>
      </c>
      <c r="AM15" s="230">
        <f>AL15</f>
        <v/>
      </c>
      <c r="AN15" s="230">
        <f>AM15</f>
        <v/>
      </c>
      <c r="AO15" s="43" t="n"/>
    </row>
    <row r="16" customFormat="1" s="616">
      <c r="A16" s="617" t="inlineStr">
        <is>
          <t>Profit after taxation</t>
        </is>
      </c>
      <c r="B16" s="597">
        <f>B13+B14</f>
        <v/>
      </c>
      <c r="C16" s="597">
        <f>C13+C14</f>
        <v/>
      </c>
      <c r="D16" s="597">
        <f>D13+D14</f>
        <v/>
      </c>
      <c r="E16" s="597">
        <f>E13+E14</f>
        <v/>
      </c>
      <c r="F16" s="597">
        <f>F13+F14</f>
        <v/>
      </c>
      <c r="G16" s="597">
        <f>G13+G14</f>
        <v/>
      </c>
      <c r="H16" s="597">
        <f>H13+H14</f>
        <v/>
      </c>
      <c r="I16" s="597">
        <f>I13+I14</f>
        <v/>
      </c>
      <c r="J16" s="597">
        <f>J13+J14</f>
        <v/>
      </c>
      <c r="K16" s="597">
        <f>K13+K14</f>
        <v/>
      </c>
      <c r="L16" s="597">
        <f>L13+L14</f>
        <v/>
      </c>
      <c r="M16" s="597">
        <f>M13+M14</f>
        <v/>
      </c>
      <c r="N16" s="597">
        <f>N13+N14</f>
        <v/>
      </c>
      <c r="O16" s="597">
        <f>O13+O14</f>
        <v/>
      </c>
      <c r="P16" s="597">
        <f>P13+P14</f>
        <v/>
      </c>
      <c r="Q16" s="597">
        <f>Q13+Q14</f>
        <v/>
      </c>
      <c r="R16" s="597">
        <f>R13+R14</f>
        <v/>
      </c>
      <c r="S16" s="597">
        <f>S13+S14</f>
        <v/>
      </c>
      <c r="T16" s="597">
        <f>T13+T14</f>
        <v/>
      </c>
      <c r="U16" s="597">
        <f>U13+U14</f>
        <v/>
      </c>
      <c r="V16" s="597">
        <f>V13+V14</f>
        <v/>
      </c>
      <c r="W16" s="597">
        <f>W13+W14</f>
        <v/>
      </c>
      <c r="X16" s="597">
        <f>X13+X14</f>
        <v/>
      </c>
      <c r="Y16" s="597">
        <f>Y13+Y14</f>
        <v/>
      </c>
      <c r="Z16" s="597">
        <f>Z13+Z14</f>
        <v/>
      </c>
      <c r="AA16" s="597">
        <f>AA13+AA14</f>
        <v/>
      </c>
      <c r="AB16" s="597">
        <f>AB13+AB14</f>
        <v/>
      </c>
      <c r="AC16" s="597">
        <f>AC13+AC14</f>
        <v/>
      </c>
      <c r="AD16" s="597">
        <f>AD13+AD14</f>
        <v/>
      </c>
      <c r="AE16" s="597">
        <f>AE13+AE14</f>
        <v/>
      </c>
      <c r="AF16" s="597">
        <f>AF13+AF14</f>
        <v/>
      </c>
      <c r="AG16" s="597">
        <f>AG13+AG14</f>
        <v/>
      </c>
      <c r="AH16" s="597">
        <f>AH13+AH14</f>
        <v/>
      </c>
      <c r="AI16" s="597">
        <f>AI13+AI14</f>
        <v/>
      </c>
      <c r="AJ16" s="597">
        <f>AJ13+AJ14</f>
        <v/>
      </c>
      <c r="AK16" s="597">
        <f>AK13+AK14</f>
        <v/>
      </c>
      <c r="AL16" s="597">
        <f>AL13+AL14</f>
        <v/>
      </c>
      <c r="AM16" s="597">
        <f>AM13+AM14</f>
        <v/>
      </c>
      <c r="AN16" s="597">
        <f>AN13+AN14</f>
        <v/>
      </c>
      <c r="AO16" s="43" t="n"/>
    </row>
    <row r="17" customFormat="1" s="616">
      <c r="A17" s="616" t="inlineStr">
        <is>
          <t>Interest on borrowed capital</t>
        </is>
      </c>
      <c r="B17" s="526" t="n">
        <v>455</v>
      </c>
      <c r="C17" s="526" t="n">
        <v>463</v>
      </c>
      <c r="D17" s="526" t="n">
        <v>511</v>
      </c>
      <c r="E17" s="526" t="n">
        <v>813</v>
      </c>
      <c r="F17" s="526" t="n">
        <v>1138</v>
      </c>
      <c r="G17" s="526" t="n">
        <v>1283</v>
      </c>
      <c r="H17" s="526" t="n">
        <v>1246</v>
      </c>
      <c r="I17" s="526" t="n">
        <v>1479</v>
      </c>
      <c r="J17" s="526" t="n">
        <v>1170</v>
      </c>
      <c r="K17" s="526" t="n">
        <v>1005</v>
      </c>
      <c r="L17" s="526" t="n">
        <v>818</v>
      </c>
      <c r="M17" s="526" t="n">
        <v>679</v>
      </c>
      <c r="N17" s="526" t="n">
        <v>679</v>
      </c>
      <c r="O17" s="526" t="n">
        <v>769</v>
      </c>
      <c r="P17" s="526" t="n">
        <v>754</v>
      </c>
      <c r="Q17" s="526" t="n">
        <v>728</v>
      </c>
      <c r="R17" s="526">
        <f>165+443</f>
        <v/>
      </c>
      <c r="S17" s="526" t="n">
        <v>625</v>
      </c>
      <c r="T17" s="526" t="n">
        <v>763</v>
      </c>
      <c r="U17" s="526" t="n">
        <v>841</v>
      </c>
      <c r="V17" s="526" t="n">
        <v>859</v>
      </c>
      <c r="W17" s="526" t="n">
        <v>887</v>
      </c>
      <c r="X17" s="526" t="n">
        <v>856</v>
      </c>
      <c r="Y17" s="526" t="n">
        <v>920</v>
      </c>
      <c r="Z17" s="526" t="n">
        <v>952</v>
      </c>
      <c r="AA17" s="526" t="n">
        <v>976</v>
      </c>
      <c r="AB17" s="526">
        <f>266+789</f>
        <v/>
      </c>
      <c r="AC17" s="526" t="n">
        <v>1100</v>
      </c>
      <c r="AD17" s="526" t="n">
        <v>1111</v>
      </c>
      <c r="AE17" s="526" t="n">
        <v>1018</v>
      </c>
      <c r="AF17" s="526" t="n">
        <v>1115</v>
      </c>
      <c r="AG17" s="526" t="n">
        <v>1539</v>
      </c>
      <c r="AH17" s="526" t="n">
        <v>1700</v>
      </c>
      <c r="AI17" s="564">
        <f>-ROAFNA!AI41</f>
        <v/>
      </c>
      <c r="AJ17" s="564">
        <f>-ROAFNA!AJ41</f>
        <v/>
      </c>
      <c r="AK17" s="564">
        <f>-ROAFNA!AK41</f>
        <v/>
      </c>
      <c r="AL17" s="564">
        <f>-ROAFNA!AL41</f>
        <v/>
      </c>
      <c r="AM17" s="564">
        <f>-ROAFNA!AM41</f>
        <v/>
      </c>
      <c r="AN17" s="564">
        <f>-ROAFNA!AN41</f>
        <v/>
      </c>
      <c r="AO17" s="43" t="n"/>
    </row>
    <row r="18" customFormat="1" s="616">
      <c r="A18" s="616" t="inlineStr">
        <is>
          <t>Adjustment for performance (incentives)/penaties</t>
        </is>
      </c>
      <c r="B18" s="526" t="n"/>
      <c r="C18" s="526" t="n"/>
      <c r="D18" s="526" t="n"/>
      <c r="E18" s="526" t="n"/>
      <c r="F18" s="526" t="n"/>
      <c r="G18" s="526" t="n"/>
      <c r="H18" s="526" t="n"/>
      <c r="I18" s="526" t="n"/>
      <c r="J18" s="526" t="n"/>
      <c r="K18" s="526" t="n"/>
      <c r="L18" s="526" t="n"/>
      <c r="M18" s="526" t="n"/>
      <c r="N18" s="526" t="n"/>
      <c r="O18" s="526" t="n"/>
      <c r="P18" s="526" t="n"/>
      <c r="Q18" s="526" t="n"/>
      <c r="R18" s="526" t="n"/>
      <c r="S18" s="526" t="n">
        <v>-41</v>
      </c>
      <c r="T18" s="526" t="n">
        <v>-43</v>
      </c>
      <c r="U18" s="526" t="n">
        <v>-45</v>
      </c>
      <c r="V18" s="526" t="n">
        <v>-47</v>
      </c>
      <c r="W18" s="526" t="n">
        <v>-48</v>
      </c>
      <c r="X18" s="526" t="n">
        <v>-49</v>
      </c>
      <c r="Y18" s="526" t="n">
        <v>-51</v>
      </c>
      <c r="Z18" s="526" t="n">
        <v>-53</v>
      </c>
      <c r="AA18" s="526" t="n">
        <v>-54</v>
      </c>
      <c r="AB18" s="526">
        <f>-16-89</f>
        <v/>
      </c>
      <c r="AC18" s="526" t="n">
        <v>-392</v>
      </c>
      <c r="AD18" s="526" t="n">
        <v>-416</v>
      </c>
      <c r="AE18" s="526" t="n">
        <v>-438</v>
      </c>
      <c r="AF18" s="526" t="n">
        <v>-448</v>
      </c>
      <c r="AG18" s="526" t="n">
        <v>-642</v>
      </c>
      <c r="AH18" s="526" t="n">
        <v>-481</v>
      </c>
      <c r="AI18" s="564">
        <f>+AH18</f>
        <v/>
      </c>
      <c r="AJ18" s="564">
        <f>+AI18</f>
        <v/>
      </c>
      <c r="AK18" s="564">
        <f>+AJ18</f>
        <v/>
      </c>
      <c r="AL18" s="564">
        <f>+AK18</f>
        <v/>
      </c>
      <c r="AM18" s="564">
        <f>+AL18</f>
        <v/>
      </c>
      <c r="AN18" s="564">
        <f>+AM18</f>
        <v/>
      </c>
      <c r="AO18" s="243" t="n"/>
    </row>
    <row r="19" customFormat="1" s="616">
      <c r="A19" s="616" t="inlineStr">
        <is>
          <t>Increase in customer deposits</t>
        </is>
      </c>
      <c r="B19" s="526" t="n"/>
      <c r="C19" s="526" t="n"/>
      <c r="D19" s="526" t="n"/>
      <c r="E19" s="526" t="n"/>
      <c r="F19" s="526" t="n"/>
      <c r="G19" s="526" t="n"/>
      <c r="H19" s="526" t="n"/>
      <c r="I19" s="526">
        <f>2+1</f>
        <v/>
      </c>
      <c r="J19" s="526" t="n">
        <v>10</v>
      </c>
      <c r="K19" s="526" t="n">
        <v>8</v>
      </c>
      <c r="L19" s="526" t="n">
        <v>1</v>
      </c>
      <c r="M19" s="526" t="n">
        <v>0</v>
      </c>
      <c r="N19" s="526" t="n">
        <v>0</v>
      </c>
      <c r="O19" s="526" t="n">
        <v>12</v>
      </c>
      <c r="P19" s="526" t="n">
        <v>35</v>
      </c>
      <c r="Q19" s="526" t="n">
        <v>33</v>
      </c>
      <c r="R19" s="526" t="n">
        <v>2</v>
      </c>
      <c r="S19" s="526" t="n">
        <v>0</v>
      </c>
      <c r="T19" s="526" t="n">
        <v>0</v>
      </c>
      <c r="U19" s="526" t="n">
        <v>0</v>
      </c>
      <c r="V19" s="526">
        <f>U19</f>
        <v/>
      </c>
      <c r="W19" s="526">
        <f>V19</f>
        <v/>
      </c>
      <c r="X19" s="526">
        <f>W19</f>
        <v/>
      </c>
      <c r="Y19" s="526">
        <f>X19</f>
        <v/>
      </c>
      <c r="Z19" s="526">
        <f>Y19</f>
        <v/>
      </c>
      <c r="AA19" s="526" t="n">
        <v>0</v>
      </c>
      <c r="AB19" s="526" t="n">
        <v>1</v>
      </c>
      <c r="AC19" s="526" t="n">
        <v>4</v>
      </c>
      <c r="AD19" s="564" t="n">
        <v>0</v>
      </c>
      <c r="AE19" s="564">
        <f>AD19</f>
        <v/>
      </c>
      <c r="AF19" s="526" t="n">
        <v>4</v>
      </c>
      <c r="AG19" s="526" t="n">
        <v>37</v>
      </c>
      <c r="AH19" s="526" t="n">
        <v>39</v>
      </c>
      <c r="AI19" s="564" t="n">
        <v>0</v>
      </c>
      <c r="AJ19" s="564" t="n">
        <v>0</v>
      </c>
      <c r="AK19" s="564" t="n">
        <v>0</v>
      </c>
      <c r="AL19" s="564" t="n">
        <v>0</v>
      </c>
      <c r="AM19" s="564" t="n">
        <v>0</v>
      </c>
      <c r="AN19" s="564" t="n">
        <v>0</v>
      </c>
      <c r="AO19" s="43" t="n"/>
    </row>
    <row r="20" customFormat="1" s="616">
      <c r="A20" s="616" t="inlineStr">
        <is>
          <t>China sales</t>
        </is>
      </c>
      <c r="B20" s="526" t="n">
        <v>-211</v>
      </c>
      <c r="C20" s="526" t="n">
        <v>-246</v>
      </c>
      <c r="D20" s="526" t="n">
        <v>-79</v>
      </c>
      <c r="E20" s="526" t="n">
        <v>-78</v>
      </c>
      <c r="F20" s="526" t="n">
        <v>-19</v>
      </c>
      <c r="G20" s="526" t="n">
        <v>-22</v>
      </c>
      <c r="H20" s="526">
        <f>G20</f>
        <v/>
      </c>
      <c r="I20" s="526">
        <f>-21-4</f>
        <v/>
      </c>
      <c r="J20" s="526" t="n">
        <v>-16</v>
      </c>
      <c r="K20" s="526" t="n">
        <v>-69</v>
      </c>
      <c r="L20" s="526" t="n">
        <v>-5</v>
      </c>
      <c r="M20" s="526" t="n">
        <v>367</v>
      </c>
      <c r="N20" s="526" t="n">
        <v>35</v>
      </c>
      <c r="O20" s="526" t="n">
        <v>-188</v>
      </c>
      <c r="P20" s="526" t="n">
        <v>-186</v>
      </c>
      <c r="Q20" s="526" t="n">
        <v>-160</v>
      </c>
      <c r="R20" s="526">
        <f>-92-33</f>
        <v/>
      </c>
      <c r="S20" s="526" t="n">
        <v>-115</v>
      </c>
      <c r="T20" s="526" t="n">
        <v>-73</v>
      </c>
      <c r="U20" s="526" t="n">
        <v>-62</v>
      </c>
      <c r="V20" s="526" t="n">
        <v>-43</v>
      </c>
      <c r="W20" s="526" t="n">
        <v>-64</v>
      </c>
      <c r="X20" s="526" t="n">
        <v>-54</v>
      </c>
      <c r="Y20" s="526" t="n">
        <v>-68</v>
      </c>
      <c r="Z20" s="526" t="n">
        <v>-69</v>
      </c>
      <c r="AA20" s="526" t="n">
        <v>-79</v>
      </c>
      <c r="AB20" s="526" t="n">
        <v>-43</v>
      </c>
      <c r="AC20" s="564" t="n">
        <v>0</v>
      </c>
      <c r="AD20" s="564">
        <f>AC20</f>
        <v/>
      </c>
      <c r="AE20" s="564">
        <f>AD20</f>
        <v/>
      </c>
      <c r="AF20" s="564">
        <f>AE20</f>
        <v/>
      </c>
      <c r="AG20" s="564" t="n">
        <v>0</v>
      </c>
      <c r="AH20" s="564">
        <f>AG20</f>
        <v/>
      </c>
      <c r="AI20" s="564">
        <f>AH20</f>
        <v/>
      </c>
      <c r="AJ20" s="564">
        <f>AI20</f>
        <v/>
      </c>
      <c r="AK20" s="564">
        <f>AJ20</f>
        <v/>
      </c>
      <c r="AL20" s="564">
        <f>AK20</f>
        <v/>
      </c>
      <c r="AM20" s="564">
        <f>AL20</f>
        <v/>
      </c>
      <c r="AN20" s="564">
        <f>AM20</f>
        <v/>
      </c>
      <c r="AO20" s="43" t="n"/>
    </row>
    <row r="21" customFormat="1" s="616">
      <c r="A21" s="619" t="inlineStr">
        <is>
          <t>SoC net income</t>
        </is>
      </c>
      <c r="B21" s="605">
        <f>SUM(B16:B20)</f>
        <v/>
      </c>
      <c r="C21" s="605">
        <f>SUM(C16:C20)</f>
        <v/>
      </c>
      <c r="D21" s="605">
        <f>SUM(D16:D20)</f>
        <v/>
      </c>
      <c r="E21" s="605">
        <f>SUM(E16:E20)</f>
        <v/>
      </c>
      <c r="F21" s="605">
        <f>SUM(F16:F20)</f>
        <v/>
      </c>
      <c r="G21" s="605">
        <f>SUM(G16:G20)</f>
        <v/>
      </c>
      <c r="H21" s="605">
        <f>SUM(H16:H20)</f>
        <v/>
      </c>
      <c r="I21" s="605">
        <f>SUM(I16:I20)</f>
        <v/>
      </c>
      <c r="J21" s="605">
        <f>SUM(J16:J20)</f>
        <v/>
      </c>
      <c r="K21" s="605">
        <f>SUM(K16:K20)</f>
        <v/>
      </c>
      <c r="L21" s="605">
        <f>SUM(L16:L20)</f>
        <v/>
      </c>
      <c r="M21" s="605">
        <f>SUM(M16:M20)</f>
        <v/>
      </c>
      <c r="N21" s="605">
        <f>SUM(N16:N20)</f>
        <v/>
      </c>
      <c r="O21" s="605">
        <f>SUM(O16:O20)</f>
        <v/>
      </c>
      <c r="P21" s="605">
        <f>SUM(P16:P20)</f>
        <v/>
      </c>
      <c r="Q21" s="605">
        <f>SUM(Q16:Q20)</f>
        <v/>
      </c>
      <c r="R21" s="605">
        <f>SUM(R16:R20)</f>
        <v/>
      </c>
      <c r="S21" s="605">
        <f>SUM(S16:S20)</f>
        <v/>
      </c>
      <c r="T21" s="605">
        <f>SUM(T16:T20)</f>
        <v/>
      </c>
      <c r="U21" s="605">
        <f>SUM(U16:U20)</f>
        <v/>
      </c>
      <c r="V21" s="605">
        <f>SUM(V16:V20)</f>
        <v/>
      </c>
      <c r="W21" s="605">
        <f>SUM(W16:W20)</f>
        <v/>
      </c>
      <c r="X21" s="605">
        <f>SUM(X16:X20)</f>
        <v/>
      </c>
      <c r="Y21" s="605">
        <f>SUM(Y16:Y20)</f>
        <v/>
      </c>
      <c r="Z21" s="605">
        <f>SUM(Z16:Z20)</f>
        <v/>
      </c>
      <c r="AA21" s="605">
        <f>SUM(AA16:AA20)</f>
        <v/>
      </c>
      <c r="AB21" s="605">
        <f>SUM(AB16:AB20)</f>
        <v/>
      </c>
      <c r="AC21" s="605">
        <f>SUM(AC16:AC20)</f>
        <v/>
      </c>
      <c r="AD21" s="605">
        <f>SUM(AD16:AD20)</f>
        <v/>
      </c>
      <c r="AE21" s="605">
        <f>SUM(AE16:AE20)</f>
        <v/>
      </c>
      <c r="AF21" s="605">
        <f>SUM(AF16:AF20)</f>
        <v/>
      </c>
      <c r="AG21" s="605">
        <f>SUM(AG16:AG20)</f>
        <v/>
      </c>
      <c r="AH21" s="605">
        <f>SUM(AH16:AH20)</f>
        <v/>
      </c>
      <c r="AI21" s="605">
        <f>SUM(AI16:AI20)</f>
        <v/>
      </c>
      <c r="AJ21" s="605">
        <f>SUM(AJ16:AJ20)</f>
        <v/>
      </c>
      <c r="AK21" s="605">
        <f>SUM(AK16:AK20)</f>
        <v/>
      </c>
      <c r="AL21" s="605">
        <f>SUM(AL16:AL20)</f>
        <v/>
      </c>
      <c r="AM21" s="605">
        <f>SUM(AM16:AM20)</f>
        <v/>
      </c>
      <c r="AN21" s="605">
        <f>SUM(AN16:AN20)</f>
        <v/>
      </c>
      <c r="AO21" s="43" t="n"/>
    </row>
    <row r="22" customFormat="1" s="616">
      <c r="A22" s="616" t="inlineStr">
        <is>
          <t>Charge for asset decommissioning</t>
        </is>
      </c>
      <c r="B22" s="526" t="n">
        <v>0</v>
      </c>
      <c r="C22" s="526" t="n">
        <v>0</v>
      </c>
      <c r="D22" s="526" t="n">
        <v>0</v>
      </c>
      <c r="E22" s="526" t="n">
        <v>0</v>
      </c>
      <c r="F22" s="526" t="n">
        <v>0</v>
      </c>
      <c r="G22" s="526" t="n">
        <v>0</v>
      </c>
      <c r="H22" s="526" t="n">
        <v>0</v>
      </c>
      <c r="I22" s="526" t="n">
        <v>0</v>
      </c>
      <c r="J22" s="526" t="n">
        <v>0</v>
      </c>
      <c r="K22" s="526" t="n">
        <v>0</v>
      </c>
      <c r="L22" s="526" t="n">
        <v>0</v>
      </c>
      <c r="M22" s="526" t="n">
        <v>0</v>
      </c>
      <c r="N22" s="526" t="n">
        <v>0</v>
      </c>
      <c r="O22" s="526" t="n">
        <v>0</v>
      </c>
      <c r="P22" s="526" t="n">
        <v>0</v>
      </c>
      <c r="Q22" s="526" t="n">
        <v>0</v>
      </c>
      <c r="R22" s="526" t="n">
        <v>0</v>
      </c>
      <c r="S22" s="526" t="n">
        <v>0</v>
      </c>
      <c r="T22" s="526" t="n">
        <v>0</v>
      </c>
      <c r="U22" s="526" t="n">
        <v>0</v>
      </c>
      <c r="V22" s="526" t="n">
        <v>0</v>
      </c>
      <c r="W22" s="526" t="n">
        <v>0</v>
      </c>
      <c r="X22" s="526" t="n">
        <v>0</v>
      </c>
      <c r="Y22" s="526" t="n">
        <v>0</v>
      </c>
      <c r="Z22" s="526" t="n">
        <v>0</v>
      </c>
      <c r="AA22" s="526" t="n">
        <v>0</v>
      </c>
      <c r="AB22" s="526" t="n">
        <v>0</v>
      </c>
      <c r="AC22" s="526" t="n">
        <v>0</v>
      </c>
      <c r="AD22" s="526" t="n">
        <v>0</v>
      </c>
      <c r="AE22" s="526" t="n">
        <v>0</v>
      </c>
      <c r="AF22" s="526" t="n">
        <v>0</v>
      </c>
      <c r="AG22" s="526" t="n">
        <v>0</v>
      </c>
      <c r="AH22" s="526" t="n">
        <v>0</v>
      </c>
      <c r="AI22" s="526" t="n">
        <v>0</v>
      </c>
      <c r="AJ22" s="526" t="n">
        <v>0</v>
      </c>
      <c r="AK22" s="526" t="n">
        <v>0</v>
      </c>
      <c r="AL22" s="526" t="n">
        <v>0</v>
      </c>
      <c r="AM22" s="526" t="n">
        <v>0</v>
      </c>
      <c r="AN22" s="526" t="n">
        <v>0</v>
      </c>
      <c r="AO22" s="43" t="n"/>
    </row>
    <row r="23" customFormat="1" s="616">
      <c r="A23" s="616" t="inlineStr">
        <is>
          <t>Transfer from/(to) development fund</t>
        </is>
      </c>
      <c r="B23" s="526">
        <f>B25-B21-B22</f>
        <v/>
      </c>
      <c r="C23" s="526">
        <f>C25-C21-C22</f>
        <v/>
      </c>
      <c r="D23" s="526">
        <f>D25-D21-D22</f>
        <v/>
      </c>
      <c r="E23" s="526">
        <f>E25-E21-E22</f>
        <v/>
      </c>
      <c r="F23" s="526">
        <f>F25-F21-F22</f>
        <v/>
      </c>
      <c r="G23" s="526">
        <f>G25-G21-G22</f>
        <v/>
      </c>
      <c r="H23" s="526">
        <f>H25-H21-H22</f>
        <v/>
      </c>
      <c r="I23" s="526">
        <f>I25-I21-I22</f>
        <v/>
      </c>
      <c r="J23" s="526">
        <f>J25-J21-J22</f>
        <v/>
      </c>
      <c r="K23" s="526">
        <f>K25-K21-K22</f>
        <v/>
      </c>
      <c r="L23" s="526">
        <f>L25-L21-L22</f>
        <v/>
      </c>
      <c r="M23" s="526">
        <f>M25-M21-M22</f>
        <v/>
      </c>
      <c r="N23" s="526">
        <f>N25-N21-N22</f>
        <v/>
      </c>
      <c r="O23" s="526">
        <f>O25-O21-O22</f>
        <v/>
      </c>
      <c r="P23" s="526">
        <f>P25-P21-P22</f>
        <v/>
      </c>
      <c r="Q23" s="526">
        <f>Q25-Q21-Q22</f>
        <v/>
      </c>
      <c r="R23" s="526">
        <f>R25-R21-R22</f>
        <v/>
      </c>
      <c r="S23" s="526">
        <f>S25-S21-S22</f>
        <v/>
      </c>
      <c r="T23" s="526">
        <f>T25-T21-T22</f>
        <v/>
      </c>
      <c r="U23" s="526">
        <f>U25-U21-U22</f>
        <v/>
      </c>
      <c r="V23" s="526">
        <f>V25-V21-V22</f>
        <v/>
      </c>
      <c r="W23" s="526">
        <f>W25-W21-W22</f>
        <v/>
      </c>
      <c r="X23" s="526">
        <f>X25-X21-X22</f>
        <v/>
      </c>
      <c r="Y23" s="526">
        <f>Y25-Y21-Y22</f>
        <v/>
      </c>
      <c r="Z23" s="526">
        <f>Z25-Z21-Z22</f>
        <v/>
      </c>
      <c r="AA23" s="526">
        <f>AA25-AA21-AA22</f>
        <v/>
      </c>
      <c r="AB23" s="526">
        <f>AB25-AB21-AB22</f>
        <v/>
      </c>
      <c r="AC23" s="526">
        <f>AC25-AC21-AC22</f>
        <v/>
      </c>
      <c r="AD23" s="526">
        <f>AD25-AD21-AD22</f>
        <v/>
      </c>
      <c r="AE23" s="526">
        <f>AE25-AE21-AE22</f>
        <v/>
      </c>
      <c r="AF23" s="526">
        <f>AF25-AF21-AF22</f>
        <v/>
      </c>
      <c r="AG23" s="526">
        <f>AG25-AG21-AG22</f>
        <v/>
      </c>
      <c r="AH23" s="526">
        <f>AH25-AH21-AH22</f>
        <v/>
      </c>
      <c r="AI23" s="564">
        <f>MIN(AI25-AI21-AI22,('SOC Accounts'!AH21+'SOC Accounts'!AI20+'SOC Accounts'!AI19))</f>
        <v/>
      </c>
      <c r="AJ23" s="564">
        <f>MIN(AJ25-AJ21-AJ22,('SOC Accounts'!AI21+'SOC Accounts'!AJ20+'SOC Accounts'!AJ19))</f>
        <v/>
      </c>
      <c r="AK23" s="564">
        <f>MIN(AK25-AK21-AK22,('SOC Accounts'!AJ21+'SOC Accounts'!AK20+'SOC Accounts'!AK19))</f>
        <v/>
      </c>
      <c r="AL23" s="564">
        <f>MIN(AL25-AL21-AL22,('SOC Accounts'!AK21+'SOC Accounts'!AL20+'SOC Accounts'!AL19))</f>
        <v/>
      </c>
      <c r="AM23" s="564">
        <f>MIN(AM25-AM21-AM22,('SOC Accounts'!AL21+'SOC Accounts'!AM20+'SOC Accounts'!AM19))</f>
        <v/>
      </c>
      <c r="AN23" s="564">
        <f>MIN(AN25-AN21-AN22,('SOC Accounts'!AM21+'SOC Accounts'!AN20+'SOC Accounts'!AN19))</f>
        <v/>
      </c>
      <c r="AO23" s="43" t="n"/>
    </row>
    <row r="24" customFormat="1" s="616">
      <c r="A24" s="616" t="inlineStr">
        <is>
          <t>Transfer from/(to) development fund (theoretical)</t>
        </is>
      </c>
      <c r="B24" s="526" t="n"/>
      <c r="C24" s="526" t="n"/>
      <c r="D24" s="526" t="n"/>
      <c r="E24" s="526" t="n"/>
      <c r="F24" s="526" t="n"/>
      <c r="G24" s="526" t="n"/>
      <c r="H24" s="526" t="n"/>
      <c r="I24" s="526" t="n"/>
      <c r="J24" s="526" t="n"/>
      <c r="K24" s="526" t="n"/>
      <c r="L24" s="526" t="n"/>
      <c r="M24" s="526" t="n"/>
      <c r="N24" s="526" t="n"/>
      <c r="O24" s="526" t="n"/>
      <c r="P24" s="526" t="n"/>
      <c r="Q24" s="526" t="n"/>
      <c r="R24" s="526" t="n"/>
      <c r="S24" s="526" t="n"/>
      <c r="T24" s="526" t="n"/>
      <c r="U24" s="526" t="n"/>
      <c r="V24" s="526">
        <f>V25-V21-V22-V23</f>
        <v/>
      </c>
      <c r="W24" s="526">
        <f>W25-W21-W22-W23</f>
        <v/>
      </c>
      <c r="X24" s="526">
        <f>X25-X21-X22-X23</f>
        <v/>
      </c>
      <c r="Y24" s="526">
        <f>Y25-Y21-Y22-Y23</f>
        <v/>
      </c>
      <c r="Z24" s="526">
        <f>Z25-Z21-Z22-Z23</f>
        <v/>
      </c>
      <c r="AA24" s="526">
        <f>AA25-AA21-AA22-AA23</f>
        <v/>
      </c>
      <c r="AB24" s="526">
        <f>AB25-AB21-AB22-AB23</f>
        <v/>
      </c>
      <c r="AC24" s="526" t="n">
        <v>0</v>
      </c>
      <c r="AD24" s="526">
        <f>+AC24</f>
        <v/>
      </c>
      <c r="AE24" s="526">
        <f>+AD24</f>
        <v/>
      </c>
      <c r="AF24" s="526">
        <f>+AE24</f>
        <v/>
      </c>
      <c r="AG24" s="526">
        <f>+AF24</f>
        <v/>
      </c>
      <c r="AH24" s="526">
        <f>+AG24</f>
        <v/>
      </c>
      <c r="AI24" s="526">
        <f>+AH24</f>
        <v/>
      </c>
      <c r="AJ24" s="526">
        <f>+AI24</f>
        <v/>
      </c>
      <c r="AK24" s="526">
        <f>+AJ24</f>
        <v/>
      </c>
      <c r="AL24" s="526">
        <f>+AK24</f>
        <v/>
      </c>
      <c r="AM24" s="526">
        <f>+AL24</f>
        <v/>
      </c>
      <c r="AN24" s="526">
        <f>+AM24</f>
        <v/>
      </c>
      <c r="AO24" s="43" t="n"/>
    </row>
    <row r="25" ht="13.5" customFormat="1" customHeight="1" s="616" thickBot="1">
      <c r="A25" s="620" t="inlineStr">
        <is>
          <t>Permitted return</t>
        </is>
      </c>
      <c r="B25" s="621">
        <f>ROAFNA!B14</f>
        <v/>
      </c>
      <c r="C25" s="621">
        <f>ROAFNA!C14</f>
        <v/>
      </c>
      <c r="D25" s="621">
        <f>ROAFNA!D14</f>
        <v/>
      </c>
      <c r="E25" s="621">
        <f>ROAFNA!E14</f>
        <v/>
      </c>
      <c r="F25" s="621">
        <f>ROAFNA!F14</f>
        <v/>
      </c>
      <c r="G25" s="621">
        <f>ROAFNA!G14</f>
        <v/>
      </c>
      <c r="H25" s="621">
        <f>ROAFNA!H14</f>
        <v/>
      </c>
      <c r="I25" s="621">
        <f>ROAFNA!I14</f>
        <v/>
      </c>
      <c r="J25" s="621">
        <f>ROAFNA!J14</f>
        <v/>
      </c>
      <c r="K25" s="621">
        <f>ROAFNA!K14</f>
        <v/>
      </c>
      <c r="L25" s="621">
        <f>ROAFNA!L14</f>
        <v/>
      </c>
      <c r="M25" s="621">
        <f>ROAFNA!M14</f>
        <v/>
      </c>
      <c r="N25" s="621">
        <f>ROAFNA!N14</f>
        <v/>
      </c>
      <c r="O25" s="621">
        <f>ROAFNA!O14</f>
        <v/>
      </c>
      <c r="P25" s="621">
        <f>ROAFNA!P14</f>
        <v/>
      </c>
      <c r="Q25" s="621">
        <f>ROAFNA!Q14</f>
        <v/>
      </c>
      <c r="R25" s="621">
        <f>ROAFNA!R14</f>
        <v/>
      </c>
      <c r="S25" s="621">
        <f>ROAFNA!S14</f>
        <v/>
      </c>
      <c r="T25" s="621">
        <f>ROAFNA!T14</f>
        <v/>
      </c>
      <c r="U25" s="621">
        <f>ROAFNA!U14</f>
        <v/>
      </c>
      <c r="V25" s="621">
        <f>ROAFNA!V14</f>
        <v/>
      </c>
      <c r="W25" s="621">
        <f>ROAFNA!W14</f>
        <v/>
      </c>
      <c r="X25" s="621">
        <f>ROAFNA!X14</f>
        <v/>
      </c>
      <c r="Y25" s="621">
        <f>ROAFNA!Y14</f>
        <v/>
      </c>
      <c r="Z25" s="621">
        <f>ROAFNA!Z14</f>
        <v/>
      </c>
      <c r="AA25" s="621">
        <f>ROAFNA!AA14</f>
        <v/>
      </c>
      <c r="AB25" s="621">
        <f>ROAFNA!AB14</f>
        <v/>
      </c>
      <c r="AC25" s="621">
        <f>ROAFNA!AC14</f>
        <v/>
      </c>
      <c r="AD25" s="621">
        <f>ROAFNA!AD14</f>
        <v/>
      </c>
      <c r="AE25" s="621">
        <f>ROAFNA!AE14</f>
        <v/>
      </c>
      <c r="AF25" s="621">
        <f>ROAFNA!AF14</f>
        <v/>
      </c>
      <c r="AG25" s="621">
        <f>ROAFNA!AG14</f>
        <v/>
      </c>
      <c r="AH25" s="621">
        <f>ROAFNA!AH14</f>
        <v/>
      </c>
      <c r="AI25" s="621">
        <f>ROAFNA!AI14</f>
        <v/>
      </c>
      <c r="AJ25" s="621">
        <f>ROAFNA!AJ14</f>
        <v/>
      </c>
      <c r="AK25" s="621">
        <f>ROAFNA!AK14</f>
        <v/>
      </c>
      <c r="AL25" s="621">
        <f>ROAFNA!AL14</f>
        <v/>
      </c>
      <c r="AM25" s="621">
        <f>ROAFNA!AM14</f>
        <v/>
      </c>
      <c r="AN25" s="621">
        <f>ROAFNA!AN14</f>
        <v/>
      </c>
      <c r="AO25" s="43" t="n"/>
    </row>
    <row r="26" ht="13.5" customFormat="1" customHeight="1" s="616" thickTop="1">
      <c r="A26" s="616" t="inlineStr">
        <is>
          <t>Interest on borrowed capital</t>
        </is>
      </c>
      <c r="B26" s="526">
        <f>-B17</f>
        <v/>
      </c>
      <c r="C26" s="526">
        <f>-C17</f>
        <v/>
      </c>
      <c r="D26" s="526">
        <f>-D17</f>
        <v/>
      </c>
      <c r="E26" s="526">
        <f>-E17</f>
        <v/>
      </c>
      <c r="F26" s="526">
        <f>-F17</f>
        <v/>
      </c>
      <c r="G26" s="526">
        <f>-G17</f>
        <v/>
      </c>
      <c r="H26" s="526">
        <f>-H17</f>
        <v/>
      </c>
      <c r="I26" s="526">
        <f>-I17</f>
        <v/>
      </c>
      <c r="J26" s="526">
        <f>-J17</f>
        <v/>
      </c>
      <c r="K26" s="526">
        <f>-K17</f>
        <v/>
      </c>
      <c r="L26" s="526">
        <f>-L17</f>
        <v/>
      </c>
      <c r="M26" s="526">
        <f>-M17</f>
        <v/>
      </c>
      <c r="N26" s="526">
        <f>-N17</f>
        <v/>
      </c>
      <c r="O26" s="526">
        <f>-O17</f>
        <v/>
      </c>
      <c r="P26" s="526">
        <f>-P17</f>
        <v/>
      </c>
      <c r="Q26" s="526">
        <f>-Q17</f>
        <v/>
      </c>
      <c r="R26" s="526">
        <f>-R17</f>
        <v/>
      </c>
      <c r="S26" s="526">
        <f>-S17</f>
        <v/>
      </c>
      <c r="T26" s="526">
        <f>-T17</f>
        <v/>
      </c>
      <c r="U26" s="526">
        <f>-U17</f>
        <v/>
      </c>
      <c r="V26" s="526">
        <f>-V17</f>
        <v/>
      </c>
      <c r="W26" s="526">
        <f>-W17</f>
        <v/>
      </c>
      <c r="X26" s="526">
        <f>-X17</f>
        <v/>
      </c>
      <c r="Y26" s="526">
        <f>-Y17</f>
        <v/>
      </c>
      <c r="Z26" s="526">
        <f>-Z17</f>
        <v/>
      </c>
      <c r="AA26" s="526">
        <f>-AA17</f>
        <v/>
      </c>
      <c r="AB26" s="526">
        <f>-AB17</f>
        <v/>
      </c>
      <c r="AC26" s="526">
        <f>-AC17</f>
        <v/>
      </c>
      <c r="AD26" s="526">
        <f>-AD17</f>
        <v/>
      </c>
      <c r="AE26" s="526">
        <f>-AE17</f>
        <v/>
      </c>
      <c r="AF26" s="526">
        <f>-AF17</f>
        <v/>
      </c>
      <c r="AG26" s="526">
        <f>-AG17</f>
        <v/>
      </c>
      <c r="AH26" s="526">
        <f>-AH17</f>
        <v/>
      </c>
      <c r="AI26" s="526">
        <f>-AI17</f>
        <v/>
      </c>
      <c r="AJ26" s="526">
        <f>-AJ17</f>
        <v/>
      </c>
      <c r="AK26" s="526">
        <f>-AK17</f>
        <v/>
      </c>
      <c r="AL26" s="526">
        <f>-AL17</f>
        <v/>
      </c>
      <c r="AM26" s="526">
        <f>-AM17</f>
        <v/>
      </c>
      <c r="AN26" s="526">
        <f>-AN17</f>
        <v/>
      </c>
      <c r="AO26" s="43" t="n"/>
    </row>
    <row r="27" customFormat="1" s="616">
      <c r="A27" s="616" t="inlineStr">
        <is>
          <t>Adjustment for performance incentives/penaties</t>
        </is>
      </c>
      <c r="B27" s="526" t="n"/>
      <c r="C27" s="526" t="n"/>
      <c r="D27" s="526" t="n"/>
      <c r="E27" s="526" t="n"/>
      <c r="F27" s="526" t="n"/>
      <c r="G27" s="526" t="n"/>
      <c r="H27" s="526" t="n"/>
      <c r="I27" s="526" t="n"/>
      <c r="J27" s="526" t="n"/>
      <c r="K27" s="526" t="n"/>
      <c r="L27" s="526" t="n"/>
      <c r="M27" s="526" t="n"/>
      <c r="N27" s="526" t="n"/>
      <c r="O27" s="526" t="n"/>
      <c r="P27" s="526" t="n"/>
      <c r="Q27" s="526" t="n"/>
      <c r="R27" s="526" t="n"/>
      <c r="S27" s="526">
        <f>-S18</f>
        <v/>
      </c>
      <c r="T27" s="526">
        <f>-T18</f>
        <v/>
      </c>
      <c r="U27" s="526">
        <f>-U18</f>
        <v/>
      </c>
      <c r="V27" s="526">
        <f>-V18</f>
        <v/>
      </c>
      <c r="W27" s="526">
        <f>-W18</f>
        <v/>
      </c>
      <c r="X27" s="526">
        <f>-X18</f>
        <v/>
      </c>
      <c r="Y27" s="526">
        <f>-Y18</f>
        <v/>
      </c>
      <c r="Z27" s="526">
        <f>-Z18</f>
        <v/>
      </c>
      <c r="AA27" s="526">
        <f>-AA18</f>
        <v/>
      </c>
      <c r="AB27" s="526">
        <f>-AB18</f>
        <v/>
      </c>
      <c r="AC27" s="526">
        <f>-AC18</f>
        <v/>
      </c>
      <c r="AD27" s="526">
        <f>-AD18</f>
        <v/>
      </c>
      <c r="AE27" s="526">
        <f>-AE18</f>
        <v/>
      </c>
      <c r="AF27" s="526">
        <f>-AF18</f>
        <v/>
      </c>
      <c r="AG27" s="526">
        <f>-AG18</f>
        <v/>
      </c>
      <c r="AH27" s="526">
        <f>-AH18</f>
        <v/>
      </c>
      <c r="AI27" s="526">
        <f>-AI18</f>
        <v/>
      </c>
      <c r="AJ27" s="526">
        <f>-AJ18</f>
        <v/>
      </c>
      <c r="AK27" s="526">
        <f>-AK18</f>
        <v/>
      </c>
      <c r="AL27" s="526">
        <f>-AL18</f>
        <v/>
      </c>
      <c r="AM27" s="526">
        <f>-AM18</f>
        <v/>
      </c>
      <c r="AN27" s="526">
        <f>-AN18</f>
        <v/>
      </c>
      <c r="AO27" s="43" t="n"/>
    </row>
    <row r="28" customFormat="1" s="616">
      <c r="A28" s="616" t="inlineStr">
        <is>
          <t>Interest on increase in customers deposits</t>
        </is>
      </c>
      <c r="B28" s="526" t="n">
        <v>0</v>
      </c>
      <c r="C28" s="526" t="n">
        <v>0</v>
      </c>
      <c r="D28" s="526" t="n">
        <v>0</v>
      </c>
      <c r="E28" s="526" t="n">
        <v>0</v>
      </c>
      <c r="F28" s="526" t="n">
        <v>0</v>
      </c>
      <c r="G28" s="526" t="n">
        <v>0</v>
      </c>
      <c r="H28" s="526" t="n">
        <v>0</v>
      </c>
      <c r="I28" s="526" t="n">
        <v>-3</v>
      </c>
      <c r="J28" s="526">
        <f>-J19</f>
        <v/>
      </c>
      <c r="K28" s="526">
        <f>-K19</f>
        <v/>
      </c>
      <c r="L28" s="526">
        <f>-L19</f>
        <v/>
      </c>
      <c r="M28" s="526">
        <f>-M19</f>
        <v/>
      </c>
      <c r="N28" s="526">
        <f>-N19</f>
        <v/>
      </c>
      <c r="O28" s="526">
        <f>-O19</f>
        <v/>
      </c>
      <c r="P28" s="526">
        <f>-P19</f>
        <v/>
      </c>
      <c r="Q28" s="526">
        <f>-Q19</f>
        <v/>
      </c>
      <c r="R28" s="526">
        <f>-R19</f>
        <v/>
      </c>
      <c r="S28" s="526">
        <f>-S19</f>
        <v/>
      </c>
      <c r="T28" s="526">
        <f>-T19</f>
        <v/>
      </c>
      <c r="U28" s="526">
        <f>-U19</f>
        <v/>
      </c>
      <c r="V28" s="526">
        <f>-V19</f>
        <v/>
      </c>
      <c r="W28" s="526">
        <f>-W19</f>
        <v/>
      </c>
      <c r="X28" s="526">
        <f>-X19</f>
        <v/>
      </c>
      <c r="Y28" s="526">
        <f>-Y19</f>
        <v/>
      </c>
      <c r="Z28" s="526">
        <f>-Z19</f>
        <v/>
      </c>
      <c r="AA28" s="526">
        <f>-AA19</f>
        <v/>
      </c>
      <c r="AB28" s="526">
        <f>-AB19</f>
        <v/>
      </c>
      <c r="AC28" s="526">
        <f>-AC19</f>
        <v/>
      </c>
      <c r="AD28" s="526">
        <f>-AD19</f>
        <v/>
      </c>
      <c r="AE28" s="526">
        <f>-AE19</f>
        <v/>
      </c>
      <c r="AF28" s="526">
        <f>-AF19</f>
        <v/>
      </c>
      <c r="AG28" s="526">
        <f>-AG19</f>
        <v/>
      </c>
      <c r="AH28" s="526">
        <f>-AH19</f>
        <v/>
      </c>
      <c r="AI28" s="526">
        <f>-AI19</f>
        <v/>
      </c>
      <c r="AJ28" s="526">
        <f>-AJ19</f>
        <v/>
      </c>
      <c r="AK28" s="526">
        <f>-AK19</f>
        <v/>
      </c>
      <c r="AL28" s="526">
        <f>-AL19</f>
        <v/>
      </c>
      <c r="AM28" s="526">
        <f>-AM19</f>
        <v/>
      </c>
      <c r="AN28" s="526">
        <f>-AN19</f>
        <v/>
      </c>
      <c r="AO28" s="43" t="n"/>
    </row>
    <row r="29" customFormat="1" s="616">
      <c r="A29" s="616" t="inlineStr">
        <is>
          <t>Transfer to special provision account</t>
        </is>
      </c>
      <c r="B29" s="526" t="n">
        <v>0</v>
      </c>
      <c r="C29" s="526" t="n">
        <v>0</v>
      </c>
      <c r="D29" s="526" t="n">
        <v>0</v>
      </c>
      <c r="E29" s="526" t="n">
        <v>0</v>
      </c>
      <c r="F29" s="526" t="n">
        <v>0</v>
      </c>
      <c r="G29" s="526" t="n">
        <v>0</v>
      </c>
      <c r="H29" s="526" t="n">
        <v>0</v>
      </c>
      <c r="I29" s="526" t="n">
        <v>0</v>
      </c>
      <c r="J29" s="526" t="n">
        <v>0</v>
      </c>
      <c r="K29" s="526" t="n">
        <v>0</v>
      </c>
      <c r="L29" s="526" t="n">
        <v>0</v>
      </c>
      <c r="M29" s="526" t="n">
        <v>0</v>
      </c>
      <c r="N29" s="526" t="n">
        <v>0</v>
      </c>
      <c r="O29" s="526" t="n">
        <v>0</v>
      </c>
      <c r="P29" s="526" t="n">
        <v>0</v>
      </c>
      <c r="Q29" s="526" t="n">
        <v>0</v>
      </c>
      <c r="R29" s="526" t="n">
        <v>0</v>
      </c>
      <c r="S29" s="526" t="n">
        <v>0</v>
      </c>
      <c r="T29" s="526" t="n">
        <v>0</v>
      </c>
      <c r="U29" s="526" t="n">
        <v>0</v>
      </c>
      <c r="V29" s="526">
        <f>U29</f>
        <v/>
      </c>
      <c r="W29" s="526">
        <f>V29</f>
        <v/>
      </c>
      <c r="X29" s="526">
        <f>W29</f>
        <v/>
      </c>
      <c r="Y29" s="526">
        <f>X29</f>
        <v/>
      </c>
      <c r="Z29" s="526">
        <f>Y29</f>
        <v/>
      </c>
      <c r="AA29" s="526">
        <f>Z29</f>
        <v/>
      </c>
      <c r="AB29" s="526">
        <f>AA29</f>
        <v/>
      </c>
      <c r="AC29" s="526">
        <f>AB29</f>
        <v/>
      </c>
      <c r="AD29" s="526">
        <f>AC29</f>
        <v/>
      </c>
      <c r="AE29" s="526">
        <f>AD29</f>
        <v/>
      </c>
      <c r="AF29" s="526">
        <f>AE29</f>
        <v/>
      </c>
      <c r="AG29" s="526">
        <f>AF29</f>
        <v/>
      </c>
      <c r="AH29" s="526">
        <f>AG29</f>
        <v/>
      </c>
      <c r="AI29" s="526">
        <f>AH29</f>
        <v/>
      </c>
      <c r="AJ29" s="526">
        <f>AI29</f>
        <v/>
      </c>
      <c r="AK29" s="526">
        <f>AJ29</f>
        <v/>
      </c>
      <c r="AL29" s="526">
        <f>AK29</f>
        <v/>
      </c>
      <c r="AM29" s="526">
        <f>AL29</f>
        <v/>
      </c>
      <c r="AN29" s="526">
        <f>AM29</f>
        <v/>
      </c>
      <c r="AO29" s="43" t="n"/>
    </row>
    <row r="30" customFormat="1" s="616">
      <c r="A30" s="616" t="inlineStr">
        <is>
          <t>Transfer to rate reduction reserve</t>
        </is>
      </c>
      <c r="B30" s="526" t="n">
        <v>-243</v>
      </c>
      <c r="C30" s="526" t="n">
        <v>-283</v>
      </c>
      <c r="D30" s="526" t="n">
        <v>-272</v>
      </c>
      <c r="E30" s="526" t="n">
        <v>-215</v>
      </c>
      <c r="F30" s="526" t="n">
        <v>-174</v>
      </c>
      <c r="G30" s="526" t="n">
        <v>-134</v>
      </c>
      <c r="H30" s="526" t="n">
        <v>-158</v>
      </c>
      <c r="I30" s="526" t="n">
        <v>-290</v>
      </c>
      <c r="J30" s="526" t="n">
        <v>-280</v>
      </c>
      <c r="K30" s="526" t="n">
        <v>-305</v>
      </c>
      <c r="L30" s="526" t="n">
        <v>-319</v>
      </c>
      <c r="M30" s="526" t="n">
        <v>-287</v>
      </c>
      <c r="N30" s="526" t="n">
        <v>-253</v>
      </c>
      <c r="O30" s="526" t="n">
        <v>-274</v>
      </c>
      <c r="P30" s="526" t="n">
        <v>-265</v>
      </c>
      <c r="Q30" s="526" t="n">
        <v>-202</v>
      </c>
      <c r="R30" s="526" t="n">
        <v>-132</v>
      </c>
      <c r="S30" s="526" t="n">
        <v>-3</v>
      </c>
      <c r="T30" s="526" t="n">
        <v>-3</v>
      </c>
      <c r="U30" s="526" t="n">
        <v>-2</v>
      </c>
      <c r="V30" s="526" t="n">
        <v>-2</v>
      </c>
      <c r="W30" s="526" t="n">
        <v>-1</v>
      </c>
      <c r="X30" s="526" t="n">
        <v>8</v>
      </c>
      <c r="Y30" s="526" t="n">
        <v>-2</v>
      </c>
      <c r="Z30" s="526" t="n">
        <v>-2</v>
      </c>
      <c r="AA30" s="526" t="n">
        <v>-4</v>
      </c>
      <c r="AB30" s="526">
        <f>-4-7</f>
        <v/>
      </c>
      <c r="AC30" s="526" t="n">
        <v>-22</v>
      </c>
      <c r="AD30" s="526" t="n">
        <v>-18</v>
      </c>
      <c r="AE30" s="526" t="n">
        <v>-3</v>
      </c>
      <c r="AF30" s="526" t="n">
        <v>-40</v>
      </c>
      <c r="AG30" s="526" t="n">
        <v>-114</v>
      </c>
      <c r="AH30" s="526" t="n">
        <v>-124</v>
      </c>
      <c r="AI30" s="564">
        <f>-'SOC Accounts'!AI32</f>
        <v/>
      </c>
      <c r="AJ30" s="564">
        <f>-'SOC Accounts'!AJ32</f>
        <v/>
      </c>
      <c r="AK30" s="564">
        <f>-'SOC Accounts'!AK32</f>
        <v/>
      </c>
      <c r="AL30" s="564">
        <f>-'SOC Accounts'!AL32</f>
        <v/>
      </c>
      <c r="AM30" s="564">
        <f>-'SOC Accounts'!AM32</f>
        <v/>
      </c>
      <c r="AN30" s="564">
        <f>-'SOC Accounts'!AN32</f>
        <v/>
      </c>
      <c r="AO30" s="43" t="n"/>
    </row>
    <row r="31" customFormat="1" s="616">
      <c r="A31" s="619" t="inlineStr">
        <is>
          <t>Net return</t>
        </is>
      </c>
      <c r="B31" s="605">
        <f>SUM(B25:B30)</f>
        <v/>
      </c>
      <c r="C31" s="605">
        <f>SUM(C25:C30)</f>
        <v/>
      </c>
      <c r="D31" s="605">
        <f>SUM(D25:D30)</f>
        <v/>
      </c>
      <c r="E31" s="605">
        <f>SUM(E25:E30)</f>
        <v/>
      </c>
      <c r="F31" s="605">
        <f>SUM(F25:F30)</f>
        <v/>
      </c>
      <c r="G31" s="605">
        <f>SUM(G25:G30)</f>
        <v/>
      </c>
      <c r="H31" s="605">
        <f>SUM(H25:H30)</f>
        <v/>
      </c>
      <c r="I31" s="605">
        <f>SUM(I25:I30)</f>
        <v/>
      </c>
      <c r="J31" s="605">
        <f>SUM(J25:J30)+J32</f>
        <v/>
      </c>
      <c r="K31" s="605">
        <f>SUM(K25:K30)</f>
        <v/>
      </c>
      <c r="L31" s="605">
        <f>SUM(L25:L30)</f>
        <v/>
      </c>
      <c r="M31" s="605">
        <f>SUM(M25:M30)</f>
        <v/>
      </c>
      <c r="N31" s="605">
        <f>SUM(N25:N30)</f>
        <v/>
      </c>
      <c r="O31" s="605">
        <f>SUM(O25:O30)</f>
        <v/>
      </c>
      <c r="P31" s="605">
        <f>SUM(P25:P30)</f>
        <v/>
      </c>
      <c r="Q31" s="605">
        <f>SUM(Q25:Q30)</f>
        <v/>
      </c>
      <c r="R31" s="605">
        <f>SUM(R25:R30)</f>
        <v/>
      </c>
      <c r="S31" s="605">
        <f>SUM(S25:S30)</f>
        <v/>
      </c>
      <c r="T31" s="605">
        <f>SUM(T25:T30)</f>
        <v/>
      </c>
      <c r="U31" s="605">
        <f>SUM(U25:U30)</f>
        <v/>
      </c>
      <c r="V31" s="605">
        <f>SUM(V25:V30)</f>
        <v/>
      </c>
      <c r="W31" s="605">
        <f>SUM(W25:W30)</f>
        <v/>
      </c>
      <c r="X31" s="605">
        <f>SUM(X26:X30)+MIN(X21,X25)</f>
        <v/>
      </c>
      <c r="Y31" s="605">
        <f>SUM(Y26:Y30)+MIN(SUM(Y21:Y24),Y25)</f>
        <v/>
      </c>
      <c r="Z31" s="605">
        <f>SUM(Z26:Z30)+MIN(SUM(Z21:Z24),Z25)</f>
        <v/>
      </c>
      <c r="AA31" s="605">
        <f>SUM(AA26:AA30)+MIN(SUM(AA21:AA24),AA25)</f>
        <v/>
      </c>
      <c r="AB31" s="605">
        <f>SUM(AB26:AB30)+MIN(SUM(AB21:AB24),AB25)</f>
        <v/>
      </c>
      <c r="AC31" s="605">
        <f>SUM(AC26:AC30)+MIN(SUM(AC21:AC24),AC25)</f>
        <v/>
      </c>
      <c r="AD31" s="605">
        <f>SUM(AD26:AD30)+MIN(SUM(AD21:AD24),AD25)</f>
        <v/>
      </c>
      <c r="AE31" s="605">
        <f>SUM(AE26:AE30)+MIN(SUM(AE21:AE24),AE25)</f>
        <v/>
      </c>
      <c r="AF31" s="605">
        <f>SUM(AF26:AF30)+MIN(SUM(AF21:AF24),AF25)</f>
        <v/>
      </c>
      <c r="AG31" s="605">
        <f>SUM(AG26:AG30)+MIN(SUM(AG21:AG24),AG25)</f>
        <v/>
      </c>
      <c r="AH31" s="605">
        <f>SUM(AH26:AH30)+MIN(SUM(AH21:AH24),AH25)</f>
        <v/>
      </c>
      <c r="AI31" s="605">
        <f>SUM(AI26:AI30)+MIN(SUM(AI21:AI24),AI25)</f>
        <v/>
      </c>
      <c r="AJ31" s="605">
        <f>SUM(AJ26:AJ30)+MIN(SUM(AJ21:AJ24),AJ25)</f>
        <v/>
      </c>
      <c r="AK31" s="605">
        <f>SUM(AK26:AK30)+MIN(SUM(AK21:AK24),AK25)</f>
        <v/>
      </c>
      <c r="AL31" s="605">
        <f>SUM(AL26:AL30)+MIN(SUM(AL21:AL24),AL25)</f>
        <v/>
      </c>
      <c r="AM31" s="605">
        <f>SUM(AM26:AM30)+MIN(SUM(AM21:AM24),AM25)</f>
        <v/>
      </c>
      <c r="AN31" s="605">
        <f>SUM(AN26:AN30)+MIN(SUM(AN21:AN24),AN25)</f>
        <v/>
      </c>
      <c r="AO31" s="43" t="n"/>
    </row>
    <row r="32">
      <c r="A32" s="43" t="inlineStr">
        <is>
          <t>Contribution to CESF / EEF</t>
        </is>
      </c>
      <c r="B32" s="32" t="n"/>
      <c r="C32" s="183" t="n"/>
      <c r="D32" s="183" t="n"/>
      <c r="E32" s="183" t="n"/>
      <c r="F32" s="32" t="n"/>
      <c r="G32" s="32" t="n"/>
      <c r="H32" s="32" t="n"/>
      <c r="I32" s="32" t="n"/>
      <c r="J32" s="32" t="n"/>
      <c r="K32" s="32" t="n"/>
      <c r="L32" s="32" t="n"/>
      <c r="M32" s="32" t="n"/>
      <c r="N32" s="32" t="n"/>
      <c r="O32" s="32" t="n"/>
      <c r="P32" s="32" t="n"/>
      <c r="Q32" s="32" t="n"/>
      <c r="R32" s="32" t="n"/>
      <c r="S32" s="32" t="n"/>
      <c r="T32" s="32" t="n"/>
      <c r="U32" s="32" t="n"/>
      <c r="V32" s="32" t="n"/>
      <c r="W32" s="568" t="n"/>
      <c r="X32" s="568" t="n"/>
      <c r="Y32" s="568" t="n"/>
      <c r="Z32" s="568" t="n"/>
      <c r="AA32" s="526" t="n">
        <v>-22</v>
      </c>
      <c r="AB32" s="526">
        <f>-16-48</f>
        <v/>
      </c>
      <c r="AC32" s="526" t="n">
        <v>-195</v>
      </c>
      <c r="AD32" s="526" t="n">
        <v>-201</v>
      </c>
      <c r="AE32" s="526" t="n">
        <v>-208</v>
      </c>
      <c r="AF32" s="526" t="n">
        <v>-218</v>
      </c>
      <c r="AG32" s="526" t="n">
        <v>-230</v>
      </c>
      <c r="AH32" s="526" t="n">
        <v>-238</v>
      </c>
      <c r="AI32" s="564">
        <f>AI18*AH32/AH18</f>
        <v/>
      </c>
      <c r="AJ32" s="564">
        <f>AJ18*AI32/AI18</f>
        <v/>
      </c>
      <c r="AK32" s="564">
        <f>AK18*AJ32/AJ18</f>
        <v/>
      </c>
      <c r="AL32" s="564">
        <f>AL18*AK32/AK18</f>
        <v/>
      </c>
      <c r="AM32" s="564">
        <f>AM18*AL32/AL18</f>
        <v/>
      </c>
      <c r="AN32" s="564">
        <f>AN18*AM32/AM18</f>
        <v/>
      </c>
      <c r="AO32" s="43" t="n"/>
    </row>
    <row r="33">
      <c r="A33" s="62" t="inlineStr">
        <is>
          <t>Net return</t>
        </is>
      </c>
      <c r="AA33" s="597">
        <f>SUM(AA31:AA32)</f>
        <v/>
      </c>
      <c r="AB33" s="597">
        <f>SUM(AB31:AB32)</f>
        <v/>
      </c>
      <c r="AC33" s="597">
        <f>SUM(AC31:AC32)</f>
        <v/>
      </c>
      <c r="AD33" s="597">
        <f>SUM(AD31:AD32)</f>
        <v/>
      </c>
      <c r="AE33" s="597">
        <f>SUM(AE31:AE32)</f>
        <v/>
      </c>
      <c r="AF33" s="597">
        <f>SUM(AF31:AF32)</f>
        <v/>
      </c>
      <c r="AG33" s="597">
        <f>SUM(AG31:AG32)</f>
        <v/>
      </c>
      <c r="AH33" s="597">
        <f>SUM(AH31:AH32)</f>
        <v/>
      </c>
      <c r="AI33" s="597">
        <f>SUM(AI31:AI32)</f>
        <v/>
      </c>
      <c r="AJ33" s="597">
        <f>SUM(AJ31:AJ32)</f>
        <v/>
      </c>
      <c r="AK33" s="597">
        <f>SUM(AK31:AK32)</f>
        <v/>
      </c>
      <c r="AL33" s="597">
        <f>SUM(AL31:AL32)</f>
        <v/>
      </c>
      <c r="AM33" s="597">
        <f>SUM(AM31:AM32)</f>
        <v/>
      </c>
      <c r="AN33" s="597">
        <f>SUM(AN31:AN32)</f>
        <v/>
      </c>
      <c r="AO33" s="43" t="n"/>
    </row>
    <row r="34">
      <c r="AA34" s="568" t="n"/>
      <c r="AB34" s="568" t="n"/>
      <c r="AC34" s="568">
        <f>AC33/AB33-1</f>
        <v/>
      </c>
      <c r="AD34" s="568">
        <f>AD33/AC33-1</f>
        <v/>
      </c>
      <c r="AE34" s="568">
        <f>AE33/AD33-1</f>
        <v/>
      </c>
      <c r="AF34" s="568">
        <f>AF33/AE33-1</f>
        <v/>
      </c>
      <c r="AG34" s="568">
        <f>AG33/AF33-1</f>
        <v/>
      </c>
      <c r="AH34" s="568">
        <f>AH33/AG33-1</f>
        <v/>
      </c>
      <c r="AI34" s="568">
        <f>AI33/AH33-1</f>
        <v/>
      </c>
      <c r="AJ34" s="568">
        <f>AJ33/AI33-1</f>
        <v/>
      </c>
      <c r="AK34" s="568">
        <f>AK33/AJ33-1</f>
        <v/>
      </c>
      <c r="AL34" s="568">
        <f>AL33/AK33-1</f>
        <v/>
      </c>
      <c r="AM34" s="568">
        <f>AM33/AL33-1</f>
        <v/>
      </c>
      <c r="AN34" s="568">
        <f>AN33/AM33-1</f>
        <v/>
      </c>
    </row>
    <row r="35" customFormat="1" s="526">
      <c r="A35" s="6" t="inlineStr">
        <is>
          <t>Profits split between CLP and CAPCO</t>
        </is>
      </c>
      <c r="B35" s="594" t="n"/>
      <c r="C35" s="594" t="n"/>
      <c r="D35" s="594" t="n"/>
      <c r="E35" s="594" t="n"/>
      <c r="F35" s="594" t="n"/>
      <c r="G35" s="594" t="n"/>
      <c r="H35" s="594" t="n"/>
      <c r="I35" s="594" t="n"/>
      <c r="J35" s="594" t="n"/>
      <c r="K35" s="594" t="n"/>
      <c r="L35" s="594" t="n"/>
      <c r="M35" s="594" t="n"/>
      <c r="N35" s="594" t="n"/>
      <c r="O35" s="594" t="n"/>
      <c r="P35" s="594" t="n"/>
      <c r="Q35" s="594" t="n"/>
      <c r="R35" s="594" t="n"/>
      <c r="S35" s="594" t="n"/>
      <c r="T35" s="594" t="n"/>
      <c r="U35" s="594" t="n"/>
      <c r="V35" s="594" t="n"/>
      <c r="W35" s="594" t="n"/>
      <c r="X35" s="594" t="n"/>
      <c r="Y35" s="594" t="n"/>
      <c r="Z35" s="594" t="n"/>
      <c r="AA35" s="594" t="n"/>
      <c r="AB35" s="594" t="n"/>
      <c r="AC35" s="594" t="n"/>
      <c r="AD35" s="594" t="n"/>
      <c r="AE35" s="594" t="n"/>
      <c r="AF35" s="594" t="n"/>
      <c r="AG35" s="594" t="n"/>
      <c r="AH35" s="594" t="n"/>
      <c r="AI35" s="594" t="n"/>
      <c r="AJ35" s="594" t="n"/>
      <c r="AK35" s="594" t="n"/>
      <c r="AL35" s="594" t="n"/>
      <c r="AM35" s="594" t="n"/>
      <c r="AN35" s="594" t="n"/>
    </row>
    <row r="36" customFormat="1" s="446">
      <c r="A36" s="446" t="inlineStr">
        <is>
          <t>CLP Power HK portion (%)</t>
        </is>
      </c>
      <c r="B36" s="446">
        <f>B39/B$41</f>
        <v/>
      </c>
      <c r="C36" s="446">
        <f>C39/C$41</f>
        <v/>
      </c>
      <c r="D36" s="446">
        <f>D39/D$41</f>
        <v/>
      </c>
      <c r="E36" s="446">
        <f>E39/E$41</f>
        <v/>
      </c>
      <c r="F36" s="446">
        <f>F39/F$41</f>
        <v/>
      </c>
      <c r="G36" s="446">
        <f>G39/G$41</f>
        <v/>
      </c>
      <c r="H36" s="446">
        <f>H39/H$41</f>
        <v/>
      </c>
      <c r="I36" s="446">
        <f>I39/I$41</f>
        <v/>
      </c>
      <c r="J36" s="446">
        <f>J39/J$41</f>
        <v/>
      </c>
      <c r="K36" s="446">
        <f>K39/K$41</f>
        <v/>
      </c>
      <c r="L36" s="446">
        <f>L39/L$41</f>
        <v/>
      </c>
      <c r="M36" s="446">
        <f>M39/M$41</f>
        <v/>
      </c>
      <c r="N36" s="446">
        <f>N39/N$41</f>
        <v/>
      </c>
      <c r="O36" s="446">
        <f>O39/O$41</f>
        <v/>
      </c>
      <c r="P36" s="446">
        <f>P39/P$41</f>
        <v/>
      </c>
      <c r="Q36" s="446">
        <f>Q39/Q$41</f>
        <v/>
      </c>
      <c r="R36" s="446">
        <f>R39/R$41</f>
        <v/>
      </c>
      <c r="S36" s="446">
        <f>S39/S$41</f>
        <v/>
      </c>
      <c r="T36" s="446">
        <f>T39/T$41</f>
        <v/>
      </c>
      <c r="U36" s="446">
        <f>U39/U$41</f>
        <v/>
      </c>
      <c r="V36" s="446">
        <f>V39/V$41</f>
        <v/>
      </c>
      <c r="W36" s="446">
        <f>W39/W$41</f>
        <v/>
      </c>
      <c r="X36" s="446">
        <f>X39/X$41</f>
        <v/>
      </c>
      <c r="Y36" s="446">
        <f>Y39/Y$41</f>
        <v/>
      </c>
      <c r="Z36" s="446">
        <f>Z39/Z$41</f>
        <v/>
      </c>
      <c r="AA36" s="446">
        <f>AA39/AA$41</f>
        <v/>
      </c>
      <c r="AB36" s="446">
        <f>AB39/AB$41</f>
        <v/>
      </c>
      <c r="AC36" s="446">
        <f>AC39/AC$41</f>
        <v/>
      </c>
      <c r="AD36" s="446">
        <f>AD39/AD$41</f>
        <v/>
      </c>
      <c r="AE36" s="446">
        <f>AE39/AE$41</f>
        <v/>
      </c>
      <c r="AF36" s="446">
        <f>AF39/AF$41</f>
        <v/>
      </c>
      <c r="AG36" s="446">
        <f>AG39/AG$41</f>
        <v/>
      </c>
      <c r="AH36" s="446">
        <f>AH39/AH$41</f>
        <v/>
      </c>
      <c r="AI36" s="261">
        <f>AH36+0.005</f>
        <v/>
      </c>
      <c r="AJ36" s="261">
        <f>AI36+0.005</f>
        <v/>
      </c>
      <c r="AK36" s="261">
        <f>AJ36+0.005</f>
        <v/>
      </c>
      <c r="AL36" s="261">
        <f>AK36+0.005</f>
        <v/>
      </c>
      <c r="AM36" s="261">
        <f>AL36+0.005</f>
        <v/>
      </c>
      <c r="AN36" s="261">
        <f>AM36+0.005</f>
        <v/>
      </c>
      <c r="AO36" s="43" t="n"/>
    </row>
    <row r="37" customFormat="1" s="446">
      <c r="A37" s="446" t="inlineStr">
        <is>
          <t>CAPCO portion (%)</t>
        </is>
      </c>
      <c r="B37" s="446">
        <f>B40/B$41</f>
        <v/>
      </c>
      <c r="C37" s="446">
        <f>C40/C$41</f>
        <v/>
      </c>
      <c r="D37" s="446">
        <f>D40/D$41</f>
        <v/>
      </c>
      <c r="E37" s="446">
        <f>E40/E$41</f>
        <v/>
      </c>
      <c r="F37" s="446">
        <f>F40/F$41</f>
        <v/>
      </c>
      <c r="G37" s="446">
        <f>G40/G$41</f>
        <v/>
      </c>
      <c r="H37" s="446">
        <f>H40/H$41</f>
        <v/>
      </c>
      <c r="I37" s="446">
        <f>I40/I$41</f>
        <v/>
      </c>
      <c r="J37" s="446">
        <f>J40/J$41</f>
        <v/>
      </c>
      <c r="K37" s="446">
        <f>K40/K$41</f>
        <v/>
      </c>
      <c r="L37" s="446">
        <f>L40/L$41</f>
        <v/>
      </c>
      <c r="M37" s="446">
        <f>M40/M$41</f>
        <v/>
      </c>
      <c r="N37" s="446">
        <f>N40/N$41</f>
        <v/>
      </c>
      <c r="O37" s="446">
        <f>O40/O$41</f>
        <v/>
      </c>
      <c r="P37" s="446">
        <f>1-P36</f>
        <v/>
      </c>
      <c r="Q37" s="446">
        <f>1-Q36</f>
        <v/>
      </c>
      <c r="R37" s="446">
        <f>1-R36</f>
        <v/>
      </c>
      <c r="S37" s="446">
        <f>1-S36</f>
        <v/>
      </c>
      <c r="T37" s="446">
        <f>1-T36</f>
        <v/>
      </c>
      <c r="U37" s="446">
        <f>1-U36</f>
        <v/>
      </c>
      <c r="V37" s="446">
        <f>1-V36</f>
        <v/>
      </c>
      <c r="W37" s="446">
        <f>1-W36</f>
        <v/>
      </c>
      <c r="X37" s="446">
        <f>1-X36</f>
        <v/>
      </c>
      <c r="Y37" s="446">
        <f>1-Y36</f>
        <v/>
      </c>
      <c r="Z37" s="446">
        <f>1-Z36</f>
        <v/>
      </c>
      <c r="AA37" s="446">
        <f>1-AA36</f>
        <v/>
      </c>
      <c r="AB37" s="446">
        <f>1-AB36</f>
        <v/>
      </c>
      <c r="AC37" s="446">
        <f>1-AC36</f>
        <v/>
      </c>
      <c r="AD37" s="446">
        <f>1-AD36</f>
        <v/>
      </c>
      <c r="AE37" s="446">
        <f>1-AE36</f>
        <v/>
      </c>
      <c r="AF37" s="446">
        <f>1-AF36</f>
        <v/>
      </c>
      <c r="AG37" s="446">
        <f>1-AG36</f>
        <v/>
      </c>
      <c r="AH37" s="446">
        <f>1-AH36</f>
        <v/>
      </c>
      <c r="AI37" s="446">
        <f>1-AI36</f>
        <v/>
      </c>
      <c r="AJ37" s="446">
        <f>1-AJ36</f>
        <v/>
      </c>
      <c r="AK37" s="446">
        <f>1-AK36</f>
        <v/>
      </c>
      <c r="AL37" s="446">
        <f>1-AL36</f>
        <v/>
      </c>
      <c r="AM37" s="446">
        <f>1-AM36</f>
        <v/>
      </c>
      <c r="AN37" s="446">
        <f>1-AN36</f>
        <v/>
      </c>
      <c r="AO37" s="43" t="n"/>
    </row>
    <row r="38">
      <c r="B38" s="183" t="n"/>
      <c r="C38" s="183" t="n"/>
      <c r="D38" s="183" t="n"/>
      <c r="E38" s="183" t="n"/>
      <c r="F38" s="183"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c r="AD38" s="32" t="n"/>
      <c r="AE38" s="32" t="n"/>
      <c r="AF38" s="32" t="n"/>
      <c r="AG38" s="32" t="n"/>
      <c r="AH38" s="32" t="n"/>
      <c r="AI38" s="32" t="n"/>
      <c r="AJ38" s="32" t="n"/>
      <c r="AK38" s="32" t="n"/>
      <c r="AL38" s="32" t="n"/>
      <c r="AM38" s="32" t="n"/>
      <c r="AN38" s="32" t="n"/>
    </row>
    <row r="39">
      <c r="A39" s="186" t="inlineStr">
        <is>
          <t>CLP Power HK (T&amp;D)</t>
        </is>
      </c>
      <c r="B39" s="512" t="n">
        <v>2048</v>
      </c>
      <c r="C39" s="512" t="n">
        <v>2320</v>
      </c>
      <c r="D39" s="512" t="n">
        <v>2629</v>
      </c>
      <c r="E39" s="512" t="n">
        <v>2973</v>
      </c>
      <c r="F39" s="512" t="n">
        <v>3265</v>
      </c>
      <c r="G39" s="512" t="n">
        <v>3514</v>
      </c>
      <c r="H39" s="512" t="n">
        <v>3712</v>
      </c>
      <c r="I39" s="512">
        <f>960+3803</f>
        <v/>
      </c>
      <c r="J39" s="512" t="n">
        <v>3955</v>
      </c>
      <c r="K39" s="512" t="n">
        <v>4188</v>
      </c>
      <c r="L39" s="512" t="n">
        <v>4517</v>
      </c>
      <c r="M39" s="512" t="n">
        <v>4895</v>
      </c>
      <c r="N39" s="512" t="n">
        <v>5363</v>
      </c>
      <c r="O39" s="512" t="n">
        <v>5626</v>
      </c>
      <c r="P39" s="512" t="n">
        <v>5878</v>
      </c>
      <c r="Q39" s="512" t="n">
        <v>6242</v>
      </c>
      <c r="R39" s="512">
        <f>1174+5041</f>
        <v/>
      </c>
      <c r="S39" s="512" t="n">
        <v>4894</v>
      </c>
      <c r="T39" s="512" t="n">
        <v>4985</v>
      </c>
      <c r="U39" s="512" t="n">
        <v>5139</v>
      </c>
      <c r="V39" s="512" t="n">
        <v>5425</v>
      </c>
      <c r="W39" s="512" t="n">
        <v>5744</v>
      </c>
      <c r="X39" s="512" t="n">
        <v>6070</v>
      </c>
      <c r="Y39" s="512" t="n">
        <v>6319</v>
      </c>
      <c r="Z39" s="512" t="n">
        <v>6547</v>
      </c>
      <c r="AA39" s="512" t="n">
        <v>6763</v>
      </c>
      <c r="AB39" s="526">
        <f>5149+1369</f>
        <v/>
      </c>
      <c r="AC39" s="526" t="n">
        <v>5582</v>
      </c>
      <c r="AD39" s="526" t="n">
        <v>5769</v>
      </c>
      <c r="AE39" s="526" t="n">
        <v>6078</v>
      </c>
      <c r="AF39" s="526" t="n">
        <v>6239</v>
      </c>
      <c r="AG39" s="526" t="n">
        <v>6351</v>
      </c>
      <c r="AH39" s="526" t="n">
        <v>6536</v>
      </c>
      <c r="AI39" s="564">
        <f>AI$33*AI36</f>
        <v/>
      </c>
      <c r="AJ39" s="564">
        <f>AJ$33*AJ36</f>
        <v/>
      </c>
      <c r="AK39" s="564">
        <f>AK$33*AK36</f>
        <v/>
      </c>
      <c r="AL39" s="564">
        <f>AL$33*AL36</f>
        <v/>
      </c>
      <c r="AM39" s="564">
        <f>AM$33*AM36</f>
        <v/>
      </c>
      <c r="AN39" s="564">
        <f>AN$33*AN36</f>
        <v/>
      </c>
    </row>
    <row r="40">
      <c r="A40" s="43" t="inlineStr">
        <is>
          <t>CAPCO (Generation)</t>
        </is>
      </c>
      <c r="B40" s="512" t="n">
        <v>1999</v>
      </c>
      <c r="C40" s="512" t="n">
        <v>2137</v>
      </c>
      <c r="D40" s="512" t="n">
        <v>2466</v>
      </c>
      <c r="E40" s="512" t="n">
        <v>2726</v>
      </c>
      <c r="F40" s="512" t="n">
        <v>2965</v>
      </c>
      <c r="G40" s="584" t="n">
        <v>3104</v>
      </c>
      <c r="H40" s="584" t="n">
        <v>3137</v>
      </c>
      <c r="I40" s="512">
        <f>3115+758</f>
        <v/>
      </c>
      <c r="J40" s="584" t="n">
        <v>2969</v>
      </c>
      <c r="K40" s="584" t="n">
        <v>3074</v>
      </c>
      <c r="L40" s="584" t="n">
        <v>3232</v>
      </c>
      <c r="M40" s="584" t="n">
        <v>3456</v>
      </c>
      <c r="N40" s="584" t="n">
        <v>3552</v>
      </c>
      <c r="O40" s="584" t="n">
        <v>3542</v>
      </c>
      <c r="P40" s="584" t="n">
        <v>3520</v>
      </c>
      <c r="Q40" s="584" t="n">
        <v>3515</v>
      </c>
      <c r="R40" s="584">
        <f>2710+618</f>
        <v/>
      </c>
      <c r="S40" s="584" t="n">
        <v>2674</v>
      </c>
      <c r="T40" s="584" t="n">
        <v>2860</v>
      </c>
      <c r="U40" s="584" t="n">
        <v>2999</v>
      </c>
      <c r="V40" s="584" t="n">
        <v>3074</v>
      </c>
      <c r="W40" s="584" t="n">
        <v>3054</v>
      </c>
      <c r="X40" s="584" t="n">
        <v>3080</v>
      </c>
      <c r="Y40" s="584" t="n">
        <v>3096</v>
      </c>
      <c r="Z40" s="584" t="n">
        <v>3110</v>
      </c>
      <c r="AA40" s="584" t="n">
        <v>3114</v>
      </c>
      <c r="AB40" s="526">
        <f>2367+654</f>
        <v/>
      </c>
      <c r="AC40" s="526" t="n">
        <v>2707</v>
      </c>
      <c r="AD40" s="526" t="n">
        <v>2824</v>
      </c>
      <c r="AE40" s="526" t="n">
        <v>2985</v>
      </c>
      <c r="AF40" s="526" t="n">
        <v>3177</v>
      </c>
      <c r="AG40" s="526" t="n">
        <v>3229</v>
      </c>
      <c r="AH40" s="526" t="n">
        <v>3115</v>
      </c>
      <c r="AI40" s="564">
        <f>AI$33*AI37</f>
        <v/>
      </c>
      <c r="AJ40" s="564">
        <f>AJ$33*AJ37</f>
        <v/>
      </c>
      <c r="AK40" s="564">
        <f>AK$33*AK37</f>
        <v/>
      </c>
      <c r="AL40" s="564">
        <f>AL$33*AL37</f>
        <v/>
      </c>
      <c r="AM40" s="564">
        <f>AM$33*AM37</f>
        <v/>
      </c>
      <c r="AN40" s="564">
        <f>AN$33*AN37</f>
        <v/>
      </c>
    </row>
    <row r="41" customFormat="1" s="62">
      <c r="A41" s="109" t="inlineStr">
        <is>
          <t>Total net return</t>
        </is>
      </c>
      <c r="B41" s="605">
        <f>SUM(B39:B40)</f>
        <v/>
      </c>
      <c r="C41" s="605">
        <f>SUM(C39:C40)</f>
        <v/>
      </c>
      <c r="D41" s="605">
        <f>SUM(D39:D40)</f>
        <v/>
      </c>
      <c r="E41" s="605">
        <f>SUM(E39:E40)</f>
        <v/>
      </c>
      <c r="F41" s="605">
        <f>SUM(F39:F40)</f>
        <v/>
      </c>
      <c r="G41" s="605">
        <f>SUM(G39:G40)</f>
        <v/>
      </c>
      <c r="H41" s="605">
        <f>SUM(H39:H40)</f>
        <v/>
      </c>
      <c r="I41" s="605">
        <f>SUM(I39:I40)</f>
        <v/>
      </c>
      <c r="J41" s="605">
        <f>SUM(J39:J40)</f>
        <v/>
      </c>
      <c r="K41" s="605">
        <f>SUM(K39:K40)</f>
        <v/>
      </c>
      <c r="L41" s="605">
        <f>SUM(L39:L40)</f>
        <v/>
      </c>
      <c r="M41" s="605">
        <f>SUM(M39:M40)</f>
        <v/>
      </c>
      <c r="N41" s="605">
        <f>SUM(N39:N40)</f>
        <v/>
      </c>
      <c r="O41" s="605">
        <f>SUM(O39:O40)</f>
        <v/>
      </c>
      <c r="P41" s="605">
        <f>SUM(P39:P40)</f>
        <v/>
      </c>
      <c r="Q41" s="605">
        <f>SUM(Q39:Q40)</f>
        <v/>
      </c>
      <c r="R41" s="605">
        <f>SUM(R39:R40)</f>
        <v/>
      </c>
      <c r="S41" s="605">
        <f>SUM(S39:S40)</f>
        <v/>
      </c>
      <c r="T41" s="605">
        <f>SUM(T39:T40)</f>
        <v/>
      </c>
      <c r="U41" s="605">
        <f>SUM(U39:U40)</f>
        <v/>
      </c>
      <c r="V41" s="605">
        <f>SUM(V39:V40)</f>
        <v/>
      </c>
      <c r="W41" s="605">
        <f>SUM(W39:W40)</f>
        <v/>
      </c>
      <c r="X41" s="605">
        <f>SUM(X39:X40)</f>
        <v/>
      </c>
      <c r="Y41" s="605">
        <f>SUM(Y39:Y40)</f>
        <v/>
      </c>
      <c r="Z41" s="605">
        <f>SUM(Z39:Z40)</f>
        <v/>
      </c>
      <c r="AA41" s="605">
        <f>SUM(AA39:AA40)</f>
        <v/>
      </c>
      <c r="AB41" s="605">
        <f>SUM(AB39:AB40)</f>
        <v/>
      </c>
      <c r="AC41" s="605">
        <f>SUM(AC39:AC40)</f>
        <v/>
      </c>
      <c r="AD41" s="605">
        <f>SUM(AD39:AD40)</f>
        <v/>
      </c>
      <c r="AE41" s="605">
        <f>SUM(AE39:AE40)</f>
        <v/>
      </c>
      <c r="AF41" s="605">
        <f>SUM(AF39:AF40)</f>
        <v/>
      </c>
      <c r="AG41" s="605">
        <f>SUM(AG39:AG40)</f>
        <v/>
      </c>
      <c r="AH41" s="605">
        <f>SUM(AH39:AH40)</f>
        <v/>
      </c>
      <c r="AI41" s="605">
        <f>SUM(AI39:AI40)</f>
        <v/>
      </c>
      <c r="AJ41" s="605">
        <f>SUM(AJ39:AJ40)</f>
        <v/>
      </c>
      <c r="AK41" s="605">
        <f>SUM(AK39:AK40)</f>
        <v/>
      </c>
      <c r="AL41" s="605">
        <f>SUM(AL39:AL40)</f>
        <v/>
      </c>
      <c r="AM41" s="605">
        <f>SUM(AM39:AM40)</f>
        <v/>
      </c>
      <c r="AN41" s="605">
        <f>SUM(AN39:AN40)</f>
        <v/>
      </c>
      <c r="AO41" s="445" t="n"/>
    </row>
    <row r="43">
      <c r="A43" s="43" t="inlineStr">
        <is>
          <t>CLP's portion in CAPCO</t>
        </is>
      </c>
      <c r="B43" s="446">
        <f>B45/B40</f>
        <v/>
      </c>
      <c r="C43" s="446">
        <f>C45/C40</f>
        <v/>
      </c>
      <c r="D43" s="446">
        <f>D45/D40</f>
        <v/>
      </c>
      <c r="E43" s="446">
        <f>E45/E40</f>
        <v/>
      </c>
      <c r="F43" s="446">
        <f>F45/F40</f>
        <v/>
      </c>
      <c r="G43" s="446">
        <f>G45/G40</f>
        <v/>
      </c>
      <c r="H43" s="446">
        <f>H45/H40</f>
        <v/>
      </c>
      <c r="I43" s="446">
        <f>I45/I40</f>
        <v/>
      </c>
      <c r="J43" s="446">
        <f>J45/J40</f>
        <v/>
      </c>
      <c r="K43" s="446">
        <f>K45/K40</f>
        <v/>
      </c>
      <c r="L43" s="446">
        <f>L45/L40</f>
        <v/>
      </c>
      <c r="M43" s="446">
        <f>M45/M40</f>
        <v/>
      </c>
      <c r="N43" s="446">
        <f>N45/N40</f>
        <v/>
      </c>
      <c r="O43" s="446">
        <f>O45/O40</f>
        <v/>
      </c>
      <c r="P43" s="446">
        <f>P45/P40</f>
        <v/>
      </c>
      <c r="Q43" s="446">
        <f>Q45/Q40</f>
        <v/>
      </c>
      <c r="R43" s="446">
        <f>R45/R40</f>
        <v/>
      </c>
      <c r="S43" s="446">
        <f>S45/S40</f>
        <v/>
      </c>
      <c r="T43" s="446">
        <f>T45/T40</f>
        <v/>
      </c>
      <c r="U43" s="446">
        <f>U45/U40</f>
        <v/>
      </c>
      <c r="V43" s="446">
        <f>V45/V40</f>
        <v/>
      </c>
      <c r="W43" s="446">
        <f>W45/W40</f>
        <v/>
      </c>
      <c r="X43" s="446">
        <f>X45/X40</f>
        <v/>
      </c>
      <c r="Y43" s="446">
        <f>Y45/Y40</f>
        <v/>
      </c>
      <c r="Z43" s="446">
        <f>Z45/Z40</f>
        <v/>
      </c>
      <c r="AA43" s="446">
        <f>AA45/AA40</f>
        <v/>
      </c>
      <c r="AB43" s="446">
        <f>AB45/AB40</f>
        <v/>
      </c>
      <c r="AC43" s="446">
        <f>AC45/AC40</f>
        <v/>
      </c>
      <c r="AD43" s="446">
        <f>AD45/AD40</f>
        <v/>
      </c>
      <c r="AE43" s="446">
        <f>AE45/AE40</f>
        <v/>
      </c>
      <c r="AF43" s="446">
        <f>AF45/AF40</f>
        <v/>
      </c>
      <c r="AG43" s="446">
        <f>AG45/AG40</f>
        <v/>
      </c>
      <c r="AH43" s="446">
        <f>AH45/AH40</f>
        <v/>
      </c>
      <c r="AI43" s="261">
        <f>AH43</f>
        <v/>
      </c>
      <c r="AJ43" s="261">
        <f>AI43</f>
        <v/>
      </c>
      <c r="AK43" s="261">
        <f>AJ43</f>
        <v/>
      </c>
      <c r="AL43" s="261">
        <f>AK43</f>
        <v/>
      </c>
      <c r="AM43" s="261">
        <f>AL43</f>
        <v/>
      </c>
      <c r="AN43" s="261">
        <f>AM43</f>
        <v/>
      </c>
      <c r="AR43" s="23" t="n"/>
      <c r="AS43" s="23" t="n"/>
      <c r="AT43" s="23" t="n"/>
      <c r="AU43" s="23" t="n"/>
      <c r="AV43" s="23" t="n"/>
      <c r="AW43" s="23" t="n"/>
      <c r="AX43" s="23" t="n"/>
    </row>
    <row r="44">
      <c r="A44" s="43" t="inlineStr">
        <is>
          <t>CLP's share in CLP Power HK</t>
        </is>
      </c>
      <c r="B44" s="526">
        <f>B39</f>
        <v/>
      </c>
      <c r="C44" s="526">
        <f>C39</f>
        <v/>
      </c>
      <c r="D44" s="526">
        <f>D39</f>
        <v/>
      </c>
      <c r="E44" s="526">
        <f>E39</f>
        <v/>
      </c>
      <c r="F44" s="526">
        <f>F39</f>
        <v/>
      </c>
      <c r="G44" s="526">
        <f>G39</f>
        <v/>
      </c>
      <c r="H44" s="512">
        <f>H39</f>
        <v/>
      </c>
      <c r="I44" s="512">
        <f>I39</f>
        <v/>
      </c>
      <c r="J44" s="512">
        <f>J39</f>
        <v/>
      </c>
      <c r="K44" s="512">
        <f>K39</f>
        <v/>
      </c>
      <c r="L44" s="512">
        <f>L39</f>
        <v/>
      </c>
      <c r="M44" s="512">
        <f>M39</f>
        <v/>
      </c>
      <c r="N44" s="512" t="n">
        <v>5363</v>
      </c>
      <c r="O44" s="512" t="n">
        <v>5626</v>
      </c>
      <c r="P44" s="512">
        <f>P39</f>
        <v/>
      </c>
      <c r="Q44" s="512">
        <f>Q39</f>
        <v/>
      </c>
      <c r="R44" s="512">
        <f>R39</f>
        <v/>
      </c>
      <c r="S44" s="512">
        <f>S39</f>
        <v/>
      </c>
      <c r="T44" s="512">
        <f>T39</f>
        <v/>
      </c>
      <c r="U44" s="512">
        <f>U39</f>
        <v/>
      </c>
      <c r="V44" s="512">
        <f>V39</f>
        <v/>
      </c>
      <c r="W44" s="512">
        <f>W39</f>
        <v/>
      </c>
      <c r="X44" s="512">
        <f>X39</f>
        <v/>
      </c>
      <c r="Y44" s="512">
        <f>Y39</f>
        <v/>
      </c>
      <c r="Z44" s="512">
        <f>Z39</f>
        <v/>
      </c>
      <c r="AA44" s="512" t="n">
        <v>6763</v>
      </c>
      <c r="AB44" s="526">
        <f>AB39</f>
        <v/>
      </c>
      <c r="AC44" s="526" t="n">
        <v>5582</v>
      </c>
      <c r="AD44" s="526" t="n">
        <v>5769</v>
      </c>
      <c r="AE44" s="526" t="n">
        <v>6078</v>
      </c>
      <c r="AF44" s="526" t="n">
        <v>6239</v>
      </c>
      <c r="AG44" s="526" t="n">
        <v>6351</v>
      </c>
      <c r="AH44" s="526" t="n">
        <v>6536</v>
      </c>
      <c r="AI44" s="564">
        <f>AI39</f>
        <v/>
      </c>
      <c r="AJ44" s="564">
        <f>AJ39</f>
        <v/>
      </c>
      <c r="AK44" s="564">
        <f>AK39</f>
        <v/>
      </c>
      <c r="AL44" s="564">
        <f>AL39</f>
        <v/>
      </c>
      <c r="AM44" s="564">
        <f>AM39</f>
        <v/>
      </c>
      <c r="AN44" s="564">
        <f>AN39</f>
        <v/>
      </c>
      <c r="AR44" s="23" t="n"/>
      <c r="AS44" s="23" t="n"/>
      <c r="AT44" s="23" t="n"/>
      <c r="AU44" s="23" t="n"/>
      <c r="AV44" s="23" t="n"/>
      <c r="AW44" s="23" t="n"/>
      <c r="AX44" s="23" t="n"/>
    </row>
    <row r="45">
      <c r="A45" s="43" t="inlineStr">
        <is>
          <t>CLP's share in CAPCO</t>
        </is>
      </c>
      <c r="B45" s="526" t="n">
        <v>806</v>
      </c>
      <c r="C45" s="526" t="n">
        <v>859</v>
      </c>
      <c r="D45" s="526" t="n">
        <v>991</v>
      </c>
      <c r="E45" s="526" t="n">
        <v>1094</v>
      </c>
      <c r="F45" s="526" t="n">
        <v>1190</v>
      </c>
      <c r="G45" s="526">
        <f>G40*0.4+4</f>
        <v/>
      </c>
      <c r="H45" s="512">
        <f>H40*0.4+4</f>
        <v/>
      </c>
      <c r="I45" s="512">
        <f>I40*0.4+4</f>
        <v/>
      </c>
      <c r="J45" s="512">
        <f>J40*0.4+4</f>
        <v/>
      </c>
      <c r="K45" s="512">
        <f>K40*0.4+4</f>
        <v/>
      </c>
      <c r="L45" s="512">
        <f>L40*0.4+4</f>
        <v/>
      </c>
      <c r="M45" s="512" t="n">
        <v>1386</v>
      </c>
      <c r="N45" s="512" t="n">
        <v>1425</v>
      </c>
      <c r="O45" s="512" t="n">
        <v>1421</v>
      </c>
      <c r="P45" s="512" t="n">
        <v>1412</v>
      </c>
      <c r="Q45" s="512" t="n">
        <v>1410</v>
      </c>
      <c r="R45" s="512">
        <f>247+1087</f>
        <v/>
      </c>
      <c r="S45" s="512" t="n">
        <v>1070</v>
      </c>
      <c r="T45" s="512" t="n">
        <v>1144</v>
      </c>
      <c r="U45" s="512" t="n">
        <v>1200</v>
      </c>
      <c r="V45" s="512" t="n">
        <v>1229</v>
      </c>
      <c r="W45" s="512" t="n">
        <v>1222</v>
      </c>
      <c r="X45" s="512" t="n">
        <v>1852</v>
      </c>
      <c r="Y45" s="512" t="n">
        <v>2167</v>
      </c>
      <c r="Z45" s="512" t="n">
        <v>2177</v>
      </c>
      <c r="AA45" s="512" t="n">
        <v>2180</v>
      </c>
      <c r="AB45" s="526">
        <f>1656+458</f>
        <v/>
      </c>
      <c r="AC45" s="526" t="n">
        <v>1895</v>
      </c>
      <c r="AD45" s="526" t="n">
        <v>1977</v>
      </c>
      <c r="AE45" s="526" t="n">
        <v>2089</v>
      </c>
      <c r="AF45" s="526" t="n">
        <v>2224</v>
      </c>
      <c r="AG45" s="526" t="n">
        <v>2261</v>
      </c>
      <c r="AH45" s="526" t="n">
        <v>2180</v>
      </c>
      <c r="AI45" s="564">
        <f>AI40*AI43</f>
        <v/>
      </c>
      <c r="AJ45" s="564">
        <f>AJ40*AJ43</f>
        <v/>
      </c>
      <c r="AK45" s="564">
        <f>AK40*AK43</f>
        <v/>
      </c>
      <c r="AL45" s="564">
        <f>AL40*AL43</f>
        <v/>
      </c>
      <c r="AM45" s="564">
        <f>AM40*AM43</f>
        <v/>
      </c>
      <c r="AN45" s="564">
        <f>AN40*AN43</f>
        <v/>
      </c>
      <c r="AO45" s="446" t="n"/>
      <c r="AR45" s="23" t="n"/>
      <c r="AS45" s="23" t="n"/>
      <c r="AT45" s="23" t="n"/>
      <c r="AU45" s="23" t="n"/>
      <c r="AV45" s="23" t="n"/>
      <c r="AW45" s="23" t="n"/>
      <c r="AX45" s="23" t="n"/>
    </row>
    <row r="46" customFormat="1" s="526">
      <c r="A46" s="109" t="inlineStr">
        <is>
          <t>SOC Profits</t>
        </is>
      </c>
      <c r="B46" s="605">
        <f>SUM(B44:B45)</f>
        <v/>
      </c>
      <c r="C46" s="605">
        <f>SUM(C44:C45)</f>
        <v/>
      </c>
      <c r="D46" s="605">
        <f>SUM(D44:D45)</f>
        <v/>
      </c>
      <c r="E46" s="605">
        <f>SUM(E44:E45)</f>
        <v/>
      </c>
      <c r="F46" s="605">
        <f>SUM(F44:F45)</f>
        <v/>
      </c>
      <c r="G46" s="605">
        <f>SUM(G44:G45)</f>
        <v/>
      </c>
      <c r="H46" s="605">
        <f>SUM(H44:H45)</f>
        <v/>
      </c>
      <c r="I46" s="605">
        <f>SUM(I44:I45)</f>
        <v/>
      </c>
      <c r="J46" s="605">
        <f>SUM(J44:J45)</f>
        <v/>
      </c>
      <c r="K46" s="605">
        <f>SUM(K44:K45)</f>
        <v/>
      </c>
      <c r="L46" s="605">
        <f>SUM(L44:L45)</f>
        <v/>
      </c>
      <c r="M46" s="605">
        <f>SUM(M44:M45)</f>
        <v/>
      </c>
      <c r="N46" s="605">
        <f>SUM(N44:N45)</f>
        <v/>
      </c>
      <c r="O46" s="605">
        <f>SUM(O44:O45)</f>
        <v/>
      </c>
      <c r="P46" s="605">
        <f>SUM(P44:P45)</f>
        <v/>
      </c>
      <c r="Q46" s="605">
        <f>SUM(Q44:Q45)</f>
        <v/>
      </c>
      <c r="R46" s="605">
        <f>SUM(R44:R45)</f>
        <v/>
      </c>
      <c r="S46" s="605" t="n">
        <v>5964</v>
      </c>
      <c r="T46" s="605" t="n">
        <v>6129</v>
      </c>
      <c r="U46" s="605" t="n">
        <v>6339</v>
      </c>
      <c r="V46" s="605" t="n">
        <v>6654</v>
      </c>
      <c r="W46" s="605" t="n">
        <v>6966</v>
      </c>
      <c r="X46" s="605">
        <f>SUM(X44:X45)</f>
        <v/>
      </c>
      <c r="Y46" s="605">
        <f>SUM(Y44:Y45)</f>
        <v/>
      </c>
      <c r="Z46" s="605">
        <f>SUM(Z44:Z45)</f>
        <v/>
      </c>
      <c r="AA46" s="605">
        <f>SUM(AA44:AA45)</f>
        <v/>
      </c>
      <c r="AB46" s="605">
        <f>SUM(AB44:AB45)</f>
        <v/>
      </c>
      <c r="AC46" s="605">
        <f>SUM(AC44:AC45)</f>
        <v/>
      </c>
      <c r="AD46" s="605">
        <f>SUM(AD44:AD45)</f>
        <v/>
      </c>
      <c r="AE46" s="605">
        <f>SUM(AE44:AE45)</f>
        <v/>
      </c>
      <c r="AF46" s="605">
        <f>SUM(AF44:AF45)</f>
        <v/>
      </c>
      <c r="AG46" s="605">
        <f>SUM(AG44:AG45)</f>
        <v/>
      </c>
      <c r="AH46" s="605">
        <f>SUM(AH44:AH45)</f>
        <v/>
      </c>
      <c r="AI46" s="605">
        <f>SUM(AI44:AI45)</f>
        <v/>
      </c>
      <c r="AJ46" s="605">
        <f>SUM(AJ44:AJ45)</f>
        <v/>
      </c>
      <c r="AK46" s="605">
        <f>SUM(AK44:AK45)</f>
        <v/>
      </c>
      <c r="AL46" s="605">
        <f>SUM(AL44:AL45)</f>
        <v/>
      </c>
      <c r="AM46" s="605">
        <f>SUM(AM44:AM45)</f>
        <v/>
      </c>
      <c r="AN46" s="605">
        <f>SUM(AN44:AN45)</f>
        <v/>
      </c>
    </row>
    <row r="47">
      <c r="V47" s="131" t="n"/>
      <c r="W47" s="131" t="n"/>
      <c r="X47" s="131" t="n"/>
      <c r="Y47" s="131" t="n"/>
      <c r="Z47" s="131" t="n"/>
      <c r="AA47" s="131" t="n"/>
      <c r="AB47" s="131" t="n"/>
      <c r="AC47" s="131" t="n"/>
      <c r="AD47" s="131" t="n"/>
      <c r="AE47" s="131" t="n"/>
      <c r="AF47" s="131" t="n"/>
      <c r="AG47" s="131" t="n"/>
      <c r="AH47" s="131" t="n"/>
    </row>
    <row r="48">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220" t="n"/>
      <c r="AA48" s="220" t="n"/>
      <c r="AB48" s="220" t="n"/>
      <c r="AC48" s="32" t="n"/>
      <c r="AD48" s="32" t="n"/>
      <c r="AE48" s="32" t="n"/>
      <c r="AF48" s="32" t="n"/>
      <c r="AG48" s="32" t="n"/>
      <c r="AH48" s="32" t="n"/>
      <c r="AI48" s="32" t="n"/>
      <c r="AJ48" s="32" t="n"/>
      <c r="AK48" s="32" t="n"/>
      <c r="AL48" s="32" t="n"/>
      <c r="AM48" s="32" t="n"/>
      <c r="AN48" s="32" t="n"/>
      <c r="AO48" s="32" t="n"/>
      <c r="AP48" s="32" t="n"/>
    </row>
    <row r="49">
      <c r="Z49" s="526" t="n"/>
      <c r="AA49" s="526" t="n"/>
      <c r="AB49" s="526" t="n"/>
      <c r="AC49" s="526" t="n"/>
    </row>
  </sheetData>
  <printOptions headings="1" gridLines="1"/>
  <pageMargins left="0.7480314960629921" right="0.7480314960629921" top="0.5118110236220472" bottom="0.7086614173228347" header="0.5118110236220472" footer="0.5118110236220472"/>
  <pageSetup orientation="landscape" paperSize="9" scale="85" horizontalDpi="4294967292" verticalDpi="300"/>
  <legacyDrawing xmlns:r="http://schemas.openxmlformats.org/officeDocument/2006/relationships" r:id="anysvml"/>
</worksheet>
</file>

<file path=xl/worksheets/sheet6.xml><?xml version="1.0" encoding="utf-8"?>
<worksheet xmlns="http://schemas.openxmlformats.org/spreadsheetml/2006/main">
  <sheetPr codeName="Sheet11">
    <tabColor theme="5"/>
    <outlinePr summaryBelow="1" summaryRight="1"/>
    <pageSetUpPr fitToPage="1"/>
  </sheetPr>
  <dimension ref="A1:AU71"/>
  <sheetViews>
    <sheetView showOutlineSymbols="0" zoomScale="130" zoomScaleNormal="130" workbookViewId="0">
      <pane xSplit="18" ySplit="2" topLeftCell="AC4" activePane="bottomRight" state="frozen"/>
      <selection pane="topRight" activeCell="S1" sqref="S1"/>
      <selection pane="bottomLeft" activeCell="A3" sqref="A3"/>
      <selection pane="bottomRight" activeCell="S1" sqref="S1:Y1048576"/>
    </sheetView>
  </sheetViews>
  <sheetFormatPr baseColWidth="8" defaultColWidth="9.140625" defaultRowHeight="12.75"/>
  <cols>
    <col width="21" customWidth="1" style="43" min="1" max="1"/>
    <col hidden="1" outlineLevel="1" width="13.42578125" customWidth="1" style="43" min="2" max="2"/>
    <col hidden="1" outlineLevel="1" width="9.140625" customWidth="1" style="43" min="3" max="5"/>
    <col hidden="1" outlineLevel="1" width="10.140625" customWidth="1" style="43" min="6" max="6"/>
    <col hidden="1" outlineLevel="1" width="9.140625" customWidth="1" style="43" min="7" max="7"/>
    <col hidden="1" outlineLevel="1" width="9.85546875" customWidth="1" style="43" min="8" max="8"/>
    <col hidden="1" outlineLevel="1" width="8.7109375" customWidth="1" style="43" min="9" max="9"/>
    <col hidden="1" outlineLevel="1" width="9.140625" customWidth="1" style="43" min="10" max="18"/>
    <col hidden="1" collapsed="1" width="10.42578125" customWidth="1" style="43" min="19" max="19"/>
    <col hidden="1" width="10.85546875" customWidth="1" style="43" min="20" max="20"/>
    <col hidden="1" width="9.85546875" customWidth="1" style="43" min="21" max="21"/>
    <col hidden="1" width="10.140625" customWidth="1" style="43" min="22" max="23"/>
    <col hidden="1" width="10.85546875" customWidth="1" style="43" min="24" max="24"/>
    <col hidden="1" width="10.140625" customWidth="1" style="43" min="25" max="26"/>
    <col hidden="1" width="10.5703125" customWidth="1" style="43" min="27" max="27"/>
    <col hidden="1" width="10.42578125" customWidth="1" style="43" min="28" max="28"/>
    <col width="10.42578125" bestFit="1" customWidth="1" style="43" min="29" max="40"/>
    <col width="4.7109375" customWidth="1" style="43" min="41" max="41"/>
    <col width="12.140625" bestFit="1" customWidth="1" style="43" min="42" max="42"/>
    <col width="28.7109375" bestFit="1" customWidth="1" style="43" min="43" max="43"/>
    <col width="9.28515625" bestFit="1" customWidth="1" style="43" min="44" max="46"/>
    <col width="9.140625" customWidth="1" style="43" min="47" max="16384"/>
  </cols>
  <sheetData>
    <row r="1" customFormat="1" s="526">
      <c r="A1" s="157" t="inlineStr">
        <is>
          <t>CLP Scheme of Control Revenue</t>
        </is>
      </c>
      <c r="B1" s="553" t="n"/>
      <c r="C1" s="553" t="n"/>
      <c r="D1" s="553" t="n"/>
      <c r="E1" s="553" t="n"/>
      <c r="F1" s="553" t="n"/>
      <c r="G1" s="553" t="n"/>
      <c r="H1" s="553" t="n"/>
      <c r="I1" s="553" t="n"/>
      <c r="J1" s="553" t="n"/>
      <c r="K1" s="553" t="n"/>
      <c r="L1" s="553" t="n"/>
      <c r="M1" s="553" t="n"/>
      <c r="N1" s="553" t="n"/>
      <c r="O1" s="553" t="n"/>
      <c r="P1" s="553" t="n"/>
      <c r="Q1" s="553" t="n"/>
      <c r="R1" s="553" t="n"/>
      <c r="S1" s="553" t="n"/>
      <c r="T1" s="553" t="n"/>
      <c r="U1" s="553" t="n"/>
      <c r="V1" s="553" t="n"/>
      <c r="W1" s="553" t="n"/>
      <c r="X1" s="553" t="n"/>
      <c r="Y1" s="553" t="n"/>
      <c r="Z1" s="553" t="n"/>
      <c r="AA1" s="553" t="n"/>
      <c r="AB1" s="553" t="n"/>
      <c r="AC1" s="553" t="n"/>
      <c r="AD1" s="553" t="n"/>
      <c r="AE1" s="553" t="n"/>
      <c r="AF1" s="553" t="n"/>
      <c r="AG1" s="553" t="n"/>
      <c r="AH1" s="553" t="n"/>
      <c r="AI1" s="553" t="n"/>
      <c r="AJ1" s="553" t="n"/>
      <c r="AK1" s="553" t="n"/>
      <c r="AL1" s="553" t="n"/>
      <c r="AM1" s="553" t="n"/>
      <c r="AN1" s="553" t="n"/>
      <c r="AQ1" s="526" t="inlineStr">
        <is>
          <t>Quarterly Sales</t>
        </is>
      </c>
    </row>
    <row r="2">
      <c r="A2" s="62" t="inlineStr">
        <is>
          <t xml:space="preserve">Electricity Revenue: </t>
        </is>
      </c>
      <c r="B2" s="175" t="n">
        <v>1992</v>
      </c>
      <c r="C2" s="175" t="n">
        <v>1993</v>
      </c>
      <c r="D2" s="176" t="n">
        <v>1994</v>
      </c>
      <c r="E2" s="176" t="n">
        <v>1995</v>
      </c>
      <c r="F2" s="176" t="n">
        <v>1996</v>
      </c>
      <c r="G2" s="176">
        <f>Final!G2</f>
        <v/>
      </c>
      <c r="H2" s="176">
        <f>Final!H2</f>
        <v/>
      </c>
      <c r="I2" s="176">
        <f>Final!I2</f>
        <v/>
      </c>
      <c r="J2" s="176">
        <f>Final!J2</f>
        <v/>
      </c>
      <c r="K2" s="176">
        <f>Final!K2</f>
        <v/>
      </c>
      <c r="L2" s="176">
        <f>Final!L2</f>
        <v/>
      </c>
      <c r="M2" s="176">
        <f>Final!M2</f>
        <v/>
      </c>
      <c r="N2" s="176">
        <f>Final!N2</f>
        <v/>
      </c>
      <c r="O2" s="176">
        <f>Final!O2</f>
        <v/>
      </c>
      <c r="P2" s="176">
        <f>Final!P2</f>
        <v/>
      </c>
      <c r="Q2" s="176">
        <f>Final!Q2</f>
        <v/>
      </c>
      <c r="R2" s="176">
        <f>Final!R2</f>
        <v/>
      </c>
      <c r="S2" s="176">
        <f>Final!S2</f>
        <v/>
      </c>
      <c r="T2" s="176">
        <f>Final!T2</f>
        <v/>
      </c>
      <c r="U2" s="176">
        <f>Final!U2</f>
        <v/>
      </c>
      <c r="V2" s="176">
        <f>Final!V2</f>
        <v/>
      </c>
      <c r="W2" s="176">
        <f>Final!W2</f>
        <v/>
      </c>
      <c r="X2" s="176">
        <f>Final!X2</f>
        <v/>
      </c>
      <c r="Y2" s="176">
        <f>Final!Y2</f>
        <v/>
      </c>
      <c r="Z2" s="176">
        <f>Final!Z2</f>
        <v/>
      </c>
      <c r="AA2" s="176">
        <f>Final!AA2</f>
        <v/>
      </c>
      <c r="AB2" s="176">
        <f>Final!AB2</f>
        <v/>
      </c>
      <c r="AC2" s="176">
        <f>Final!AC2</f>
        <v/>
      </c>
      <c r="AD2" s="176">
        <f>Final!AD2</f>
        <v/>
      </c>
      <c r="AE2" s="176">
        <f>Final!AE2</f>
        <v/>
      </c>
      <c r="AF2" s="176">
        <f>Final!AF2</f>
        <v/>
      </c>
      <c r="AG2" s="176">
        <f>Final!AG2</f>
        <v/>
      </c>
      <c r="AH2" s="176">
        <f>Final!AH2</f>
        <v/>
      </c>
      <c r="AI2" s="176">
        <f>Final!AI2</f>
        <v/>
      </c>
      <c r="AJ2" s="176">
        <f>Final!AJ2</f>
        <v/>
      </c>
      <c r="AK2" s="176">
        <f>Final!AK2</f>
        <v/>
      </c>
      <c r="AL2" s="176">
        <f>Final!AL2</f>
        <v/>
      </c>
      <c r="AM2" s="176">
        <f>Final!AM2</f>
        <v/>
      </c>
      <c r="AN2" s="176">
        <f>Final!AN2</f>
        <v/>
      </c>
      <c r="AR2" s="176" t="inlineStr">
        <is>
          <t>Q116</t>
        </is>
      </c>
      <c r="AS2" s="176" t="inlineStr">
        <is>
          <t>Q117</t>
        </is>
      </c>
    </row>
    <row r="3" customFormat="1" s="616">
      <c r="A3" s="616" t="inlineStr">
        <is>
          <t>Gross electricity revenue (Basic tariff x GWh)</t>
        </is>
      </c>
      <c r="B3" s="526">
        <f>B36*B13/100</f>
        <v/>
      </c>
      <c r="C3" s="526">
        <f>C36*C13/100</f>
        <v/>
      </c>
      <c r="D3" s="526">
        <f>D36*D13/100</f>
        <v/>
      </c>
      <c r="E3" s="526">
        <f>E36*E13/100</f>
        <v/>
      </c>
      <c r="F3" s="526">
        <f>F36*F13/100</f>
        <v/>
      </c>
      <c r="G3" s="526">
        <f>G36*G13/100</f>
        <v/>
      </c>
      <c r="H3" s="526">
        <f>H36*H13/100</f>
        <v/>
      </c>
      <c r="I3" s="526">
        <f>I36*I13/100</f>
        <v/>
      </c>
      <c r="J3" s="526">
        <f>J36*J13/100</f>
        <v/>
      </c>
      <c r="K3" s="526">
        <f>K36*K13/100</f>
        <v/>
      </c>
      <c r="L3" s="526">
        <f>L36*L13/100</f>
        <v/>
      </c>
      <c r="M3" s="526">
        <f>M36*M13/100</f>
        <v/>
      </c>
      <c r="N3" s="526">
        <f>N36*N13/100</f>
        <v/>
      </c>
      <c r="O3" s="526">
        <f>O36*O13/100</f>
        <v/>
      </c>
      <c r="P3" s="526">
        <f>P36*P13/100</f>
        <v/>
      </c>
      <c r="Q3" s="526">
        <f>Q36*Q13/100</f>
        <v/>
      </c>
      <c r="R3" s="526">
        <f>R36*R13/100</f>
        <v/>
      </c>
      <c r="S3" s="526">
        <f>S36*S13/100</f>
        <v/>
      </c>
      <c r="T3" s="526">
        <f>T36*T13/100</f>
        <v/>
      </c>
      <c r="U3" s="526">
        <f>U36*U13/100</f>
        <v/>
      </c>
      <c r="V3" s="526">
        <f>V36*V13/100</f>
        <v/>
      </c>
      <c r="W3" s="526">
        <f>W36*W13/100</f>
        <v/>
      </c>
      <c r="X3" s="526">
        <f>X36*X13/100</f>
        <v/>
      </c>
      <c r="Y3" s="526">
        <f>Y36*Y13/100</f>
        <v/>
      </c>
      <c r="Z3" s="526">
        <f>Z36*Z13/100</f>
        <v/>
      </c>
      <c r="AA3" s="526">
        <f>AA36*AA13/100</f>
        <v/>
      </c>
      <c r="AB3" s="526">
        <f>AB36*AB13/100</f>
        <v/>
      </c>
      <c r="AC3" s="526">
        <f>AC36*AC13/100</f>
        <v/>
      </c>
      <c r="AD3" s="526">
        <f>AD36*AD13/100</f>
        <v/>
      </c>
      <c r="AE3" s="526">
        <f>AE36*AE13/100</f>
        <v/>
      </c>
      <c r="AF3" s="526">
        <f>AF36*AF13/100</f>
        <v/>
      </c>
      <c r="AG3" s="526">
        <f>AG36*AG13/100</f>
        <v/>
      </c>
      <c r="AH3" s="526">
        <f>AH36*AH13/100</f>
        <v/>
      </c>
      <c r="AI3" s="526">
        <f>AI36*AI13/100</f>
        <v/>
      </c>
      <c r="AJ3" s="526">
        <f>AJ36*AJ13/100</f>
        <v/>
      </c>
      <c r="AK3" s="526">
        <f>AK36*AK13/100</f>
        <v/>
      </c>
      <c r="AL3" s="526">
        <f>AL36*AL13/100</f>
        <v/>
      </c>
      <c r="AM3" s="526">
        <f>AM36*AM13/100</f>
        <v/>
      </c>
      <c r="AN3" s="526">
        <f>AN36*AN13/100</f>
        <v/>
      </c>
      <c r="AQ3" s="526" t="inlineStr">
        <is>
          <t>Residential</t>
        </is>
      </c>
      <c r="AR3" s="616">
        <f>AS3+210</f>
        <v/>
      </c>
      <c r="AS3" s="616">
        <f>AS11*$AS$8</f>
        <v/>
      </c>
    </row>
    <row r="4" customFormat="1" s="616">
      <c r="A4" s="616" t="inlineStr">
        <is>
          <t>Transfer from (to) fuel cost adjustment</t>
        </is>
      </c>
      <c r="B4" s="526">
        <f>+'SOC Accounts'!B5</f>
        <v/>
      </c>
      <c r="C4" s="526">
        <f>+'SOC Accounts'!C5</f>
        <v/>
      </c>
      <c r="D4" s="526">
        <f>+'SOC Accounts'!D5</f>
        <v/>
      </c>
      <c r="E4" s="526">
        <f>+'SOC Accounts'!E5</f>
        <v/>
      </c>
      <c r="F4" s="526">
        <f>+'SOC Accounts'!F5</f>
        <v/>
      </c>
      <c r="G4" s="526">
        <f>+'SOC Accounts'!G5</f>
        <v/>
      </c>
      <c r="H4" s="526">
        <f>+'SOC Accounts'!H5</f>
        <v/>
      </c>
      <c r="I4" s="526">
        <f>+'SOC Accounts'!I5</f>
        <v/>
      </c>
      <c r="J4" s="526">
        <f>+'SOC Accounts'!J5</f>
        <v/>
      </c>
      <c r="K4" s="526">
        <f>+'SOC Accounts'!K5</f>
        <v/>
      </c>
      <c r="L4" s="526">
        <f>+'SOC Accounts'!L5</f>
        <v/>
      </c>
      <c r="M4" s="526">
        <f>+'SOC Accounts'!M5</f>
        <v/>
      </c>
      <c r="N4" s="526">
        <f>+'SOC Accounts'!N5</f>
        <v/>
      </c>
      <c r="O4" s="526">
        <f>+'SOC Accounts'!O5</f>
        <v/>
      </c>
      <c r="P4" s="526">
        <f>+'SOC Accounts'!P5</f>
        <v/>
      </c>
      <c r="Q4" s="526">
        <f>+'SOC Accounts'!Q5</f>
        <v/>
      </c>
      <c r="R4" s="526">
        <f>+'SOC Accounts'!R5</f>
        <v/>
      </c>
      <c r="S4" s="526">
        <f>+'SOC Accounts'!S5</f>
        <v/>
      </c>
      <c r="T4" s="526">
        <f>+'SOC Accounts'!T5</f>
        <v/>
      </c>
      <c r="U4" s="526">
        <f>+'SOC Accounts'!U5</f>
        <v/>
      </c>
      <c r="V4" s="526">
        <f>+'SOC Accounts'!V5</f>
        <v/>
      </c>
      <c r="W4" s="526">
        <f>+'SOC Accounts'!W5</f>
        <v/>
      </c>
      <c r="X4" s="526">
        <f>+'SOC Accounts'!X5</f>
        <v/>
      </c>
      <c r="Y4" s="526">
        <f>+'SOC Accounts'!Y5</f>
        <v/>
      </c>
      <c r="Z4" s="526">
        <f>+'SOC Accounts'!Z5</f>
        <v/>
      </c>
      <c r="AA4" s="526">
        <f>+'SOC Accounts'!AA5</f>
        <v/>
      </c>
      <c r="AB4" s="526">
        <f>+'SOC Accounts'!AB5</f>
        <v/>
      </c>
      <c r="AC4" s="526">
        <f>+'SOC Accounts'!AC5</f>
        <v/>
      </c>
      <c r="AD4" s="526">
        <f>+'SOC Accounts'!AD5</f>
        <v/>
      </c>
      <c r="AE4" s="526">
        <f>+'SOC Accounts'!AE5</f>
        <v/>
      </c>
      <c r="AF4" s="526">
        <f>+'SOC Accounts'!AF5</f>
        <v/>
      </c>
      <c r="AG4" s="526">
        <f>+'SOC Accounts'!AG5</f>
        <v/>
      </c>
      <c r="AH4" s="526">
        <f>+'SOC Accounts'!AH5</f>
        <v/>
      </c>
      <c r="AI4" s="526">
        <f>+'SOC Accounts'!AI5</f>
        <v/>
      </c>
      <c r="AJ4" s="526">
        <f>+'SOC Accounts'!AJ5</f>
        <v/>
      </c>
      <c r="AK4" s="526">
        <f>+'SOC Accounts'!AK5</f>
        <v/>
      </c>
      <c r="AL4" s="526">
        <f>+'SOC Accounts'!AL5</f>
        <v/>
      </c>
      <c r="AM4" s="526">
        <f>+'SOC Accounts'!AM5</f>
        <v/>
      </c>
      <c r="AN4" s="526">
        <f>+'SOC Accounts'!AN5</f>
        <v/>
      </c>
      <c r="AQ4" s="616" t="inlineStr">
        <is>
          <t xml:space="preserve">Commercial </t>
        </is>
      </c>
      <c r="AR4" s="616">
        <f>AS4-23</f>
        <v/>
      </c>
      <c r="AS4" s="616">
        <f>AS12*$AS$8</f>
        <v/>
      </c>
    </row>
    <row r="5" customFormat="1" s="616">
      <c r="A5" s="616" t="inlineStr">
        <is>
          <t>Export to China</t>
        </is>
      </c>
      <c r="B5" s="526">
        <f>+B6-B3-B4</f>
        <v/>
      </c>
      <c r="C5" s="526">
        <f>+C6-C3-C4</f>
        <v/>
      </c>
      <c r="D5" s="526">
        <f>+D6-D3-D4</f>
        <v/>
      </c>
      <c r="E5" s="526">
        <f>+E6-E3-E4</f>
        <v/>
      </c>
      <c r="F5" s="526">
        <f>+F6-F3-F4</f>
        <v/>
      </c>
      <c r="G5" s="526">
        <f>+G6-G3-G4</f>
        <v/>
      </c>
      <c r="H5" s="526">
        <f>+H6-H3-H4</f>
        <v/>
      </c>
      <c r="I5" s="526">
        <f>+I6-I3-I4</f>
        <v/>
      </c>
      <c r="J5" s="526">
        <f>+J6-J3-J4</f>
        <v/>
      </c>
      <c r="K5" s="526">
        <f>+K6-K3-K4</f>
        <v/>
      </c>
      <c r="L5" s="526">
        <f>+L6-L3-L4</f>
        <v/>
      </c>
      <c r="M5" s="526">
        <f>+M6-M3-M4</f>
        <v/>
      </c>
      <c r="N5" s="526">
        <f>+N6-N3-N4</f>
        <v/>
      </c>
      <c r="O5" s="526">
        <f>+O6-O3-O4</f>
        <v/>
      </c>
      <c r="P5" s="526">
        <f>+P6-P3-P4</f>
        <v/>
      </c>
      <c r="Q5" s="526">
        <f>+Q6-Q3-Q4</f>
        <v/>
      </c>
      <c r="R5" s="526">
        <f>+R6-R3-R4</f>
        <v/>
      </c>
      <c r="S5" s="526">
        <f>+S6-S3-S4</f>
        <v/>
      </c>
      <c r="T5" s="526">
        <f>+T6-T3-T4</f>
        <v/>
      </c>
      <c r="U5" s="526">
        <f>+U6-U3-U4</f>
        <v/>
      </c>
      <c r="V5" s="526">
        <f>+V6-V3-V4</f>
        <v/>
      </c>
      <c r="W5" s="526">
        <f>+W6-W3-W4</f>
        <v/>
      </c>
      <c r="X5" s="526">
        <f>+X6-X3-X4</f>
        <v/>
      </c>
      <c r="Y5" s="526">
        <f>+Y6-Y3-Y4</f>
        <v/>
      </c>
      <c r="Z5" s="526">
        <f>+Z6-Z3-Z4</f>
        <v/>
      </c>
      <c r="AA5" s="526">
        <f>+AA6-AA3-AA4</f>
        <v/>
      </c>
      <c r="AB5" s="526">
        <f>+AB6-AB3-AB4</f>
        <v/>
      </c>
      <c r="AC5" s="526">
        <f>+AC6-AC3-AC4</f>
        <v/>
      </c>
      <c r="AD5" s="526">
        <f>+AD6-AD3-AD4</f>
        <v/>
      </c>
      <c r="AE5" s="526">
        <f>+AE6-AE3-AE4</f>
        <v/>
      </c>
      <c r="AF5" s="526">
        <f>+AF6-AF3-AF4</f>
        <v/>
      </c>
      <c r="AG5" s="526">
        <f>+AG6-AG3-AG4</f>
        <v/>
      </c>
      <c r="AH5" s="526">
        <f>+AH6-AH3-AH4</f>
        <v/>
      </c>
      <c r="AI5" s="564">
        <f>AI29*AI37</f>
        <v/>
      </c>
      <c r="AJ5" s="564">
        <f>AJ29*AJ37</f>
        <v/>
      </c>
      <c r="AK5" s="564">
        <f>AK29*AK37</f>
        <v/>
      </c>
      <c r="AL5" s="564">
        <f>AL29*AL37</f>
        <v/>
      </c>
      <c r="AM5" s="564">
        <f>AM29*AM37</f>
        <v/>
      </c>
      <c r="AN5" s="564">
        <f>AN29*AN37</f>
        <v/>
      </c>
      <c r="AQ5" s="616" t="inlineStr">
        <is>
          <t>Infrastructure &amp; Public Services</t>
        </is>
      </c>
      <c r="AR5" s="616">
        <f>AS5-66</f>
        <v/>
      </c>
      <c r="AS5" s="616">
        <f>AS13*$AS$8</f>
        <v/>
      </c>
    </row>
    <row r="6" customFormat="1" s="617">
      <c r="A6" s="617" t="inlineStr">
        <is>
          <t>Sales of electricity</t>
        </is>
      </c>
      <c r="B6" s="597">
        <f>+#REF!</f>
        <v/>
      </c>
      <c r="C6" s="597">
        <f>+#REF!</f>
        <v/>
      </c>
      <c r="D6" s="597">
        <f>+#REF!</f>
        <v/>
      </c>
      <c r="E6" s="597">
        <f>+#REF!</f>
        <v/>
      </c>
      <c r="F6" s="597">
        <f>+F8-F7</f>
        <v/>
      </c>
      <c r="G6" s="597">
        <f>+G8-G7</f>
        <v/>
      </c>
      <c r="H6" s="597">
        <f>+H8-H7</f>
        <v/>
      </c>
      <c r="I6" s="597">
        <f>+I8-I7</f>
        <v/>
      </c>
      <c r="J6" s="597" t="n">
        <v>24163</v>
      </c>
      <c r="K6" s="597" t="n">
        <v>24725</v>
      </c>
      <c r="L6" s="597" t="n">
        <v>25770</v>
      </c>
      <c r="M6" s="597" t="n">
        <v>25677</v>
      </c>
      <c r="N6" s="597" t="n">
        <v>26661</v>
      </c>
      <c r="O6" s="597" t="n">
        <v>28750</v>
      </c>
      <c r="P6" s="597" t="n">
        <v>29004</v>
      </c>
      <c r="Q6" s="597" t="n">
        <v>29236</v>
      </c>
      <c r="R6" s="597" t="n">
        <v>30288</v>
      </c>
      <c r="S6" s="597" t="n">
        <v>28349</v>
      </c>
      <c r="T6" s="597" t="n">
        <v>29917</v>
      </c>
      <c r="U6" s="597" t="n">
        <v>30824</v>
      </c>
      <c r="V6" s="597" t="n">
        <v>33842</v>
      </c>
      <c r="W6" s="597" t="n">
        <v>33064</v>
      </c>
      <c r="X6" s="597" t="n">
        <v>35969</v>
      </c>
      <c r="Y6" s="597" t="n">
        <v>38087</v>
      </c>
      <c r="Z6" s="597" t="n">
        <v>37120</v>
      </c>
      <c r="AA6" s="597" t="n">
        <v>39161</v>
      </c>
      <c r="AB6" s="597" t="n">
        <v>40982</v>
      </c>
      <c r="AC6" s="597" t="n">
        <v>40473</v>
      </c>
      <c r="AD6" s="597" t="n">
        <v>41798</v>
      </c>
      <c r="AE6" s="597" t="n">
        <v>45222</v>
      </c>
      <c r="AF6" s="597" t="n">
        <v>50919</v>
      </c>
      <c r="AG6" s="597" t="n">
        <v>50288</v>
      </c>
      <c r="AH6" s="597" t="n">
        <v>50649</v>
      </c>
      <c r="AI6" s="613">
        <f>SUM(AI3:AI5)</f>
        <v/>
      </c>
      <c r="AJ6" s="613">
        <f>SUM(AJ3:AJ5)</f>
        <v/>
      </c>
      <c r="AK6" s="613">
        <f>SUM(AK3:AK5)</f>
        <v/>
      </c>
      <c r="AL6" s="613">
        <f>SUM(AL3:AL5)</f>
        <v/>
      </c>
      <c r="AM6" s="613">
        <f>SUM(AM3:AM5)</f>
        <v/>
      </c>
      <c r="AN6" s="613">
        <f>SUM(AN3:AN5)</f>
        <v/>
      </c>
      <c r="AQ6" s="616" t="inlineStr">
        <is>
          <t>Manufacturing</t>
        </is>
      </c>
      <c r="AR6" s="616">
        <f>AS6-3</f>
        <v/>
      </c>
      <c r="AS6" s="616">
        <f>AS14*$AS$8</f>
        <v/>
      </c>
    </row>
    <row r="7" customFormat="1" s="616">
      <c r="A7" s="616" t="inlineStr">
        <is>
          <t>Sundry income</t>
        </is>
      </c>
      <c r="B7" s="526" t="n">
        <v>60</v>
      </c>
      <c r="C7" s="526" t="n">
        <v>26</v>
      </c>
      <c r="D7" s="526" t="n">
        <v>22</v>
      </c>
      <c r="E7" s="526" t="n">
        <v>25</v>
      </c>
      <c r="F7" s="526" t="n">
        <v>27</v>
      </c>
      <c r="G7" s="526" t="n">
        <v>36</v>
      </c>
      <c r="H7" s="526" t="n">
        <v>56</v>
      </c>
      <c r="I7" s="526" t="n">
        <v>92</v>
      </c>
      <c r="J7" s="526">
        <f>J8-J6</f>
        <v/>
      </c>
      <c r="K7" s="526">
        <f>K8-K6</f>
        <v/>
      </c>
      <c r="L7" s="526">
        <f>L8-L6</f>
        <v/>
      </c>
      <c r="M7" s="526">
        <f>M8-M6</f>
        <v/>
      </c>
      <c r="N7" s="526">
        <f>N8-N6</f>
        <v/>
      </c>
      <c r="O7" s="526">
        <f>O8-O6</f>
        <v/>
      </c>
      <c r="P7" s="526">
        <f>P8-P6</f>
        <v/>
      </c>
      <c r="Q7" s="526">
        <f>Q8-Q6</f>
        <v/>
      </c>
      <c r="R7" s="526">
        <f>R8-R6</f>
        <v/>
      </c>
      <c r="S7" s="526">
        <f>S8-S6</f>
        <v/>
      </c>
      <c r="T7" s="526">
        <f>T8-T6</f>
        <v/>
      </c>
      <c r="U7" s="526">
        <f>U8-U6</f>
        <v/>
      </c>
      <c r="V7" s="526">
        <f>V8-V6</f>
        <v/>
      </c>
      <c r="W7" s="526">
        <f>W8-W6</f>
        <v/>
      </c>
      <c r="X7" s="526">
        <f>X8-X6</f>
        <v/>
      </c>
      <c r="Y7" s="526">
        <f>Y8-Y6</f>
        <v/>
      </c>
      <c r="Z7" s="526">
        <f>Z8-Z6</f>
        <v/>
      </c>
      <c r="AA7" s="526">
        <f>AA8-AA6</f>
        <v/>
      </c>
      <c r="AB7" s="526">
        <f>AB8-AB6</f>
        <v/>
      </c>
      <c r="AC7" s="526">
        <f>AC8-AC6</f>
        <v/>
      </c>
      <c r="AD7" s="526">
        <f>AD8-AD6</f>
        <v/>
      </c>
      <c r="AE7" s="526">
        <f>AE8-AE6</f>
        <v/>
      </c>
      <c r="AF7" s="526">
        <f>AF8-AF6</f>
        <v/>
      </c>
      <c r="AG7" s="526">
        <f>AG8-AG6</f>
        <v/>
      </c>
      <c r="AH7" s="526">
        <f>AG7</f>
        <v/>
      </c>
      <c r="AI7" s="564">
        <f>AH7</f>
        <v/>
      </c>
      <c r="AJ7" s="564">
        <f>AI7</f>
        <v/>
      </c>
      <c r="AK7" s="564">
        <f>AJ7</f>
        <v/>
      </c>
      <c r="AL7" s="564">
        <f>AK7</f>
        <v/>
      </c>
      <c r="AM7" s="564">
        <f>AL7</f>
        <v/>
      </c>
      <c r="AN7" s="564">
        <f>AM7</f>
        <v/>
      </c>
    </row>
    <row r="8" customFormat="1" s="617">
      <c r="A8" s="617" t="inlineStr">
        <is>
          <t>Total SOC revenue</t>
        </is>
      </c>
      <c r="B8" s="597">
        <f>SOC!B4</f>
        <v/>
      </c>
      <c r="C8" s="597">
        <f>SOC!C4</f>
        <v/>
      </c>
      <c r="D8" s="597">
        <f>SOC!D4</f>
        <v/>
      </c>
      <c r="E8" s="597">
        <f>SOC!E4</f>
        <v/>
      </c>
      <c r="F8" s="597">
        <f>SOC!F4</f>
        <v/>
      </c>
      <c r="G8" s="597">
        <f>SOC!G4</f>
        <v/>
      </c>
      <c r="H8" s="597">
        <f>SOC!H4</f>
        <v/>
      </c>
      <c r="I8" s="597">
        <f>SOC!I4</f>
        <v/>
      </c>
      <c r="J8" s="597">
        <f>SOC!J4</f>
        <v/>
      </c>
      <c r="K8" s="597">
        <f>SOC!K4</f>
        <v/>
      </c>
      <c r="L8" s="597">
        <f>SOC!L4</f>
        <v/>
      </c>
      <c r="M8" s="597">
        <f>SOC!M4</f>
        <v/>
      </c>
      <c r="N8" s="597">
        <f>SOC!N4</f>
        <v/>
      </c>
      <c r="O8" s="597">
        <f>SOC!O4</f>
        <v/>
      </c>
      <c r="P8" s="597">
        <f>SOC!P4</f>
        <v/>
      </c>
      <c r="Q8" s="597">
        <f>SOC!Q4</f>
        <v/>
      </c>
      <c r="R8" s="597">
        <f>SOC!R4</f>
        <v/>
      </c>
      <c r="S8" s="597">
        <f>SOC!S4</f>
        <v/>
      </c>
      <c r="T8" s="597">
        <f>SOC!T4</f>
        <v/>
      </c>
      <c r="U8" s="597">
        <f>SOC!U4</f>
        <v/>
      </c>
      <c r="V8" s="597">
        <f>SOC!V4</f>
        <v/>
      </c>
      <c r="W8" s="597">
        <f>SOC!W4</f>
        <v/>
      </c>
      <c r="X8" s="597">
        <f>SOC!X4</f>
        <v/>
      </c>
      <c r="Y8" s="597">
        <f>SOC!Y4</f>
        <v/>
      </c>
      <c r="Z8" s="597">
        <f>SOC!Z4</f>
        <v/>
      </c>
      <c r="AA8" s="597">
        <f>SOC!AA4</f>
        <v/>
      </c>
      <c r="AB8" s="597">
        <f>SOC!AB4</f>
        <v/>
      </c>
      <c r="AC8" s="597">
        <f>SOC!AC4</f>
        <v/>
      </c>
      <c r="AD8" s="597">
        <f>SOC!AD4</f>
        <v/>
      </c>
      <c r="AE8" s="597">
        <f>SOC!AE4</f>
        <v/>
      </c>
      <c r="AF8" s="597">
        <f>SOC!AF4</f>
        <v/>
      </c>
      <c r="AG8" s="597">
        <f>SOC!AG4</f>
        <v/>
      </c>
      <c r="AH8" s="597">
        <f>+AH6+AH7</f>
        <v/>
      </c>
      <c r="AI8" s="613">
        <f>+AI6+AI7</f>
        <v/>
      </c>
      <c r="AJ8" s="613">
        <f>+AJ6+AJ7</f>
        <v/>
      </c>
      <c r="AK8" s="613">
        <f>+AK6+AK7</f>
        <v/>
      </c>
      <c r="AL8" s="613">
        <f>+AL6+AL7</f>
        <v/>
      </c>
      <c r="AM8" s="613">
        <f>+AM6+AM7</f>
        <v/>
      </c>
      <c r="AN8" s="613">
        <f>+AN6+AN7</f>
        <v/>
      </c>
      <c r="AQ8" s="617" t="inlineStr">
        <is>
          <t>Total</t>
        </is>
      </c>
      <c r="AR8" s="617">
        <f>SUM(AR3:AR7)</f>
        <v/>
      </c>
      <c r="AS8" s="617" t="n">
        <v>6512</v>
      </c>
    </row>
    <row r="9">
      <c r="A9" s="43" t="inlineStr">
        <is>
          <t>YoY</t>
        </is>
      </c>
      <c r="C9" s="568">
        <f>C8/B8-1</f>
        <v/>
      </c>
      <c r="D9" s="568">
        <f>D8/C8-1</f>
        <v/>
      </c>
      <c r="E9" s="568">
        <f>E8/D8-1</f>
        <v/>
      </c>
      <c r="F9" s="568">
        <f>F8/E8-1</f>
        <v/>
      </c>
      <c r="G9" s="568">
        <f>G8/F8-1</f>
        <v/>
      </c>
      <c r="H9" s="568">
        <f>H8/G8-1</f>
        <v/>
      </c>
      <c r="I9" s="568">
        <f>4/5*I8/H8-1</f>
        <v/>
      </c>
      <c r="J9" s="568">
        <f>J8/(4/5*I8)-1</f>
        <v/>
      </c>
      <c r="K9" s="568">
        <f>K8/J8-1</f>
        <v/>
      </c>
      <c r="L9" s="568">
        <f>L8/K8-1</f>
        <v/>
      </c>
      <c r="M9" s="568">
        <f>M8/L8-1</f>
        <v/>
      </c>
      <c r="N9" s="568">
        <f>N8/M8-1</f>
        <v/>
      </c>
      <c r="O9" s="568">
        <f>O8/N8-1</f>
        <v/>
      </c>
      <c r="P9" s="568">
        <f>P8/O8-1</f>
        <v/>
      </c>
      <c r="Q9" s="568">
        <f>Q8/P8-1</f>
        <v/>
      </c>
      <c r="R9" s="568">
        <f>R8/Q8-1</f>
        <v/>
      </c>
      <c r="S9" s="568">
        <f>S8/R8-1</f>
        <v/>
      </c>
      <c r="T9" s="568">
        <f>T8/S8-1</f>
        <v/>
      </c>
      <c r="U9" s="568">
        <f>U8/T8-1</f>
        <v/>
      </c>
      <c r="V9" s="568">
        <f>V8/U8-1</f>
        <v/>
      </c>
      <c r="W9" s="568">
        <f>W8/V8-1</f>
        <v/>
      </c>
      <c r="X9" s="568">
        <f>X8/W8-1</f>
        <v/>
      </c>
      <c r="Y9" s="568">
        <f>Y8/X8-1</f>
        <v/>
      </c>
      <c r="Z9" s="568">
        <f>Z8/Y8-1</f>
        <v/>
      </c>
      <c r="AA9" s="568">
        <f>AA8/Z8-1</f>
        <v/>
      </c>
      <c r="AB9" s="568">
        <f>AB8/AA8-1</f>
        <v/>
      </c>
      <c r="AC9" s="568">
        <f>AC8/AB8-1</f>
        <v/>
      </c>
      <c r="AD9" s="568">
        <f>AD8/AC8-1</f>
        <v/>
      </c>
      <c r="AE9" s="568">
        <f>AE8/AD8-1</f>
        <v/>
      </c>
      <c r="AF9" s="568">
        <f>AF8/AE8-1</f>
        <v/>
      </c>
      <c r="AG9" s="568">
        <f>AG8/AF8-1</f>
        <v/>
      </c>
      <c r="AH9" s="568">
        <f>AH8/AG8-1</f>
        <v/>
      </c>
      <c r="AI9" s="568">
        <f>AI8/AH8-1</f>
        <v/>
      </c>
      <c r="AJ9" s="568">
        <f>AJ8/AI8-1</f>
        <v/>
      </c>
      <c r="AK9" s="568">
        <f>AK8/AJ8-1</f>
        <v/>
      </c>
      <c r="AL9" s="568">
        <f>AL8/AK8-1</f>
        <v/>
      </c>
      <c r="AM9" s="568">
        <f>AM8/AL8-1</f>
        <v/>
      </c>
      <c r="AN9" s="568">
        <f>AN8/AM8-1</f>
        <v/>
      </c>
      <c r="AQ9" s="43" t="inlineStr">
        <is>
          <t>China</t>
        </is>
      </c>
      <c r="AS9" s="43" t="n">
        <v>174</v>
      </c>
    </row>
    <row r="10">
      <c r="C10" s="568" t="n"/>
      <c r="D10" s="568" t="n"/>
      <c r="E10" s="568" t="n"/>
      <c r="F10" s="568" t="n"/>
      <c r="G10" s="568" t="n"/>
      <c r="H10" s="568" t="n"/>
      <c r="I10" s="568" t="n"/>
      <c r="J10" s="568" t="n"/>
      <c r="K10" s="568" t="n"/>
      <c r="L10" s="568" t="n"/>
      <c r="M10" s="568" t="n"/>
      <c r="N10" s="568" t="n"/>
      <c r="O10" s="568" t="n"/>
      <c r="P10" s="568" t="n"/>
      <c r="Q10" s="568" t="n"/>
      <c r="R10" s="568" t="n"/>
      <c r="S10" s="568" t="n"/>
      <c r="T10" s="568" t="n"/>
      <c r="U10" s="568" t="n"/>
      <c r="V10" s="568" t="n"/>
      <c r="W10" s="568" t="n"/>
      <c r="X10" s="568" t="n"/>
      <c r="Y10" s="568" t="n"/>
      <c r="Z10" s="568" t="n"/>
      <c r="AA10" s="568" t="n"/>
      <c r="AB10" s="568" t="n"/>
      <c r="AC10" s="568" t="n"/>
      <c r="AD10" s="568" t="n"/>
      <c r="AE10" s="568" t="n"/>
      <c r="AF10" s="568" t="n"/>
      <c r="AG10" s="568" t="n"/>
      <c r="AH10" s="568" t="n"/>
      <c r="AI10" s="568" t="n"/>
      <c r="AJ10" s="568" t="n"/>
      <c r="AK10" s="568" t="n"/>
      <c r="AL10" s="568" t="n"/>
      <c r="AM10" s="568" t="n"/>
      <c r="AN10" s="568" t="n"/>
    </row>
    <row r="11" customFormat="1" s="526">
      <c r="A11" s="6" t="inlineStr">
        <is>
          <t>Actual Tariffs at Year End (Cents per kWh)</t>
        </is>
      </c>
      <c r="B11" s="594" t="n"/>
      <c r="C11" s="594" t="n"/>
      <c r="D11" s="594" t="n"/>
      <c r="E11" s="594" t="n"/>
      <c r="F11" s="594" t="n"/>
      <c r="G11" s="594" t="n"/>
      <c r="H11" s="594" t="n"/>
      <c r="I11" s="594" t="n"/>
      <c r="J11" s="594" t="n"/>
      <c r="K11" s="594" t="n"/>
      <c r="L11" s="594" t="n"/>
      <c r="M11" s="594" t="n"/>
      <c r="N11" s="594" t="n"/>
      <c r="O11" s="594" t="n"/>
      <c r="P11" s="594" t="n"/>
      <c r="Q11" s="594" t="n"/>
      <c r="R11" s="594" t="n"/>
      <c r="S11" s="594" t="n"/>
      <c r="T11" s="594" t="n"/>
      <c r="U11" s="594" t="n"/>
      <c r="V11" s="594" t="n"/>
      <c r="W11" s="594" t="n"/>
      <c r="X11" s="594" t="n"/>
      <c r="Y11" s="594" t="n"/>
      <c r="Z11" s="594" t="n"/>
      <c r="AA11" s="594" t="n"/>
      <c r="AB11" s="594" t="n"/>
      <c r="AC11" s="594" t="n"/>
      <c r="AD11" s="594" t="n"/>
      <c r="AE11" s="594" t="n"/>
      <c r="AF11" s="594" t="n"/>
      <c r="AG11" s="594" t="n"/>
      <c r="AH11" s="594" t="n"/>
      <c r="AI11" s="594" t="n"/>
      <c r="AJ11" s="594" t="n"/>
      <c r="AK11" s="594" t="n"/>
      <c r="AL11" s="594" t="n"/>
      <c r="AM11" s="594" t="n"/>
      <c r="AN11" s="594" t="n"/>
      <c r="AQ11" s="526" t="inlineStr">
        <is>
          <t>Residential</t>
        </is>
      </c>
      <c r="AR11" s="526">
        <f>AR3/$AR$8</f>
        <v/>
      </c>
      <c r="AS11" s="526" t="n">
        <v>0.24</v>
      </c>
    </row>
    <row r="12">
      <c r="A12" s="186" t="n"/>
      <c r="B12" s="175" t="n"/>
      <c r="C12" s="175" t="n"/>
      <c r="D12" s="175" t="n"/>
      <c r="E12" s="175" t="n"/>
      <c r="F12" s="175" t="n"/>
      <c r="G12" s="175" t="n"/>
      <c r="H12" s="175" t="n"/>
      <c r="I12" s="176" t="n"/>
      <c r="J12" s="176" t="n"/>
      <c r="K12" s="176" t="n"/>
      <c r="L12" s="176" t="n"/>
      <c r="M12" s="176" t="n"/>
      <c r="N12" s="176" t="n"/>
      <c r="O12" s="176" t="n"/>
      <c r="P12" s="176" t="n"/>
      <c r="Q12" s="176" t="n"/>
      <c r="R12" s="176" t="n"/>
      <c r="S12" s="176" t="n"/>
      <c r="T12" s="176" t="n"/>
      <c r="U12" s="176" t="n"/>
      <c r="V12" s="176" t="n"/>
      <c r="W12" s="176" t="n"/>
      <c r="X12" s="176" t="n"/>
      <c r="Y12" s="176" t="n"/>
      <c r="Z12" s="176" t="n"/>
      <c r="AA12" s="176" t="n"/>
      <c r="AB12" s="176" t="n"/>
      <c r="AC12" s="176" t="n"/>
      <c r="AE12" s="622" t="n"/>
      <c r="AF12" s="176" t="n"/>
      <c r="AG12" s="176" t="n"/>
      <c r="AH12" s="176" t="n"/>
      <c r="AI12" s="176" t="n"/>
      <c r="AJ12" s="176" t="n"/>
      <c r="AK12" s="176" t="n"/>
      <c r="AL12" s="176" t="n"/>
      <c r="AM12" s="176" t="n"/>
      <c r="AN12" s="176" t="n"/>
      <c r="AP12" s="176" t="n"/>
      <c r="AQ12" s="616" t="inlineStr">
        <is>
          <t xml:space="preserve">Commercial </t>
        </is>
      </c>
      <c r="AR12" s="131">
        <f>AR4/$AR$8</f>
        <v/>
      </c>
      <c r="AS12" s="131" t="n">
        <v>0.42</v>
      </c>
      <c r="AT12" s="176" t="n"/>
      <c r="AU12" s="176" t="n"/>
    </row>
    <row r="13" customFormat="1" s="616">
      <c r="A13" s="190" t="inlineStr">
        <is>
          <t>Basic Tariff</t>
        </is>
      </c>
      <c r="B13" s="623" t="n">
        <v>63.81</v>
      </c>
      <c r="C13" s="624" t="n">
        <v>65.84999999999999</v>
      </c>
      <c r="D13" s="624" t="n">
        <v>71.95999999999999</v>
      </c>
      <c r="E13" s="624" t="n">
        <v>77.31</v>
      </c>
      <c r="F13" s="624" t="n">
        <v>82.42</v>
      </c>
      <c r="G13" s="624" t="n">
        <v>86.34999999999999</v>
      </c>
      <c r="H13" s="624" t="n">
        <v>89.09</v>
      </c>
      <c r="I13" s="624" t="n">
        <v>89.15000000000001</v>
      </c>
      <c r="J13" s="624" t="n">
        <v>88.56999999999999</v>
      </c>
      <c r="K13" s="624" t="n">
        <v>88.59999999999999</v>
      </c>
      <c r="L13" s="624" t="n">
        <v>88.5</v>
      </c>
      <c r="M13" s="624" t="n">
        <v>88.40000000000001</v>
      </c>
      <c r="N13" s="624" t="n">
        <v>88.09999999999999</v>
      </c>
      <c r="O13" s="624" t="n">
        <v>88.2</v>
      </c>
      <c r="P13" s="624" t="n">
        <v>88</v>
      </c>
      <c r="Q13" s="624" t="n">
        <v>88.09999999999999</v>
      </c>
      <c r="R13" s="624" t="n">
        <v>85.59999999999999</v>
      </c>
      <c r="S13" s="624" t="n">
        <v>77.5</v>
      </c>
      <c r="T13" s="624" t="n">
        <v>80.09999999999999</v>
      </c>
      <c r="U13" s="624" t="n">
        <v>80</v>
      </c>
      <c r="V13" s="624" t="n">
        <v>84.2</v>
      </c>
      <c r="W13" s="624" t="n">
        <v>84</v>
      </c>
      <c r="X13" s="624" t="n">
        <v>88.59999999999999</v>
      </c>
      <c r="Y13" s="624" t="n">
        <v>87.09999999999999</v>
      </c>
      <c r="Z13" s="624" t="n">
        <v>88.90000000000001</v>
      </c>
      <c r="AA13" s="624" t="n">
        <v>92.2</v>
      </c>
      <c r="AB13" s="624">
        <f>94.5*0.75+91*0.25</f>
        <v/>
      </c>
      <c r="AC13" s="624" t="n">
        <v>91</v>
      </c>
      <c r="AD13" s="624" t="n">
        <v>92.3</v>
      </c>
      <c r="AE13" s="624" t="n">
        <v>93.59999999999999</v>
      </c>
      <c r="AF13" s="624" t="n">
        <v>93.3</v>
      </c>
      <c r="AG13" s="624" t="n">
        <v>93.09999999999999</v>
      </c>
      <c r="AH13" s="624" t="n">
        <v>95.8</v>
      </c>
      <c r="AI13" s="625">
        <f>AH13*(1+AI14)</f>
        <v/>
      </c>
      <c r="AJ13" s="625">
        <f>AI13*(1+AJ14)</f>
        <v/>
      </c>
      <c r="AK13" s="625">
        <f>AJ13*(1+AK14)</f>
        <v/>
      </c>
      <c r="AL13" s="625">
        <f>AK13*(1+AL14)</f>
        <v/>
      </c>
      <c r="AM13" s="625">
        <f>AL13*(1+AM14)</f>
        <v/>
      </c>
      <c r="AN13" s="625">
        <f>AM13*(1+AN14)</f>
        <v/>
      </c>
      <c r="AP13" s="190" t="n"/>
      <c r="AQ13" s="616" t="inlineStr">
        <is>
          <t>Infrastructure &amp; Public Services</t>
        </is>
      </c>
      <c r="AR13" s="131">
        <f>AR5/$AR$8</f>
        <v/>
      </c>
      <c r="AS13" s="131" t="n">
        <v>0.28</v>
      </c>
      <c r="AT13" s="190" t="n"/>
      <c r="AU13" s="190" t="n"/>
    </row>
    <row r="14" customFormat="1" s="446">
      <c r="A14" s="446" t="inlineStr">
        <is>
          <t xml:space="preserve">    YoY</t>
        </is>
      </c>
      <c r="C14" s="568">
        <f>(D13/C13)-1</f>
        <v/>
      </c>
      <c r="D14" s="568">
        <f>(E13/D13)-1</f>
        <v/>
      </c>
      <c r="E14" s="568">
        <f>(E13/D13)-1</f>
        <v/>
      </c>
      <c r="F14" s="568">
        <f>(F13/E13)-1</f>
        <v/>
      </c>
      <c r="G14" s="568">
        <f>(G13/F13)-1</f>
        <v/>
      </c>
      <c r="H14" s="568">
        <f>(H13/G13)-1</f>
        <v/>
      </c>
      <c r="I14" s="568">
        <f>(I13/H13)-1</f>
        <v/>
      </c>
      <c r="J14" s="568">
        <f>(J13/I13)-1</f>
        <v/>
      </c>
      <c r="K14" s="568">
        <f>(K13/J13)-1</f>
        <v/>
      </c>
      <c r="L14" s="568">
        <f>(L13/K13)-1</f>
        <v/>
      </c>
      <c r="M14" s="568">
        <f>(M13/L13)-1</f>
        <v/>
      </c>
      <c r="N14" s="568">
        <f>(N13/M13)-1</f>
        <v/>
      </c>
      <c r="O14" s="568">
        <f>(O13/N13)-1</f>
        <v/>
      </c>
      <c r="P14" s="568">
        <f>(P13/O13)-1</f>
        <v/>
      </c>
      <c r="Q14" s="568">
        <f>(Q13/P13)-1</f>
        <v/>
      </c>
      <c r="R14" s="568">
        <f>(R13/Q13)-1</f>
        <v/>
      </c>
      <c r="S14" s="568">
        <f>(S13/R13)-1</f>
        <v/>
      </c>
      <c r="T14" s="568">
        <f>(T13/S13)-1</f>
        <v/>
      </c>
      <c r="U14" s="568">
        <f>(U13/T13)-1</f>
        <v/>
      </c>
      <c r="V14" s="568">
        <f>(V13/U13)-1</f>
        <v/>
      </c>
      <c r="W14" s="568">
        <f>(W13/V13)-1</f>
        <v/>
      </c>
      <c r="X14" s="568">
        <f>(X13/W13)-1</f>
        <v/>
      </c>
      <c r="Y14" s="568">
        <f>(Y13/X13)-1</f>
        <v/>
      </c>
      <c r="Z14" s="568">
        <f>(Z13/Y13)-1</f>
        <v/>
      </c>
      <c r="AA14" s="568">
        <f>(AA13/Z13)-1</f>
        <v/>
      </c>
      <c r="AB14" s="568">
        <f>(AB13/AA13)-1</f>
        <v/>
      </c>
      <c r="AC14" s="568">
        <f>(AC13/AB13)-1</f>
        <v/>
      </c>
      <c r="AD14" s="568">
        <f>(AD13/AC13)-1</f>
        <v/>
      </c>
      <c r="AE14" s="568">
        <f>(AE13/AD13)-1</f>
        <v/>
      </c>
      <c r="AF14" s="568">
        <f>(AF13/AE13)-1</f>
        <v/>
      </c>
      <c r="AG14" s="568">
        <f>(AG13/AF13)-1</f>
        <v/>
      </c>
      <c r="AH14" s="568">
        <f>(AH13/AG13)-1</f>
        <v/>
      </c>
      <c r="AI14" s="626" t="n">
        <v>0.02</v>
      </c>
      <c r="AJ14" s="627">
        <f>AI14</f>
        <v/>
      </c>
      <c r="AK14" s="627">
        <f>AJ14</f>
        <v/>
      </c>
      <c r="AL14" s="627">
        <f>AK14</f>
        <v/>
      </c>
      <c r="AM14" s="627">
        <f>AL14</f>
        <v/>
      </c>
      <c r="AN14" s="627">
        <f>AM14</f>
        <v/>
      </c>
      <c r="AP14" s="257" t="n"/>
      <c r="AQ14" s="616" t="inlineStr">
        <is>
          <t>Manufacturing</t>
        </is>
      </c>
      <c r="AR14" s="131">
        <f>AR6/$AR$8</f>
        <v/>
      </c>
      <c r="AS14" s="131" t="n">
        <v>0.06</v>
      </c>
      <c r="AT14" s="257" t="n"/>
      <c r="AU14" s="568" t="n"/>
    </row>
    <row r="15" customFormat="1" s="446">
      <c r="A15" s="446" t="inlineStr">
        <is>
          <t>Special rebates</t>
        </is>
      </c>
      <c r="B15" s="628" t="n"/>
      <c r="C15" s="612" t="n"/>
      <c r="D15" s="612" t="n">
        <v>-1.93</v>
      </c>
      <c r="E15" s="612" t="n"/>
      <c r="F15" s="612" t="n"/>
      <c r="G15" s="612" t="n">
        <v>-0.73</v>
      </c>
      <c r="H15" s="612" t="n">
        <v>-1.82</v>
      </c>
      <c r="I15" s="612" t="n">
        <v>-2.2</v>
      </c>
      <c r="J15" s="612">
        <f>I15</f>
        <v/>
      </c>
      <c r="K15" s="612">
        <f>J15</f>
        <v/>
      </c>
      <c r="L15" s="612">
        <f>K15</f>
        <v/>
      </c>
      <c r="M15" s="612">
        <f>L15</f>
        <v/>
      </c>
      <c r="N15" s="612" t="n">
        <v>0</v>
      </c>
      <c r="O15" s="612">
        <f>N15</f>
        <v/>
      </c>
      <c r="P15" s="612" t="n">
        <v>-1.8</v>
      </c>
      <c r="Q15" s="612" t="n">
        <v>-1.8</v>
      </c>
      <c r="R15" s="612" t="n">
        <v>-1.6</v>
      </c>
      <c r="S15" s="612" t="n">
        <v>0</v>
      </c>
      <c r="T15" s="612" t="n">
        <v>0</v>
      </c>
      <c r="U15" s="612" t="n">
        <v>0</v>
      </c>
      <c r="V15" s="612" t="n">
        <v>0</v>
      </c>
      <c r="W15" s="612" t="n">
        <v>0</v>
      </c>
      <c r="X15" s="612" t="n">
        <v>0</v>
      </c>
      <c r="Y15" s="612" t="n">
        <v>0</v>
      </c>
      <c r="Z15" s="612" t="n">
        <v>0</v>
      </c>
      <c r="AA15" s="612" t="n">
        <v>0</v>
      </c>
      <c r="AB15" s="612">
        <f>AA15</f>
        <v/>
      </c>
      <c r="AC15" s="612">
        <f>AB15</f>
        <v/>
      </c>
      <c r="AD15" s="612" t="n">
        <v>0</v>
      </c>
      <c r="AE15" s="612" t="n">
        <v>0</v>
      </c>
      <c r="AF15" s="612">
        <f>AF22/AF36*100</f>
        <v/>
      </c>
      <c r="AG15" s="612">
        <f>AG22/AG36*100</f>
        <v/>
      </c>
      <c r="AH15" s="612">
        <f>AH22/AH36*100</f>
        <v/>
      </c>
      <c r="AI15" s="629">
        <f>AH15</f>
        <v/>
      </c>
      <c r="AJ15" s="629">
        <f>AI15</f>
        <v/>
      </c>
      <c r="AK15" s="629">
        <f>AJ15</f>
        <v/>
      </c>
      <c r="AL15" s="629">
        <f>AK15</f>
        <v/>
      </c>
      <c r="AM15" s="629">
        <f>AL15</f>
        <v/>
      </c>
      <c r="AN15" s="629">
        <f>AM15</f>
        <v/>
      </c>
      <c r="AP15" s="190" t="n"/>
      <c r="AQ15" s="617" t="inlineStr">
        <is>
          <t>Total</t>
        </is>
      </c>
      <c r="AR15" s="194">
        <f>SUM(AR11:AR14)</f>
        <v/>
      </c>
      <c r="AS15" s="194">
        <f>SUM(AS11:AS14)</f>
        <v/>
      </c>
      <c r="AT15" s="250" t="n"/>
      <c r="AU15" s="250" t="n"/>
    </row>
    <row r="16" customFormat="1" s="630">
      <c r="A16" s="630" t="inlineStr">
        <is>
          <t>Fuel Clause Charge/(Rebate)</t>
        </is>
      </c>
      <c r="B16" s="628" t="n">
        <v>-3.36</v>
      </c>
      <c r="C16" s="612" t="n">
        <v>-2.5</v>
      </c>
      <c r="D16" s="612" t="n">
        <v>-3.79</v>
      </c>
      <c r="E16" s="612" t="n">
        <v>-4.5</v>
      </c>
      <c r="F16" s="612" t="n">
        <v>-4.5</v>
      </c>
      <c r="G16" s="612" t="n">
        <v>-1.27</v>
      </c>
      <c r="H16" s="612" t="n">
        <v>0.99</v>
      </c>
      <c r="I16" s="612" t="n">
        <v>2.2</v>
      </c>
      <c r="J16" s="612" t="n">
        <v>2.2</v>
      </c>
      <c r="K16" s="612">
        <f>J16</f>
        <v/>
      </c>
      <c r="L16" s="612" t="n">
        <v>1.9</v>
      </c>
      <c r="M16" s="612" t="n">
        <v>1.9</v>
      </c>
      <c r="N16" s="612" t="n">
        <v>-0.3</v>
      </c>
      <c r="O16" s="612" t="n">
        <v>0.2</v>
      </c>
      <c r="P16" s="612" t="n">
        <v>2</v>
      </c>
      <c r="Q16" s="612">
        <f>P16</f>
        <v/>
      </c>
      <c r="R16" s="612" t="n">
        <v>7.3</v>
      </c>
      <c r="S16" s="612" t="n">
        <v>11.8</v>
      </c>
      <c r="T16" s="612" t="n">
        <v>11.5</v>
      </c>
      <c r="U16" s="612" t="n">
        <v>14.1</v>
      </c>
      <c r="V16" s="612" t="n">
        <v>17.8</v>
      </c>
      <c r="W16" s="612" t="n">
        <v>22.4</v>
      </c>
      <c r="X16" s="612" t="n">
        <v>22.4</v>
      </c>
      <c r="Y16" s="612">
        <f>27-3.8</f>
        <v/>
      </c>
      <c r="Z16" s="612" t="n">
        <v>24.3</v>
      </c>
      <c r="AA16" s="612" t="n">
        <v>21</v>
      </c>
      <c r="AB16" s="612">
        <f>22*0.75+27.8*0.25</f>
        <v/>
      </c>
      <c r="AC16" s="612" t="n">
        <v>27.8</v>
      </c>
      <c r="AD16" s="612" t="n">
        <v>28.4</v>
      </c>
      <c r="AE16" s="612" t="n">
        <v>30.2</v>
      </c>
      <c r="AF16" s="612" t="n">
        <v>46.1</v>
      </c>
      <c r="AG16" s="612" t="n">
        <v>58.4</v>
      </c>
      <c r="AH16" s="612" t="n">
        <v>44.3</v>
      </c>
      <c r="AI16" s="631">
        <f>AH16</f>
        <v/>
      </c>
      <c r="AJ16" s="631">
        <f>+AI16</f>
        <v/>
      </c>
      <c r="AK16" s="631">
        <f>+AJ16</f>
        <v/>
      </c>
      <c r="AL16" s="631">
        <f>+AK16</f>
        <v/>
      </c>
      <c r="AM16" s="631">
        <f>+AL16</f>
        <v/>
      </c>
      <c r="AN16" s="631">
        <f>+AM16</f>
        <v/>
      </c>
      <c r="AP16" s="257" t="n"/>
      <c r="AQ16" s="446" t="n"/>
      <c r="AR16" s="250" t="n"/>
      <c r="AS16" s="250" t="n"/>
      <c r="AT16" s="257" t="n"/>
      <c r="AU16" s="257" t="n"/>
    </row>
    <row r="17" customFormat="1" s="616">
      <c r="A17" s="616" t="inlineStr">
        <is>
          <t>Rate Reduction Rebate</t>
        </is>
      </c>
      <c r="B17" s="628" t="n">
        <v>-1.17</v>
      </c>
      <c r="C17" s="612" t="n">
        <v>-1.6</v>
      </c>
      <c r="D17" s="612" t="n">
        <v>-1.6</v>
      </c>
      <c r="E17" s="612" t="n">
        <v>-0.96</v>
      </c>
      <c r="F17" s="612" t="n">
        <v>-0.6</v>
      </c>
      <c r="G17" s="612" t="n">
        <v>-0.6</v>
      </c>
      <c r="H17" s="612" t="n">
        <v>-0.6</v>
      </c>
      <c r="I17" s="612" t="n">
        <v>-0.6</v>
      </c>
      <c r="J17" s="612" t="n">
        <v>-0.6</v>
      </c>
      <c r="K17" s="612" t="n">
        <v>-0.6</v>
      </c>
      <c r="L17" s="612" t="n">
        <v>-0.6</v>
      </c>
      <c r="M17" s="612" t="n">
        <v>-0.6</v>
      </c>
      <c r="N17" s="612" t="n">
        <v>-0.6</v>
      </c>
      <c r="O17" s="612" t="n">
        <v>-1.1</v>
      </c>
      <c r="P17" s="612">
        <f>O17</f>
        <v/>
      </c>
      <c r="Q17" s="612">
        <f>P17</f>
        <v/>
      </c>
      <c r="R17" s="612" t="n">
        <v>-0.8</v>
      </c>
      <c r="S17" s="612" t="n">
        <v>-0.2</v>
      </c>
      <c r="T17" s="612" t="n">
        <v>0</v>
      </c>
      <c r="U17" s="612" t="n">
        <v>0</v>
      </c>
      <c r="V17" s="612" t="n">
        <v>0</v>
      </c>
      <c r="W17" s="612" t="n">
        <v>0</v>
      </c>
      <c r="X17" s="612" t="n">
        <v>0</v>
      </c>
      <c r="Y17" s="612" t="n">
        <v>0</v>
      </c>
      <c r="Z17" s="612" t="n">
        <v>0</v>
      </c>
      <c r="AA17" s="612" t="n">
        <v>0</v>
      </c>
      <c r="AB17" s="612" t="n">
        <v>0</v>
      </c>
      <c r="AC17" s="612" t="n">
        <v>0</v>
      </c>
      <c r="AD17" s="612" t="n">
        <v>0</v>
      </c>
      <c r="AE17" s="612" t="n">
        <v>0</v>
      </c>
      <c r="AF17" s="612" t="n">
        <v>0</v>
      </c>
      <c r="AG17" s="612" t="n">
        <v>0</v>
      </c>
      <c r="AH17" s="612" t="n">
        <v>0</v>
      </c>
      <c r="AI17" s="629" t="n">
        <v>0</v>
      </c>
      <c r="AJ17" s="629" t="n">
        <v>0</v>
      </c>
      <c r="AK17" s="629" t="n">
        <v>0</v>
      </c>
      <c r="AL17" s="629" t="n">
        <v>0</v>
      </c>
      <c r="AM17" s="629" t="n">
        <v>0</v>
      </c>
      <c r="AN17" s="629" t="n">
        <v>0</v>
      </c>
      <c r="AP17" s="76" t="n"/>
      <c r="AQ17" s="62" t="inlineStr">
        <is>
          <t>YoY</t>
        </is>
      </c>
      <c r="AR17" s="257" t="n"/>
      <c r="AS17" s="257" t="n"/>
      <c r="AT17" s="257" t="n"/>
      <c r="AU17" s="257" t="n"/>
    </row>
    <row r="18" customFormat="1" s="616">
      <c r="A18" s="616" t="inlineStr">
        <is>
          <t>Rent &amp; Rates Special Rebate</t>
        </is>
      </c>
      <c r="B18" s="628" t="n"/>
      <c r="C18" s="612" t="n"/>
      <c r="D18" s="612" t="n"/>
      <c r="E18" s="612" t="n"/>
      <c r="F18" s="612" t="n"/>
      <c r="G18" s="612" t="n"/>
      <c r="H18" s="612" t="n"/>
      <c r="I18" s="612" t="n"/>
      <c r="J18" s="612" t="n"/>
      <c r="K18" s="612" t="n"/>
      <c r="L18" s="612" t="n"/>
      <c r="M18" s="612" t="n"/>
      <c r="N18" s="612" t="n"/>
      <c r="O18" s="612" t="n"/>
      <c r="P18" s="612" t="n"/>
      <c r="Q18" s="612" t="n"/>
      <c r="R18" s="612" t="n"/>
      <c r="S18" s="612" t="n"/>
      <c r="T18" s="612" t="n"/>
      <c r="U18" s="612" t="n"/>
      <c r="V18" s="612" t="n">
        <v>-3.3</v>
      </c>
      <c r="W18" s="612" t="n">
        <v>-1.7</v>
      </c>
      <c r="X18" s="612" t="n">
        <v>0</v>
      </c>
      <c r="Y18" s="612" t="n">
        <v>0</v>
      </c>
      <c r="Z18" s="612" t="n">
        <v>0</v>
      </c>
      <c r="AA18" s="612" t="n">
        <v>0</v>
      </c>
      <c r="AB18" s="612" t="n">
        <v>-1.1</v>
      </c>
      <c r="AC18" s="612" t="n">
        <v>-0.1</v>
      </c>
      <c r="AD18" s="612" t="n">
        <v>-1.2</v>
      </c>
      <c r="AE18" s="612" t="n">
        <v>0</v>
      </c>
      <c r="AF18" s="612" t="n">
        <v>-1.3</v>
      </c>
      <c r="AG18" s="612" t="n">
        <v>-0.4</v>
      </c>
      <c r="AH18" s="612" t="n">
        <v>0</v>
      </c>
      <c r="AI18" s="629" t="n">
        <v>0</v>
      </c>
      <c r="AJ18" s="629" t="n">
        <v>0</v>
      </c>
      <c r="AK18" s="629" t="n">
        <v>0</v>
      </c>
      <c r="AL18" s="629" t="n">
        <v>0</v>
      </c>
      <c r="AM18" s="629" t="n">
        <v>0</v>
      </c>
      <c r="AN18" s="629" t="n">
        <v>0</v>
      </c>
      <c r="AP18" s="257" t="n"/>
      <c r="AQ18" s="526" t="inlineStr">
        <is>
          <t>Residential</t>
        </is>
      </c>
      <c r="AR18" s="257" t="n"/>
      <c r="AS18" s="614">
        <f>AS3/AR3-1</f>
        <v/>
      </c>
      <c r="AT18" s="257" t="n"/>
      <c r="AU18" s="257" t="n"/>
    </row>
    <row r="19">
      <c r="A19" s="109" t="inlineStr">
        <is>
          <t xml:space="preserve">Net Tariff </t>
        </is>
      </c>
      <c r="B19" s="632">
        <f>B13+SUM(B15:B18)</f>
        <v/>
      </c>
      <c r="C19" s="632">
        <f>C13+SUM(C15:C18)</f>
        <v/>
      </c>
      <c r="D19" s="632">
        <f>D13+SUM(D15:D18)</f>
        <v/>
      </c>
      <c r="E19" s="632">
        <f>E13+SUM(E15:E18)</f>
        <v/>
      </c>
      <c r="F19" s="632">
        <f>F13+SUM(F15:F18)</f>
        <v/>
      </c>
      <c r="G19" s="632">
        <f>G13+SUM(G15:G18)</f>
        <v/>
      </c>
      <c r="H19" s="632">
        <f>H13+SUM(H15:H18)</f>
        <v/>
      </c>
      <c r="I19" s="632">
        <f>I13+SUM(I15:I18)</f>
        <v/>
      </c>
      <c r="J19" s="632">
        <f>J13+SUM(J15:J18)</f>
        <v/>
      </c>
      <c r="K19" s="632">
        <f>K13+SUM(K15:K18)</f>
        <v/>
      </c>
      <c r="L19" s="632">
        <f>L13+SUM(L15:L18)</f>
        <v/>
      </c>
      <c r="M19" s="632">
        <f>M13+SUM(M15:M18)</f>
        <v/>
      </c>
      <c r="N19" s="632">
        <f>N13+SUM(N15:N18)</f>
        <v/>
      </c>
      <c r="O19" s="632">
        <f>O13+SUM(O15:O18)</f>
        <v/>
      </c>
      <c r="P19" s="632">
        <f>P13+SUM(P15:P18)</f>
        <v/>
      </c>
      <c r="Q19" s="632">
        <f>Q13+SUM(Q15:Q18)</f>
        <v/>
      </c>
      <c r="R19" s="632">
        <f>R13+SUM(R15:R18)</f>
        <v/>
      </c>
      <c r="S19" s="632">
        <f>S13+SUM(S15:S18)</f>
        <v/>
      </c>
      <c r="T19" s="632">
        <f>T13+SUM(T15:T18)</f>
        <v/>
      </c>
      <c r="U19" s="632">
        <f>U13+SUM(U15:U18)</f>
        <v/>
      </c>
      <c r="V19" s="632">
        <f>V13+SUM(V15:V18)</f>
        <v/>
      </c>
      <c r="W19" s="632">
        <f>W13+SUM(W15:W18)</f>
        <v/>
      </c>
      <c r="X19" s="632">
        <f>X13+SUM(X15:X18)</f>
        <v/>
      </c>
      <c r="Y19" s="632">
        <f>Y13+SUM(Y15:Y18)</f>
        <v/>
      </c>
      <c r="Z19" s="632">
        <f>Z13+SUM(Z15:Z18)</f>
        <v/>
      </c>
      <c r="AA19" s="632">
        <f>AA13+SUM(AA15:AA18)</f>
        <v/>
      </c>
      <c r="AB19" s="632">
        <f>AB13+SUM(AB15:AB18)</f>
        <v/>
      </c>
      <c r="AC19" s="632">
        <f>AC13+SUM(AC15:AC18)</f>
        <v/>
      </c>
      <c r="AD19" s="632">
        <f>AD13+SUM(AD15:AD18)</f>
        <v/>
      </c>
      <c r="AE19" s="632">
        <f>AE13+SUM(AE15:AE18)</f>
        <v/>
      </c>
      <c r="AF19" s="632">
        <f>AF13+SUM(AF15:AF18)</f>
        <v/>
      </c>
      <c r="AG19" s="632">
        <f>AG13+SUM(AG15:AG18)</f>
        <v/>
      </c>
      <c r="AH19" s="632">
        <f>AH13+SUM(AH15:AH18)</f>
        <v/>
      </c>
      <c r="AI19" s="632">
        <f>AI13+SUM(AI15:AI18)</f>
        <v/>
      </c>
      <c r="AJ19" s="632">
        <f>AJ13+SUM(AJ15:AJ18)</f>
        <v/>
      </c>
      <c r="AK19" s="632">
        <f>AK13+SUM(AK15:AK18)</f>
        <v/>
      </c>
      <c r="AL19" s="632">
        <f>AL13+SUM(AL15:AL18)</f>
        <v/>
      </c>
      <c r="AM19" s="632">
        <f>AM13+SUM(AM15:AM18)</f>
        <v/>
      </c>
      <c r="AN19" s="632">
        <f>AN13+SUM(AN15:AN18)</f>
        <v/>
      </c>
      <c r="AO19" s="446" t="n"/>
      <c r="AP19" s="190" t="n"/>
      <c r="AQ19" s="616" t="inlineStr">
        <is>
          <t xml:space="preserve">Commercial </t>
        </is>
      </c>
      <c r="AR19" s="257" t="n"/>
      <c r="AS19" s="614">
        <f>AS4/AR4-1</f>
        <v/>
      </c>
      <c r="AT19" s="190" t="n"/>
      <c r="AU19" s="190" t="n"/>
    </row>
    <row r="20">
      <c r="A20" s="446" t="inlineStr">
        <is>
          <t xml:space="preserve">    YoY</t>
        </is>
      </c>
      <c r="C20" s="614">
        <f>(C19/B19)-1</f>
        <v/>
      </c>
      <c r="D20" s="614">
        <f>(D19/C19)-1</f>
        <v/>
      </c>
      <c r="E20" s="614">
        <f>(E19/D19)-1</f>
        <v/>
      </c>
      <c r="F20" s="614">
        <f>(F19/E19)-1</f>
        <v/>
      </c>
      <c r="G20" s="614">
        <f>(G19/F19)-1</f>
        <v/>
      </c>
      <c r="H20" s="614">
        <f>(H19/G19)-1</f>
        <v/>
      </c>
      <c r="I20" s="614">
        <f>(I19/H19)-1</f>
        <v/>
      </c>
      <c r="J20" s="614">
        <f>(J19/I19)-1</f>
        <v/>
      </c>
      <c r="K20" s="614">
        <f>(K19/J19)-1</f>
        <v/>
      </c>
      <c r="L20" s="614">
        <f>(L19/K19)-1</f>
        <v/>
      </c>
      <c r="M20" s="614">
        <f>(M19/L19)-1</f>
        <v/>
      </c>
      <c r="N20" s="614">
        <f>(N19/M19)-1</f>
        <v/>
      </c>
      <c r="O20" s="614">
        <f>(O19/N19)-1</f>
        <v/>
      </c>
      <c r="P20" s="614">
        <f>(P19/O19)-1</f>
        <v/>
      </c>
      <c r="Q20" s="614">
        <f>(Q19/P19)-1</f>
        <v/>
      </c>
      <c r="R20" s="614">
        <f>(R19/Q19)-1</f>
        <v/>
      </c>
      <c r="S20" s="614">
        <f>(S19/R19)-1</f>
        <v/>
      </c>
      <c r="T20" s="614">
        <f>(T19/S19)-1</f>
        <v/>
      </c>
      <c r="U20" s="614">
        <f>(U19/T19)-1</f>
        <v/>
      </c>
      <c r="V20" s="614">
        <f>(V19/U19)-1</f>
        <v/>
      </c>
      <c r="W20" s="614">
        <f>(W19/V19)-1</f>
        <v/>
      </c>
      <c r="X20" s="614">
        <f>(X19/W19)-1</f>
        <v/>
      </c>
      <c r="Y20" s="614">
        <f>(Y19/X19)-1</f>
        <v/>
      </c>
      <c r="Z20" s="614">
        <f>(Z19/Y19)-1</f>
        <v/>
      </c>
      <c r="AA20" s="614">
        <f>(AA19/Z19)-1</f>
        <v/>
      </c>
      <c r="AB20" s="614">
        <f>(AB19/AA19)-1</f>
        <v/>
      </c>
      <c r="AC20" s="614">
        <f>(AC19/AB19)-1</f>
        <v/>
      </c>
      <c r="AD20" s="614">
        <f>(AD19/AC19)-1</f>
        <v/>
      </c>
      <c r="AE20" s="614">
        <f>(AE19/AD19)-1</f>
        <v/>
      </c>
      <c r="AF20" s="614">
        <f>(AF19/AE19)-1</f>
        <v/>
      </c>
      <c r="AG20" s="614">
        <f>(AG19/AF19)-1</f>
        <v/>
      </c>
      <c r="AH20" s="614">
        <f>(AH19/AG19)-1</f>
        <v/>
      </c>
      <c r="AI20" s="614">
        <f>(AI19/AH19)-1</f>
        <v/>
      </c>
      <c r="AJ20" s="614">
        <f>(AJ19/AI19)-1</f>
        <v/>
      </c>
      <c r="AK20" s="614">
        <f>(AK19/AJ19)-1</f>
        <v/>
      </c>
      <c r="AL20" s="614">
        <f>(AL19/AK19)-1</f>
        <v/>
      </c>
      <c r="AM20" s="614">
        <f>(AM19/AL19)-1</f>
        <v/>
      </c>
      <c r="AN20" s="614">
        <f>(AN19/AM19)-1</f>
        <v/>
      </c>
      <c r="AP20" s="614" t="n"/>
      <c r="AQ20" s="616" t="inlineStr">
        <is>
          <t>Infrastructure &amp; Public Services</t>
        </is>
      </c>
      <c r="AR20" s="190" t="n"/>
      <c r="AS20" s="614">
        <f>AS5/AR5-1</f>
        <v/>
      </c>
      <c r="AT20" s="614" t="n"/>
      <c r="AU20" s="614" t="n"/>
    </row>
    <row r="21">
      <c r="C21" s="614" t="n"/>
      <c r="D21" s="614" t="n"/>
      <c r="E21" s="614" t="n"/>
      <c r="F21" s="614" t="n"/>
      <c r="G21" s="614" t="n"/>
      <c r="H21" s="614" t="n"/>
      <c r="I21" s="614" t="n"/>
      <c r="J21" s="614" t="n"/>
      <c r="K21" s="614" t="n"/>
      <c r="L21" s="614" t="n"/>
      <c r="M21" s="614" t="n"/>
      <c r="AQ21" s="616" t="inlineStr">
        <is>
          <t>Manufacturing</t>
        </is>
      </c>
      <c r="AR21" s="614" t="n"/>
      <c r="AS21" s="614">
        <f>AS6/AR6-1</f>
        <v/>
      </c>
    </row>
    <row r="22">
      <c r="A22" s="43" t="inlineStr">
        <is>
          <t>Total value of special rebate</t>
        </is>
      </c>
      <c r="B22" s="512">
        <f>B15*B36/100</f>
        <v/>
      </c>
      <c r="C22" s="512">
        <f>C15*C36/100</f>
        <v/>
      </c>
      <c r="D22" s="512">
        <f>D15*D36/100</f>
        <v/>
      </c>
      <c r="E22" s="512">
        <f>E15*E36/100</f>
        <v/>
      </c>
      <c r="F22" s="512">
        <f>F15*F36/100</f>
        <v/>
      </c>
      <c r="G22" s="512">
        <f>G15*G36/100</f>
        <v/>
      </c>
      <c r="H22" s="512">
        <f>H15*H36/100</f>
        <v/>
      </c>
      <c r="I22" s="512">
        <f>I15*I36/100</f>
        <v/>
      </c>
      <c r="J22" s="512">
        <f>J15*J36/100-387</f>
        <v/>
      </c>
      <c r="K22" s="512">
        <f>K15*K36/100-340-609</f>
        <v/>
      </c>
      <c r="L22" s="512">
        <f>-(558+41+626)</f>
        <v/>
      </c>
      <c r="M22" s="512" t="n">
        <v>-910</v>
      </c>
      <c r="N22" s="512">
        <f>8-1-15</f>
        <v/>
      </c>
      <c r="O22" s="512" t="n">
        <v>-13</v>
      </c>
      <c r="P22" s="512" t="n">
        <v>-551</v>
      </c>
      <c r="Q22" s="512" t="n">
        <v>-462</v>
      </c>
      <c r="R22" s="512" t="n">
        <v>-494</v>
      </c>
      <c r="S22" s="512" t="n">
        <v>0</v>
      </c>
      <c r="T22" s="512" t="n">
        <v>0</v>
      </c>
      <c r="U22" s="512">
        <f>U15*U36/100</f>
        <v/>
      </c>
      <c r="V22" s="512">
        <f>V15*V36/100</f>
        <v/>
      </c>
      <c r="W22" s="512">
        <f>W15*W36/100</f>
        <v/>
      </c>
      <c r="X22" s="512">
        <f>X15*X36/100</f>
        <v/>
      </c>
      <c r="Y22" s="512">
        <f>Y15*Y36/100</f>
        <v/>
      </c>
      <c r="Z22" s="512">
        <f>Z15*Z36/100</f>
        <v/>
      </c>
      <c r="AA22" s="512">
        <f>AA15*AA36/100</f>
        <v/>
      </c>
      <c r="AB22" s="512">
        <f>AB15*AB36/100</f>
        <v/>
      </c>
      <c r="AC22" s="512">
        <f>AC15*AC36/100</f>
        <v/>
      </c>
      <c r="AD22" s="512">
        <f>AD15*AD36/100</f>
        <v/>
      </c>
      <c r="AE22" s="512">
        <f>AE15*AE36/100</f>
        <v/>
      </c>
      <c r="AF22" s="512" t="n">
        <v>-715</v>
      </c>
      <c r="AG22" s="512" t="n">
        <v>-271</v>
      </c>
      <c r="AH22" s="512" t="n">
        <v>-20</v>
      </c>
      <c r="AI22" s="528">
        <f>AI15*AI36/100</f>
        <v/>
      </c>
      <c r="AJ22" s="528">
        <f>AJ15*AJ36/100</f>
        <v/>
      </c>
      <c r="AK22" s="528">
        <f>AK15*AK36/100</f>
        <v/>
      </c>
      <c r="AL22" s="528">
        <f>AL15*AL36/100</f>
        <v/>
      </c>
      <c r="AM22" s="528">
        <f>AM15*AM36/100</f>
        <v/>
      </c>
      <c r="AN22" s="528">
        <f>AN15*AN36/100</f>
        <v/>
      </c>
      <c r="AQ22" s="617" t="inlineStr">
        <is>
          <t>Total</t>
        </is>
      </c>
      <c r="AS22" s="633">
        <f>AS8/AR8-1</f>
        <v/>
      </c>
    </row>
    <row r="23">
      <c r="A23" s="43" t="inlineStr">
        <is>
          <t>Total value of rate reduction rebate</t>
        </is>
      </c>
      <c r="B23" s="512">
        <f>B17*B36/100</f>
        <v/>
      </c>
      <c r="C23" s="512">
        <f>C17*C36/100</f>
        <v/>
      </c>
      <c r="D23" s="512">
        <f>D17*D36/100</f>
        <v/>
      </c>
      <c r="E23" s="512">
        <f>E17*E36/100</f>
        <v/>
      </c>
      <c r="F23" s="512">
        <f>F17*F36/100</f>
        <v/>
      </c>
      <c r="G23" s="512">
        <f>G17*G36/100</f>
        <v/>
      </c>
      <c r="H23" s="512">
        <f>H17*H36/100</f>
        <v/>
      </c>
      <c r="I23" s="512">
        <f>I17*I36/100</f>
        <v/>
      </c>
      <c r="J23" s="512">
        <f>J17*J36/100</f>
        <v/>
      </c>
      <c r="K23" s="512">
        <f>K17*K36/100-99</f>
        <v/>
      </c>
      <c r="L23" s="512">
        <f>L17*L36/100-5</f>
        <v/>
      </c>
      <c r="M23" s="512">
        <f>M17*M36/100-5</f>
        <v/>
      </c>
      <c r="N23" s="512">
        <f>N17*N36/100-5</f>
        <v/>
      </c>
      <c r="O23" s="512" t="n">
        <v>-334</v>
      </c>
      <c r="P23" s="512" t="n">
        <v>-340</v>
      </c>
      <c r="Q23" s="512">
        <f>-94-339</f>
        <v/>
      </c>
      <c r="R23" s="512">
        <f>-246+1</f>
        <v/>
      </c>
      <c r="S23" s="512">
        <f>0-72</f>
        <v/>
      </c>
      <c r="T23" s="512" t="n">
        <v>0</v>
      </c>
      <c r="U23" s="512">
        <f>U17*U36/100</f>
        <v/>
      </c>
      <c r="V23" s="512">
        <f>V17*V36/100</f>
        <v/>
      </c>
      <c r="W23" s="512">
        <f>W17*W36/100</f>
        <v/>
      </c>
      <c r="X23" s="512">
        <f>X17*X36/100</f>
        <v/>
      </c>
      <c r="Y23" s="512">
        <f>Y17*Y36/100</f>
        <v/>
      </c>
      <c r="Z23" s="512">
        <f>Z17*Z36/100</f>
        <v/>
      </c>
      <c r="AA23" s="512">
        <f>AA17*AA36/100</f>
        <v/>
      </c>
      <c r="AB23" s="512">
        <f>AB17*AB36/100</f>
        <v/>
      </c>
      <c r="AC23" s="512">
        <f>AC17*AC36/100</f>
        <v/>
      </c>
      <c r="AD23" s="512">
        <f>AD17*AD36/100</f>
        <v/>
      </c>
      <c r="AE23" s="512">
        <f>AE17*AE36/100</f>
        <v/>
      </c>
      <c r="AF23" s="512">
        <f>AF17*AF36/100</f>
        <v/>
      </c>
      <c r="AG23" s="512">
        <f>AG17*AG36/100</f>
        <v/>
      </c>
      <c r="AH23" s="512">
        <f>AH17*AH36/100</f>
        <v/>
      </c>
      <c r="AI23" s="512">
        <f>AI17*AI36/100</f>
        <v/>
      </c>
      <c r="AJ23" s="512">
        <f>AJ17*AJ36/100</f>
        <v/>
      </c>
      <c r="AK23" s="512">
        <f>AK17*AK36/100</f>
        <v/>
      </c>
      <c r="AL23" s="512">
        <f>AL17*AL36/100</f>
        <v/>
      </c>
      <c r="AM23" s="512">
        <f>AM17*AM36/100</f>
        <v/>
      </c>
      <c r="AN23" s="512">
        <f>AN17*AN36/100</f>
        <v/>
      </c>
    </row>
    <row r="24">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634" t="n"/>
      <c r="W24" s="32" t="n"/>
      <c r="X24" s="32" t="n"/>
      <c r="Y24" s="32" t="n"/>
      <c r="Z24" s="32" t="n"/>
      <c r="AA24" s="32" t="n"/>
      <c r="AB24" s="32" t="n"/>
      <c r="AC24" s="32" t="n"/>
      <c r="AD24" s="32" t="n"/>
      <c r="AE24" s="32" t="n"/>
      <c r="AF24" s="32" t="n"/>
      <c r="AG24" s="32" t="n"/>
      <c r="AH24" s="32" t="n"/>
      <c r="AI24" s="32" t="n"/>
      <c r="AJ24" s="32" t="n"/>
      <c r="AK24" s="32" t="n"/>
      <c r="AL24" s="32" t="n"/>
      <c r="AM24" s="32" t="n"/>
      <c r="AN24" s="32" t="n"/>
    </row>
    <row r="25" customFormat="1" s="203">
      <c r="A25" s="199" t="inlineStr">
        <is>
          <t>Check: tariff stablisation fund</t>
        </is>
      </c>
      <c r="B25" s="635">
        <f>'SOC Accounts'!B21</f>
        <v/>
      </c>
      <c r="C25" s="635">
        <f>'SOC Accounts'!C21</f>
        <v/>
      </c>
      <c r="D25" s="635">
        <f>'SOC Accounts'!D21</f>
        <v/>
      </c>
      <c r="E25" s="635">
        <f>'SOC Accounts'!E21</f>
        <v/>
      </c>
      <c r="F25" s="635">
        <f>'SOC Accounts'!F21</f>
        <v/>
      </c>
      <c r="G25" s="635">
        <f>'SOC Accounts'!G21</f>
        <v/>
      </c>
      <c r="H25" s="635">
        <f>'SOC Accounts'!H21</f>
        <v/>
      </c>
      <c r="I25" s="635">
        <f>'SOC Accounts'!I21</f>
        <v/>
      </c>
      <c r="J25" s="635">
        <f>'SOC Accounts'!J21</f>
        <v/>
      </c>
      <c r="K25" s="635">
        <f>'SOC Accounts'!K21</f>
        <v/>
      </c>
      <c r="L25" s="635">
        <f>'SOC Accounts'!L21</f>
        <v/>
      </c>
      <c r="M25" s="635">
        <f>'SOC Accounts'!M21</f>
        <v/>
      </c>
      <c r="N25" s="635">
        <f>'SOC Accounts'!N21</f>
        <v/>
      </c>
      <c r="O25" s="635">
        <f>'SOC Accounts'!O21</f>
        <v/>
      </c>
      <c r="P25" s="635">
        <f>'SOC Accounts'!P21</f>
        <v/>
      </c>
      <c r="Q25" s="635">
        <f>'SOC Accounts'!Q21</f>
        <v/>
      </c>
      <c r="R25" s="635">
        <f>'SOC Accounts'!R21</f>
        <v/>
      </c>
      <c r="S25" s="635">
        <f>'SOC Accounts'!S21</f>
        <v/>
      </c>
      <c r="T25" s="635">
        <f>'SOC Accounts'!T21</f>
        <v/>
      </c>
      <c r="U25" s="635">
        <f>'SOC Accounts'!U21</f>
        <v/>
      </c>
      <c r="V25" s="635">
        <f>'SOC Accounts'!V21</f>
        <v/>
      </c>
      <c r="W25" s="635">
        <f>'SOC Accounts'!W21</f>
        <v/>
      </c>
      <c r="X25" s="635">
        <f>'SOC Accounts'!X21</f>
        <v/>
      </c>
      <c r="Y25" s="635">
        <f>'SOC Accounts'!Y21</f>
        <v/>
      </c>
      <c r="Z25" s="635">
        <f>'SOC Accounts'!Z21</f>
        <v/>
      </c>
      <c r="AA25" s="635">
        <f>'SOC Accounts'!AA21</f>
        <v/>
      </c>
      <c r="AB25" s="635">
        <f>'SOC Accounts'!AB21</f>
        <v/>
      </c>
      <c r="AC25" s="635">
        <f>'SOC Accounts'!AC21</f>
        <v/>
      </c>
      <c r="AD25" s="635">
        <f>'SOC Accounts'!AD21</f>
        <v/>
      </c>
      <c r="AE25" s="635">
        <f>'SOC Accounts'!AE21</f>
        <v/>
      </c>
      <c r="AF25" s="635">
        <f>'SOC Accounts'!AF21</f>
        <v/>
      </c>
      <c r="AG25" s="635">
        <f>'SOC Accounts'!AG21</f>
        <v/>
      </c>
      <c r="AH25" s="635">
        <f>'SOC Accounts'!AH21</f>
        <v/>
      </c>
      <c r="AI25" s="635">
        <f>'SOC Accounts'!AI21</f>
        <v/>
      </c>
      <c r="AJ25" s="635">
        <f>'SOC Accounts'!AJ21</f>
        <v/>
      </c>
      <c r="AK25" s="635">
        <f>'SOC Accounts'!AK21</f>
        <v/>
      </c>
      <c r="AL25" s="635">
        <f>'SOC Accounts'!AL21</f>
        <v/>
      </c>
      <c r="AM25" s="635">
        <f>'SOC Accounts'!AM21</f>
        <v/>
      </c>
      <c r="AN25" s="635">
        <f>'SOC Accounts'!AN21</f>
        <v/>
      </c>
    </row>
    <row r="26" customFormat="1" s="203">
      <c r="A26" s="199" t="inlineStr">
        <is>
          <t>Check: fuel clause account (neg is payable)</t>
        </is>
      </c>
      <c r="B26" s="635">
        <f>'SOC Accounts'!B7</f>
        <v/>
      </c>
      <c r="C26" s="635">
        <f>'SOC Accounts'!C7</f>
        <v/>
      </c>
      <c r="D26" s="635">
        <f>'SOC Accounts'!D7</f>
        <v/>
      </c>
      <c r="E26" s="635">
        <f>'SOC Accounts'!E7</f>
        <v/>
      </c>
      <c r="F26" s="635">
        <f>'SOC Accounts'!F7</f>
        <v/>
      </c>
      <c r="G26" s="635">
        <f>'SOC Accounts'!G7</f>
        <v/>
      </c>
      <c r="H26" s="635">
        <f>'SOC Accounts'!H7</f>
        <v/>
      </c>
      <c r="I26" s="635">
        <f>'SOC Accounts'!I7</f>
        <v/>
      </c>
      <c r="J26" s="635">
        <f>'SOC Accounts'!J7</f>
        <v/>
      </c>
      <c r="K26" s="635">
        <f>'SOC Accounts'!K7</f>
        <v/>
      </c>
      <c r="L26" s="635">
        <f>'SOC Accounts'!L7</f>
        <v/>
      </c>
      <c r="M26" s="635">
        <f>'SOC Accounts'!M7</f>
        <v/>
      </c>
      <c r="N26" s="635">
        <f>'SOC Accounts'!N7</f>
        <v/>
      </c>
      <c r="O26" s="635">
        <f>'SOC Accounts'!O7</f>
        <v/>
      </c>
      <c r="P26" s="635">
        <f>'SOC Accounts'!P7</f>
        <v/>
      </c>
      <c r="Q26" s="635">
        <f>'SOC Accounts'!Q7</f>
        <v/>
      </c>
      <c r="R26" s="635">
        <f>'SOC Accounts'!R7</f>
        <v/>
      </c>
      <c r="S26" s="635">
        <f>'SOC Accounts'!S7</f>
        <v/>
      </c>
      <c r="T26" s="635">
        <f>'SOC Accounts'!T7</f>
        <v/>
      </c>
      <c r="U26" s="635">
        <f>'SOC Accounts'!U7</f>
        <v/>
      </c>
      <c r="V26" s="635">
        <f>'SOC Accounts'!V7</f>
        <v/>
      </c>
      <c r="W26" s="635">
        <f>'SOC Accounts'!W7</f>
        <v/>
      </c>
      <c r="X26" s="635">
        <f>'SOC Accounts'!X7</f>
        <v/>
      </c>
      <c r="Y26" s="635">
        <f>'SOC Accounts'!Y7</f>
        <v/>
      </c>
      <c r="Z26" s="635">
        <f>'SOC Accounts'!Z7</f>
        <v/>
      </c>
      <c r="AA26" s="635">
        <f>'SOC Accounts'!AA7</f>
        <v/>
      </c>
      <c r="AB26" s="635">
        <f>'SOC Accounts'!AB7</f>
        <v/>
      </c>
      <c r="AC26" s="635">
        <f>'SOC Accounts'!AC7</f>
        <v/>
      </c>
      <c r="AD26" s="635">
        <f>'SOC Accounts'!AD7</f>
        <v/>
      </c>
      <c r="AE26" s="635">
        <f>'SOC Accounts'!AE7</f>
        <v/>
      </c>
      <c r="AF26" s="635">
        <f>'SOC Accounts'!AF7</f>
        <v/>
      </c>
      <c r="AG26" s="635">
        <f>'SOC Accounts'!AG7</f>
        <v/>
      </c>
      <c r="AH26" s="635">
        <f>'SOC Accounts'!AH7</f>
        <v/>
      </c>
      <c r="AI26" s="635">
        <f>'SOC Accounts'!AI7</f>
        <v/>
      </c>
      <c r="AJ26" s="635">
        <f>'SOC Accounts'!AJ7</f>
        <v/>
      </c>
      <c r="AK26" s="635">
        <f>'SOC Accounts'!AK7</f>
        <v/>
      </c>
      <c r="AL26" s="635">
        <f>'SOC Accounts'!AL7</f>
        <v/>
      </c>
      <c r="AM26" s="635">
        <f>'SOC Accounts'!AM7</f>
        <v/>
      </c>
      <c r="AN26" s="635">
        <f>'SOC Accounts'!AN7</f>
        <v/>
      </c>
      <c r="AP26" s="203" t="n"/>
      <c r="AQ26" s="203" t="n"/>
    </row>
    <row r="27" customFormat="1" s="203">
      <c r="A27" s="199" t="inlineStr">
        <is>
          <t>Check: rate reduction reserve</t>
        </is>
      </c>
      <c r="B27" s="635">
        <f>'SOC Accounts'!B34</f>
        <v/>
      </c>
      <c r="C27" s="635">
        <f>'SOC Accounts'!C34</f>
        <v/>
      </c>
      <c r="D27" s="635">
        <f>'SOC Accounts'!D34</f>
        <v/>
      </c>
      <c r="E27" s="635">
        <f>'SOC Accounts'!E34</f>
        <v/>
      </c>
      <c r="F27" s="635">
        <f>'SOC Accounts'!F34</f>
        <v/>
      </c>
      <c r="G27" s="635">
        <f>'SOC Accounts'!G34</f>
        <v/>
      </c>
      <c r="H27" s="635">
        <f>'SOC Accounts'!H34</f>
        <v/>
      </c>
      <c r="I27" s="635">
        <f>'SOC Accounts'!I34</f>
        <v/>
      </c>
      <c r="J27" s="635">
        <f>'SOC Accounts'!J34</f>
        <v/>
      </c>
      <c r="K27" s="635">
        <f>'SOC Accounts'!K34</f>
        <v/>
      </c>
      <c r="L27" s="635">
        <f>'SOC Accounts'!L34</f>
        <v/>
      </c>
      <c r="M27" s="635">
        <f>'SOC Accounts'!M34</f>
        <v/>
      </c>
      <c r="N27" s="635">
        <f>'SOC Accounts'!N34</f>
        <v/>
      </c>
      <c r="O27" s="635">
        <f>'SOC Accounts'!O34</f>
        <v/>
      </c>
      <c r="P27" s="635">
        <f>'SOC Accounts'!P34</f>
        <v/>
      </c>
      <c r="Q27" s="635">
        <f>'SOC Accounts'!Q34</f>
        <v/>
      </c>
      <c r="R27" s="635">
        <f>'SOC Accounts'!R34</f>
        <v/>
      </c>
      <c r="S27" s="635">
        <f>'SOC Accounts'!S34</f>
        <v/>
      </c>
      <c r="T27" s="635">
        <f>'SOC Accounts'!T34</f>
        <v/>
      </c>
      <c r="U27" s="635">
        <f>'SOC Accounts'!U34</f>
        <v/>
      </c>
      <c r="V27" s="635">
        <f>'SOC Accounts'!V34</f>
        <v/>
      </c>
      <c r="W27" s="635">
        <f>'SOC Accounts'!W34</f>
        <v/>
      </c>
      <c r="X27" s="635">
        <f>'SOC Accounts'!X34</f>
        <v/>
      </c>
      <c r="Y27" s="635">
        <f>'SOC Accounts'!Y34</f>
        <v/>
      </c>
      <c r="Z27" s="635">
        <f>'SOC Accounts'!Z34</f>
        <v/>
      </c>
      <c r="AA27" s="635">
        <f>'SOC Accounts'!AA34</f>
        <v/>
      </c>
      <c r="AB27" s="635">
        <f>'SOC Accounts'!AB34</f>
        <v/>
      </c>
      <c r="AC27" s="635">
        <f>'SOC Accounts'!AC34</f>
        <v/>
      </c>
      <c r="AD27" s="635">
        <f>'SOC Accounts'!AD34</f>
        <v/>
      </c>
      <c r="AE27" s="635">
        <f>'SOC Accounts'!AE34</f>
        <v/>
      </c>
      <c r="AF27" s="635">
        <f>'SOC Accounts'!AF34</f>
        <v/>
      </c>
      <c r="AG27" s="635">
        <f>'SOC Accounts'!AG34</f>
        <v/>
      </c>
      <c r="AH27" s="635">
        <f>'SOC Accounts'!AH34</f>
        <v/>
      </c>
      <c r="AI27" s="635">
        <f>'SOC Accounts'!AI34</f>
        <v/>
      </c>
      <c r="AJ27" s="635">
        <f>'SOC Accounts'!AJ34</f>
        <v/>
      </c>
      <c r="AK27" s="635">
        <f>'SOC Accounts'!AK34</f>
        <v/>
      </c>
      <c r="AL27" s="635">
        <f>'SOC Accounts'!AL34</f>
        <v/>
      </c>
      <c r="AM27" s="635">
        <f>'SOC Accounts'!AM34</f>
        <v/>
      </c>
      <c r="AN27" s="635">
        <f>'SOC Accounts'!AN34</f>
        <v/>
      </c>
      <c r="AO27" s="204" t="n"/>
      <c r="AP27" s="636" t="n"/>
      <c r="AQ27" s="636" t="n"/>
      <c r="AR27" s="636" t="n"/>
    </row>
    <row r="28" customFormat="1" s="43">
      <c r="S28" s="616" t="n"/>
      <c r="T28" s="616" t="n"/>
      <c r="U28" s="43" t="n"/>
    </row>
    <row r="29" customFormat="1" s="43">
      <c r="A29" s="43" t="inlineStr">
        <is>
          <t>Implied export tariff/kWh</t>
        </is>
      </c>
      <c r="B29" s="571">
        <f>#REF!/B37</f>
        <v/>
      </c>
      <c r="C29" s="571">
        <f>#REF!/C37</f>
        <v/>
      </c>
      <c r="D29" s="571">
        <f>#REF!/D37</f>
        <v/>
      </c>
      <c r="E29" s="571">
        <f>#REF!/E37</f>
        <v/>
      </c>
      <c r="F29" s="571">
        <f>#REF!/F37</f>
        <v/>
      </c>
      <c r="G29" s="571">
        <f>#REF!/G37</f>
        <v/>
      </c>
      <c r="H29" s="571">
        <f>#REF!/H37</f>
        <v/>
      </c>
      <c r="I29" s="571">
        <f>#REF!/I37</f>
        <v/>
      </c>
      <c r="J29" s="571">
        <f>J5/J37</f>
        <v/>
      </c>
      <c r="K29" s="571">
        <f>K5/K37</f>
        <v/>
      </c>
      <c r="L29" s="571">
        <f>L5/L37</f>
        <v/>
      </c>
      <c r="M29" s="571">
        <f>M5/M37</f>
        <v/>
      </c>
      <c r="N29" s="571">
        <f>N5/N37</f>
        <v/>
      </c>
      <c r="O29" s="571">
        <f>O5/O37</f>
        <v/>
      </c>
      <c r="P29" s="571">
        <f>P5/P37</f>
        <v/>
      </c>
      <c r="Q29" s="571">
        <f>Q5/Q37</f>
        <v/>
      </c>
      <c r="R29" s="571">
        <f>R5/R37</f>
        <v/>
      </c>
      <c r="S29" s="571">
        <f>S5/S37</f>
        <v/>
      </c>
      <c r="T29" s="571">
        <f>T5/T37</f>
        <v/>
      </c>
      <c r="U29" s="571">
        <f>U5/U37</f>
        <v/>
      </c>
      <c r="V29" s="571">
        <f>V5/V37</f>
        <v/>
      </c>
      <c r="W29" s="571">
        <f>W5/W37</f>
        <v/>
      </c>
      <c r="X29" s="571">
        <f>X5/X37</f>
        <v/>
      </c>
      <c r="Y29" s="571">
        <f>Y5/Y37</f>
        <v/>
      </c>
      <c r="Z29" s="571">
        <f>Z5/Z37</f>
        <v/>
      </c>
      <c r="AA29" s="571">
        <f>AA5/AA37</f>
        <v/>
      </c>
      <c r="AB29" s="571">
        <f>AB5/AB37</f>
        <v/>
      </c>
      <c r="AC29" s="637" t="n">
        <v>0</v>
      </c>
      <c r="AD29" s="637">
        <f>AC29</f>
        <v/>
      </c>
      <c r="AE29" s="637">
        <f>AD29</f>
        <v/>
      </c>
      <c r="AF29" s="637">
        <f>AE29</f>
        <v/>
      </c>
      <c r="AG29" s="637">
        <f>AF29</f>
        <v/>
      </c>
      <c r="AH29" s="637">
        <f>AG29</f>
        <v/>
      </c>
      <c r="AI29" s="637">
        <f>AH29</f>
        <v/>
      </c>
      <c r="AJ29" s="637">
        <f>AI29</f>
        <v/>
      </c>
      <c r="AK29" s="637">
        <f>AJ29</f>
        <v/>
      </c>
      <c r="AL29" s="637">
        <f>AK29</f>
        <v/>
      </c>
      <c r="AM29" s="637">
        <f>AL29</f>
        <v/>
      </c>
      <c r="AN29" s="637">
        <f>AM29</f>
        <v/>
      </c>
    </row>
    <row r="30" customFormat="1" s="43">
      <c r="B30" s="571" t="n"/>
      <c r="C30" s="571" t="n"/>
      <c r="D30" s="571" t="n"/>
      <c r="E30" s="571" t="n"/>
      <c r="F30" s="571" t="n"/>
      <c r="G30" s="571" t="n"/>
      <c r="H30" s="571" t="n"/>
      <c r="I30" s="571" t="n"/>
      <c r="J30" s="571" t="n"/>
      <c r="K30" s="571" t="n"/>
      <c r="L30" s="571" t="n"/>
      <c r="M30" s="571" t="n"/>
      <c r="N30" s="571" t="n"/>
      <c r="O30" s="571" t="n"/>
      <c r="P30" s="571" t="n"/>
      <c r="Q30" s="571" t="n"/>
      <c r="R30" s="571" t="n"/>
      <c r="S30" s="571" t="n"/>
      <c r="T30" s="571" t="n"/>
      <c r="U30" s="571" t="n"/>
      <c r="V30" s="571" t="n"/>
      <c r="W30" s="571" t="n"/>
      <c r="X30" s="571" t="n"/>
      <c r="Y30" s="571" t="n"/>
      <c r="Z30" s="571" t="n"/>
      <c r="AA30" s="637" t="n"/>
      <c r="AB30" s="637" t="n"/>
      <c r="AC30" s="637" t="n"/>
      <c r="AD30" s="637" t="n"/>
      <c r="AE30" s="637" t="n"/>
      <c r="AF30" s="637" t="n"/>
      <c r="AG30" s="637" t="n"/>
      <c r="AH30" s="637" t="n"/>
      <c r="AI30" s="637" t="n"/>
      <c r="AJ30" s="637" t="n"/>
      <c r="AK30" s="637" t="n"/>
      <c r="AL30" s="637" t="n"/>
      <c r="AM30" s="637" t="n"/>
      <c r="AN30" s="637" t="n"/>
    </row>
    <row r="31" customFormat="1" s="526">
      <c r="A31" s="6" t="inlineStr">
        <is>
          <t>Demand (Gwh)</t>
        </is>
      </c>
      <c r="B31" s="594" t="n"/>
      <c r="C31" s="594" t="n"/>
      <c r="D31" s="594" t="n"/>
      <c r="E31" s="594" t="n"/>
      <c r="F31" s="594" t="n"/>
      <c r="G31" s="594" t="n"/>
      <c r="H31" s="594" t="n"/>
      <c r="I31" s="594" t="n"/>
      <c r="J31" s="594" t="n"/>
      <c r="K31" s="594" t="n"/>
      <c r="L31" s="594" t="n"/>
      <c r="M31" s="594" t="n"/>
      <c r="N31" s="594" t="n"/>
      <c r="O31" s="594" t="n"/>
      <c r="P31" s="594" t="n"/>
      <c r="Q31" s="594" t="n"/>
      <c r="R31" s="594" t="n"/>
      <c r="S31" s="594" t="n"/>
      <c r="T31" s="594" t="n"/>
      <c r="U31" s="594" t="n"/>
      <c r="V31" s="594" t="n"/>
      <c r="W31" s="594" t="n"/>
      <c r="X31" s="594" t="n"/>
      <c r="Y31" s="594" t="n"/>
      <c r="Z31" s="594" t="n"/>
      <c r="AA31" s="594" t="n"/>
      <c r="AB31" s="594" t="n"/>
      <c r="AC31" s="594" t="n"/>
      <c r="AD31" s="594" t="n"/>
      <c r="AE31" s="594" t="n"/>
      <c r="AF31" s="594" t="n"/>
      <c r="AG31" s="594" t="n"/>
      <c r="AH31" s="594" t="n"/>
      <c r="AI31" s="594" t="n"/>
      <c r="AJ31" s="594" t="n"/>
      <c r="AK31" s="594" t="n"/>
      <c r="AL31" s="594" t="n"/>
      <c r="AM31" s="594" t="n"/>
      <c r="AN31" s="594" t="n"/>
    </row>
    <row r="32">
      <c r="A32" s="207" t="inlineStr">
        <is>
          <t>Commercial</t>
        </is>
      </c>
      <c r="B32" s="526" t="n">
        <v>6071</v>
      </c>
      <c r="C32" s="526" t="n">
        <v>6567</v>
      </c>
      <c r="D32" s="526" t="n">
        <v>7096</v>
      </c>
      <c r="E32" s="526" t="n">
        <v>7603</v>
      </c>
      <c r="F32" s="526" t="n">
        <v>8038</v>
      </c>
      <c r="G32" s="526" t="n">
        <v>8542</v>
      </c>
      <c r="H32" s="526" t="n">
        <v>9157</v>
      </c>
      <c r="I32" s="526" t="n">
        <v>11785</v>
      </c>
      <c r="J32" s="526" t="n">
        <v>10014</v>
      </c>
      <c r="K32" s="526" t="n">
        <v>10378</v>
      </c>
      <c r="L32" s="526" t="n">
        <v>10661</v>
      </c>
      <c r="M32" s="526" t="n">
        <v>10698</v>
      </c>
      <c r="N32" s="526" t="n">
        <v>11086</v>
      </c>
      <c r="O32" s="526" t="n">
        <v>11428</v>
      </c>
      <c r="P32" s="526" t="n">
        <v>11957</v>
      </c>
      <c r="Q32" s="526" t="n">
        <v>12144</v>
      </c>
      <c r="R32" s="526" t="n">
        <v>12312</v>
      </c>
      <c r="S32" s="526" t="n">
        <v>12488</v>
      </c>
      <c r="T32" s="526" t="n">
        <v>12642</v>
      </c>
      <c r="U32" s="526" t="n">
        <v>12670</v>
      </c>
      <c r="V32" s="526" t="n">
        <v>12917</v>
      </c>
      <c r="W32" s="526" t="n">
        <v>12935</v>
      </c>
      <c r="X32" s="526" t="n">
        <v>13099</v>
      </c>
      <c r="Y32" s="526" t="n">
        <v>13209</v>
      </c>
      <c r="Z32" s="526" t="n">
        <v>13234</v>
      </c>
      <c r="AA32" s="526" t="n">
        <v>13220</v>
      </c>
      <c r="AB32" s="526" t="n">
        <v>13425</v>
      </c>
      <c r="AC32" s="526" t="n">
        <v>13584</v>
      </c>
      <c r="AD32" s="526" t="n">
        <v>12878</v>
      </c>
      <c r="AE32" s="526" t="n">
        <v>13423</v>
      </c>
      <c r="AF32" s="526" t="n">
        <v>13233</v>
      </c>
      <c r="AG32" s="526" t="n">
        <v>13673</v>
      </c>
      <c r="AH32" s="526" t="n">
        <v>13882</v>
      </c>
      <c r="AI32" s="564">
        <f>AH32*(1+AI41)</f>
        <v/>
      </c>
      <c r="AJ32" s="564">
        <f>AI32*(1+AJ41)</f>
        <v/>
      </c>
      <c r="AK32" s="564">
        <f>AJ32*(1+AK41)</f>
        <v/>
      </c>
      <c r="AL32" s="564">
        <f>AK32*(1+AL41)</f>
        <v/>
      </c>
      <c r="AM32" s="564">
        <f>AL32*(1+AM41)</f>
        <v/>
      </c>
      <c r="AN32" s="564">
        <f>AM32*(1+AN41)</f>
        <v/>
      </c>
      <c r="AS32" s="568" t="n"/>
    </row>
    <row r="33">
      <c r="A33" s="207" t="inlineStr">
        <is>
          <t>Domestic</t>
        </is>
      </c>
      <c r="B33" s="526" t="n">
        <v>4195</v>
      </c>
      <c r="C33" s="526" t="n">
        <v>4733</v>
      </c>
      <c r="D33" s="526" t="n">
        <v>5024</v>
      </c>
      <c r="E33" s="526" t="n">
        <v>5382</v>
      </c>
      <c r="F33" s="526" t="n">
        <v>5723</v>
      </c>
      <c r="G33" s="526" t="n">
        <v>5811</v>
      </c>
      <c r="H33" s="526" t="n">
        <v>6524</v>
      </c>
      <c r="I33" s="526" t="n">
        <v>7854</v>
      </c>
      <c r="J33" s="526" t="n">
        <v>6608</v>
      </c>
      <c r="K33" s="526" t="n">
        <v>6752</v>
      </c>
      <c r="L33" s="526" t="n">
        <v>6930</v>
      </c>
      <c r="M33" s="526" t="n">
        <v>7180</v>
      </c>
      <c r="N33" s="526" t="n">
        <v>7149</v>
      </c>
      <c r="O33" s="526" t="n">
        <v>7525</v>
      </c>
      <c r="P33" s="526" t="n">
        <v>7469</v>
      </c>
      <c r="Q33" s="526" t="n">
        <v>7724</v>
      </c>
      <c r="R33" s="526" t="n">
        <v>7890</v>
      </c>
      <c r="S33" s="526" t="n">
        <v>8331</v>
      </c>
      <c r="T33" s="526" t="n">
        <v>8457</v>
      </c>
      <c r="U33" s="526" t="n">
        <v>8594</v>
      </c>
      <c r="V33" s="526" t="n">
        <v>8900</v>
      </c>
      <c r="W33" s="526" t="n">
        <v>8658</v>
      </c>
      <c r="X33" s="526" t="n">
        <v>9450</v>
      </c>
      <c r="Y33" s="526" t="n">
        <v>9228</v>
      </c>
      <c r="Z33" s="526" t="n">
        <v>9394</v>
      </c>
      <c r="AA33" s="526" t="n">
        <v>9217</v>
      </c>
      <c r="AB33" s="526" t="n">
        <v>9191</v>
      </c>
      <c r="AC33" s="526" t="n">
        <v>9451</v>
      </c>
      <c r="AD33" s="526" t="n">
        <v>10298</v>
      </c>
      <c r="AE33" s="526" t="n">
        <v>10525</v>
      </c>
      <c r="AF33" s="526" t="n">
        <v>10113</v>
      </c>
      <c r="AG33" s="526" t="n">
        <v>9929</v>
      </c>
      <c r="AH33" s="526" t="n">
        <v>10204</v>
      </c>
      <c r="AI33" s="564">
        <f>AH33*(1+AI42)</f>
        <v/>
      </c>
      <c r="AJ33" s="564">
        <f>AI33*(1+AJ42)</f>
        <v/>
      </c>
      <c r="AK33" s="564">
        <f>AJ33*(1+AK42)</f>
        <v/>
      </c>
      <c r="AL33" s="564">
        <f>AK33*(1+AL42)</f>
        <v/>
      </c>
      <c r="AM33" s="564">
        <f>AL33*(1+AM42)</f>
        <v/>
      </c>
      <c r="AN33" s="564">
        <f>AM33*(1+AN42)</f>
        <v/>
      </c>
      <c r="AQ33" s="220" t="n"/>
      <c r="AR33" s="220" t="n"/>
      <c r="AS33" s="568" t="n"/>
      <c r="AT33" s="32" t="n"/>
      <c r="AU33" s="32" t="n"/>
    </row>
    <row r="34">
      <c r="A34" s="207" t="inlineStr">
        <is>
          <t>Industrial</t>
        </is>
      </c>
      <c r="B34" s="526" t="n">
        <v>5170</v>
      </c>
      <c r="C34" s="526" t="n">
        <v>4915</v>
      </c>
      <c r="D34" s="526" t="n">
        <v>4654</v>
      </c>
      <c r="E34" s="526" t="n">
        <v>4344</v>
      </c>
      <c r="F34" s="526" t="n">
        <v>4162</v>
      </c>
      <c r="G34" s="526" t="n">
        <v>3928</v>
      </c>
      <c r="H34" s="526" t="n">
        <v>3776</v>
      </c>
      <c r="I34" s="526" t="n">
        <v>4270</v>
      </c>
      <c r="J34" s="526" t="n">
        <v>3488</v>
      </c>
      <c r="K34" s="526" t="n">
        <v>3245</v>
      </c>
      <c r="L34" s="526" t="n">
        <v>3085</v>
      </c>
      <c r="M34" s="526" t="n">
        <v>2856</v>
      </c>
      <c r="N34" s="526" t="n">
        <v>2833</v>
      </c>
      <c r="O34" s="526" t="n">
        <v>2734</v>
      </c>
      <c r="P34" s="526" t="n">
        <v>2653</v>
      </c>
      <c r="Q34" s="526" t="n">
        <v>2418</v>
      </c>
      <c r="R34" s="526" t="n">
        <v>2202</v>
      </c>
      <c r="S34" s="526" t="n">
        <v>1938</v>
      </c>
      <c r="T34" s="526" t="n">
        <v>1952</v>
      </c>
      <c r="U34" s="526" t="n">
        <v>1886</v>
      </c>
      <c r="V34" s="526" t="n">
        <v>1890</v>
      </c>
      <c r="W34" s="526" t="n">
        <v>1832</v>
      </c>
      <c r="X34" s="526" t="n">
        <v>1791</v>
      </c>
      <c r="Y34" s="526" t="n">
        <v>1791</v>
      </c>
      <c r="Z34" s="526" t="n">
        <v>1751</v>
      </c>
      <c r="AA34" s="526" t="n">
        <v>1740</v>
      </c>
      <c r="AB34" s="526" t="n">
        <v>1704</v>
      </c>
      <c r="AC34" s="526" t="n">
        <v>1663</v>
      </c>
      <c r="AD34" s="526" t="n">
        <v>1616</v>
      </c>
      <c r="AE34" s="526" t="n">
        <v>1665</v>
      </c>
      <c r="AF34" s="526" t="n">
        <v>1615</v>
      </c>
      <c r="AG34" s="526" t="n">
        <v>1594</v>
      </c>
      <c r="AH34" s="526" t="n">
        <v>1573</v>
      </c>
      <c r="AI34" s="564">
        <f>AH34*(1+AI43)</f>
        <v/>
      </c>
      <c r="AJ34" s="564">
        <f>AI34*(1+AJ43)</f>
        <v/>
      </c>
      <c r="AK34" s="564">
        <f>AJ34*(1+AK43)</f>
        <v/>
      </c>
      <c r="AL34" s="564">
        <f>AK34*(1+AL43)</f>
        <v/>
      </c>
      <c r="AM34" s="564">
        <f>AL34*(1+AM43)</f>
        <v/>
      </c>
      <c r="AN34" s="564">
        <f>AM34*(1+AN43)</f>
        <v/>
      </c>
      <c r="AS34" s="568" t="n"/>
    </row>
    <row r="35">
      <c r="A35" s="207" t="inlineStr">
        <is>
          <t>Government &amp; others</t>
        </is>
      </c>
      <c r="B35" s="526" t="n">
        <v>3368</v>
      </c>
      <c r="C35" s="526" t="n">
        <v>3607</v>
      </c>
      <c r="D35" s="526" t="n">
        <v>3808</v>
      </c>
      <c r="E35" s="526" t="n">
        <v>4059</v>
      </c>
      <c r="F35" s="526" t="n">
        <v>4395</v>
      </c>
      <c r="G35" s="526" t="n">
        <v>4736</v>
      </c>
      <c r="H35" s="526" t="n">
        <v>5424</v>
      </c>
      <c r="I35" s="526" t="n">
        <v>7207</v>
      </c>
      <c r="J35" s="526" t="n">
        <v>6197</v>
      </c>
      <c r="K35" s="526" t="n">
        <v>6575</v>
      </c>
      <c r="L35" s="526" t="n">
        <v>7036</v>
      </c>
      <c r="M35" s="526" t="n">
        <v>7301</v>
      </c>
      <c r="N35" s="526" t="n">
        <v>7564</v>
      </c>
      <c r="O35" s="526" t="n">
        <v>7695</v>
      </c>
      <c r="P35" s="526" t="n">
        <v>7482</v>
      </c>
      <c r="Q35" s="526" t="n">
        <v>7676</v>
      </c>
      <c r="R35" s="526" t="n">
        <v>7661</v>
      </c>
      <c r="S35" s="526" t="n">
        <v>7813</v>
      </c>
      <c r="T35" s="526" t="n">
        <v>7878</v>
      </c>
      <c r="U35" s="526" t="n">
        <v>8018</v>
      </c>
      <c r="V35" s="526" t="n">
        <v>8288</v>
      </c>
      <c r="W35" s="526" t="n">
        <v>8358</v>
      </c>
      <c r="X35" s="526" t="n">
        <v>8585</v>
      </c>
      <c r="Y35" s="526" t="n">
        <v>8802</v>
      </c>
      <c r="Z35" s="526" t="n">
        <v>8858</v>
      </c>
      <c r="AA35" s="526" t="n">
        <v>8987</v>
      </c>
      <c r="AB35" s="526" t="n">
        <v>9342</v>
      </c>
      <c r="AC35" s="526" t="n">
        <v>9586</v>
      </c>
      <c r="AD35" s="526" t="n">
        <v>9171</v>
      </c>
      <c r="AE35" s="526" t="n">
        <v>9742</v>
      </c>
      <c r="AF35" s="526" t="n">
        <v>9863</v>
      </c>
      <c r="AG35" s="526" t="n">
        <v>10196</v>
      </c>
      <c r="AH35" s="526" t="n">
        <v>10466</v>
      </c>
      <c r="AI35" s="564">
        <f>AH35*(1+AI44)</f>
        <v/>
      </c>
      <c r="AJ35" s="564">
        <f>AI35*(1+AJ44)</f>
        <v/>
      </c>
      <c r="AK35" s="564">
        <f>AJ35*(1+AK44)</f>
        <v/>
      </c>
      <c r="AL35" s="564">
        <f>AK35*(1+AL44)</f>
        <v/>
      </c>
      <c r="AM35" s="564">
        <f>AL35*(1+AM44)</f>
        <v/>
      </c>
      <c r="AN35" s="564">
        <f>AM35*(1+AN44)</f>
        <v/>
      </c>
    </row>
    <row r="36">
      <c r="A36" s="209" t="inlineStr">
        <is>
          <t>Total local</t>
        </is>
      </c>
      <c r="B36" s="597">
        <f>SUM(B32:B35)</f>
        <v/>
      </c>
      <c r="C36" s="597">
        <f>SUM(C32:C35)</f>
        <v/>
      </c>
      <c r="D36" s="597">
        <f>SUM(D32:D35)</f>
        <v/>
      </c>
      <c r="E36" s="597">
        <f>SUM(E32:E35)</f>
        <v/>
      </c>
      <c r="F36" s="597">
        <f>SUM(F32:F35)</f>
        <v/>
      </c>
      <c r="G36" s="597">
        <f>SUM(G32:G35)</f>
        <v/>
      </c>
      <c r="H36" s="597">
        <f>SUM(H32:H35)</f>
        <v/>
      </c>
      <c r="I36" s="597">
        <f>SUM(I32:I35)</f>
        <v/>
      </c>
      <c r="J36" s="597">
        <f>SUM(J32:J35)</f>
        <v/>
      </c>
      <c r="K36" s="597">
        <f>SUM(K32:K35)</f>
        <v/>
      </c>
      <c r="L36" s="597">
        <f>SUM(L32:L35)</f>
        <v/>
      </c>
      <c r="M36" s="597">
        <f>SUM(M32:M35)</f>
        <v/>
      </c>
      <c r="N36" s="597">
        <f>SUM(N32:N35)</f>
        <v/>
      </c>
      <c r="O36" s="597">
        <f>SUM(O32:O35)</f>
        <v/>
      </c>
      <c r="P36" s="597">
        <f>SUM(P32:P35)</f>
        <v/>
      </c>
      <c r="Q36" s="597">
        <f>SUM(Q32:Q35)</f>
        <v/>
      </c>
      <c r="R36" s="597">
        <f>SUM(R32:R35)</f>
        <v/>
      </c>
      <c r="S36" s="597">
        <f>SUM(S32:S35)</f>
        <v/>
      </c>
      <c r="T36" s="597">
        <f>SUM(T32:T35)</f>
        <v/>
      </c>
      <c r="U36" s="597">
        <f>SUM(U32:U35)</f>
        <v/>
      </c>
      <c r="V36" s="597">
        <f>SUM(V32:V35)</f>
        <v/>
      </c>
      <c r="W36" s="597">
        <f>SUM(W32:W35)</f>
        <v/>
      </c>
      <c r="X36" s="597">
        <f>SUM(X32:X35)</f>
        <v/>
      </c>
      <c r="Y36" s="597">
        <f>SUM(Y32:Y35)</f>
        <v/>
      </c>
      <c r="Z36" s="597">
        <f>SUM(Z32:Z35)</f>
        <v/>
      </c>
      <c r="AA36" s="597">
        <f>SUM(AA32:AA35)</f>
        <v/>
      </c>
      <c r="AB36" s="597">
        <f>SUM(AB32:AB35)</f>
        <v/>
      </c>
      <c r="AC36" s="597">
        <f>SUM(AC32:AC35)</f>
        <v/>
      </c>
      <c r="AD36" s="597">
        <f>SUM(AD32:AD35)</f>
        <v/>
      </c>
      <c r="AE36" s="597">
        <f>SUM(AE32:AE35)</f>
        <v/>
      </c>
      <c r="AF36" s="597">
        <f>SUM(AF32:AF35)</f>
        <v/>
      </c>
      <c r="AG36" s="597">
        <f>SUM(AG32:AG35)</f>
        <v/>
      </c>
      <c r="AH36" s="597">
        <f>SUM(AH32:AH35)</f>
        <v/>
      </c>
      <c r="AI36" s="597">
        <f>SUM(AI32:AI35)</f>
        <v/>
      </c>
      <c r="AJ36" s="597">
        <f>SUM(AJ32:AJ35)</f>
        <v/>
      </c>
      <c r="AK36" s="597">
        <f>SUM(AK32:AK35)</f>
        <v/>
      </c>
      <c r="AL36" s="597">
        <f>SUM(AL32:AL35)</f>
        <v/>
      </c>
      <c r="AM36" s="597">
        <f>SUM(AM32:AM35)</f>
        <v/>
      </c>
      <c r="AN36" s="597">
        <f>SUM(AN32:AN35)</f>
        <v/>
      </c>
      <c r="AS36" s="568" t="n"/>
    </row>
    <row r="37" customFormat="1" s="62">
      <c r="A37" s="638" t="inlineStr">
        <is>
          <t>China</t>
        </is>
      </c>
      <c r="B37" s="526">
        <f>B38-B36</f>
        <v/>
      </c>
      <c r="C37" s="526" t="n">
        <v>5777</v>
      </c>
      <c r="D37" s="526" t="n">
        <v>1714</v>
      </c>
      <c r="E37" s="526" t="n">
        <v>1728</v>
      </c>
      <c r="F37" s="526" t="n">
        <v>520</v>
      </c>
      <c r="G37" s="526" t="n">
        <v>557</v>
      </c>
      <c r="H37" s="526" t="n">
        <v>601</v>
      </c>
      <c r="I37" s="526" t="n">
        <v>781</v>
      </c>
      <c r="J37" s="526" t="n">
        <v>1181</v>
      </c>
      <c r="K37" s="526" t="n">
        <v>1581</v>
      </c>
      <c r="L37" s="526" t="n">
        <v>2175</v>
      </c>
      <c r="M37" s="526" t="n">
        <v>3008.025</v>
      </c>
      <c r="N37" s="526" t="n">
        <v>3087</v>
      </c>
      <c r="O37" s="526" t="n">
        <v>4497</v>
      </c>
      <c r="P37" s="526" t="n">
        <v>4528</v>
      </c>
      <c r="Q37" s="526" t="n">
        <v>4035</v>
      </c>
      <c r="R37" s="526" t="n">
        <v>3552</v>
      </c>
      <c r="S37" s="526" t="n">
        <v>3731</v>
      </c>
      <c r="T37" s="526" t="n">
        <v>2609</v>
      </c>
      <c r="U37" s="526" t="n">
        <v>2957</v>
      </c>
      <c r="V37" s="526" t="n">
        <v>1838</v>
      </c>
      <c r="W37" s="526" t="n">
        <v>1650</v>
      </c>
      <c r="X37" s="526" t="n">
        <v>1226</v>
      </c>
      <c r="Y37" s="526" t="n">
        <v>1187</v>
      </c>
      <c r="Z37" s="526" t="n">
        <v>1205</v>
      </c>
      <c r="AA37" s="526" t="n">
        <v>1341</v>
      </c>
      <c r="AB37" s="526" t="n">
        <v>556</v>
      </c>
      <c r="AC37" s="526" t="n">
        <v>0</v>
      </c>
      <c r="AD37" s="526" t="n">
        <v>0</v>
      </c>
      <c r="AE37" s="526">
        <f>AD37*(1+AE46)</f>
        <v/>
      </c>
      <c r="AF37" s="526">
        <f>AE37*(1+AF46)</f>
        <v/>
      </c>
      <c r="AG37" s="526">
        <f>AF37*(1+AG46)</f>
        <v/>
      </c>
      <c r="AH37" s="526">
        <f>AG37*(1+AH46)</f>
        <v/>
      </c>
      <c r="AI37" s="526">
        <f>AH37*(1+AI46)</f>
        <v/>
      </c>
      <c r="AJ37" s="526">
        <f>AI37*(1+AJ46)</f>
        <v/>
      </c>
      <c r="AK37" s="526">
        <f>AJ37*(1+AK46)</f>
        <v/>
      </c>
      <c r="AL37" s="526">
        <f>AK37*(1+AL46)</f>
        <v/>
      </c>
      <c r="AM37" s="526">
        <f>AL37*(1+AM46)</f>
        <v/>
      </c>
      <c r="AN37" s="526">
        <f>AM37*(1+AN46)</f>
        <v/>
      </c>
    </row>
    <row r="38">
      <c r="A38" s="639" t="inlineStr">
        <is>
          <t>Total local and China</t>
        </is>
      </c>
      <c r="B38" s="597" t="n">
        <v>23191</v>
      </c>
      <c r="C38" s="597">
        <f>SUM(C36:C37)</f>
        <v/>
      </c>
      <c r="D38" s="597">
        <f>SUM(D36:D37)</f>
        <v/>
      </c>
      <c r="E38" s="597">
        <f>SUM(E36:E37)</f>
        <v/>
      </c>
      <c r="F38" s="597">
        <f>SUM(F36:F37)</f>
        <v/>
      </c>
      <c r="G38" s="597">
        <f>SUM(G36:G37)</f>
        <v/>
      </c>
      <c r="H38" s="597">
        <f>SUM(H36:H37)</f>
        <v/>
      </c>
      <c r="I38" s="597">
        <f>SUM(I36:I37)</f>
        <v/>
      </c>
      <c r="J38" s="597">
        <f>SUM(J36:J37)</f>
        <v/>
      </c>
      <c r="K38" s="597">
        <f>SUM(K36:K37)</f>
        <v/>
      </c>
      <c r="L38" s="597">
        <f>SUM(L36:L37)</f>
        <v/>
      </c>
      <c r="M38" s="597">
        <f>SUM(M36:M37)</f>
        <v/>
      </c>
      <c r="N38" s="597">
        <f>SUM(N36:N37)</f>
        <v/>
      </c>
      <c r="O38" s="597">
        <f>SUM(O36:O37)</f>
        <v/>
      </c>
      <c r="P38" s="597">
        <f>SUM(P36:P37)</f>
        <v/>
      </c>
      <c r="Q38" s="597">
        <f>SUM(Q36:Q37)</f>
        <v/>
      </c>
      <c r="R38" s="597">
        <f>SUM(R36:R37)</f>
        <v/>
      </c>
      <c r="S38" s="597">
        <f>SUM(S36:S37)</f>
        <v/>
      </c>
      <c r="T38" s="597">
        <f>SUM(T36:T37)</f>
        <v/>
      </c>
      <c r="U38" s="597">
        <f>SUM(U36:U37)</f>
        <v/>
      </c>
      <c r="V38" s="597">
        <f>SUM(V36:V37)</f>
        <v/>
      </c>
      <c r="W38" s="597">
        <f>SUM(W36:W37)</f>
        <v/>
      </c>
      <c r="X38" s="597">
        <f>SUM(X36:X37)</f>
        <v/>
      </c>
      <c r="Y38" s="597">
        <f>SUM(Y36:Y37)</f>
        <v/>
      </c>
      <c r="Z38" s="597">
        <f>SUM(Z36:Z37)</f>
        <v/>
      </c>
      <c r="AA38" s="597">
        <f>SUM(AA36:AA37)</f>
        <v/>
      </c>
      <c r="AB38" s="597">
        <f>SUM(AB36:AB37)</f>
        <v/>
      </c>
      <c r="AC38" s="597">
        <f>SUM(AC36:AC37)</f>
        <v/>
      </c>
      <c r="AD38" s="597">
        <f>SUM(AD36:AD37)</f>
        <v/>
      </c>
      <c r="AE38" s="597">
        <f>SUM(AE36:AE37)</f>
        <v/>
      </c>
      <c r="AF38" s="597">
        <f>SUM(AF36:AF37)</f>
        <v/>
      </c>
      <c r="AG38" s="597">
        <f>SUM(AG36:AG37)</f>
        <v/>
      </c>
      <c r="AH38" s="597">
        <f>SUM(AH36:AH37)</f>
        <v/>
      </c>
      <c r="AI38" s="597">
        <f>SUM(AI36:AI37)</f>
        <v/>
      </c>
      <c r="AJ38" s="597">
        <f>SUM(AJ36:AJ37)</f>
        <v/>
      </c>
      <c r="AK38" s="597">
        <f>SUM(AK36:AK37)</f>
        <v/>
      </c>
      <c r="AL38" s="597">
        <f>SUM(AL36:AL37)</f>
        <v/>
      </c>
      <c r="AM38" s="597">
        <f>SUM(AM36:AM37)</f>
        <v/>
      </c>
      <c r="AN38" s="597">
        <f>SUM(AN36:AN37)</f>
        <v/>
      </c>
    </row>
    <row r="39">
      <c r="U39" s="446" t="n"/>
      <c r="V39" s="446" t="n"/>
      <c r="W39" s="446" t="n"/>
      <c r="X39" s="446" t="n"/>
      <c r="Y39" s="446" t="n"/>
      <c r="Z39" s="446" t="n"/>
      <c r="AA39" s="446" t="n"/>
      <c r="AB39" s="446" t="n"/>
      <c r="AC39" s="568" t="n"/>
      <c r="AD39" s="446" t="n"/>
      <c r="AE39" s="446" t="n"/>
      <c r="AF39" s="446" t="n"/>
      <c r="AG39" s="446" t="n"/>
      <c r="AH39" s="446" t="n"/>
      <c r="AI39" s="446" t="n"/>
      <c r="AJ39" s="446" t="n"/>
      <c r="AK39" s="446" t="n"/>
      <c r="AL39" s="446" t="n"/>
      <c r="AM39" s="446" t="n"/>
      <c r="AN39" s="446" t="n"/>
    </row>
    <row r="40" customFormat="1" s="526">
      <c r="A40" s="6" t="inlineStr">
        <is>
          <t>YOY Change (%)</t>
        </is>
      </c>
      <c r="B40" s="594" t="n"/>
      <c r="C40" s="594" t="n"/>
      <c r="D40" s="594" t="n"/>
      <c r="E40" s="594" t="n"/>
      <c r="F40" s="594" t="n"/>
      <c r="G40" s="594" t="n"/>
      <c r="H40" s="594" t="n"/>
      <c r="I40" s="594" t="n"/>
      <c r="J40" s="594" t="n"/>
      <c r="K40" s="594" t="n"/>
      <c r="L40" s="594" t="n"/>
      <c r="M40" s="594" t="n"/>
      <c r="N40" s="594" t="n"/>
      <c r="O40" s="594" t="n"/>
      <c r="P40" s="594" t="n"/>
      <c r="Q40" s="594" t="n"/>
      <c r="R40" s="594" t="n"/>
      <c r="S40" s="594" t="n"/>
      <c r="T40" s="594" t="n"/>
      <c r="U40" s="594" t="n"/>
      <c r="V40" s="594" t="n"/>
      <c r="W40" s="594" t="n"/>
      <c r="X40" s="594" t="n"/>
      <c r="Y40" s="594" t="n"/>
      <c r="Z40" s="594" t="n"/>
      <c r="AA40" s="594" t="n"/>
      <c r="AB40" s="594" t="n"/>
      <c r="AC40" s="594" t="n"/>
      <c r="AD40" s="594" t="n"/>
      <c r="AE40" s="594" t="n"/>
      <c r="AF40" s="594" t="n"/>
      <c r="AG40" s="594" t="n"/>
      <c r="AH40" s="594" t="n"/>
      <c r="AI40" s="594" t="n"/>
      <c r="AJ40" s="594" t="n"/>
      <c r="AK40" s="594" t="n"/>
      <c r="AL40" s="594" t="n"/>
      <c r="AM40" s="594" t="n"/>
      <c r="AN40" s="594" t="n"/>
    </row>
    <row r="41">
      <c r="A41" s="43" t="inlineStr">
        <is>
          <t>Commercial</t>
        </is>
      </c>
      <c r="B41" s="640" t="inlineStr">
        <is>
          <t>na</t>
        </is>
      </c>
      <c r="C41" s="614">
        <f>(C32/B32)-1</f>
        <v/>
      </c>
      <c r="D41" s="614">
        <f>(D32/C32)-1</f>
        <v/>
      </c>
      <c r="E41" s="614">
        <f>(E32/D32)-1</f>
        <v/>
      </c>
      <c r="F41" s="614">
        <f>(F32/E32)-1</f>
        <v/>
      </c>
      <c r="G41" s="614">
        <f>(G32/F32)-1</f>
        <v/>
      </c>
      <c r="H41" s="614">
        <f>(H32/G32)-1</f>
        <v/>
      </c>
      <c r="I41" s="614">
        <f>(I32/H32*4/5)-1</f>
        <v/>
      </c>
      <c r="J41" s="614">
        <f>(J32/I32*5/4)-1</f>
        <v/>
      </c>
      <c r="K41" s="614">
        <f>K32/J32-1</f>
        <v/>
      </c>
      <c r="L41" s="614">
        <f>L32/K32-1</f>
        <v/>
      </c>
      <c r="M41" s="614">
        <f>M32/L32-1</f>
        <v/>
      </c>
      <c r="N41" s="614">
        <f>N32/M32-1</f>
        <v/>
      </c>
      <c r="O41" s="614">
        <f>O32/N32-1</f>
        <v/>
      </c>
      <c r="P41" s="614">
        <f>P32/O32-1</f>
        <v/>
      </c>
      <c r="Q41" s="614">
        <f>Q32/P32-1</f>
        <v/>
      </c>
      <c r="R41" s="614">
        <f>R32/Q32-1</f>
        <v/>
      </c>
      <c r="S41" s="614">
        <f>S32/R32-1</f>
        <v/>
      </c>
      <c r="T41" s="614">
        <f>T32/S32-1</f>
        <v/>
      </c>
      <c r="U41" s="614">
        <f>U32/T32-1</f>
        <v/>
      </c>
      <c r="V41" s="614">
        <f>V32/U32-1</f>
        <v/>
      </c>
      <c r="W41" s="614">
        <f>W32/V32-1</f>
        <v/>
      </c>
      <c r="X41" s="614">
        <f>X32/W32-1</f>
        <v/>
      </c>
      <c r="Y41" s="614">
        <f>Y32/X32-1</f>
        <v/>
      </c>
      <c r="Z41" s="614">
        <f>Z32/Y32-1</f>
        <v/>
      </c>
      <c r="AA41" s="614">
        <f>AA32/Z32-1</f>
        <v/>
      </c>
      <c r="AB41" s="614">
        <f>AB32/AA32-1</f>
        <v/>
      </c>
      <c r="AC41" s="614">
        <f>AC32/AB32-1</f>
        <v/>
      </c>
      <c r="AD41" s="614">
        <f>AD32/AC32-1</f>
        <v/>
      </c>
      <c r="AE41" s="614">
        <f>AE32/AD32-1</f>
        <v/>
      </c>
      <c r="AF41" s="614">
        <f>AF32/AE32-1</f>
        <v/>
      </c>
      <c r="AG41" s="614">
        <f>AG32/AF32-1</f>
        <v/>
      </c>
      <c r="AH41" s="614">
        <f>AG41</f>
        <v/>
      </c>
      <c r="AI41" s="641">
        <f>AH41</f>
        <v/>
      </c>
      <c r="AJ41" s="641">
        <f>AI41</f>
        <v/>
      </c>
      <c r="AK41" s="641">
        <f>AJ41</f>
        <v/>
      </c>
      <c r="AL41" s="641">
        <f>AK41</f>
        <v/>
      </c>
      <c r="AM41" s="641">
        <f>AL41</f>
        <v/>
      </c>
      <c r="AN41" s="641">
        <f>AM41</f>
        <v/>
      </c>
      <c r="AP41" s="641" t="n"/>
      <c r="AS41" s="641" t="n"/>
      <c r="AT41" s="641" t="n"/>
      <c r="AU41" s="641" t="n"/>
    </row>
    <row r="42">
      <c r="A42" s="43" t="inlineStr">
        <is>
          <t>Domestic</t>
        </is>
      </c>
      <c r="B42" s="640" t="inlineStr">
        <is>
          <t>na</t>
        </is>
      </c>
      <c r="C42" s="614">
        <f>(C33/B33)-1</f>
        <v/>
      </c>
      <c r="D42" s="614">
        <f>(D33/C33)-1</f>
        <v/>
      </c>
      <c r="E42" s="614">
        <f>(E33/D33)-1</f>
        <v/>
      </c>
      <c r="F42" s="614">
        <f>(F33/E33)-1</f>
        <v/>
      </c>
      <c r="G42" s="614">
        <f>(G33/F33)-1</f>
        <v/>
      </c>
      <c r="H42" s="614">
        <f>(H33/G33)-1</f>
        <v/>
      </c>
      <c r="I42" s="614">
        <f>(I33/H33*4/5)-1</f>
        <v/>
      </c>
      <c r="J42" s="614">
        <f>(J33/I33*5/4)-1</f>
        <v/>
      </c>
      <c r="K42" s="614">
        <f>K33/J33-1</f>
        <v/>
      </c>
      <c r="L42" s="614">
        <f>L33/K33-1</f>
        <v/>
      </c>
      <c r="M42" s="614">
        <f>M33/L33-1</f>
        <v/>
      </c>
      <c r="N42" s="614">
        <f>N33/M33-1</f>
        <v/>
      </c>
      <c r="O42" s="614">
        <f>O33/N33-1</f>
        <v/>
      </c>
      <c r="P42" s="614">
        <f>P33/O33-1</f>
        <v/>
      </c>
      <c r="Q42" s="614">
        <f>Q33/P33-1</f>
        <v/>
      </c>
      <c r="R42" s="614">
        <f>R33/Q33-1</f>
        <v/>
      </c>
      <c r="S42" s="614">
        <f>S33/R33-1</f>
        <v/>
      </c>
      <c r="T42" s="614">
        <f>T33/S33-1</f>
        <v/>
      </c>
      <c r="U42" s="614">
        <f>U33/T33-1</f>
        <v/>
      </c>
      <c r="V42" s="614">
        <f>V33/U33-1</f>
        <v/>
      </c>
      <c r="W42" s="614">
        <f>W33/V33-1</f>
        <v/>
      </c>
      <c r="X42" s="614">
        <f>X33/W33-1</f>
        <v/>
      </c>
      <c r="Y42" s="614">
        <f>Y33/X33-1</f>
        <v/>
      </c>
      <c r="Z42" s="614">
        <f>Z33/Y33-1</f>
        <v/>
      </c>
      <c r="AA42" s="614">
        <f>AA33/Z33-1</f>
        <v/>
      </c>
      <c r="AB42" s="614">
        <f>AB33/AA33-1</f>
        <v/>
      </c>
      <c r="AC42" s="614">
        <f>AC33/AB33-1</f>
        <v/>
      </c>
      <c r="AD42" s="614">
        <f>AD33/AC33-1</f>
        <v/>
      </c>
      <c r="AE42" s="614">
        <f>AE33/AD33-1</f>
        <v/>
      </c>
      <c r="AF42" s="614">
        <f>AF33/AE33-1</f>
        <v/>
      </c>
      <c r="AG42" s="614">
        <f>AG33/AF33-1</f>
        <v/>
      </c>
      <c r="AH42" s="614">
        <f>AG42</f>
        <v/>
      </c>
      <c r="AI42" s="641">
        <f>AH42</f>
        <v/>
      </c>
      <c r="AJ42" s="641">
        <f>AI42</f>
        <v/>
      </c>
      <c r="AK42" s="641">
        <f>AJ42</f>
        <v/>
      </c>
      <c r="AL42" s="641">
        <f>AK42</f>
        <v/>
      </c>
      <c r="AM42" s="641">
        <f>AL42</f>
        <v/>
      </c>
      <c r="AN42" s="641">
        <f>AM42</f>
        <v/>
      </c>
      <c r="AS42" s="614" t="n"/>
      <c r="AT42" s="614" t="n"/>
      <c r="AU42" s="614" t="n"/>
    </row>
    <row r="43">
      <c r="A43" s="43" t="inlineStr">
        <is>
          <t>Industrial</t>
        </is>
      </c>
      <c r="B43" s="640" t="inlineStr">
        <is>
          <t>na</t>
        </is>
      </c>
      <c r="C43" s="614">
        <f>(C34/B34)-1</f>
        <v/>
      </c>
      <c r="D43" s="614">
        <f>(D34/C34)-1</f>
        <v/>
      </c>
      <c r="E43" s="614">
        <f>(E34/D34)-1</f>
        <v/>
      </c>
      <c r="F43" s="614">
        <f>(F34/E34)-1</f>
        <v/>
      </c>
      <c r="G43" s="614">
        <f>(G34/F34)-1</f>
        <v/>
      </c>
      <c r="H43" s="614">
        <f>(H34/G34)-1</f>
        <v/>
      </c>
      <c r="I43" s="614">
        <f>(I34/H34*4/5)-1</f>
        <v/>
      </c>
      <c r="J43" s="614">
        <f>(J34/I34*5/4)-1</f>
        <v/>
      </c>
      <c r="K43" s="614">
        <f>K34/J34-1</f>
        <v/>
      </c>
      <c r="L43" s="614">
        <f>L34/K34-1</f>
        <v/>
      </c>
      <c r="M43" s="614">
        <f>M34/L34-1</f>
        <v/>
      </c>
      <c r="N43" s="614">
        <f>N34/M34-1</f>
        <v/>
      </c>
      <c r="O43" s="614">
        <f>O34/N34-1</f>
        <v/>
      </c>
      <c r="P43" s="614">
        <f>P34/O34-1</f>
        <v/>
      </c>
      <c r="Q43" s="614">
        <f>Q34/P34-1</f>
        <v/>
      </c>
      <c r="R43" s="614">
        <f>R34/Q34-1</f>
        <v/>
      </c>
      <c r="S43" s="614">
        <f>S34/R34-1</f>
        <v/>
      </c>
      <c r="T43" s="614">
        <f>T34/S34-1</f>
        <v/>
      </c>
      <c r="U43" s="614">
        <f>U34/T34-1</f>
        <v/>
      </c>
      <c r="V43" s="614">
        <f>V34/U34-1</f>
        <v/>
      </c>
      <c r="W43" s="614">
        <f>W34/V34-1</f>
        <v/>
      </c>
      <c r="X43" s="614">
        <f>X34/W34-1</f>
        <v/>
      </c>
      <c r="Y43" s="614">
        <f>Y34/X34-1</f>
        <v/>
      </c>
      <c r="Z43" s="614">
        <f>Z34/Y34-1</f>
        <v/>
      </c>
      <c r="AA43" s="614">
        <f>AA34/Z34-1</f>
        <v/>
      </c>
      <c r="AB43" s="614">
        <f>AB34/AA34-1</f>
        <v/>
      </c>
      <c r="AC43" s="614">
        <f>AC34/AB34-1</f>
        <v/>
      </c>
      <c r="AD43" s="614">
        <f>AD34/AC34-1</f>
        <v/>
      </c>
      <c r="AE43" s="614">
        <f>AE34/AD34-1</f>
        <v/>
      </c>
      <c r="AF43" s="614">
        <f>AF34/AE34-1</f>
        <v/>
      </c>
      <c r="AG43" s="614">
        <f>AG34/AF34-1</f>
        <v/>
      </c>
      <c r="AH43" s="614">
        <f>AG43</f>
        <v/>
      </c>
      <c r="AI43" s="641">
        <f>AH43</f>
        <v/>
      </c>
      <c r="AJ43" s="641">
        <f>AI43</f>
        <v/>
      </c>
      <c r="AK43" s="641">
        <f>AJ43</f>
        <v/>
      </c>
      <c r="AL43" s="641">
        <f>AK43</f>
        <v/>
      </c>
      <c r="AM43" s="641">
        <f>AL43</f>
        <v/>
      </c>
      <c r="AN43" s="641">
        <f>AM43</f>
        <v/>
      </c>
      <c r="AP43" s="614" t="n"/>
      <c r="AQ43" s="614" t="n"/>
      <c r="AR43" s="614" t="n"/>
      <c r="AS43" s="614" t="n"/>
      <c r="AT43" s="614" t="n"/>
      <c r="AU43" s="614" t="n"/>
    </row>
    <row r="44">
      <c r="A44" s="43" t="inlineStr">
        <is>
          <t>Government and others</t>
        </is>
      </c>
      <c r="B44" s="640" t="n"/>
      <c r="C44" s="614" t="n"/>
      <c r="D44" s="614">
        <f>(D35/C35)-1</f>
        <v/>
      </c>
      <c r="E44" s="614">
        <f>(E35/D35)-1</f>
        <v/>
      </c>
      <c r="F44" s="614">
        <f>(F35/E35)-1</f>
        <v/>
      </c>
      <c r="G44" s="614">
        <f>(G35/F35)-1</f>
        <v/>
      </c>
      <c r="H44" s="614">
        <f>(H35/G35)-1</f>
        <v/>
      </c>
      <c r="I44" s="614">
        <f>(I35/H35)-1</f>
        <v/>
      </c>
      <c r="J44" s="614">
        <f>(J35/I35)-1</f>
        <v/>
      </c>
      <c r="K44" s="614">
        <f>(K35/J35)-1</f>
        <v/>
      </c>
      <c r="L44" s="614">
        <f>(L35/K35)-1</f>
        <v/>
      </c>
      <c r="M44" s="614">
        <f>(M35/L35)-1</f>
        <v/>
      </c>
      <c r="N44" s="614">
        <f>(N35/M35)-1</f>
        <v/>
      </c>
      <c r="O44" s="614">
        <f>(O35/N35)-1</f>
        <v/>
      </c>
      <c r="P44" s="614">
        <f>(P35/O35)-1</f>
        <v/>
      </c>
      <c r="Q44" s="614">
        <f>(Q35/P35)-1</f>
        <v/>
      </c>
      <c r="R44" s="614">
        <f>(R35/Q35)-1</f>
        <v/>
      </c>
      <c r="S44" s="614">
        <f>(S35/R35)-1</f>
        <v/>
      </c>
      <c r="T44" s="614">
        <f>(T35/S35)-1</f>
        <v/>
      </c>
      <c r="U44" s="614">
        <f>(U35/T35)-1</f>
        <v/>
      </c>
      <c r="V44" s="614">
        <f>(V35/U35)-1</f>
        <v/>
      </c>
      <c r="W44" s="614">
        <f>(W35/V35)-1</f>
        <v/>
      </c>
      <c r="X44" s="614">
        <f>(X35/W35)-1</f>
        <v/>
      </c>
      <c r="Y44" s="614">
        <f>(Y35/X35)-1</f>
        <v/>
      </c>
      <c r="Z44" s="614">
        <f>(Z35/Y35)-1</f>
        <v/>
      </c>
      <c r="AA44" s="614">
        <f>(AA35/Z35)-1</f>
        <v/>
      </c>
      <c r="AB44" s="614">
        <f>(AB35/AA35)-1</f>
        <v/>
      </c>
      <c r="AC44" s="614">
        <f>(AC35/AB35)-1</f>
        <v/>
      </c>
      <c r="AD44" s="614">
        <f>(AD35/AC35)-1</f>
        <v/>
      </c>
      <c r="AE44" s="614">
        <f>(AE35/AD35)-1</f>
        <v/>
      </c>
      <c r="AF44" s="614">
        <f>(AF35/AE35)-1</f>
        <v/>
      </c>
      <c r="AG44" s="614">
        <f>(AG35/AF35)-1</f>
        <v/>
      </c>
      <c r="AH44" s="614">
        <f>AG44</f>
        <v/>
      </c>
      <c r="AI44" s="641">
        <f>AH44</f>
        <v/>
      </c>
      <c r="AJ44" s="641">
        <f>AI44</f>
        <v/>
      </c>
      <c r="AK44" s="641">
        <f>AJ44</f>
        <v/>
      </c>
      <c r="AL44" s="641">
        <f>AK44</f>
        <v/>
      </c>
      <c r="AM44" s="641">
        <f>AL44</f>
        <v/>
      </c>
      <c r="AN44" s="641">
        <f>AM44</f>
        <v/>
      </c>
      <c r="AP44" s="614" t="n"/>
      <c r="AQ44" s="614" t="n"/>
      <c r="AR44" s="614" t="n"/>
      <c r="AS44" s="614" t="n"/>
      <c r="AT44" s="614" t="n"/>
      <c r="AU44" s="614" t="n"/>
    </row>
    <row r="45">
      <c r="A45" s="62" t="inlineStr">
        <is>
          <t>Total local</t>
        </is>
      </c>
      <c r="B45" s="642" t="inlineStr">
        <is>
          <t>na</t>
        </is>
      </c>
      <c r="C45" s="633">
        <f>(C36/B36)-1</f>
        <v/>
      </c>
      <c r="D45" s="633">
        <f>(D36/C36)-1</f>
        <v/>
      </c>
      <c r="E45" s="633">
        <f>(E36/D36)-1</f>
        <v/>
      </c>
      <c r="F45" s="633">
        <f>(F36/E36)-1</f>
        <v/>
      </c>
      <c r="G45" s="633">
        <f>(G36/F36)-1</f>
        <v/>
      </c>
      <c r="H45" s="633">
        <f>(H36/G36)-1</f>
        <v/>
      </c>
      <c r="I45" s="633">
        <f>(I36/H36*4/5)-1</f>
        <v/>
      </c>
      <c r="J45" s="633">
        <f>(J36/I36*5/4)-1</f>
        <v/>
      </c>
      <c r="K45" s="633">
        <f>K36/J36-1</f>
        <v/>
      </c>
      <c r="L45" s="633">
        <f>L36/K36-1</f>
        <v/>
      </c>
      <c r="M45" s="633">
        <f>M36/L36-1</f>
        <v/>
      </c>
      <c r="N45" s="633">
        <f>N36/M36-1</f>
        <v/>
      </c>
      <c r="O45" s="633">
        <f>O36/N36-1</f>
        <v/>
      </c>
      <c r="P45" s="633">
        <f>(P36/O36)-1</f>
        <v/>
      </c>
      <c r="Q45" s="633">
        <f>(Q36/P36)-1</f>
        <v/>
      </c>
      <c r="R45" s="633">
        <f>(R36/Q36)-1</f>
        <v/>
      </c>
      <c r="S45" s="633">
        <f>(S36/R36)-1</f>
        <v/>
      </c>
      <c r="T45" s="633">
        <f>(T36/S36)-1</f>
        <v/>
      </c>
      <c r="U45" s="633">
        <f>(U36/T36)-1</f>
        <v/>
      </c>
      <c r="V45" s="633">
        <f>(V36/U36)-1</f>
        <v/>
      </c>
      <c r="W45" s="633">
        <f>(W36/V36)-1</f>
        <v/>
      </c>
      <c r="X45" s="633">
        <f>(X36/W36)-1</f>
        <v/>
      </c>
      <c r="Y45" s="633">
        <f>(Y36/X36)-1</f>
        <v/>
      </c>
      <c r="Z45" s="633">
        <f>(Z36/Y36)-1</f>
        <v/>
      </c>
      <c r="AA45" s="633">
        <f>(AA36/Z36)-1</f>
        <v/>
      </c>
      <c r="AB45" s="633">
        <f>(AB36/AA36)-1</f>
        <v/>
      </c>
      <c r="AC45" s="633">
        <f>(AC36/AB36)-1</f>
        <v/>
      </c>
      <c r="AD45" s="633">
        <f>(AD36/AC36)-1</f>
        <v/>
      </c>
      <c r="AE45" s="633">
        <f>(AE36/AD36)-1</f>
        <v/>
      </c>
      <c r="AF45" s="633">
        <f>(AF36/AE36)-1</f>
        <v/>
      </c>
      <c r="AG45" s="633">
        <f>(AG36/AF36)-1</f>
        <v/>
      </c>
      <c r="AH45" s="633">
        <f>(AH36/AG36)-1</f>
        <v/>
      </c>
      <c r="AI45" s="633">
        <f>(AI36/AH36)-1</f>
        <v/>
      </c>
      <c r="AJ45" s="633">
        <f>(AJ36/AI36)-1</f>
        <v/>
      </c>
      <c r="AK45" s="633">
        <f>(AK36/AJ36)-1</f>
        <v/>
      </c>
      <c r="AL45" s="633">
        <f>(AL36/AK36)-1</f>
        <v/>
      </c>
      <c r="AM45" s="633">
        <f>(AM36/AL36)-1</f>
        <v/>
      </c>
      <c r="AN45" s="633">
        <f>(AN36/AM36)-1</f>
        <v/>
      </c>
      <c r="AP45" s="633" t="n"/>
      <c r="AQ45" s="633" t="n"/>
      <c r="AR45" s="633" t="n"/>
      <c r="AS45" s="633" t="n"/>
      <c r="AT45" s="633" t="n"/>
      <c r="AU45" s="633" t="n"/>
    </row>
    <row r="46">
      <c r="A46" s="638" t="inlineStr">
        <is>
          <t>China</t>
        </is>
      </c>
      <c r="B46" s="642" t="n"/>
      <c r="C46" s="633" t="n"/>
      <c r="D46" s="614">
        <f>D37/C37-1</f>
        <v/>
      </c>
      <c r="E46" s="614">
        <f>E37/D37-1</f>
        <v/>
      </c>
      <c r="F46" s="614">
        <f>F37/E37-1</f>
        <v/>
      </c>
      <c r="G46" s="614">
        <f>G37/F37-1</f>
        <v/>
      </c>
      <c r="H46" s="614">
        <f>H37/G37-1</f>
        <v/>
      </c>
      <c r="I46" s="614">
        <f>(I37/H37*4/5)-1</f>
        <v/>
      </c>
      <c r="J46" s="614">
        <f>(J37/I37*5/4)-1</f>
        <v/>
      </c>
      <c r="K46" s="614">
        <f>K37/J37-1</f>
        <v/>
      </c>
      <c r="L46" s="614">
        <f>L37/K37-1</f>
        <v/>
      </c>
      <c r="M46" s="614">
        <f>M37/L37-1</f>
        <v/>
      </c>
      <c r="N46" s="614">
        <f>N37/M37-1</f>
        <v/>
      </c>
      <c r="O46" s="614">
        <f>O37/N37-1</f>
        <v/>
      </c>
      <c r="P46" s="614">
        <f>P37/O37-1</f>
        <v/>
      </c>
      <c r="Q46" s="614">
        <f>Q37/P37-1</f>
        <v/>
      </c>
      <c r="R46" s="614">
        <f>R37/Q37-1</f>
        <v/>
      </c>
      <c r="S46" s="614">
        <f>S37/R37-1</f>
        <v/>
      </c>
      <c r="T46" s="614">
        <f>T37/S37-1</f>
        <v/>
      </c>
      <c r="U46" s="614">
        <f>U37/T37-1</f>
        <v/>
      </c>
      <c r="V46" s="614">
        <f>V37/U37-1</f>
        <v/>
      </c>
      <c r="W46" s="614">
        <f>W37/V37-1</f>
        <v/>
      </c>
      <c r="X46" s="614">
        <f>X37/W37-1</f>
        <v/>
      </c>
      <c r="Y46" s="614">
        <f>Y37/X37-1</f>
        <v/>
      </c>
      <c r="Z46" s="614">
        <f>Z37/Y37-1</f>
        <v/>
      </c>
      <c r="AA46" s="614">
        <f>AA37/Z37-1</f>
        <v/>
      </c>
      <c r="AB46" s="614">
        <f>AB37/AA37-1</f>
        <v/>
      </c>
      <c r="AC46" s="614">
        <f>AC37/AB37-1</f>
        <v/>
      </c>
      <c r="AD46" s="614" t="n">
        <v>0</v>
      </c>
      <c r="AE46" s="614" t="n">
        <v>0</v>
      </c>
      <c r="AF46" s="614" t="n">
        <v>0</v>
      </c>
      <c r="AG46" s="614" t="n">
        <v>0</v>
      </c>
      <c r="AH46" s="614">
        <f>AG46</f>
        <v/>
      </c>
      <c r="AI46" s="641">
        <f>AH46</f>
        <v/>
      </c>
      <c r="AJ46" s="641">
        <f>AI46</f>
        <v/>
      </c>
      <c r="AK46" s="641">
        <f>AJ46</f>
        <v/>
      </c>
      <c r="AL46" s="641">
        <f>AK46</f>
        <v/>
      </c>
      <c r="AM46" s="641">
        <f>AL46</f>
        <v/>
      </c>
      <c r="AN46" s="641">
        <f>AM46</f>
        <v/>
      </c>
      <c r="AP46" s="641" t="n"/>
      <c r="AQ46" s="641" t="n"/>
      <c r="AR46" s="641" t="n"/>
      <c r="AS46" s="641" t="n"/>
      <c r="AT46" s="641" t="n"/>
      <c r="AU46" s="641" t="n"/>
    </row>
    <row r="47">
      <c r="A47" s="639" t="inlineStr">
        <is>
          <t>Total local and China</t>
        </is>
      </c>
      <c r="B47" s="642" t="n"/>
      <c r="C47" s="633">
        <f>C38/B38-1</f>
        <v/>
      </c>
      <c r="D47" s="633">
        <f>D38/C38-1</f>
        <v/>
      </c>
      <c r="E47" s="633">
        <f>E38/D38-1</f>
        <v/>
      </c>
      <c r="F47" s="633">
        <f>F38/E38-1</f>
        <v/>
      </c>
      <c r="G47" s="633">
        <f>G38/F38-1</f>
        <v/>
      </c>
      <c r="H47" s="633">
        <f>H38/G38-1</f>
        <v/>
      </c>
      <c r="I47" s="633">
        <f>(I38/H38*4/5)-1</f>
        <v/>
      </c>
      <c r="J47" s="633">
        <f>(J38/I38*5/4)-1</f>
        <v/>
      </c>
      <c r="K47" s="633">
        <f>K38/J38-1</f>
        <v/>
      </c>
      <c r="L47" s="633">
        <f>L38/K38-1</f>
        <v/>
      </c>
      <c r="M47" s="633">
        <f>M38/L38-1</f>
        <v/>
      </c>
      <c r="N47" s="633">
        <f>N38/M38-1</f>
        <v/>
      </c>
      <c r="O47" s="633">
        <f>O38/N38-1</f>
        <v/>
      </c>
      <c r="P47" s="633">
        <f>P38/O38-1</f>
        <v/>
      </c>
      <c r="Q47" s="633">
        <f>Q38/P38-1</f>
        <v/>
      </c>
      <c r="R47" s="633">
        <f>R38/Q38-1</f>
        <v/>
      </c>
      <c r="S47" s="633">
        <f>S38/R38-1</f>
        <v/>
      </c>
      <c r="T47" s="633">
        <f>T38/S38-1</f>
        <v/>
      </c>
      <c r="U47" s="633">
        <f>U38/T38-1</f>
        <v/>
      </c>
      <c r="V47" s="633">
        <f>V38/U38-1</f>
        <v/>
      </c>
      <c r="W47" s="633">
        <f>W38/V38-1</f>
        <v/>
      </c>
      <c r="X47" s="633">
        <f>X38/W38-1</f>
        <v/>
      </c>
      <c r="Y47" s="633">
        <f>Y38/X38-1</f>
        <v/>
      </c>
      <c r="Z47" s="633">
        <f>Z38/Y38-1</f>
        <v/>
      </c>
      <c r="AA47" s="633">
        <f>AA38/Z38-1</f>
        <v/>
      </c>
      <c r="AB47" s="633">
        <f>AB38/AA38-1</f>
        <v/>
      </c>
      <c r="AC47" s="633">
        <f>AC38/AB38-1</f>
        <v/>
      </c>
      <c r="AD47" s="633">
        <f>AD38/AC38-1</f>
        <v/>
      </c>
      <c r="AE47" s="633">
        <f>AE38/AD38-1</f>
        <v/>
      </c>
      <c r="AF47" s="633">
        <f>AF38/AE38-1</f>
        <v/>
      </c>
      <c r="AG47" s="633">
        <f>AG38/AF38-1</f>
        <v/>
      </c>
      <c r="AH47" s="633">
        <f>AH38/AG38-1</f>
        <v/>
      </c>
      <c r="AI47" s="633">
        <f>AI38/AH38-1</f>
        <v/>
      </c>
      <c r="AJ47" s="633">
        <f>AJ38/AI38-1</f>
        <v/>
      </c>
      <c r="AK47" s="633">
        <f>AK38/AJ38-1</f>
        <v/>
      </c>
      <c r="AL47" s="633">
        <f>AL38/AK38-1</f>
        <v/>
      </c>
      <c r="AM47" s="633">
        <f>AM38/AL38-1</f>
        <v/>
      </c>
      <c r="AN47" s="633">
        <f>AN38/AM38-1</f>
        <v/>
      </c>
      <c r="AP47" s="633" t="n"/>
      <c r="AQ47" s="633" t="n"/>
      <c r="AR47" s="633" t="n"/>
      <c r="AS47" s="633" t="n"/>
      <c r="AT47" s="633" t="n"/>
      <c r="AU47" s="633" t="n"/>
    </row>
    <row r="48">
      <c r="C48" s="614" t="n"/>
      <c r="D48" s="614" t="n"/>
      <c r="E48" s="614" t="n"/>
      <c r="F48" s="614" t="n"/>
    </row>
    <row r="49" customFormat="1" s="526">
      <c r="A49" s="6" t="inlineStr">
        <is>
          <t>Percentage of sales</t>
        </is>
      </c>
      <c r="B49" s="594" t="n"/>
      <c r="C49" s="594" t="n"/>
      <c r="D49" s="594" t="n"/>
      <c r="E49" s="594" t="n"/>
      <c r="F49" s="594" t="n"/>
      <c r="G49" s="594" t="n"/>
      <c r="H49" s="594" t="n"/>
      <c r="I49" s="594" t="n"/>
      <c r="J49" s="594" t="n"/>
      <c r="K49" s="594" t="n"/>
      <c r="L49" s="594" t="n"/>
      <c r="M49" s="594" t="n"/>
      <c r="N49" s="594" t="n"/>
      <c r="O49" s="594" t="n"/>
      <c r="P49" s="594" t="n"/>
      <c r="Q49" s="594" t="n"/>
      <c r="R49" s="594" t="n"/>
      <c r="S49" s="594" t="n"/>
      <c r="T49" s="594" t="n"/>
      <c r="U49" s="594" t="n"/>
      <c r="V49" s="594" t="n"/>
      <c r="W49" s="594" t="n"/>
      <c r="X49" s="594" t="n"/>
      <c r="Y49" s="594" t="n"/>
      <c r="Z49" s="594" t="n"/>
      <c r="AA49" s="594" t="n"/>
      <c r="AB49" s="594" t="n"/>
      <c r="AC49" s="594" t="n"/>
      <c r="AD49" s="594" t="n"/>
      <c r="AE49" s="594" t="n"/>
      <c r="AF49" s="594" t="n"/>
      <c r="AG49" s="594" t="n"/>
      <c r="AH49" s="594" t="n"/>
      <c r="AI49" s="594" t="n"/>
      <c r="AJ49" s="594" t="n"/>
      <c r="AK49" s="594" t="n"/>
      <c r="AL49" s="594" t="n"/>
      <c r="AM49" s="594" t="n"/>
      <c r="AN49" s="594" t="n"/>
    </row>
    <row r="50">
      <c r="A50" s="43" t="inlineStr">
        <is>
          <t>Commercial</t>
        </is>
      </c>
      <c r="B50" s="131">
        <f>B32/B$36</f>
        <v/>
      </c>
      <c r="C50" s="131">
        <f>C32/C$36</f>
        <v/>
      </c>
      <c r="D50" s="131">
        <f>D32/D$36</f>
        <v/>
      </c>
      <c r="E50" s="131">
        <f>E32/E$36</f>
        <v/>
      </c>
      <c r="F50" s="131">
        <f>F32/F$36</f>
        <v/>
      </c>
      <c r="G50" s="131">
        <f>G32/G$36</f>
        <v/>
      </c>
      <c r="H50" s="131">
        <f>H32/H$36</f>
        <v/>
      </c>
      <c r="I50" s="131">
        <f>I32/I$36</f>
        <v/>
      </c>
      <c r="J50" s="131">
        <f>J32/J$36</f>
        <v/>
      </c>
      <c r="K50" s="131">
        <f>K32/K$36</f>
        <v/>
      </c>
      <c r="L50" s="131">
        <f>L32/L$36</f>
        <v/>
      </c>
      <c r="M50" s="131">
        <f>M32/M$36</f>
        <v/>
      </c>
      <c r="N50" s="131">
        <f>N32/N$36</f>
        <v/>
      </c>
      <c r="O50" s="131">
        <f>O32/O$36</f>
        <v/>
      </c>
      <c r="P50" s="131">
        <f>P32/P$36</f>
        <v/>
      </c>
      <c r="Q50" s="131">
        <f>Q32/Q$36</f>
        <v/>
      </c>
      <c r="R50" s="131">
        <f>R32/R$36</f>
        <v/>
      </c>
      <c r="S50" s="131">
        <f>S32/S$36</f>
        <v/>
      </c>
      <c r="T50" s="131">
        <f>T32/T$36</f>
        <v/>
      </c>
      <c r="U50" s="131">
        <f>U32/U$36</f>
        <v/>
      </c>
      <c r="V50" s="131">
        <f>V32/V$36</f>
        <v/>
      </c>
      <c r="W50" s="131">
        <f>W32/W$36</f>
        <v/>
      </c>
      <c r="X50" s="131">
        <f>X32/X$36</f>
        <v/>
      </c>
      <c r="Y50" s="131">
        <f>Y32/Y$36</f>
        <v/>
      </c>
      <c r="Z50" s="131">
        <f>Z32/Z$36</f>
        <v/>
      </c>
      <c r="AA50" s="131">
        <f>AA32/AA$36</f>
        <v/>
      </c>
      <c r="AB50" s="131">
        <f>AB32/AB$36</f>
        <v/>
      </c>
      <c r="AC50" s="131">
        <f>AC32/AC$36</f>
        <v/>
      </c>
      <c r="AD50" s="131">
        <f>AD32/AD$36</f>
        <v/>
      </c>
      <c r="AE50" s="131">
        <f>AE32/AE$36</f>
        <v/>
      </c>
      <c r="AF50" s="131">
        <f>AF32/AF$36</f>
        <v/>
      </c>
      <c r="AG50" s="131">
        <f>AG32/AG$36</f>
        <v/>
      </c>
      <c r="AH50" s="131">
        <f>AH32/AH$36</f>
        <v/>
      </c>
      <c r="AI50" s="131">
        <f>AI32/AI$36</f>
        <v/>
      </c>
      <c r="AJ50" s="131">
        <f>AJ32/AJ$36</f>
        <v/>
      </c>
      <c r="AK50" s="131">
        <f>AK32/AK$36</f>
        <v/>
      </c>
      <c r="AL50" s="131">
        <f>AL32/AL$36</f>
        <v/>
      </c>
      <c r="AM50" s="131">
        <f>AM32/AM$36</f>
        <v/>
      </c>
      <c r="AN50" s="131">
        <f>AN32/AN$36</f>
        <v/>
      </c>
    </row>
    <row r="51">
      <c r="A51" s="43" t="inlineStr">
        <is>
          <t>Domestic</t>
        </is>
      </c>
      <c r="B51" s="131">
        <f>B33/B$36</f>
        <v/>
      </c>
      <c r="C51" s="131">
        <f>C33/C$36</f>
        <v/>
      </c>
      <c r="D51" s="131">
        <f>D33/D$36</f>
        <v/>
      </c>
      <c r="E51" s="131">
        <f>E33/E$36</f>
        <v/>
      </c>
      <c r="F51" s="131">
        <f>F33/F$36</f>
        <v/>
      </c>
      <c r="G51" s="131">
        <f>G33/G$36</f>
        <v/>
      </c>
      <c r="H51" s="131">
        <f>H33/H$36</f>
        <v/>
      </c>
      <c r="I51" s="131">
        <f>I33/I$36</f>
        <v/>
      </c>
      <c r="J51" s="131">
        <f>J33/J$36</f>
        <v/>
      </c>
      <c r="K51" s="131">
        <f>K33/K$36</f>
        <v/>
      </c>
      <c r="L51" s="131">
        <f>L33/L$36</f>
        <v/>
      </c>
      <c r="M51" s="131">
        <f>M33/M$36</f>
        <v/>
      </c>
      <c r="N51" s="131">
        <f>N33/N$36</f>
        <v/>
      </c>
      <c r="O51" s="131">
        <f>O33/O$36</f>
        <v/>
      </c>
      <c r="P51" s="131">
        <f>P33/P$36</f>
        <v/>
      </c>
      <c r="Q51" s="131">
        <f>Q33/Q$36</f>
        <v/>
      </c>
      <c r="R51" s="131">
        <f>R33/R$36</f>
        <v/>
      </c>
      <c r="S51" s="131">
        <f>S33/S$36</f>
        <v/>
      </c>
      <c r="T51" s="131">
        <f>T33/T$36</f>
        <v/>
      </c>
      <c r="U51" s="131">
        <f>U33/U$36</f>
        <v/>
      </c>
      <c r="V51" s="131">
        <f>V33/V$36</f>
        <v/>
      </c>
      <c r="W51" s="131">
        <f>W33/W$36</f>
        <v/>
      </c>
      <c r="X51" s="131">
        <f>X33/X$36</f>
        <v/>
      </c>
      <c r="Y51" s="131">
        <f>Y33/Y$36</f>
        <v/>
      </c>
      <c r="Z51" s="131">
        <f>Z33/Z$36</f>
        <v/>
      </c>
      <c r="AA51" s="131">
        <f>AA33/AA$36</f>
        <v/>
      </c>
      <c r="AB51" s="131">
        <f>AB33/AB$36</f>
        <v/>
      </c>
      <c r="AC51" s="131">
        <f>AC33/AC$36</f>
        <v/>
      </c>
      <c r="AD51" s="131">
        <f>AD33/AD$36</f>
        <v/>
      </c>
      <c r="AE51" s="131">
        <f>AE33/AE$36</f>
        <v/>
      </c>
      <c r="AF51" s="131">
        <f>AF33/AF$36</f>
        <v/>
      </c>
      <c r="AG51" s="131">
        <f>AG33/AG$36</f>
        <v/>
      </c>
      <c r="AH51" s="131">
        <f>AH33/AH$36</f>
        <v/>
      </c>
      <c r="AI51" s="131">
        <f>AI33/AI$36</f>
        <v/>
      </c>
      <c r="AJ51" s="131">
        <f>AJ33/AJ$36</f>
        <v/>
      </c>
      <c r="AK51" s="131">
        <f>AK33/AK$36</f>
        <v/>
      </c>
      <c r="AL51" s="131">
        <f>AL33/AL$36</f>
        <v/>
      </c>
      <c r="AM51" s="131">
        <f>AM33/AM$36</f>
        <v/>
      </c>
      <c r="AN51" s="131">
        <f>AN33/AN$36</f>
        <v/>
      </c>
    </row>
    <row r="52">
      <c r="A52" s="43" t="inlineStr">
        <is>
          <t>Industrial</t>
        </is>
      </c>
      <c r="B52" s="131">
        <f>B34/B$36</f>
        <v/>
      </c>
      <c r="C52" s="131">
        <f>C34/C$36</f>
        <v/>
      </c>
      <c r="D52" s="131">
        <f>D34/D$36</f>
        <v/>
      </c>
      <c r="E52" s="131">
        <f>E34/E$36</f>
        <v/>
      </c>
      <c r="F52" s="131">
        <f>F34/F$36</f>
        <v/>
      </c>
      <c r="G52" s="131">
        <f>G34/G$36</f>
        <v/>
      </c>
      <c r="H52" s="131">
        <f>H34/H$36</f>
        <v/>
      </c>
      <c r="I52" s="131">
        <f>I34/I$36</f>
        <v/>
      </c>
      <c r="J52" s="131">
        <f>J34/J$36</f>
        <v/>
      </c>
      <c r="K52" s="131">
        <f>K34/K$36</f>
        <v/>
      </c>
      <c r="L52" s="131">
        <f>L34/L$36</f>
        <v/>
      </c>
      <c r="M52" s="131">
        <f>M34/M$36</f>
        <v/>
      </c>
      <c r="N52" s="131">
        <f>N34/N$36</f>
        <v/>
      </c>
      <c r="O52" s="131">
        <f>O34/O$36</f>
        <v/>
      </c>
      <c r="P52" s="131">
        <f>P34/P$36</f>
        <v/>
      </c>
      <c r="Q52" s="131">
        <f>Q34/Q$36</f>
        <v/>
      </c>
      <c r="R52" s="131">
        <f>R34/R$36</f>
        <v/>
      </c>
      <c r="S52" s="131">
        <f>S34/S$36</f>
        <v/>
      </c>
      <c r="T52" s="131">
        <f>T34/T$36</f>
        <v/>
      </c>
      <c r="U52" s="131">
        <f>U34/U$36</f>
        <v/>
      </c>
      <c r="V52" s="131">
        <f>V34/V$36</f>
        <v/>
      </c>
      <c r="W52" s="131">
        <f>W34/W$36</f>
        <v/>
      </c>
      <c r="X52" s="131">
        <f>X34/X$36</f>
        <v/>
      </c>
      <c r="Y52" s="131">
        <f>Y34/Y$36</f>
        <v/>
      </c>
      <c r="Z52" s="131">
        <f>Z34/Z$36</f>
        <v/>
      </c>
      <c r="AA52" s="131">
        <f>AA34/AA$36</f>
        <v/>
      </c>
      <c r="AB52" s="131">
        <f>AB34/AB$36</f>
        <v/>
      </c>
      <c r="AC52" s="131">
        <f>AC34/AC$36</f>
        <v/>
      </c>
      <c r="AD52" s="131">
        <f>AD34/AD$36</f>
        <v/>
      </c>
      <c r="AE52" s="131">
        <f>AE34/AE$36</f>
        <v/>
      </c>
      <c r="AF52" s="131">
        <f>AF34/AF$36</f>
        <v/>
      </c>
      <c r="AG52" s="131">
        <f>AG34/AG$36</f>
        <v/>
      </c>
      <c r="AH52" s="131">
        <f>AH34/AH$36</f>
        <v/>
      </c>
      <c r="AI52" s="131">
        <f>AI34/AI$36</f>
        <v/>
      </c>
      <c r="AJ52" s="131">
        <f>AJ34/AJ$36</f>
        <v/>
      </c>
      <c r="AK52" s="131">
        <f>AK34/AK$36</f>
        <v/>
      </c>
      <c r="AL52" s="131">
        <f>AL34/AL$36</f>
        <v/>
      </c>
      <c r="AM52" s="131">
        <f>AM34/AM$36</f>
        <v/>
      </c>
      <c r="AN52" s="131">
        <f>AN34/AN$36</f>
        <v/>
      </c>
    </row>
    <row r="53">
      <c r="A53" s="207" t="inlineStr">
        <is>
          <t>Government &amp; others</t>
        </is>
      </c>
      <c r="B53" s="131">
        <f>B35/B$36</f>
        <v/>
      </c>
      <c r="C53" s="131">
        <f>C35/C$36</f>
        <v/>
      </c>
      <c r="D53" s="131">
        <f>D35/D$36</f>
        <v/>
      </c>
      <c r="E53" s="131">
        <f>E35/E$36</f>
        <v/>
      </c>
      <c r="F53" s="131">
        <f>F35/F$36</f>
        <v/>
      </c>
      <c r="G53" s="131">
        <f>G35/G$36</f>
        <v/>
      </c>
      <c r="H53" s="131">
        <f>H35/H$36</f>
        <v/>
      </c>
      <c r="I53" s="131">
        <f>I35/I$36</f>
        <v/>
      </c>
      <c r="J53" s="131">
        <f>J35/J$36</f>
        <v/>
      </c>
      <c r="K53" s="131">
        <f>K35/K$36</f>
        <v/>
      </c>
      <c r="L53" s="131">
        <f>L35/L$36</f>
        <v/>
      </c>
      <c r="M53" s="131">
        <f>M35/M$36</f>
        <v/>
      </c>
      <c r="N53" s="131">
        <f>N35/N$36</f>
        <v/>
      </c>
      <c r="O53" s="131">
        <f>O35/O$36</f>
        <v/>
      </c>
      <c r="P53" s="131">
        <f>P35/P$36</f>
        <v/>
      </c>
      <c r="Q53" s="131">
        <f>Q35/Q$36</f>
        <v/>
      </c>
      <c r="R53" s="131">
        <f>R35/R$36</f>
        <v/>
      </c>
      <c r="S53" s="131">
        <f>S35/S$36</f>
        <v/>
      </c>
      <c r="T53" s="131">
        <f>T35/T$36</f>
        <v/>
      </c>
      <c r="U53" s="131">
        <f>U35/U$36</f>
        <v/>
      </c>
      <c r="V53" s="131">
        <f>V35/V$36</f>
        <v/>
      </c>
      <c r="W53" s="131">
        <f>W35/W$36</f>
        <v/>
      </c>
      <c r="X53" s="131">
        <f>X35/X$36</f>
        <v/>
      </c>
      <c r="Y53" s="131">
        <f>Y35/Y$36</f>
        <v/>
      </c>
      <c r="Z53" s="131">
        <f>Z35/Z$36</f>
        <v/>
      </c>
      <c r="AA53" s="131">
        <f>AA35/AA$36</f>
        <v/>
      </c>
      <c r="AB53" s="131">
        <f>AB35/AB$36</f>
        <v/>
      </c>
      <c r="AC53" s="131">
        <f>AC35/AC$36</f>
        <v/>
      </c>
      <c r="AD53" s="131">
        <f>AD35/AD$36</f>
        <v/>
      </c>
      <c r="AE53" s="131">
        <f>AE35/AE$36</f>
        <v/>
      </c>
      <c r="AF53" s="131">
        <f>AF35/AF$36</f>
        <v/>
      </c>
      <c r="AG53" s="131">
        <f>AG35/AG$36</f>
        <v/>
      </c>
      <c r="AH53" s="131">
        <f>AH35/AH$36</f>
        <v/>
      </c>
      <c r="AI53" s="131">
        <f>AI35/AI$36</f>
        <v/>
      </c>
      <c r="AJ53" s="131">
        <f>AJ35/AJ$36</f>
        <v/>
      </c>
      <c r="AK53" s="131">
        <f>AK35/AK$36</f>
        <v/>
      </c>
      <c r="AL53" s="131">
        <f>AL35/AL$36</f>
        <v/>
      </c>
      <c r="AM53" s="131">
        <f>AM35/AM$36</f>
        <v/>
      </c>
      <c r="AN53" s="131">
        <f>AN35/AN$36</f>
        <v/>
      </c>
    </row>
    <row r="54">
      <c r="A54" s="62" t="inlineStr">
        <is>
          <t>Total local</t>
        </is>
      </c>
      <c r="B54" s="194">
        <f>SUM(B50:B53)</f>
        <v/>
      </c>
      <c r="C54" s="194">
        <f>SUM(C50:C53)</f>
        <v/>
      </c>
      <c r="D54" s="194">
        <f>SUM(D50:D53)</f>
        <v/>
      </c>
      <c r="E54" s="194">
        <f>SUM(E50:E53)</f>
        <v/>
      </c>
      <c r="F54" s="194">
        <f>SUM(F50:F53)</f>
        <v/>
      </c>
      <c r="G54" s="194">
        <f>SUM(G50:G53)</f>
        <v/>
      </c>
      <c r="H54" s="194">
        <f>SUM(H50:H53)</f>
        <v/>
      </c>
      <c r="I54" s="194">
        <f>SUM(I50:I53)</f>
        <v/>
      </c>
      <c r="J54" s="194">
        <f>SUM(J50:J53)</f>
        <v/>
      </c>
      <c r="K54" s="194">
        <f>SUM(K50:K53)</f>
        <v/>
      </c>
      <c r="L54" s="194">
        <f>SUM(L50:L53)</f>
        <v/>
      </c>
      <c r="M54" s="194">
        <f>SUM(M50:M53)</f>
        <v/>
      </c>
      <c r="N54" s="194">
        <f>SUM(N50:N53)</f>
        <v/>
      </c>
      <c r="O54" s="194">
        <f>SUM(O50:O53)</f>
        <v/>
      </c>
      <c r="P54" s="194">
        <f>SUM(P50:P53)</f>
        <v/>
      </c>
      <c r="Q54" s="194">
        <f>SUM(Q50:Q53)</f>
        <v/>
      </c>
      <c r="R54" s="194">
        <f>SUM(R50:R53)</f>
        <v/>
      </c>
      <c r="S54" s="194">
        <f>SUM(S50:S53)</f>
        <v/>
      </c>
      <c r="T54" s="194">
        <f>SUM(T50:T53)</f>
        <v/>
      </c>
      <c r="U54" s="194">
        <f>SUM(U50:U53)</f>
        <v/>
      </c>
      <c r="V54" s="194">
        <f>SUM(V50:V53)</f>
        <v/>
      </c>
      <c r="W54" s="194">
        <f>SUM(W50:W53)</f>
        <v/>
      </c>
      <c r="X54" s="194">
        <f>SUM(X50:X53)</f>
        <v/>
      </c>
      <c r="Y54" s="194">
        <f>SUM(Y50:Y53)</f>
        <v/>
      </c>
      <c r="Z54" s="194">
        <f>SUM(Z50:Z53)</f>
        <v/>
      </c>
      <c r="AA54" s="194">
        <f>SUM(AA50:AA53)</f>
        <v/>
      </c>
      <c r="AB54" s="194">
        <f>SUM(AB50:AB53)</f>
        <v/>
      </c>
      <c r="AC54" s="194">
        <f>SUM(AC50:AC53)</f>
        <v/>
      </c>
      <c r="AD54" s="194">
        <f>SUM(AD50:AD53)</f>
        <v/>
      </c>
      <c r="AE54" s="194">
        <f>SUM(AE50:AE53)</f>
        <v/>
      </c>
      <c r="AF54" s="194">
        <f>SUM(AF50:AF53)</f>
        <v/>
      </c>
      <c r="AG54" s="194">
        <f>SUM(AG50:AG53)</f>
        <v/>
      </c>
      <c r="AH54" s="194">
        <f>SUM(AH50:AH53)</f>
        <v/>
      </c>
      <c r="AI54" s="194">
        <f>SUM(AI50:AI53)</f>
        <v/>
      </c>
      <c r="AJ54" s="194">
        <f>SUM(AJ50:AJ53)</f>
        <v/>
      </c>
      <c r="AK54" s="194">
        <f>SUM(AK50:AK53)</f>
        <v/>
      </c>
      <c r="AL54" s="194">
        <f>SUM(AL50:AL53)</f>
        <v/>
      </c>
      <c r="AM54" s="194">
        <f>SUM(AM50:AM53)</f>
        <v/>
      </c>
      <c r="AN54" s="194">
        <f>SUM(AN50:AN53)</f>
        <v/>
      </c>
    </row>
    <row r="55" customFormat="1" s="62">
      <c r="A55" s="638" t="inlineStr">
        <is>
          <t>China</t>
        </is>
      </c>
      <c r="B55" s="131">
        <f>B37/B$38</f>
        <v/>
      </c>
      <c r="C55" s="131">
        <f>C37/C$38</f>
        <v/>
      </c>
      <c r="D55" s="131">
        <f>D37/D$38</f>
        <v/>
      </c>
      <c r="E55" s="131">
        <f>E37/E$38</f>
        <v/>
      </c>
      <c r="F55" s="131">
        <f>F37/F$38</f>
        <v/>
      </c>
      <c r="G55" s="131">
        <f>G37/G$38</f>
        <v/>
      </c>
      <c r="H55" s="131">
        <f>H37/H$38</f>
        <v/>
      </c>
      <c r="I55" s="131">
        <f>I37/I$38</f>
        <v/>
      </c>
      <c r="J55" s="131">
        <f>J37/J$38</f>
        <v/>
      </c>
      <c r="K55" s="131">
        <f>K37/K$38</f>
        <v/>
      </c>
      <c r="L55" s="131">
        <f>L37/L$38</f>
        <v/>
      </c>
      <c r="M55" s="131">
        <f>M37/M$38</f>
        <v/>
      </c>
      <c r="N55" s="131">
        <f>N37/N$38</f>
        <v/>
      </c>
      <c r="O55" s="131">
        <f>O37/O$38</f>
        <v/>
      </c>
      <c r="P55" s="131">
        <f>P37/P$38</f>
        <v/>
      </c>
      <c r="Q55" s="131">
        <f>Q37/Q$38</f>
        <v/>
      </c>
      <c r="R55" s="131">
        <f>R37/R$38</f>
        <v/>
      </c>
      <c r="S55" s="131">
        <f>S37/S$38</f>
        <v/>
      </c>
      <c r="T55" s="131">
        <f>T37/T$38</f>
        <v/>
      </c>
      <c r="U55" s="131">
        <f>U37/U$38</f>
        <v/>
      </c>
      <c r="V55" s="131">
        <f>V37/V$38</f>
        <v/>
      </c>
      <c r="W55" s="131">
        <f>W37/W$38</f>
        <v/>
      </c>
      <c r="X55" s="131">
        <f>X37/X$38</f>
        <v/>
      </c>
      <c r="Y55" s="131">
        <f>Y37/Y$38</f>
        <v/>
      </c>
      <c r="Z55" s="131">
        <f>Z37/Z$38</f>
        <v/>
      </c>
      <c r="AA55" s="131">
        <f>AA37/AA$38</f>
        <v/>
      </c>
      <c r="AB55" s="131">
        <f>AB37/AB$38</f>
        <v/>
      </c>
      <c r="AC55" s="131">
        <f>AC37/AC$38</f>
        <v/>
      </c>
      <c r="AD55" s="131">
        <f>AD37/AD$38</f>
        <v/>
      </c>
      <c r="AE55" s="131">
        <f>AE37/AE$38</f>
        <v/>
      </c>
      <c r="AF55" s="131">
        <f>AF37/AF$38</f>
        <v/>
      </c>
      <c r="AG55" s="131">
        <f>AG37/AG$38</f>
        <v/>
      </c>
      <c r="AH55" s="131">
        <f>AH37/AH$38</f>
        <v/>
      </c>
      <c r="AI55" s="131">
        <f>AI37/AI$38</f>
        <v/>
      </c>
      <c r="AJ55" s="131">
        <f>AJ37/AJ$38</f>
        <v/>
      </c>
      <c r="AK55" s="131">
        <f>AK37/AK$38</f>
        <v/>
      </c>
      <c r="AL55" s="131">
        <f>AL37/AL$38</f>
        <v/>
      </c>
      <c r="AM55" s="131">
        <f>AM37/AM$38</f>
        <v/>
      </c>
      <c r="AN55" s="131">
        <f>AN37/AN$38</f>
        <v/>
      </c>
    </row>
    <row r="56">
      <c r="A56" s="639" t="inlineStr">
        <is>
          <t>Total local and China</t>
        </is>
      </c>
      <c r="B56" s="194">
        <f>B38/B$38</f>
        <v/>
      </c>
      <c r="C56" s="194">
        <f>C38/C$38</f>
        <v/>
      </c>
      <c r="D56" s="194">
        <f>D38/D$38</f>
        <v/>
      </c>
      <c r="E56" s="194">
        <f>E38/E$38</f>
        <v/>
      </c>
      <c r="F56" s="194">
        <f>F38/F$38</f>
        <v/>
      </c>
      <c r="G56" s="194">
        <f>G38/G$38</f>
        <v/>
      </c>
      <c r="H56" s="194">
        <f>H38/H$38</f>
        <v/>
      </c>
      <c r="I56" s="194">
        <f>I38/I$38</f>
        <v/>
      </c>
      <c r="J56" s="194">
        <f>J38/J$38</f>
        <v/>
      </c>
      <c r="K56" s="194">
        <f>K38/K$38</f>
        <v/>
      </c>
      <c r="L56" s="194">
        <f>L38/L$38</f>
        <v/>
      </c>
      <c r="M56" s="194">
        <f>M38/M$38</f>
        <v/>
      </c>
      <c r="N56" s="194">
        <f>N38/N$38</f>
        <v/>
      </c>
      <c r="O56" s="194">
        <f>O38/O$38</f>
        <v/>
      </c>
      <c r="P56" s="194">
        <f>P38/P$38</f>
        <v/>
      </c>
      <c r="Q56" s="194">
        <f>Q38/Q$38</f>
        <v/>
      </c>
      <c r="R56" s="194">
        <f>R38/R$38</f>
        <v/>
      </c>
      <c r="S56" s="194">
        <f>S38/S$38</f>
        <v/>
      </c>
      <c r="T56" s="194">
        <f>T38/T$38</f>
        <v/>
      </c>
      <c r="U56" s="194">
        <f>U38/U$38</f>
        <v/>
      </c>
      <c r="V56" s="194">
        <f>V38/V$38</f>
        <v/>
      </c>
      <c r="W56" s="194">
        <f>W38/W$38</f>
        <v/>
      </c>
      <c r="X56" s="194">
        <f>X38/X$38</f>
        <v/>
      </c>
      <c r="Y56" s="194">
        <f>Y38/Y$38</f>
        <v/>
      </c>
      <c r="Z56" s="194">
        <f>Z38/Z$38</f>
        <v/>
      </c>
      <c r="AA56" s="194">
        <f>AA38/AA$38</f>
        <v/>
      </c>
      <c r="AB56" s="194">
        <f>AB38/AB$38</f>
        <v/>
      </c>
      <c r="AC56" s="194">
        <f>AC38/AC$38</f>
        <v/>
      </c>
      <c r="AD56" s="194">
        <f>AD38/AD$38</f>
        <v/>
      </c>
      <c r="AE56" s="194">
        <f>AE38/AE$38</f>
        <v/>
      </c>
      <c r="AF56" s="194">
        <f>AF38/AF$38</f>
        <v/>
      </c>
      <c r="AG56" s="194">
        <f>AG38/AG$38</f>
        <v/>
      </c>
      <c r="AH56" s="194">
        <f>AH38/AH$38</f>
        <v/>
      </c>
      <c r="AI56" s="194">
        <f>AI38/AI$38</f>
        <v/>
      </c>
      <c r="AJ56" s="194">
        <f>AJ38/AJ$38</f>
        <v/>
      </c>
      <c r="AK56" s="194">
        <f>AK38/AK$38</f>
        <v/>
      </c>
      <c r="AL56" s="194">
        <f>AL38/AL$38</f>
        <v/>
      </c>
      <c r="AM56" s="194">
        <f>AM38/AM$38</f>
        <v/>
      </c>
      <c r="AN56" s="194">
        <f>AN38/AN$38</f>
        <v/>
      </c>
    </row>
    <row r="57" customFormat="1" s="62">
      <c r="A57" s="43" t="n"/>
      <c r="B57" s="131" t="n"/>
      <c r="C57" s="131" t="n"/>
      <c r="D57" s="131" t="n"/>
      <c r="E57" s="131" t="n"/>
      <c r="F57" s="131" t="n"/>
      <c r="G57" s="131" t="n"/>
      <c r="H57" s="131" t="n"/>
      <c r="I57" s="131" t="n"/>
      <c r="J57" s="131" t="n"/>
      <c r="K57" s="131" t="n"/>
      <c r="L57" s="131" t="n"/>
      <c r="M57" s="131" t="n"/>
      <c r="N57" s="43" t="n"/>
      <c r="O57" s="43" t="n"/>
      <c r="P57" s="43" t="n"/>
      <c r="Q57" s="43" t="n"/>
      <c r="R57" s="43" t="n"/>
      <c r="S57" s="43" t="n"/>
      <c r="T57" s="43" t="n"/>
      <c r="U57" s="43" t="n"/>
      <c r="V57" s="43" t="n"/>
      <c r="W57" s="43" t="n"/>
      <c r="X57" s="43" t="n"/>
      <c r="Y57" s="43" t="n"/>
    </row>
    <row r="64">
      <c r="F64" s="49" t="n"/>
      <c r="G64" s="49" t="n"/>
    </row>
    <row r="65">
      <c r="F65" s="49" t="n"/>
      <c r="G65" s="49" t="n"/>
    </row>
    <row r="67">
      <c r="F67" s="49" t="n"/>
      <c r="G67" s="49" t="n"/>
    </row>
    <row r="69">
      <c r="F69" s="568" t="n"/>
      <c r="G69" s="568" t="n"/>
    </row>
    <row r="70">
      <c r="F70" s="568" t="n"/>
      <c r="G70" s="568" t="n"/>
    </row>
    <row r="71">
      <c r="F71" s="568" t="n"/>
      <c r="G71" s="568" t="n"/>
    </row>
  </sheetData>
  <printOptions headings="1" gridLines="1" gridLinesSet="0"/>
  <pageMargins left="0.7480314960629921" right="0.7480314960629921" top="0.5118110236220472" bottom="0.7086614173228347" header="0.5118110236220472" footer="0.5118110236220472"/>
  <pageSetup orientation="portrait" paperSize="9" scale="59"/>
  <legacyDrawing xmlns:r="http://schemas.openxmlformats.org/officeDocument/2006/relationships" r:id="anysvml"/>
</worksheet>
</file>

<file path=xl/worksheets/sheet7.xml><?xml version="1.0" encoding="utf-8"?>
<worksheet xmlns="http://schemas.openxmlformats.org/spreadsheetml/2006/main">
  <sheetPr codeName="Sheet6">
    <tabColor theme="5"/>
    <outlinePr summaryBelow="1" summaryRight="1"/>
    <pageSetUpPr fitToPage="1"/>
  </sheetPr>
  <dimension ref="A1:AS154"/>
  <sheetViews>
    <sheetView showOutlineSymbols="0" zoomScale="130" zoomScaleNormal="130" workbookViewId="0">
      <pane xSplit="30" ySplit="1" topLeftCell="AE2" activePane="bottomRight" state="frozen"/>
      <selection pane="topRight" activeCell="AE1" sqref="AE1"/>
      <selection pane="bottomLeft" activeCell="A2" sqref="A2"/>
      <selection pane="bottomRight" activeCell="AI6" sqref="AI6"/>
    </sheetView>
  </sheetViews>
  <sheetFormatPr baseColWidth="8" defaultColWidth="9.140625" defaultRowHeight="12.75" outlineLevelRow="1"/>
  <cols>
    <col width="22.140625" customWidth="1" style="43" min="1" max="1"/>
    <col hidden="1" outlineLevel="1" width="9.140625" customWidth="1" style="43" min="2" max="17"/>
    <col hidden="1" collapsed="1" width="13" customWidth="1" style="43" min="18" max="18"/>
    <col hidden="1" width="13" customWidth="1" style="43" min="19" max="19"/>
    <col hidden="1" width="9" customWidth="1" style="43" min="20" max="21"/>
    <col hidden="1" width="10" customWidth="1" style="43" min="22" max="22"/>
    <col hidden="1" width="8.85546875" customWidth="1" style="43" min="23" max="29"/>
    <col hidden="1" width="9" customWidth="1" style="43" min="30" max="30"/>
    <col width="8.85546875" customWidth="1" style="43" min="31" max="40"/>
    <col width="9.140625" customWidth="1" style="43" min="41" max="16384"/>
  </cols>
  <sheetData>
    <row r="1">
      <c r="A1" s="186" t="inlineStr">
        <is>
          <t>Year ended December (HK$m)</t>
        </is>
      </c>
      <c r="B1" s="175">
        <f>'HK Sales'!B$2</f>
        <v/>
      </c>
      <c r="C1" s="175">
        <f>'HK Sales'!C$2</f>
        <v/>
      </c>
      <c r="D1" s="175">
        <f>'HK Sales'!D$2</f>
        <v/>
      </c>
      <c r="E1" s="175">
        <f>'HK Sales'!E$2</f>
        <v/>
      </c>
      <c r="F1" s="175">
        <f>'HK Sales'!F$2</f>
        <v/>
      </c>
      <c r="G1" s="175">
        <f>'HK Sales'!G$2</f>
        <v/>
      </c>
      <c r="H1" s="175">
        <f>'HK Sales'!H$2</f>
        <v/>
      </c>
      <c r="I1" s="176">
        <f>'HK Sales'!I$2</f>
        <v/>
      </c>
      <c r="J1" s="176">
        <f>'HK Sales'!J$2</f>
        <v/>
      </c>
      <c r="K1" s="176">
        <f>'HK Sales'!K$2</f>
        <v/>
      </c>
      <c r="L1" s="176">
        <f>'HK Sales'!L$2</f>
        <v/>
      </c>
      <c r="M1" s="176">
        <f>'HK Sales'!M$2</f>
        <v/>
      </c>
      <c r="N1" s="176">
        <f>'HK Sales'!N$2</f>
        <v/>
      </c>
      <c r="O1" s="176">
        <f>'HK Sales'!O$2</f>
        <v/>
      </c>
      <c r="P1" s="176">
        <f>'HK Sales'!P$2</f>
        <v/>
      </c>
      <c r="Q1" s="176">
        <f>'HK Sales'!Q$2</f>
        <v/>
      </c>
      <c r="R1" s="176">
        <f>'HK Sales'!R$2</f>
        <v/>
      </c>
      <c r="S1" s="176">
        <f>'HK Sales'!S$2</f>
        <v/>
      </c>
      <c r="T1" s="176">
        <f>'HK Sales'!T$2</f>
        <v/>
      </c>
      <c r="U1" s="176">
        <f>'HK Sales'!U$2</f>
        <v/>
      </c>
      <c r="V1" s="176">
        <f>'HK Sales'!V$2</f>
        <v/>
      </c>
      <c r="W1" s="176">
        <f>'HK Sales'!W$2</f>
        <v/>
      </c>
      <c r="X1" s="176">
        <f>'HK Sales'!X$2</f>
        <v/>
      </c>
      <c r="Y1" s="176">
        <f>'HK Sales'!Y$2</f>
        <v/>
      </c>
      <c r="Z1" s="176">
        <f>'HK Sales'!Z$2</f>
        <v/>
      </c>
      <c r="AA1" s="176">
        <f>'HK Sales'!AA$2</f>
        <v/>
      </c>
      <c r="AB1" s="176">
        <f>'HK Sales'!AB$2</f>
        <v/>
      </c>
      <c r="AC1" s="176">
        <f>'HK Sales'!AC$2</f>
        <v/>
      </c>
      <c r="AD1" s="176">
        <f>'HK Sales'!AD$2</f>
        <v/>
      </c>
      <c r="AE1" s="176">
        <f>'HK Sales'!AE$2</f>
        <v/>
      </c>
      <c r="AF1" s="176">
        <f>'HK Sales'!AF$2</f>
        <v/>
      </c>
      <c r="AG1" s="176">
        <f>'HK Sales'!AG$2</f>
        <v/>
      </c>
      <c r="AH1" s="176">
        <f>'HK Sales'!AH$2</f>
        <v/>
      </c>
      <c r="AI1" s="176">
        <f>'HK Sales'!AI$2</f>
        <v/>
      </c>
      <c r="AJ1" s="176">
        <f>'HK Sales'!AJ$2</f>
        <v/>
      </c>
      <c r="AK1" s="176">
        <f>'HK Sales'!AK$2</f>
        <v/>
      </c>
      <c r="AL1" s="176">
        <f>'HK Sales'!AL$2</f>
        <v/>
      </c>
      <c r="AM1" s="176">
        <f>'HK Sales'!AM$2</f>
        <v/>
      </c>
      <c r="AN1" s="176">
        <f>'HK Sales'!AN$2</f>
        <v/>
      </c>
    </row>
    <row r="2">
      <c r="B2" s="62" t="n"/>
      <c r="C2" s="43" t="n"/>
      <c r="D2" s="43" t="n"/>
      <c r="E2" s="43" t="n"/>
      <c r="F2" s="43" t="n"/>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c r="AC2" s="43" t="n"/>
      <c r="AD2" s="43" t="n"/>
      <c r="AE2" s="43" t="n"/>
      <c r="AF2" s="43" t="n"/>
      <c r="AG2" s="43" t="n"/>
      <c r="AH2" s="43" t="n"/>
      <c r="AI2" s="43" t="n"/>
      <c r="AJ2" s="43" t="n"/>
      <c r="AK2" s="43" t="n"/>
      <c r="AL2" s="43" t="n"/>
      <c r="AM2" s="43" t="n"/>
      <c r="AN2" s="43" t="n"/>
    </row>
    <row r="3" customFormat="1" s="526">
      <c r="A3" s="88" t="inlineStr">
        <is>
          <t>Fuel Clause Recovery</t>
        </is>
      </c>
      <c r="B3" s="643" t="n"/>
      <c r="C3" s="643" t="n"/>
      <c r="D3" s="643" t="n"/>
      <c r="E3" s="643" t="n"/>
      <c r="F3" s="643" t="n"/>
      <c r="G3" s="643" t="n"/>
      <c r="H3" s="643" t="n"/>
      <c r="I3" s="643" t="n"/>
      <c r="J3" s="643" t="n"/>
      <c r="K3" s="643" t="n"/>
      <c r="L3" s="643" t="n"/>
      <c r="M3" s="643" t="n"/>
      <c r="N3" s="643" t="n"/>
      <c r="O3" s="643" t="n"/>
      <c r="P3" s="643" t="n"/>
      <c r="Q3" s="643" t="n"/>
      <c r="R3" s="643" t="n"/>
      <c r="S3" s="643" t="n"/>
      <c r="T3" s="643" t="n"/>
      <c r="U3" s="643" t="n"/>
      <c r="V3" s="643" t="n"/>
      <c r="W3" s="643" t="n"/>
      <c r="X3" s="643" t="n"/>
      <c r="Y3" s="643" t="n"/>
      <c r="Z3" s="643" t="n"/>
      <c r="AA3" s="643" t="n"/>
      <c r="AB3" s="643" t="n"/>
      <c r="AC3" s="643" t="n"/>
      <c r="AD3" s="643" t="n"/>
      <c r="AE3" s="643" t="n"/>
      <c r="AF3" s="643" t="n"/>
      <c r="AG3" s="643" t="n"/>
      <c r="AH3" s="643" t="n"/>
      <c r="AI3" s="643" t="n"/>
      <c r="AJ3" s="643" t="n"/>
      <c r="AK3" s="643" t="n"/>
      <c r="AL3" s="643" t="n"/>
      <c r="AM3" s="643" t="n"/>
      <c r="AN3" s="643" t="n"/>
    </row>
    <row r="4">
      <c r="A4" s="32" t="inlineStr">
        <is>
          <t>Opening balance</t>
        </is>
      </c>
      <c r="B4" s="526" t="n">
        <v>107</v>
      </c>
      <c r="C4" s="526">
        <f>B7</f>
        <v/>
      </c>
      <c r="D4" s="526">
        <f>C7</f>
        <v/>
      </c>
      <c r="E4" s="526">
        <f>D7</f>
        <v/>
      </c>
      <c r="F4" s="526">
        <f>E7</f>
        <v/>
      </c>
      <c r="G4" s="526">
        <f>F7</f>
        <v/>
      </c>
      <c r="H4" s="526">
        <f>G7</f>
        <v/>
      </c>
      <c r="I4" s="526">
        <f>H7</f>
        <v/>
      </c>
      <c r="J4" s="526">
        <f>I7</f>
        <v/>
      </c>
      <c r="K4" s="526">
        <f>J7</f>
        <v/>
      </c>
      <c r="L4" s="526">
        <f>K7</f>
        <v/>
      </c>
      <c r="M4" s="526">
        <f>L7</f>
        <v/>
      </c>
      <c r="N4" s="526">
        <f>M7</f>
        <v/>
      </c>
      <c r="O4" s="526">
        <f>N7</f>
        <v/>
      </c>
      <c r="P4" s="526">
        <f>O7</f>
        <v/>
      </c>
      <c r="Q4" s="526">
        <f>P7</f>
        <v/>
      </c>
      <c r="R4" s="526">
        <f>Q7</f>
        <v/>
      </c>
      <c r="S4" s="526">
        <f>R7</f>
        <v/>
      </c>
      <c r="T4" s="526">
        <f>S7</f>
        <v/>
      </c>
      <c r="U4" s="526">
        <f>T7</f>
        <v/>
      </c>
      <c r="V4" s="526">
        <f>U7</f>
        <v/>
      </c>
      <c r="W4" s="526">
        <f>V7</f>
        <v/>
      </c>
      <c r="X4" s="526">
        <f>W7</f>
        <v/>
      </c>
      <c r="Y4" s="526">
        <f>X7</f>
        <v/>
      </c>
      <c r="Z4" s="526">
        <f>Y7</f>
        <v/>
      </c>
      <c r="AA4" s="526">
        <f>Z7</f>
        <v/>
      </c>
      <c r="AB4" s="526">
        <f>AA7</f>
        <v/>
      </c>
      <c r="AC4" s="526">
        <f>AB7</f>
        <v/>
      </c>
      <c r="AD4" s="526">
        <f>AC7</f>
        <v/>
      </c>
      <c r="AE4" s="526">
        <f>AD7</f>
        <v/>
      </c>
      <c r="AF4" s="526">
        <f>AE7</f>
        <v/>
      </c>
      <c r="AG4" s="526">
        <f>AF7</f>
        <v/>
      </c>
      <c r="AH4" s="526">
        <f>AG7</f>
        <v/>
      </c>
      <c r="AI4" s="526">
        <f>AH7</f>
        <v/>
      </c>
      <c r="AJ4" s="526">
        <f>AI7</f>
        <v/>
      </c>
      <c r="AK4" s="526">
        <f>AJ7</f>
        <v/>
      </c>
      <c r="AL4" s="526">
        <f>AK7</f>
        <v/>
      </c>
      <c r="AM4" s="526">
        <f>AL7</f>
        <v/>
      </c>
      <c r="AN4" s="526">
        <f>AM7</f>
        <v/>
      </c>
    </row>
    <row r="5">
      <c r="A5" s="32" t="inlineStr">
        <is>
          <t>Transferred from Profit &amp; Loss Account</t>
        </is>
      </c>
      <c r="B5" s="526">
        <f>B7-B6-B4</f>
        <v/>
      </c>
      <c r="C5" s="526">
        <f>C7-C6-C4</f>
        <v/>
      </c>
      <c r="D5" s="526">
        <f>D7-D6-D4</f>
        <v/>
      </c>
      <c r="E5" s="526">
        <f>E7-E6-E4</f>
        <v/>
      </c>
      <c r="F5" s="526">
        <f>F7-F6-F4</f>
        <v/>
      </c>
      <c r="G5" s="526">
        <f>G7-G6-G4</f>
        <v/>
      </c>
      <c r="H5" s="526">
        <f>H7-H6-H4</f>
        <v/>
      </c>
      <c r="I5" s="526">
        <f>I7-I6-I4</f>
        <v/>
      </c>
      <c r="J5" s="526">
        <f>J7-J6-J4</f>
        <v/>
      </c>
      <c r="K5" s="526">
        <f>K7-K6-K4</f>
        <v/>
      </c>
      <c r="L5" s="526">
        <f>L7-L6-L4</f>
        <v/>
      </c>
      <c r="M5" s="526">
        <f>M7-M6-M4</f>
        <v/>
      </c>
      <c r="N5" s="526">
        <f>N7-N6-N4</f>
        <v/>
      </c>
      <c r="O5" s="526">
        <f>O7-O6-O4</f>
        <v/>
      </c>
      <c r="P5" s="526">
        <f>P7-P6-P4</f>
        <v/>
      </c>
      <c r="Q5" s="526">
        <f>Q7-Q6-Q4</f>
        <v/>
      </c>
      <c r="R5" s="526">
        <f>R7-R6-R4</f>
        <v/>
      </c>
      <c r="S5" s="526">
        <f>S7-S6-S4</f>
        <v/>
      </c>
      <c r="T5" s="526">
        <f>T7-T6-T4</f>
        <v/>
      </c>
      <c r="U5" s="526">
        <f>U7-U6-U4</f>
        <v/>
      </c>
      <c r="V5" s="526">
        <f>V7-V6-V4</f>
        <v/>
      </c>
      <c r="W5" s="526">
        <f>W7-W6-W4</f>
        <v/>
      </c>
      <c r="X5" s="526">
        <f>X7-X6-X4</f>
        <v/>
      </c>
      <c r="Y5" s="526">
        <f>Y7-Y6-Y4</f>
        <v/>
      </c>
      <c r="Z5" s="526">
        <f>Z7-Z6-Z4</f>
        <v/>
      </c>
      <c r="AA5" s="526">
        <f>AA7-AA6-AA4</f>
        <v/>
      </c>
      <c r="AB5" s="526">
        <f>AB7-AB6-AB4</f>
        <v/>
      </c>
      <c r="AC5" s="526">
        <f>AC7-AC6-AC4</f>
        <v/>
      </c>
      <c r="AD5" s="526">
        <f>AD7-AD6-AD4</f>
        <v/>
      </c>
      <c r="AE5" s="526">
        <f>AE7-AE6-AE4</f>
        <v/>
      </c>
      <c r="AF5" s="526">
        <f>AF7-AF6-AF4</f>
        <v/>
      </c>
      <c r="AG5" s="526">
        <f>AG7-AG6-AG4</f>
        <v/>
      </c>
      <c r="AH5" s="526">
        <f>AH7-AH6-AH4</f>
        <v/>
      </c>
      <c r="AI5" s="564">
        <f>-AI13*('HK Sales'!AI38-AI56)</f>
        <v/>
      </c>
      <c r="AJ5" s="564">
        <f>-AJ13*('HK Sales'!AJ38-AJ56)</f>
        <v/>
      </c>
      <c r="AK5" s="564">
        <f>-AK13*('HK Sales'!AK38-AK56)</f>
        <v/>
      </c>
      <c r="AL5" s="564">
        <f>-AL13*('HK Sales'!AL38-AL56)</f>
        <v/>
      </c>
      <c r="AM5" s="564">
        <f>-AM13*('HK Sales'!AM38-AM56)</f>
        <v/>
      </c>
      <c r="AN5" s="564">
        <f>-AN13*('HK Sales'!AN38-AN56)</f>
        <v/>
      </c>
    </row>
    <row r="6">
      <c r="A6" s="32" t="inlineStr">
        <is>
          <t>Charge/(Rebate) during the year</t>
        </is>
      </c>
      <c r="B6" s="526">
        <f>-'HK Sales'!B16*'HK Sales'!B36/100</f>
        <v/>
      </c>
      <c r="C6" s="526">
        <f>-'HK Sales'!C16*'HK Sales'!C36/100</f>
        <v/>
      </c>
      <c r="D6" s="526">
        <f>-'HK Sales'!D16*'HK Sales'!D36/100</f>
        <v/>
      </c>
      <c r="E6" s="526">
        <f>-'HK Sales'!E16*'HK Sales'!E36/100</f>
        <v/>
      </c>
      <c r="F6" s="526">
        <f>-'HK Sales'!F16*'HK Sales'!F36/100</f>
        <v/>
      </c>
      <c r="G6" s="526">
        <f>-'HK Sales'!G16*'HK Sales'!G36/100</f>
        <v/>
      </c>
      <c r="H6" s="526">
        <f>-'HK Sales'!H16*'HK Sales'!H36/100</f>
        <v/>
      </c>
      <c r="I6" s="526">
        <f>-'HK Sales'!I16*'HK Sales'!I36/100</f>
        <v/>
      </c>
      <c r="J6" s="526">
        <f>-'HK Sales'!J16*'HK Sales'!J36/100</f>
        <v/>
      </c>
      <c r="K6" s="526">
        <f>-'HK Sales'!K16*'HK Sales'!K36/100</f>
        <v/>
      </c>
      <c r="L6" s="526">
        <f>-'HK Sales'!L16*'HK Sales'!L36/100</f>
        <v/>
      </c>
      <c r="M6" s="526">
        <f>-'HK Sales'!M16*'HK Sales'!M36/100</f>
        <v/>
      </c>
      <c r="N6" s="526">
        <f>-'HK Sales'!N16*'HK Sales'!N36/100</f>
        <v/>
      </c>
      <c r="O6" s="526">
        <f>-'HK Sales'!O16*'HK Sales'!O36/100</f>
        <v/>
      </c>
      <c r="P6" s="526">
        <f>-'HK Sales'!P16*'HK Sales'!P36/100</f>
        <v/>
      </c>
      <c r="Q6" s="526">
        <f>-'HK Sales'!Q16*'HK Sales'!Q36/100</f>
        <v/>
      </c>
      <c r="R6" s="526">
        <f>-'HK Sales'!R16*'HK Sales'!R36/100</f>
        <v/>
      </c>
      <c r="S6" s="526">
        <f>-'HK Sales'!S16*'HK Sales'!S36/100</f>
        <v/>
      </c>
      <c r="T6" s="526">
        <f>-'HK Sales'!T16*'HK Sales'!T36/100</f>
        <v/>
      </c>
      <c r="U6" s="526">
        <f>-'HK Sales'!U16*'HK Sales'!U36/100</f>
        <v/>
      </c>
      <c r="V6" s="526">
        <f>-'HK Sales'!V16*'HK Sales'!V36/100</f>
        <v/>
      </c>
      <c r="W6" s="526">
        <f>-'HK Sales'!W16*'HK Sales'!W36/100</f>
        <v/>
      </c>
      <c r="X6" s="526">
        <f>-'HK Sales'!X16*'HK Sales'!X36/100</f>
        <v/>
      </c>
      <c r="Y6" s="526">
        <f>-'HK Sales'!Y16*'HK Sales'!Y36/100</f>
        <v/>
      </c>
      <c r="Z6" s="526">
        <f>-'HK Sales'!Z16*'HK Sales'!Z36/100</f>
        <v/>
      </c>
      <c r="AA6" s="526">
        <f>-'HK Sales'!AA16*'HK Sales'!AA36/100</f>
        <v/>
      </c>
      <c r="AB6" s="526">
        <f>-'HK Sales'!AB16*'HK Sales'!AB36/100</f>
        <v/>
      </c>
      <c r="AC6" s="526">
        <f>-'HK Sales'!AC16*'HK Sales'!AC36/100</f>
        <v/>
      </c>
      <c r="AD6" s="526">
        <f>-'HK Sales'!AD16*'HK Sales'!AD36/100</f>
        <v/>
      </c>
      <c r="AE6" s="526">
        <f>-'HK Sales'!AE16*'HK Sales'!AE36/100</f>
        <v/>
      </c>
      <c r="AF6" s="526">
        <f>-'HK Sales'!AF16*'HK Sales'!AF36/100</f>
        <v/>
      </c>
      <c r="AG6" s="526">
        <f>-'HK Sales'!AG16*'HK Sales'!AG36/100</f>
        <v/>
      </c>
      <c r="AH6" s="526">
        <f>-'HK Sales'!AH16*'HK Sales'!AH36/100</f>
        <v/>
      </c>
      <c r="AI6" s="526">
        <f>-'HK Sales'!AI16*'HK Sales'!AI36/100</f>
        <v/>
      </c>
      <c r="AJ6" s="526">
        <f>-'HK Sales'!AJ16*'HK Sales'!AJ36/100</f>
        <v/>
      </c>
      <c r="AK6" s="526">
        <f>-'HK Sales'!AK16*'HK Sales'!AK36/100</f>
        <v/>
      </c>
      <c r="AL6" s="526">
        <f>-'HK Sales'!AL16*'HK Sales'!AL36/100</f>
        <v/>
      </c>
      <c r="AM6" s="526">
        <f>-'HK Sales'!AM16*'HK Sales'!AM36/100</f>
        <v/>
      </c>
      <c r="AN6" s="526">
        <f>-'HK Sales'!AN16*'HK Sales'!AN36/100</f>
        <v/>
      </c>
    </row>
    <row r="7">
      <c r="A7" s="221" t="inlineStr">
        <is>
          <t>Closing balance</t>
        </is>
      </c>
      <c r="B7" s="597">
        <f>B8-B9</f>
        <v/>
      </c>
      <c r="C7" s="597">
        <f>C8-C9</f>
        <v/>
      </c>
      <c r="D7" s="597">
        <f>D8-D9</f>
        <v/>
      </c>
      <c r="E7" s="597">
        <f>E8-E9</f>
        <v/>
      </c>
      <c r="F7" s="597">
        <f>F8-F9</f>
        <v/>
      </c>
      <c r="G7" s="597">
        <f>G8-G9</f>
        <v/>
      </c>
      <c r="H7" s="597">
        <f>H8-H9</f>
        <v/>
      </c>
      <c r="I7" s="597">
        <f>I8-I9</f>
        <v/>
      </c>
      <c r="J7" s="597">
        <f>J8-J9</f>
        <v/>
      </c>
      <c r="K7" s="597">
        <f>K8-K9</f>
        <v/>
      </c>
      <c r="L7" s="597">
        <f>L8-L9</f>
        <v/>
      </c>
      <c r="M7" s="597" t="n">
        <v>-874</v>
      </c>
      <c r="N7" s="597" t="n">
        <v>-762</v>
      </c>
      <c r="O7" s="597" t="n">
        <v>-323</v>
      </c>
      <c r="P7" s="597" t="n">
        <v>-294</v>
      </c>
      <c r="Q7" s="597" t="n">
        <v>132</v>
      </c>
      <c r="R7" s="597" t="n">
        <v>800</v>
      </c>
      <c r="S7" s="597" t="n">
        <v>14</v>
      </c>
      <c r="T7" s="597" t="n">
        <v>294</v>
      </c>
      <c r="U7" s="597" t="n">
        <v>212</v>
      </c>
      <c r="V7" s="597" t="n">
        <v>337</v>
      </c>
      <c r="W7" s="597" t="n">
        <v>-1464</v>
      </c>
      <c r="X7" s="597" t="n">
        <v>-2966</v>
      </c>
      <c r="Y7" s="597" t="n">
        <v>-2226</v>
      </c>
      <c r="Z7" s="597" t="n">
        <v>-2867</v>
      </c>
      <c r="AA7" s="597" t="n">
        <v>-2212</v>
      </c>
      <c r="AB7" s="597" t="n">
        <v>-901</v>
      </c>
      <c r="AC7" s="597" t="n">
        <v>-1131</v>
      </c>
      <c r="AD7" s="597" t="n">
        <v>-346</v>
      </c>
      <c r="AE7" s="597" t="n">
        <v>1116</v>
      </c>
      <c r="AF7" s="597" t="n">
        <v>3543</v>
      </c>
      <c r="AG7" s="597" t="n">
        <v>328</v>
      </c>
      <c r="AH7" s="597" t="n">
        <v>370</v>
      </c>
      <c r="AI7" s="613">
        <f>SUM(AI4:AI6)</f>
        <v/>
      </c>
      <c r="AJ7" s="613">
        <f>SUM(AJ4:AJ6)</f>
        <v/>
      </c>
      <c r="AK7" s="613">
        <f>SUM(AK4:AK6)</f>
        <v/>
      </c>
      <c r="AL7" s="613">
        <f>SUM(AL4:AL6)</f>
        <v/>
      </c>
      <c r="AM7" s="613">
        <f>SUM(AM4:AM6)</f>
        <v/>
      </c>
      <c r="AN7" s="613">
        <f>SUM(AN4:AN6)</f>
        <v/>
      </c>
    </row>
    <row r="8" customFormat="1" s="214">
      <c r="A8" s="213" t="inlineStr">
        <is>
          <t>Receivable</t>
        </is>
      </c>
      <c r="B8" s="644" t="n">
        <v>0</v>
      </c>
      <c r="C8" s="644" t="n">
        <v>0</v>
      </c>
      <c r="D8" s="644" t="n">
        <v>0</v>
      </c>
      <c r="E8" s="644" t="n">
        <v>0</v>
      </c>
      <c r="F8" s="644" t="n">
        <v>152</v>
      </c>
      <c r="G8" s="644" t="n">
        <v>867</v>
      </c>
      <c r="H8" s="644" t="n">
        <v>631</v>
      </c>
      <c r="I8" s="644" t="n">
        <v>327</v>
      </c>
      <c r="J8" s="644" t="n">
        <v>37</v>
      </c>
      <c r="K8" s="644" t="n">
        <v>0</v>
      </c>
      <c r="L8" s="644" t="n">
        <v>0</v>
      </c>
      <c r="M8" s="644">
        <f>IF(M7&lt;0,0,M7)</f>
        <v/>
      </c>
      <c r="N8" s="644">
        <f>IF(N7&lt;0,0,N7)</f>
        <v/>
      </c>
      <c r="O8" s="644">
        <f>IF(O7&lt;0,0,O7)</f>
        <v/>
      </c>
      <c r="P8" s="644">
        <f>IF(P7&lt;0,0,P7)</f>
        <v/>
      </c>
      <c r="Q8" s="644">
        <f>IF(Q7&lt;0,0,Q7)</f>
        <v/>
      </c>
      <c r="R8" s="644">
        <f>IF(R7&lt;0,0,R7)</f>
        <v/>
      </c>
      <c r="S8" s="644">
        <f>IF(S7&lt;0,0,S7)</f>
        <v/>
      </c>
      <c r="T8" s="644">
        <f>IF(T7&lt;0,0,T7)</f>
        <v/>
      </c>
      <c r="U8" s="644">
        <f>IF(U7&lt;0,0,U7)</f>
        <v/>
      </c>
      <c r="V8" s="644">
        <f>IF(V7&lt;0,0,V7)</f>
        <v/>
      </c>
      <c r="W8" s="644">
        <f>IF(W7&lt;0,0,W7)</f>
        <v/>
      </c>
      <c r="X8" s="644">
        <f>IF(X7&lt;0,0,X7)</f>
        <v/>
      </c>
      <c r="Y8" s="644">
        <f>IF(Y7&lt;0,0,Y7)</f>
        <v/>
      </c>
      <c r="Z8" s="644">
        <f>IF(Z7&lt;0,0,Z7)</f>
        <v/>
      </c>
      <c r="AA8" s="644">
        <f>IF(AA7&lt;0,0,AA7)</f>
        <v/>
      </c>
      <c r="AB8" s="644">
        <f>IF(AB7&lt;0,0,AB7)</f>
        <v/>
      </c>
      <c r="AC8" s="644">
        <f>IF(AC7&lt;0,0,AC7)</f>
        <v/>
      </c>
      <c r="AD8" s="644">
        <f>IF(AD7&lt;0,0,AD7)</f>
        <v/>
      </c>
      <c r="AE8" s="644">
        <f>IF(AE7&lt;0,0,AE7)</f>
        <v/>
      </c>
      <c r="AF8" s="644">
        <f>IF(AF7&lt;0,0,AF7)</f>
        <v/>
      </c>
      <c r="AG8" s="644">
        <f>IF(AG7&lt;0,0,AG7)</f>
        <v/>
      </c>
      <c r="AH8" s="644">
        <f>IF(AH7&lt;0,0,AH7)</f>
        <v/>
      </c>
      <c r="AI8" s="644">
        <f>IF(AI7&lt;0,0,AI7)</f>
        <v/>
      </c>
      <c r="AJ8" s="644">
        <f>IF(AJ7&lt;0,0,AJ7)</f>
        <v/>
      </c>
      <c r="AK8" s="644">
        <f>IF(AK7&lt;0,0,AK7)</f>
        <v/>
      </c>
      <c r="AL8" s="644">
        <f>IF(AL7&lt;0,0,AL7)</f>
        <v/>
      </c>
      <c r="AM8" s="644">
        <f>IF(AM7&lt;0,0,AM7)</f>
        <v/>
      </c>
      <c r="AN8" s="644">
        <f>IF(AN7&lt;0,0,AN7)</f>
        <v/>
      </c>
      <c r="AP8" s="43" t="n"/>
      <c r="AQ8" s="43" t="n"/>
      <c r="AR8" s="43" t="n"/>
      <c r="AS8" s="43" t="n"/>
    </row>
    <row r="9" customFormat="1" s="214">
      <c r="A9" s="213" t="inlineStr">
        <is>
          <t>Payable</t>
        </is>
      </c>
      <c r="B9" s="644" t="n">
        <v>107</v>
      </c>
      <c r="C9" s="644" t="n">
        <v>630</v>
      </c>
      <c r="D9" s="644" t="n">
        <v>682</v>
      </c>
      <c r="E9" s="644" t="n">
        <v>409</v>
      </c>
      <c r="F9" s="644" t="n">
        <v>0</v>
      </c>
      <c r="G9" s="644" t="n">
        <v>0</v>
      </c>
      <c r="H9" s="644" t="n">
        <v>0</v>
      </c>
      <c r="I9" s="644" t="n">
        <v>0</v>
      </c>
      <c r="J9" s="644" t="n">
        <v>0</v>
      </c>
      <c r="K9" s="644" t="n">
        <v>448</v>
      </c>
      <c r="L9" s="644" t="n">
        <v>512</v>
      </c>
      <c r="M9" s="644">
        <f>M8-M7</f>
        <v/>
      </c>
      <c r="N9" s="644">
        <f>N8-N7</f>
        <v/>
      </c>
      <c r="O9" s="644">
        <f>O8-O7</f>
        <v/>
      </c>
      <c r="P9" s="644">
        <f>P8-P7</f>
        <v/>
      </c>
      <c r="Q9" s="644">
        <f>Q8-Q7</f>
        <v/>
      </c>
      <c r="R9" s="644">
        <f>R8-R7</f>
        <v/>
      </c>
      <c r="S9" s="644">
        <f>S8-S7</f>
        <v/>
      </c>
      <c r="T9" s="644">
        <f>T8-T7</f>
        <v/>
      </c>
      <c r="U9" s="644">
        <f>U8-U7</f>
        <v/>
      </c>
      <c r="V9" s="644">
        <f>V8-V7</f>
        <v/>
      </c>
      <c r="W9" s="644">
        <f>W8-W7</f>
        <v/>
      </c>
      <c r="X9" s="644">
        <f>X8-X7</f>
        <v/>
      </c>
      <c r="Y9" s="644">
        <f>Y8-Y7</f>
        <v/>
      </c>
      <c r="Z9" s="644">
        <f>Z8-Z7</f>
        <v/>
      </c>
      <c r="AA9" s="644">
        <f>AA8-AA7</f>
        <v/>
      </c>
      <c r="AB9" s="644">
        <f>AB8-AB7</f>
        <v/>
      </c>
      <c r="AC9" s="644">
        <f>AC8-AC7</f>
        <v/>
      </c>
      <c r="AD9" s="644">
        <f>AD8-AD7</f>
        <v/>
      </c>
      <c r="AE9" s="644">
        <f>AE8-AE7</f>
        <v/>
      </c>
      <c r="AF9" s="644">
        <f>AF8-AF7</f>
        <v/>
      </c>
      <c r="AG9" s="644">
        <f>AG8-AG7</f>
        <v/>
      </c>
      <c r="AH9" s="644">
        <f>AH8-AH7</f>
        <v/>
      </c>
      <c r="AI9" s="644">
        <f>AI8-AI7</f>
        <v/>
      </c>
      <c r="AJ9" s="644">
        <f>AJ8-AJ7</f>
        <v/>
      </c>
      <c r="AK9" s="644">
        <f>AK8-AK7</f>
        <v/>
      </c>
      <c r="AL9" s="644">
        <f>AL8-AL7</f>
        <v/>
      </c>
      <c r="AM9" s="644">
        <f>AM8-AM7</f>
        <v/>
      </c>
      <c r="AN9" s="644">
        <f>AN8-AN7</f>
        <v/>
      </c>
      <c r="AP9" s="43" t="n"/>
      <c r="AQ9" s="43" t="n"/>
      <c r="AR9" s="43" t="n"/>
      <c r="AS9" s="43" t="n"/>
    </row>
    <row r="10" customFormat="1" s="216">
      <c r="A10" s="216" t="n"/>
      <c r="B10" s="216" t="n"/>
      <c r="C10" s="216" t="n"/>
      <c r="D10" s="216" t="n"/>
      <c r="E10" s="216" t="n"/>
      <c r="F10" s="216" t="n"/>
      <c r="G10" s="216" t="n"/>
      <c r="H10" s="216" t="n"/>
      <c r="I10" s="216" t="n"/>
      <c r="J10" s="216" t="n"/>
      <c r="K10" s="216" t="n"/>
      <c r="L10" s="216" t="n"/>
      <c r="M10" s="216" t="n"/>
      <c r="N10" s="216" t="n"/>
      <c r="O10" s="216" t="n"/>
      <c r="P10" s="216" t="n"/>
      <c r="Q10" s="216" t="n"/>
      <c r="R10" s="216" t="n"/>
      <c r="S10" s="216" t="n"/>
      <c r="T10" s="216" t="n"/>
      <c r="U10" s="216" t="n"/>
      <c r="V10" s="216" t="n"/>
      <c r="W10" s="216" t="n"/>
      <c r="X10" s="216" t="n"/>
      <c r="Y10" s="216" t="n"/>
      <c r="Z10" s="216" t="n"/>
      <c r="AA10" s="216" t="n"/>
      <c r="AB10" s="216" t="n"/>
      <c r="AC10" s="216" t="n"/>
      <c r="AD10" s="216" t="n"/>
      <c r="AE10" s="216" t="n"/>
      <c r="AF10" s="216" t="n"/>
      <c r="AG10" s="216" t="n"/>
      <c r="AH10" s="216" t="n"/>
      <c r="AI10" s="216" t="n"/>
      <c r="AJ10" s="216" t="n"/>
      <c r="AK10" s="216" t="n"/>
      <c r="AL10" s="216" t="n"/>
      <c r="AM10" s="216" t="n"/>
      <c r="AN10" s="216" t="n"/>
      <c r="AP10" s="43" t="n"/>
      <c r="AQ10" s="43" t="n"/>
      <c r="AR10" s="43" t="n"/>
      <c r="AS10" s="43" t="n"/>
    </row>
    <row r="11" customFormat="1" s="216">
      <c r="A11" s="216" t="n"/>
      <c r="B11" s="216" t="n"/>
      <c r="C11" s="216" t="n"/>
      <c r="D11" s="216" t="n"/>
      <c r="E11" s="216" t="n"/>
      <c r="F11" s="216" t="n"/>
      <c r="G11" s="216" t="n"/>
      <c r="H11" s="216" t="n"/>
      <c r="I11" s="216" t="n"/>
      <c r="J11" s="216" t="n"/>
      <c r="K11" s="216" t="n"/>
      <c r="L11" s="216" t="n"/>
      <c r="M11" s="216" t="n"/>
      <c r="N11" s="216" t="n"/>
      <c r="O11" s="216" t="n"/>
      <c r="P11" s="216" t="n"/>
      <c r="Q11" s="216" t="n"/>
      <c r="R11" s="216" t="n"/>
      <c r="S11" s="216" t="n"/>
      <c r="T11" s="216" t="n"/>
      <c r="U11" s="216" t="n"/>
      <c r="V11" s="216" t="n"/>
      <c r="W11" s="216" t="n"/>
      <c r="X11" s="216" t="n"/>
      <c r="Y11" s="216" t="n"/>
      <c r="Z11" s="216" t="n"/>
      <c r="AA11" s="216" t="n"/>
      <c r="AB11" s="216" t="n"/>
      <c r="AC11" s="216" t="n"/>
      <c r="AD11" s="216" t="n"/>
      <c r="AE11" s="216" t="n"/>
      <c r="AF11" s="216" t="n"/>
      <c r="AG11" s="216" t="n"/>
      <c r="AH11" s="216" t="n"/>
      <c r="AI11" s="216" t="n"/>
      <c r="AJ11" s="216" t="n"/>
      <c r="AK11" s="216" t="n"/>
      <c r="AL11" s="216" t="n"/>
      <c r="AM11" s="216" t="n"/>
      <c r="AN11" s="216" t="n"/>
      <c r="AP11" s="43" t="n"/>
      <c r="AQ11" s="43" t="n"/>
      <c r="AR11" s="43" t="n"/>
      <c r="AS11" s="43" t="n"/>
    </row>
    <row r="12" customFormat="1" s="216">
      <c r="A12" s="220" t="inlineStr">
        <is>
          <t>Actual fuel cost/kWh</t>
        </is>
      </c>
      <c r="B12" s="218">
        <f>B70</f>
        <v/>
      </c>
      <c r="C12" s="218">
        <f>C70</f>
        <v/>
      </c>
      <c r="D12" s="218">
        <f>D70</f>
        <v/>
      </c>
      <c r="E12" s="218">
        <f>E70</f>
        <v/>
      </c>
      <c r="F12" s="218">
        <f>F70</f>
        <v/>
      </c>
      <c r="G12" s="218">
        <f>G70</f>
        <v/>
      </c>
      <c r="H12" s="218">
        <f>H70</f>
        <v/>
      </c>
      <c r="I12" s="218">
        <f>I70</f>
        <v/>
      </c>
      <c r="J12" s="218">
        <f>J70</f>
        <v/>
      </c>
      <c r="K12" s="218">
        <f>K70</f>
        <v/>
      </c>
      <c r="L12" s="218">
        <f>L70</f>
        <v/>
      </c>
      <c r="M12" s="218">
        <f>M70</f>
        <v/>
      </c>
      <c r="N12" s="218">
        <f>N70</f>
        <v/>
      </c>
      <c r="O12" s="218">
        <f>O70</f>
        <v/>
      </c>
      <c r="P12" s="218">
        <f>P70</f>
        <v/>
      </c>
      <c r="Q12" s="218">
        <f>Q70</f>
        <v/>
      </c>
      <c r="R12" s="218">
        <f>R70</f>
        <v/>
      </c>
      <c r="S12" s="218">
        <f>S70</f>
        <v/>
      </c>
      <c r="T12" s="218">
        <f>T70</f>
        <v/>
      </c>
      <c r="U12" s="218">
        <f>U70</f>
        <v/>
      </c>
      <c r="V12" s="218">
        <f>V70</f>
        <v/>
      </c>
      <c r="W12" s="218">
        <f>W70</f>
        <v/>
      </c>
      <c r="X12" s="218">
        <f>X70</f>
        <v/>
      </c>
      <c r="Y12" s="218">
        <f>Y70</f>
        <v/>
      </c>
      <c r="Z12" s="218">
        <f>Z70</f>
        <v/>
      </c>
      <c r="AA12" s="218">
        <f>AA70</f>
        <v/>
      </c>
      <c r="AB12" s="218">
        <f>AB70</f>
        <v/>
      </c>
      <c r="AC12" s="218">
        <f>AC70</f>
        <v/>
      </c>
      <c r="AD12" s="218">
        <f>AD70</f>
        <v/>
      </c>
      <c r="AE12" s="218">
        <f>AE70</f>
        <v/>
      </c>
      <c r="AF12" s="218">
        <f>AF70</f>
        <v/>
      </c>
      <c r="AG12" s="218">
        <f>AG70</f>
        <v/>
      </c>
      <c r="AH12" s="218">
        <f>AH70</f>
        <v/>
      </c>
      <c r="AI12" s="218">
        <f>AI70</f>
        <v/>
      </c>
      <c r="AJ12" s="218">
        <f>AJ70</f>
        <v/>
      </c>
      <c r="AK12" s="218">
        <f>AK70</f>
        <v/>
      </c>
      <c r="AL12" s="218">
        <f>AL70</f>
        <v/>
      </c>
      <c r="AM12" s="218">
        <f>AM70</f>
        <v/>
      </c>
      <c r="AN12" s="218">
        <f>AN70</f>
        <v/>
      </c>
      <c r="AP12" s="43" t="n"/>
      <c r="AQ12" s="43" t="n"/>
      <c r="AR12" s="43" t="n"/>
      <c r="AS12" s="43" t="n"/>
    </row>
    <row r="13" customFormat="1" s="216">
      <c r="A13" s="220" t="inlineStr">
        <is>
          <t>Transfer from P&amp;L/kWh</t>
        </is>
      </c>
      <c r="B13" s="442">
        <f>-B5/('HK Sales'!B38-B56)</f>
        <v/>
      </c>
      <c r="C13" s="442">
        <f>-C5/('HK Sales'!C38-C56)</f>
        <v/>
      </c>
      <c r="D13" s="442">
        <f>-D5/('HK Sales'!D38-D56)</f>
        <v/>
      </c>
      <c r="E13" s="442">
        <f>-E5/('HK Sales'!E38-E56)</f>
        <v/>
      </c>
      <c r="F13" s="442">
        <f>-F5/('HK Sales'!F38-F56)</f>
        <v/>
      </c>
      <c r="G13" s="442">
        <f>-G5/('HK Sales'!G38-G56)</f>
        <v/>
      </c>
      <c r="H13" s="442">
        <f>-H5/('HK Sales'!H38-H56)</f>
        <v/>
      </c>
      <c r="I13" s="442">
        <f>-I5/('HK Sales'!I38-I56)</f>
        <v/>
      </c>
      <c r="J13" s="442">
        <f>-J5/('HK Sales'!J38-J56)</f>
        <v/>
      </c>
      <c r="K13" s="442">
        <f>-K5/('HK Sales'!K38-K56)</f>
        <v/>
      </c>
      <c r="L13" s="442">
        <f>-L5/('HK Sales'!L38-L56)</f>
        <v/>
      </c>
      <c r="M13" s="442">
        <f>-M5/('HK Sales'!M38-M56)</f>
        <v/>
      </c>
      <c r="N13" s="442">
        <f>-N5/('HK Sales'!N38-N56)</f>
        <v/>
      </c>
      <c r="O13" s="442">
        <f>-O5/('HK Sales'!O38-O56)</f>
        <v/>
      </c>
      <c r="P13" s="442">
        <f>-P5/('HK Sales'!P38-P56)</f>
        <v/>
      </c>
      <c r="Q13" s="442">
        <f>-Q5/('HK Sales'!Q38-Q56)</f>
        <v/>
      </c>
      <c r="R13" s="442">
        <f>-R5/('HK Sales'!R38-R56)</f>
        <v/>
      </c>
      <c r="S13" s="442">
        <f>-S5/('HK Sales'!S38-S56)</f>
        <v/>
      </c>
      <c r="T13" s="442">
        <f>-T5/('HK Sales'!T38-T56)</f>
        <v/>
      </c>
      <c r="U13" s="442">
        <f>-U5/('HK Sales'!U38-U56)</f>
        <v/>
      </c>
      <c r="V13" s="442">
        <f>-V5/('HK Sales'!V38-V56)</f>
        <v/>
      </c>
      <c r="W13" s="442">
        <f>-W5/('HK Sales'!W38-W56)</f>
        <v/>
      </c>
      <c r="X13" s="442">
        <f>-X5/('HK Sales'!X38-X56)</f>
        <v/>
      </c>
      <c r="Y13" s="442">
        <f>-Y5/('HK Sales'!Y38-Y56)</f>
        <v/>
      </c>
      <c r="Z13" s="442">
        <f>-Z5/('HK Sales'!Z38-Z56)</f>
        <v/>
      </c>
      <c r="AA13" s="442">
        <f>-AA5/('HK Sales'!AA38-AA56)</f>
        <v/>
      </c>
      <c r="AB13" s="442">
        <f>-AB5/('HK Sales'!AB38-AB56)</f>
        <v/>
      </c>
      <c r="AC13" s="442">
        <f>-AC5/('HK Sales'!AC38-AC56)</f>
        <v/>
      </c>
      <c r="AD13" s="442">
        <f>-AD5/('HK Sales'!AD38-AD56)</f>
        <v/>
      </c>
      <c r="AE13" s="442">
        <f>-AE5/('HK Sales'!AE38-AE56)</f>
        <v/>
      </c>
      <c r="AF13" s="442">
        <f>-AF5/('HK Sales'!AF38-AF56)</f>
        <v/>
      </c>
      <c r="AG13" s="442">
        <f>-AG5/('HK Sales'!AG38-AG56)</f>
        <v/>
      </c>
      <c r="AH13" s="442">
        <f>-AH5/('HK Sales'!AH38-AH56)</f>
        <v/>
      </c>
      <c r="AI13" s="219">
        <f>AI14-AI12</f>
        <v/>
      </c>
      <c r="AJ13" s="219">
        <f>AJ14-AJ12</f>
        <v/>
      </c>
      <c r="AK13" s="219">
        <f>AK14-AK12</f>
        <v/>
      </c>
      <c r="AL13" s="219">
        <f>AL14-AL12</f>
        <v/>
      </c>
      <c r="AM13" s="219">
        <f>AM14-AM12</f>
        <v/>
      </c>
      <c r="AN13" s="219">
        <f>AN14-AN12</f>
        <v/>
      </c>
      <c r="AP13" s="43" t="n"/>
      <c r="AQ13" s="43" t="n"/>
      <c r="AR13" s="43" t="n"/>
      <c r="AS13" s="43" t="n"/>
    </row>
    <row r="14" customFormat="1" s="216">
      <c r="A14" s="220" t="inlineStr">
        <is>
          <t>Standard fuel cost/kWh</t>
        </is>
      </c>
      <c r="B14" s="218">
        <f>SUM(B12:B13)</f>
        <v/>
      </c>
      <c r="C14" s="218">
        <f>SUM(C12:C13)</f>
        <v/>
      </c>
      <c r="D14" s="218">
        <f>SUM(D12:D13)</f>
        <v/>
      </c>
      <c r="E14" s="218">
        <f>SUM(E12:E13)</f>
        <v/>
      </c>
      <c r="F14" s="218">
        <f>SUM(F12:F13)</f>
        <v/>
      </c>
      <c r="G14" s="218">
        <f>SUM(G12:G13)</f>
        <v/>
      </c>
      <c r="H14" s="218">
        <f>SUM(H12:H13)</f>
        <v/>
      </c>
      <c r="I14" s="218">
        <f>SUM(I12:I13)</f>
        <v/>
      </c>
      <c r="J14" s="218">
        <f>SUM(J12:J13)</f>
        <v/>
      </c>
      <c r="K14" s="218">
        <f>SUM(K12:K13)</f>
        <v/>
      </c>
      <c r="L14" s="218">
        <f>SUM(L12:L13)</f>
        <v/>
      </c>
      <c r="M14" s="218">
        <f>SUM(M12:M13)</f>
        <v/>
      </c>
      <c r="N14" s="218">
        <f>SUM(N12:N13)</f>
        <v/>
      </c>
      <c r="O14" s="218">
        <f>SUM(O12:O13)</f>
        <v/>
      </c>
      <c r="P14" s="218">
        <f>SUM(P12:P13)</f>
        <v/>
      </c>
      <c r="Q14" s="218">
        <f>SUM(Q12:Q13)</f>
        <v/>
      </c>
      <c r="R14" s="218">
        <f>SUM(R12:R13)</f>
        <v/>
      </c>
      <c r="S14" s="218">
        <f>SUM(S12:S13)</f>
        <v/>
      </c>
      <c r="T14" s="218">
        <f>SUM(T12:T13)</f>
        <v/>
      </c>
      <c r="U14" s="218">
        <f>SUM(U12:U13)</f>
        <v/>
      </c>
      <c r="V14" s="218">
        <f>SUM(V12:V13)</f>
        <v/>
      </c>
      <c r="W14" s="218">
        <f>SUM(W12:W13)</f>
        <v/>
      </c>
      <c r="X14" s="218">
        <f>SUM(X12:X13)</f>
        <v/>
      </c>
      <c r="Y14" s="218">
        <f>SUM(Y12:Y13)</f>
        <v/>
      </c>
      <c r="Z14" s="218">
        <f>SUM(Z12:Z13)</f>
        <v/>
      </c>
      <c r="AA14" s="218">
        <f>SUM(AA12:AA13)</f>
        <v/>
      </c>
      <c r="AB14" s="218">
        <f>SUM(AB12:AB13)</f>
        <v/>
      </c>
      <c r="AC14" s="218">
        <f>SUM(AC12:AC13)</f>
        <v/>
      </c>
      <c r="AD14" s="218">
        <f>SUM(AD12:AD13)</f>
        <v/>
      </c>
      <c r="AE14" s="218">
        <f>SUM(AE12:AE13)</f>
        <v/>
      </c>
      <c r="AF14" s="218">
        <f>SUM(AF12:AF13)</f>
        <v/>
      </c>
      <c r="AG14" s="218">
        <f>SUM(AG12:AG13)</f>
        <v/>
      </c>
      <c r="AH14" s="218">
        <f>SUM(AH12:AH13)</f>
        <v/>
      </c>
      <c r="AI14" s="219">
        <f>AH14</f>
        <v/>
      </c>
      <c r="AJ14" s="219">
        <f>AI14</f>
        <v/>
      </c>
      <c r="AK14" s="219">
        <f>AJ14</f>
        <v/>
      </c>
      <c r="AL14" s="219">
        <f>AK14</f>
        <v/>
      </c>
      <c r="AM14" s="219">
        <f>AL14</f>
        <v/>
      </c>
      <c r="AN14" s="219">
        <f>AM14</f>
        <v/>
      </c>
      <c r="AP14" s="43" t="n"/>
      <c r="AQ14" s="43" t="n"/>
      <c r="AR14" s="43" t="n"/>
      <c r="AS14" s="43" t="n"/>
    </row>
    <row r="15" customFormat="1" s="220">
      <c r="X15" s="220" t="n"/>
      <c r="AP15" s="43" t="n"/>
      <c r="AQ15" s="43" t="n"/>
      <c r="AR15" s="43" t="n"/>
      <c r="AS15" s="43" t="n"/>
    </row>
    <row r="16" customFormat="1" s="526">
      <c r="A16" s="88" t="inlineStr">
        <is>
          <t>Development Fund/Tariff Stabilization Account</t>
        </is>
      </c>
      <c r="B16" s="643" t="n"/>
      <c r="C16" s="643" t="n"/>
      <c r="D16" s="643" t="n"/>
      <c r="E16" s="643" t="n"/>
      <c r="F16" s="643" t="n"/>
      <c r="G16" s="643" t="n"/>
      <c r="H16" s="643" t="n"/>
      <c r="I16" s="643" t="n"/>
      <c r="J16" s="643" t="n"/>
      <c r="K16" s="643" t="n"/>
      <c r="L16" s="643" t="n"/>
      <c r="M16" s="643" t="n"/>
      <c r="N16" s="643" t="n"/>
      <c r="O16" s="643" t="n"/>
      <c r="P16" s="643" t="n"/>
      <c r="Q16" s="643" t="n"/>
      <c r="R16" s="643" t="n"/>
      <c r="S16" s="643" t="n"/>
      <c r="T16" s="643" t="n"/>
      <c r="U16" s="643" t="n"/>
      <c r="V16" s="643" t="n"/>
      <c r="W16" s="643" t="n"/>
      <c r="X16" s="643" t="n"/>
      <c r="Y16" s="643" t="n"/>
      <c r="Z16" s="643" t="n"/>
      <c r="AA16" s="643" t="n"/>
      <c r="AB16" s="643" t="n"/>
      <c r="AC16" s="643" t="n"/>
      <c r="AD16" s="643" t="n"/>
      <c r="AE16" s="643" t="n"/>
      <c r="AF16" s="643" t="n"/>
      <c r="AG16" s="643" t="n"/>
      <c r="AH16" s="643" t="n"/>
      <c r="AI16" s="643" t="n"/>
      <c r="AJ16" s="643" t="n"/>
      <c r="AK16" s="643" t="n"/>
      <c r="AL16" s="643" t="n"/>
      <c r="AM16" s="643" t="n"/>
      <c r="AN16" s="643" t="n"/>
    </row>
    <row r="17">
      <c r="A17" s="32" t="inlineStr">
        <is>
          <t>Opening balance</t>
        </is>
      </c>
      <c r="B17" s="526" t="n">
        <v>2849</v>
      </c>
      <c r="C17" s="526">
        <f>B21</f>
        <v/>
      </c>
      <c r="D17" s="526">
        <f>C21</f>
        <v/>
      </c>
      <c r="E17" s="526">
        <f>D21</f>
        <v/>
      </c>
      <c r="F17" s="526">
        <f>E21</f>
        <v/>
      </c>
      <c r="G17" s="526">
        <f>F21</f>
        <v/>
      </c>
      <c r="H17" s="526">
        <f>G21</f>
        <v/>
      </c>
      <c r="I17" s="526">
        <f>H21</f>
        <v/>
      </c>
      <c r="J17" s="526">
        <f>I21</f>
        <v/>
      </c>
      <c r="K17" s="526">
        <f>J21</f>
        <v/>
      </c>
      <c r="L17" s="526">
        <f>K21</f>
        <v/>
      </c>
      <c r="M17" s="526">
        <f>L21</f>
        <v/>
      </c>
      <c r="N17" s="526">
        <f>M21</f>
        <v/>
      </c>
      <c r="O17" s="526">
        <f>N21</f>
        <v/>
      </c>
      <c r="P17" s="526">
        <f>O21</f>
        <v/>
      </c>
      <c r="Q17" s="526">
        <f>P21</f>
        <v/>
      </c>
      <c r="R17" s="526">
        <f>Q21</f>
        <v/>
      </c>
      <c r="S17" s="526">
        <f>R21</f>
        <v/>
      </c>
      <c r="T17" s="526">
        <f>S21</f>
        <v/>
      </c>
      <c r="U17" s="526">
        <f>T21</f>
        <v/>
      </c>
      <c r="V17" s="526">
        <f>U21</f>
        <v/>
      </c>
      <c r="W17" s="526">
        <f>V21</f>
        <v/>
      </c>
      <c r="X17" s="526">
        <f>W21</f>
        <v/>
      </c>
      <c r="Y17" s="526">
        <f>X21</f>
        <v/>
      </c>
      <c r="Z17" s="526">
        <f>Y21</f>
        <v/>
      </c>
      <c r="AA17" s="526">
        <f>Z21</f>
        <v/>
      </c>
      <c r="AB17" s="526">
        <f>AA21</f>
        <v/>
      </c>
      <c r="AC17" s="526">
        <f>AB21</f>
        <v/>
      </c>
      <c r="AD17" s="526">
        <f>AC21</f>
        <v/>
      </c>
      <c r="AE17" s="526">
        <f>AD21</f>
        <v/>
      </c>
      <c r="AF17" s="526">
        <f>AE21</f>
        <v/>
      </c>
      <c r="AG17" s="526">
        <f>AF21</f>
        <v/>
      </c>
      <c r="AH17" s="526">
        <f>AG21</f>
        <v/>
      </c>
      <c r="AI17" s="526">
        <f>AH21</f>
        <v/>
      </c>
      <c r="AJ17" s="526">
        <f>AI21</f>
        <v/>
      </c>
      <c r="AK17" s="526">
        <f>AJ21</f>
        <v/>
      </c>
      <c r="AL17" s="526">
        <f>AK21</f>
        <v/>
      </c>
      <c r="AM17" s="526">
        <f>AL21</f>
        <v/>
      </c>
      <c r="AN17" s="526">
        <f>AM21</f>
        <v/>
      </c>
    </row>
    <row r="18">
      <c r="A18" s="32" t="inlineStr">
        <is>
          <t>Transfer to/from income statement</t>
        </is>
      </c>
      <c r="B18" s="526" t="n">
        <v>373</v>
      </c>
      <c r="C18" s="526">
        <f>-SOC!C23</f>
        <v/>
      </c>
      <c r="D18" s="526">
        <f>-SOC!D23</f>
        <v/>
      </c>
      <c r="E18" s="526">
        <f>-SOC!E23</f>
        <v/>
      </c>
      <c r="F18" s="526">
        <f>-SOC!F23</f>
        <v/>
      </c>
      <c r="G18" s="526">
        <f>-SOC!G23</f>
        <v/>
      </c>
      <c r="H18" s="526">
        <f>-SOC!H23</f>
        <v/>
      </c>
      <c r="I18" s="526">
        <f>-SOC!I23</f>
        <v/>
      </c>
      <c r="J18" s="526">
        <f>-SOC!J23</f>
        <v/>
      </c>
      <c r="K18" s="526">
        <f>-SOC!K23</f>
        <v/>
      </c>
      <c r="L18" s="526">
        <f>-SOC!L23</f>
        <v/>
      </c>
      <c r="M18" s="526">
        <f>-SOC!M23</f>
        <v/>
      </c>
      <c r="N18" s="526">
        <f>-SOC!N23</f>
        <v/>
      </c>
      <c r="O18" s="526">
        <f>-SOC!O23</f>
        <v/>
      </c>
      <c r="P18" s="526">
        <f>-SOC!P23</f>
        <v/>
      </c>
      <c r="Q18" s="526">
        <f>-SOC!Q23</f>
        <v/>
      </c>
      <c r="R18" s="526">
        <f>-SOC!R23</f>
        <v/>
      </c>
      <c r="S18" s="526">
        <f>-SOC!S23</f>
        <v/>
      </c>
      <c r="T18" s="526">
        <f>-SOC!T23</f>
        <v/>
      </c>
      <c r="U18" s="526">
        <f>-SOC!U23</f>
        <v/>
      </c>
      <c r="V18" s="526">
        <f>-SOC!V23</f>
        <v/>
      </c>
      <c r="W18" s="526">
        <f>-SOC!W23</f>
        <v/>
      </c>
      <c r="X18" s="526">
        <f>-SOC!X23</f>
        <v/>
      </c>
      <c r="Y18" s="526">
        <f>-SOC!Y23</f>
        <v/>
      </c>
      <c r="Z18" s="526">
        <f>-SOC!Z23</f>
        <v/>
      </c>
      <c r="AA18" s="526">
        <f>-SOC!AA23</f>
        <v/>
      </c>
      <c r="AB18" s="526">
        <f>-SOC!AB23</f>
        <v/>
      </c>
      <c r="AC18" s="526">
        <f>-SOC!AC23</f>
        <v/>
      </c>
      <c r="AD18" s="526">
        <f>-SOC!AD23</f>
        <v/>
      </c>
      <c r="AE18" s="526">
        <f>-SOC!AE23</f>
        <v/>
      </c>
      <c r="AF18" s="526">
        <f>-SOC!AF23</f>
        <v/>
      </c>
      <c r="AG18" s="526">
        <f>-SOC!AG23</f>
        <v/>
      </c>
      <c r="AH18" s="526">
        <f>-SOC!AH23</f>
        <v/>
      </c>
      <c r="AI18" s="526">
        <f>-SOC!AI23</f>
        <v/>
      </c>
      <c r="AJ18" s="526">
        <f>-SOC!AJ23</f>
        <v/>
      </c>
      <c r="AK18" s="526">
        <f>-SOC!AK23</f>
        <v/>
      </c>
      <c r="AL18" s="526">
        <f>-SOC!AL23</f>
        <v/>
      </c>
      <c r="AM18" s="526">
        <f>-SOC!AM23</f>
        <v/>
      </c>
      <c r="AN18" s="526">
        <f>-SOC!AN23</f>
        <v/>
      </c>
    </row>
    <row r="19">
      <c r="A19" s="32" t="inlineStr">
        <is>
          <t>Rebates</t>
        </is>
      </c>
      <c r="B19" s="526" t="n"/>
      <c r="C19" s="526">
        <f>C21-C20-SUM(C17:C18)</f>
        <v/>
      </c>
      <c r="D19" s="526">
        <f>D21-D20-SUM(D17:D18)</f>
        <v/>
      </c>
      <c r="E19" s="526">
        <f>E21-E20-SUM(E17:E18)</f>
        <v/>
      </c>
      <c r="F19" s="526">
        <f>F21-F20-SUM(F17:F18)</f>
        <v/>
      </c>
      <c r="G19" s="526">
        <f>G21-G20-SUM(G17:G18)</f>
        <v/>
      </c>
      <c r="H19" s="526">
        <f>H21-H20-SUM(H17:H18)</f>
        <v/>
      </c>
      <c r="I19" s="526">
        <f>I21-I20-SUM(I17:I18)</f>
        <v/>
      </c>
      <c r="J19" s="526">
        <f>J21-J20-SUM(J17:J18)</f>
        <v/>
      </c>
      <c r="K19" s="526">
        <f>K21-K20-SUM(K17:K18)</f>
        <v/>
      </c>
      <c r="L19" s="526">
        <f>L21-L20-SUM(L17:L18)</f>
        <v/>
      </c>
      <c r="M19" s="526">
        <f>M21-M20-SUM(M17:M18)</f>
        <v/>
      </c>
      <c r="N19" s="526">
        <f>'HK Sales'!N22</f>
        <v/>
      </c>
      <c r="O19" s="526">
        <f>'HK Sales'!O22</f>
        <v/>
      </c>
      <c r="P19" s="526">
        <f>'HK Sales'!P22</f>
        <v/>
      </c>
      <c r="Q19" s="526">
        <f>'HK Sales'!Q22</f>
        <v/>
      </c>
      <c r="R19" s="526">
        <f>'HK Sales'!R22</f>
        <v/>
      </c>
      <c r="S19" s="526">
        <f>'HK Sales'!S22</f>
        <v/>
      </c>
      <c r="T19" s="526">
        <f>'HK Sales'!T22</f>
        <v/>
      </c>
      <c r="U19" s="526">
        <f>'HK Sales'!U22</f>
        <v/>
      </c>
      <c r="V19" s="526">
        <f>'HK Sales'!V22</f>
        <v/>
      </c>
      <c r="W19" s="526">
        <f>'HK Sales'!W22</f>
        <v/>
      </c>
      <c r="X19" s="526">
        <f>'HK Sales'!X22</f>
        <v/>
      </c>
      <c r="Y19" s="526">
        <f>'HK Sales'!Y22</f>
        <v/>
      </c>
      <c r="Z19" s="526">
        <f>'HK Sales'!Z22</f>
        <v/>
      </c>
      <c r="AA19" s="526">
        <f>'HK Sales'!AA22</f>
        <v/>
      </c>
      <c r="AB19" s="526">
        <f>'HK Sales'!AB22</f>
        <v/>
      </c>
      <c r="AC19" s="526">
        <f>'HK Sales'!AC22</f>
        <v/>
      </c>
      <c r="AD19" s="526">
        <f>'HK Sales'!AD22</f>
        <v/>
      </c>
      <c r="AE19" s="526">
        <f>'HK Sales'!AE22</f>
        <v/>
      </c>
      <c r="AF19" s="526">
        <f>'HK Sales'!AF22</f>
        <v/>
      </c>
      <c r="AG19" s="526">
        <f>'HK Sales'!AG22</f>
        <v/>
      </c>
      <c r="AH19" s="526">
        <f>'HK Sales'!AH22</f>
        <v/>
      </c>
      <c r="AI19" s="526">
        <f>'HK Sales'!AI22</f>
        <v/>
      </c>
      <c r="AJ19" s="526">
        <f>'HK Sales'!AJ22</f>
        <v/>
      </c>
      <c r="AK19" s="526">
        <f>'HK Sales'!AK22</f>
        <v/>
      </c>
      <c r="AL19" s="526">
        <f>'HK Sales'!AL22</f>
        <v/>
      </c>
      <c r="AM19" s="526">
        <f>'HK Sales'!AM22</f>
        <v/>
      </c>
      <c r="AN19" s="526">
        <f>'HK Sales'!AN22</f>
        <v/>
      </c>
    </row>
    <row r="20">
      <c r="A20" s="32" t="inlineStr">
        <is>
          <t>Other</t>
        </is>
      </c>
      <c r="B20" s="526" t="n"/>
      <c r="C20" s="526" t="n"/>
      <c r="D20" s="526" t="n"/>
      <c r="E20" s="526" t="n"/>
      <c r="F20" s="526" t="n"/>
      <c r="G20" s="526" t="n"/>
      <c r="H20" s="526" t="n"/>
      <c r="I20" s="526" t="n"/>
      <c r="J20" s="526" t="n">
        <v>-803</v>
      </c>
      <c r="K20" s="526" t="n">
        <v>0</v>
      </c>
      <c r="L20" s="526" t="n"/>
      <c r="M20" s="526" t="n"/>
      <c r="N20" s="526" t="n"/>
      <c r="O20" s="526" t="n"/>
      <c r="P20" s="526" t="n"/>
      <c r="Q20" s="526" t="n"/>
      <c r="R20" s="526">
        <f>-SOC!R22</f>
        <v/>
      </c>
      <c r="S20" s="526">
        <f>-SOC!S22</f>
        <v/>
      </c>
      <c r="T20" s="526">
        <f>-SOC!T22</f>
        <v/>
      </c>
      <c r="U20" s="526">
        <f>-SOC!U22</f>
        <v/>
      </c>
      <c r="V20" s="526">
        <f>-SOC!V22</f>
        <v/>
      </c>
      <c r="W20" s="526">
        <f>-SOC!W22-W33</f>
        <v/>
      </c>
      <c r="X20" s="526">
        <f>-SOC!X22-X33</f>
        <v/>
      </c>
      <c r="Y20" s="526">
        <f>-SOC!Y22-Y33</f>
        <v/>
      </c>
      <c r="Z20" s="526">
        <f>-SOC!Z22-Z33</f>
        <v/>
      </c>
      <c r="AA20" s="526">
        <f>-SOC!AA22-AA33</f>
        <v/>
      </c>
      <c r="AB20" s="526">
        <f>-SOC!AB22-AB33</f>
        <v/>
      </c>
      <c r="AC20" s="526">
        <f>-SOC!AC22-AC33</f>
        <v/>
      </c>
      <c r="AD20" s="526">
        <f>-SOC!AD22-AD33</f>
        <v/>
      </c>
      <c r="AE20" s="526">
        <f>-SOC!AE22-AE33</f>
        <v/>
      </c>
      <c r="AF20" s="526">
        <f>-SOC!AF22-AF33</f>
        <v/>
      </c>
      <c r="AG20" s="526">
        <f>-SOC!AG22-AG33</f>
        <v/>
      </c>
      <c r="AH20" s="526">
        <f>-SOC!AH22-AH33</f>
        <v/>
      </c>
      <c r="AI20" s="526">
        <f>-SOC!AI22-AI33</f>
        <v/>
      </c>
      <c r="AJ20" s="526">
        <f>-SOC!AJ22-AJ33</f>
        <v/>
      </c>
      <c r="AK20" s="526">
        <f>-SOC!AK22-AK33</f>
        <v/>
      </c>
      <c r="AL20" s="526">
        <f>-SOC!AL22-AL33</f>
        <v/>
      </c>
      <c r="AM20" s="526">
        <f>-SOC!AM22-AM33</f>
        <v/>
      </c>
      <c r="AN20" s="526">
        <f>-SOC!AN22-AN33</f>
        <v/>
      </c>
    </row>
    <row r="21">
      <c r="A21" s="221" t="inlineStr">
        <is>
          <t>Closing balance</t>
        </is>
      </c>
      <c r="B21" s="597" t="n">
        <v>3222</v>
      </c>
      <c r="C21" s="597" t="n">
        <v>3847</v>
      </c>
      <c r="D21" s="597" t="n">
        <v>2944</v>
      </c>
      <c r="E21" s="597" t="n">
        <v>2419</v>
      </c>
      <c r="F21" s="597" t="n">
        <v>1926</v>
      </c>
      <c r="G21" s="597" t="n">
        <v>1432</v>
      </c>
      <c r="H21" s="597" t="n">
        <v>2528</v>
      </c>
      <c r="I21" s="597" t="n">
        <v>3320</v>
      </c>
      <c r="J21" s="597" t="n">
        <v>2923</v>
      </c>
      <c r="K21" s="597" t="n">
        <v>3177</v>
      </c>
      <c r="L21" s="597" t="n">
        <v>3372</v>
      </c>
      <c r="M21" s="597" t="n">
        <v>2960</v>
      </c>
      <c r="N21" s="597" t="n">
        <v>3171</v>
      </c>
      <c r="O21" s="597" t="n">
        <v>3685</v>
      </c>
      <c r="P21" s="597">
        <f>SUM(P17:P20)</f>
        <v/>
      </c>
      <c r="Q21" s="597">
        <f>SUM(Q17:Q20)</f>
        <v/>
      </c>
      <c r="R21" s="597">
        <f>SUM(R17:R20)</f>
        <v/>
      </c>
      <c r="S21" s="597">
        <f>SUM(S17:S20)</f>
        <v/>
      </c>
      <c r="T21" s="597">
        <f>SUM(T17:T20)</f>
        <v/>
      </c>
      <c r="U21" s="597">
        <f>SUM(U17:U20)</f>
        <v/>
      </c>
      <c r="V21" s="597">
        <f>SUM(V17:V20)</f>
        <v/>
      </c>
      <c r="W21" s="597">
        <f>SUM(W17:W20)</f>
        <v/>
      </c>
      <c r="X21" s="597">
        <f>SUM(X17:X20)</f>
        <v/>
      </c>
      <c r="Y21" s="597">
        <f>SUM(Y17:Y20)</f>
        <v/>
      </c>
      <c r="Z21" s="597">
        <f>SUM(Z17:Z20)</f>
        <v/>
      </c>
      <c r="AA21" s="597">
        <f>SUM(AA17:AA20)</f>
        <v/>
      </c>
      <c r="AB21" s="597">
        <f>SUM(AB17:AB20)</f>
        <v/>
      </c>
      <c r="AC21" s="597">
        <f>SUM(AC17:AC20)</f>
        <v/>
      </c>
      <c r="AD21" s="597">
        <f>SUM(AD17:AD20)</f>
        <v/>
      </c>
      <c r="AE21" s="597">
        <f>SUM(AE17:AE20)</f>
        <v/>
      </c>
      <c r="AF21" s="597">
        <f>SUM(AF17:AF20)</f>
        <v/>
      </c>
      <c r="AG21" s="597">
        <f>SUM(AG17:AG20)</f>
        <v/>
      </c>
      <c r="AH21" s="597">
        <f>SUM(AH17:AH20)</f>
        <v/>
      </c>
      <c r="AI21" s="613">
        <f>MAX(0,SUM(AI17:AI20))</f>
        <v/>
      </c>
      <c r="AJ21" s="613">
        <f>MAX(0,SUM(AJ17:AJ20))</f>
        <v/>
      </c>
      <c r="AK21" s="613">
        <f>MAX(0,SUM(AK17:AK20))</f>
        <v/>
      </c>
      <c r="AL21" s="613">
        <f>MAX(0,SUM(AL17:AL20))</f>
        <v/>
      </c>
      <c r="AM21" s="613">
        <f>MAX(0,SUM(AM17:AM20))</f>
        <v/>
      </c>
      <c r="AN21" s="613">
        <f>MAX(0,SUM(AN17:AN20))</f>
        <v/>
      </c>
    </row>
    <row r="22">
      <c r="A22" s="221" t="n"/>
      <c r="B22" s="597" t="n"/>
      <c r="C22" s="597" t="n"/>
      <c r="D22" s="597" t="n"/>
      <c r="E22" s="597" t="n"/>
      <c r="F22" s="597" t="n"/>
      <c r="G22" s="597" t="n"/>
      <c r="H22" s="597" t="n"/>
      <c r="I22" s="597" t="n"/>
      <c r="J22" s="597" t="n"/>
      <c r="K22" s="597" t="n"/>
      <c r="L22" s="597" t="n"/>
      <c r="M22" s="597" t="n"/>
      <c r="N22" s="597" t="n"/>
      <c r="O22" s="597" t="n"/>
      <c r="P22" s="597" t="n"/>
      <c r="Q22" s="597" t="n"/>
      <c r="R22" s="597" t="n"/>
      <c r="S22" s="597" t="n"/>
      <c r="T22" s="597" t="n"/>
      <c r="U22" s="597" t="n"/>
      <c r="V22" s="597" t="n"/>
      <c r="W22" s="597" t="n"/>
      <c r="X22" s="597" t="n"/>
      <c r="Y22" s="597" t="n"/>
      <c r="Z22" s="645" t="n"/>
      <c r="AA22" s="597" t="n"/>
      <c r="AB22" s="597" t="n"/>
      <c r="AC22" s="597" t="n"/>
      <c r="AD22" s="597" t="n"/>
      <c r="AE22" s="597" t="n"/>
      <c r="AF22" s="597" t="n"/>
      <c r="AG22" s="597" t="n"/>
      <c r="AH22" s="597" t="n"/>
      <c r="AI22" s="597" t="n"/>
      <c r="AJ22" s="597" t="n"/>
      <c r="AK22" s="597" t="n"/>
      <c r="AL22" s="597" t="n"/>
      <c r="AM22" s="597" t="n"/>
      <c r="AN22" s="597" t="n"/>
    </row>
    <row r="23">
      <c r="A23" s="221" t="inlineStr">
        <is>
          <t>Special provision account</t>
        </is>
      </c>
      <c r="B23" s="526" t="n"/>
      <c r="C23" s="526" t="n"/>
      <c r="D23" s="526" t="n"/>
      <c r="E23" s="526" t="n"/>
      <c r="F23" s="526" t="n"/>
      <c r="G23" s="526" t="n"/>
      <c r="H23" s="526" t="n"/>
      <c r="I23" s="526" t="n"/>
      <c r="J23" s="526" t="n"/>
      <c r="K23" s="526" t="n"/>
      <c r="L23" s="526" t="n"/>
      <c r="M23" s="526" t="n"/>
      <c r="N23" s="526" t="n"/>
      <c r="O23" s="526" t="n"/>
      <c r="P23" s="526" t="n"/>
      <c r="Q23" s="526" t="n"/>
      <c r="R23" s="526" t="n"/>
      <c r="S23" s="526" t="n"/>
      <c r="T23" s="526" t="n"/>
      <c r="U23" s="526" t="n"/>
      <c r="V23" s="526" t="n"/>
      <c r="W23" s="526" t="n"/>
      <c r="X23" s="526" t="n"/>
      <c r="Y23" s="526" t="n"/>
      <c r="Z23" s="526" t="n"/>
      <c r="AA23" s="526" t="n"/>
      <c r="AB23" s="526" t="n"/>
      <c r="AC23" s="526" t="n"/>
      <c r="AD23" s="526" t="n"/>
      <c r="AE23" s="526" t="n"/>
      <c r="AF23" s="526" t="n"/>
      <c r="AG23" s="526" t="n"/>
      <c r="AH23" s="526" t="n"/>
      <c r="AI23" s="526" t="n"/>
      <c r="AJ23" s="526" t="n"/>
      <c r="AK23" s="526" t="n"/>
      <c r="AL23" s="526" t="n"/>
      <c r="AM23" s="526" t="n"/>
      <c r="AN23" s="526" t="n"/>
    </row>
    <row r="24">
      <c r="A24" s="32" t="inlineStr">
        <is>
          <t>Opening balance</t>
        </is>
      </c>
      <c r="B24" s="526" t="n">
        <v>0</v>
      </c>
      <c r="C24" s="526">
        <f>B27</f>
        <v/>
      </c>
      <c r="D24" s="526">
        <f>C27</f>
        <v/>
      </c>
      <c r="E24" s="526">
        <f>D27</f>
        <v/>
      </c>
      <c r="F24" s="526">
        <f>E27</f>
        <v/>
      </c>
      <c r="G24" s="526">
        <f>F27</f>
        <v/>
      </c>
      <c r="H24" s="526">
        <f>G27</f>
        <v/>
      </c>
      <c r="I24" s="526">
        <f>H27</f>
        <v/>
      </c>
      <c r="J24" s="526">
        <f>I27</f>
        <v/>
      </c>
      <c r="K24" s="526">
        <f>J27</f>
        <v/>
      </c>
      <c r="L24" s="526">
        <f>K27</f>
        <v/>
      </c>
      <c r="M24" s="526">
        <f>L27</f>
        <v/>
      </c>
      <c r="N24" s="526">
        <f>M27</f>
        <v/>
      </c>
      <c r="O24" s="526">
        <f>N27</f>
        <v/>
      </c>
      <c r="P24" s="526">
        <f>O27</f>
        <v/>
      </c>
      <c r="Q24" s="526">
        <f>P27</f>
        <v/>
      </c>
      <c r="R24" s="526">
        <f>Q27</f>
        <v/>
      </c>
      <c r="S24" s="526">
        <f>R27</f>
        <v/>
      </c>
      <c r="T24" s="526">
        <f>S27</f>
        <v/>
      </c>
      <c r="U24" s="526">
        <f>T27</f>
        <v/>
      </c>
      <c r="V24" s="526">
        <f>U27</f>
        <v/>
      </c>
      <c r="W24" s="526">
        <f>V27</f>
        <v/>
      </c>
      <c r="X24" s="526">
        <f>W27</f>
        <v/>
      </c>
      <c r="Y24" s="526">
        <f>X27</f>
        <v/>
      </c>
      <c r="Z24" s="526">
        <f>Y27</f>
        <v/>
      </c>
      <c r="AA24" s="526">
        <f>Z27</f>
        <v/>
      </c>
      <c r="AB24" s="526">
        <f>AA27</f>
        <v/>
      </c>
      <c r="AC24" s="526">
        <f>AB27</f>
        <v/>
      </c>
      <c r="AD24" s="526">
        <f>AC27</f>
        <v/>
      </c>
      <c r="AE24" s="526">
        <f>AD27</f>
        <v/>
      </c>
      <c r="AF24" s="526">
        <f>AE27</f>
        <v/>
      </c>
      <c r="AG24" s="526">
        <f>AF27</f>
        <v/>
      </c>
      <c r="AH24" s="526">
        <f>AG27</f>
        <v/>
      </c>
      <c r="AI24" s="526">
        <f>AH27</f>
        <v/>
      </c>
      <c r="AJ24" s="526">
        <f>AI27</f>
        <v/>
      </c>
      <c r="AK24" s="526">
        <f>AJ27</f>
        <v/>
      </c>
      <c r="AL24" s="526">
        <f>AK27</f>
        <v/>
      </c>
      <c r="AM24" s="526">
        <f>AL27</f>
        <v/>
      </c>
      <c r="AN24" s="526">
        <f>AM27</f>
        <v/>
      </c>
    </row>
    <row r="25">
      <c r="A25" s="32" t="inlineStr">
        <is>
          <t>Transferred from Profit &amp; Loss Account</t>
        </is>
      </c>
      <c r="B25" s="526" t="n"/>
      <c r="C25" s="526" t="n"/>
      <c r="D25" s="526" t="n"/>
      <c r="E25" s="526" t="n"/>
      <c r="F25" s="526" t="n"/>
      <c r="G25" s="526" t="n"/>
      <c r="H25" s="526" t="n"/>
      <c r="I25" s="526" t="n"/>
      <c r="J25" s="526">
        <f>-J20</f>
        <v/>
      </c>
      <c r="K25" s="526" t="n"/>
      <c r="L25" s="526" t="n"/>
      <c r="M25" s="526" t="n"/>
      <c r="N25" s="526" t="n"/>
      <c r="O25" s="526" t="n"/>
      <c r="P25" s="526" t="n"/>
      <c r="Q25" s="526" t="n"/>
      <c r="R25" s="526" t="n"/>
      <c r="S25" s="526" t="n"/>
      <c r="T25" s="526" t="n"/>
      <c r="U25" s="526" t="n"/>
      <c r="V25" s="526" t="n"/>
      <c r="W25" s="526" t="n"/>
      <c r="X25" s="526" t="n"/>
      <c r="Y25" s="526" t="n"/>
      <c r="Z25" s="526" t="n"/>
      <c r="AA25" s="526" t="n"/>
      <c r="AB25" s="526" t="n"/>
      <c r="AC25" s="526" t="n"/>
      <c r="AD25" s="526" t="n"/>
      <c r="AE25" s="526" t="n"/>
      <c r="AF25" s="526" t="n"/>
      <c r="AG25" s="526" t="n"/>
      <c r="AH25" s="526" t="n"/>
      <c r="AI25" s="526" t="n"/>
      <c r="AJ25" s="526" t="n"/>
      <c r="AK25" s="526" t="n"/>
      <c r="AL25" s="526" t="n"/>
      <c r="AM25" s="526" t="n"/>
      <c r="AN25" s="526" t="n"/>
    </row>
    <row r="26">
      <c r="A26" s="32" t="inlineStr">
        <is>
          <t>Transferred to P&amp;L</t>
        </is>
      </c>
      <c r="B26" s="526" t="n"/>
      <c r="C26" s="526" t="n"/>
      <c r="D26" s="526" t="n"/>
      <c r="E26" s="526" t="n"/>
      <c r="F26" s="526" t="n"/>
      <c r="G26" s="526" t="n"/>
      <c r="H26" s="526" t="n"/>
      <c r="I26" s="526" t="n"/>
      <c r="J26" s="526">
        <f>J27-SUM(J24:J25)</f>
        <v/>
      </c>
      <c r="K26" s="526">
        <f>K27-SUM(K24:K25)</f>
        <v/>
      </c>
      <c r="L26" s="526">
        <f>L27-SUM(L24:L25)</f>
        <v/>
      </c>
      <c r="M26" s="526">
        <f>M27-SUM(M24:M25)</f>
        <v/>
      </c>
      <c r="N26" s="526" t="n">
        <v>-176</v>
      </c>
      <c r="O26" s="526" t="n"/>
      <c r="P26" s="526" t="n"/>
      <c r="Q26" s="526" t="n"/>
      <c r="R26" s="526" t="n"/>
      <c r="S26" s="526" t="n"/>
      <c r="T26" s="526" t="n"/>
      <c r="U26" s="526" t="n"/>
      <c r="V26" s="526" t="n"/>
      <c r="W26" s="526" t="n"/>
      <c r="X26" s="526" t="n"/>
      <c r="Y26" s="526" t="n"/>
      <c r="Z26" s="526" t="n"/>
      <c r="AA26" s="526" t="n"/>
      <c r="AB26" s="526" t="n"/>
      <c r="AC26" s="526" t="n"/>
      <c r="AD26" s="526" t="n"/>
      <c r="AE26" s="526" t="n"/>
      <c r="AF26" s="526" t="n"/>
      <c r="AG26" s="526" t="n"/>
      <c r="AH26" s="526" t="n"/>
      <c r="AI26" s="526" t="n"/>
      <c r="AJ26" s="526" t="n"/>
      <c r="AK26" s="526" t="n"/>
      <c r="AL26" s="526" t="n"/>
      <c r="AM26" s="526" t="n"/>
      <c r="AN26" s="526" t="n"/>
    </row>
    <row r="27">
      <c r="A27" s="221" t="inlineStr">
        <is>
          <t>Closing balance</t>
        </is>
      </c>
      <c r="B27" s="597" t="n">
        <v>0</v>
      </c>
      <c r="C27" s="597" t="n">
        <v>0</v>
      </c>
      <c r="D27" s="597" t="n">
        <v>0</v>
      </c>
      <c r="E27" s="597" t="n">
        <v>0</v>
      </c>
      <c r="F27" s="597" t="n">
        <v>0</v>
      </c>
      <c r="G27" s="597" t="n">
        <v>0</v>
      </c>
      <c r="H27" s="597" t="n">
        <v>0</v>
      </c>
      <c r="I27" s="597" t="n">
        <v>0</v>
      </c>
      <c r="J27" s="597" t="n">
        <v>766</v>
      </c>
      <c r="K27" s="597" t="n">
        <v>766</v>
      </c>
      <c r="L27" s="597" t="n">
        <v>670</v>
      </c>
      <c r="M27" s="597" t="n">
        <v>176</v>
      </c>
      <c r="N27" s="597" t="n">
        <v>0</v>
      </c>
      <c r="O27" s="597">
        <f>SUM(O24:O26)</f>
        <v/>
      </c>
      <c r="P27" s="597">
        <f>SUM(P24:P26)</f>
        <v/>
      </c>
      <c r="Q27" s="597">
        <f>SUM(Q24:Q26)</f>
        <v/>
      </c>
      <c r="R27" s="597">
        <f>SUM(R24:R26)</f>
        <v/>
      </c>
      <c r="S27" s="597">
        <f>SUM(S24:S26)</f>
        <v/>
      </c>
      <c r="T27" s="597">
        <f>SUM(T24:T26)</f>
        <v/>
      </c>
      <c r="U27" s="597">
        <f>SUM(U24:U26)</f>
        <v/>
      </c>
      <c r="V27" s="597">
        <f>SUM(V24:V26)</f>
        <v/>
      </c>
      <c r="W27" s="597">
        <f>SUM(W24:W26)</f>
        <v/>
      </c>
      <c r="X27" s="597">
        <f>SUM(X24:X26)</f>
        <v/>
      </c>
      <c r="Y27" s="597">
        <f>SUM(Y24:Y26)</f>
        <v/>
      </c>
      <c r="Z27" s="597">
        <f>SUM(Z24:Z26)</f>
        <v/>
      </c>
      <c r="AA27" s="597">
        <f>SUM(AA24:AA26)</f>
        <v/>
      </c>
      <c r="AB27" s="597">
        <f>SUM(AB24:AB26)</f>
        <v/>
      </c>
      <c r="AC27" s="597">
        <f>SUM(AC24:AC26)</f>
        <v/>
      </c>
      <c r="AD27" s="597">
        <f>SUM(AD24:AD26)</f>
        <v/>
      </c>
      <c r="AE27" s="597">
        <f>SUM(AE24:AE26)</f>
        <v/>
      </c>
      <c r="AF27" s="597">
        <f>SUM(AF24:AF26)</f>
        <v/>
      </c>
      <c r="AG27" s="597">
        <f>SUM(AG24:AG26)</f>
        <v/>
      </c>
      <c r="AH27" s="597">
        <f>SUM(AH24:AH26)</f>
        <v/>
      </c>
      <c r="AI27" s="597">
        <f>SUM(AI24:AI26)</f>
        <v/>
      </c>
      <c r="AJ27" s="597">
        <f>SUM(AJ24:AJ26)</f>
        <v/>
      </c>
      <c r="AK27" s="597">
        <f>SUM(AK24:AK26)</f>
        <v/>
      </c>
      <c r="AL27" s="597">
        <f>SUM(AL24:AL26)</f>
        <v/>
      </c>
      <c r="AM27" s="597">
        <f>SUM(AM24:AM26)</f>
        <v/>
      </c>
      <c r="AN27" s="597">
        <f>SUM(AN24:AN26)</f>
        <v/>
      </c>
    </row>
    <row r="28">
      <c r="A28" s="32" t="n"/>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c r="AA28" s="32" t="n"/>
      <c r="AB28" s="32" t="n"/>
      <c r="AC28" s="32" t="n"/>
      <c r="AD28" s="32" t="n"/>
      <c r="AE28" s="32" t="n"/>
      <c r="AF28" s="32" t="n"/>
      <c r="AG28" s="32" t="n"/>
      <c r="AH28" s="32" t="n"/>
      <c r="AI28" s="32" t="n"/>
      <c r="AJ28" s="32" t="n"/>
      <c r="AK28" s="32" t="n"/>
      <c r="AL28" s="32" t="n"/>
      <c r="AM28" s="32" t="n"/>
      <c r="AN28" s="32" t="n"/>
    </row>
    <row r="29" customFormat="1" s="526">
      <c r="A29" s="88" t="inlineStr">
        <is>
          <t>Rate Reduction Reserve</t>
        </is>
      </c>
      <c r="B29" s="643" t="n"/>
      <c r="C29" s="643" t="n"/>
      <c r="D29" s="643" t="n"/>
      <c r="E29" s="643" t="n"/>
      <c r="F29" s="643" t="n"/>
      <c r="G29" s="643" t="n"/>
      <c r="H29" s="643" t="n"/>
      <c r="I29" s="643" t="n"/>
      <c r="J29" s="643" t="n"/>
      <c r="K29" s="643" t="n"/>
      <c r="L29" s="643" t="n"/>
      <c r="M29" s="643" t="n"/>
      <c r="N29" s="643" t="n"/>
      <c r="O29" s="643" t="n"/>
      <c r="P29" s="643" t="n"/>
      <c r="Q29" s="643" t="n"/>
      <c r="R29" s="643" t="n"/>
      <c r="S29" s="643" t="n"/>
      <c r="T29" s="643" t="n"/>
      <c r="U29" s="643" t="n"/>
      <c r="V29" s="643" t="n"/>
      <c r="W29" s="643" t="n"/>
      <c r="X29" s="643" t="n"/>
      <c r="Y29" s="643" t="n"/>
      <c r="Z29" s="643" t="n"/>
      <c r="AA29" s="643" t="n"/>
      <c r="AB29" s="643" t="n"/>
      <c r="AC29" s="643" t="n"/>
      <c r="AD29" s="643" t="n"/>
      <c r="AE29" s="643" t="n"/>
      <c r="AF29" s="643" t="n"/>
      <c r="AG29" s="643" t="n"/>
      <c r="AH29" s="643" t="n"/>
      <c r="AI29" s="643" t="n"/>
      <c r="AJ29" s="643" t="n"/>
      <c r="AK29" s="643" t="n"/>
      <c r="AL29" s="643" t="n"/>
      <c r="AM29" s="643" t="n"/>
      <c r="AN29" s="643" t="n"/>
    </row>
    <row r="30">
      <c r="A30" s="32" t="inlineStr">
        <is>
          <t>Opening balance</t>
        </is>
      </c>
      <c r="B30" s="526" t="n">
        <v>337</v>
      </c>
      <c r="C30" s="526">
        <f>B34</f>
        <v/>
      </c>
      <c r="D30" s="526">
        <f>C34</f>
        <v/>
      </c>
      <c r="E30" s="526">
        <f>D34</f>
        <v/>
      </c>
      <c r="F30" s="526">
        <f>E34</f>
        <v/>
      </c>
      <c r="G30" s="526">
        <f>F34</f>
        <v/>
      </c>
      <c r="H30" s="526">
        <f>G34</f>
        <v/>
      </c>
      <c r="I30" s="526">
        <f>H34</f>
        <v/>
      </c>
      <c r="J30" s="526">
        <f>I34</f>
        <v/>
      </c>
      <c r="K30" s="526">
        <f>J34</f>
        <v/>
      </c>
      <c r="L30" s="526">
        <f>K34</f>
        <v/>
      </c>
      <c r="M30" s="526">
        <f>L34</f>
        <v/>
      </c>
      <c r="N30" s="526">
        <f>M34</f>
        <v/>
      </c>
      <c r="O30" s="526">
        <f>N34</f>
        <v/>
      </c>
      <c r="P30" s="526">
        <f>O34</f>
        <v/>
      </c>
      <c r="Q30" s="526">
        <f>P34</f>
        <v/>
      </c>
      <c r="R30" s="526">
        <f>Q34</f>
        <v/>
      </c>
      <c r="S30" s="526">
        <f>R34</f>
        <v/>
      </c>
      <c r="T30" s="526">
        <f>S34</f>
        <v/>
      </c>
      <c r="U30" s="526">
        <f>T34</f>
        <v/>
      </c>
      <c r="V30" s="526">
        <f>U34</f>
        <v/>
      </c>
      <c r="W30" s="526">
        <f>V34</f>
        <v/>
      </c>
      <c r="X30" s="526">
        <f>W34</f>
        <v/>
      </c>
      <c r="Y30" s="526">
        <f>X34</f>
        <v/>
      </c>
      <c r="Z30" s="526">
        <f>Y34</f>
        <v/>
      </c>
      <c r="AA30" s="526">
        <f>Z34</f>
        <v/>
      </c>
      <c r="AB30" s="526">
        <f>AA34</f>
        <v/>
      </c>
      <c r="AC30" s="526">
        <f>AB34</f>
        <v/>
      </c>
      <c r="AD30" s="526">
        <f>AC34</f>
        <v/>
      </c>
      <c r="AE30" s="526">
        <f>AD34</f>
        <v/>
      </c>
      <c r="AF30" s="526">
        <f>AE34</f>
        <v/>
      </c>
      <c r="AG30" s="526">
        <f>AF34</f>
        <v/>
      </c>
      <c r="AH30" s="526">
        <f>AG34</f>
        <v/>
      </c>
      <c r="AI30" s="526">
        <f>AH34</f>
        <v/>
      </c>
      <c r="AJ30" s="526">
        <f>AI34</f>
        <v/>
      </c>
      <c r="AK30" s="526">
        <f>AJ34</f>
        <v/>
      </c>
      <c r="AL30" s="526">
        <f>AK34</f>
        <v/>
      </c>
      <c r="AM30" s="526">
        <f>AL34</f>
        <v/>
      </c>
      <c r="AN30" s="526">
        <f>AM34</f>
        <v/>
      </c>
    </row>
    <row r="31">
      <c r="A31" s="32" t="inlineStr">
        <is>
          <t>Interest expense charged to P&amp;L</t>
        </is>
      </c>
      <c r="B31" s="526">
        <f>-SOC!B30</f>
        <v/>
      </c>
      <c r="C31" s="526">
        <f>-SOC!C30</f>
        <v/>
      </c>
      <c r="D31" s="526">
        <f>-SOC!D30</f>
        <v/>
      </c>
      <c r="E31" s="526">
        <f>-SOC!E30</f>
        <v/>
      </c>
      <c r="F31" s="526">
        <f>-SOC!F30</f>
        <v/>
      </c>
      <c r="G31" s="526">
        <f>-SOC!G30</f>
        <v/>
      </c>
      <c r="H31" s="526">
        <f>-SOC!H30</f>
        <v/>
      </c>
      <c r="I31" s="526">
        <f>-SOC!I30</f>
        <v/>
      </c>
      <c r="J31" s="526">
        <f>-SOC!J30</f>
        <v/>
      </c>
      <c r="K31" s="526">
        <f>-SOC!K30</f>
        <v/>
      </c>
      <c r="L31" s="526">
        <f>-SOC!L30</f>
        <v/>
      </c>
      <c r="M31" s="526">
        <f>-SOC!M30</f>
        <v/>
      </c>
      <c r="N31" s="526">
        <f>-SOC!N30</f>
        <v/>
      </c>
      <c r="O31" s="526">
        <f>-SOC!O30</f>
        <v/>
      </c>
      <c r="P31" s="526">
        <f>-SOC!P30</f>
        <v/>
      </c>
      <c r="Q31" s="526">
        <f>-SOC!Q30</f>
        <v/>
      </c>
      <c r="R31" s="526">
        <f>-SOC!R30</f>
        <v/>
      </c>
      <c r="S31" s="526">
        <f>-SOC!S30</f>
        <v/>
      </c>
      <c r="T31" s="526">
        <f>-SOC!T30</f>
        <v/>
      </c>
      <c r="U31" s="526">
        <f>-SOC!U30</f>
        <v/>
      </c>
      <c r="V31" s="526">
        <f>-SOC!V30</f>
        <v/>
      </c>
      <c r="W31" s="526">
        <f>-SOC!W30</f>
        <v/>
      </c>
      <c r="X31" s="526" t="n">
        <v>1</v>
      </c>
      <c r="Y31" s="526">
        <f>-SOC!Y30</f>
        <v/>
      </c>
      <c r="Z31" s="526">
        <f>-SOC!Z30</f>
        <v/>
      </c>
      <c r="AA31" s="526">
        <f>-SOC!AA30</f>
        <v/>
      </c>
      <c r="AB31" s="526">
        <f>-SOC!AB30</f>
        <v/>
      </c>
      <c r="AC31" s="526">
        <f>-SOC!AC30</f>
        <v/>
      </c>
      <c r="AD31" s="526">
        <f>-SOC!AD30</f>
        <v/>
      </c>
      <c r="AE31" s="526">
        <f>-SOC!AE30</f>
        <v/>
      </c>
      <c r="AF31" s="526">
        <f>-SOC!AF30</f>
        <v/>
      </c>
      <c r="AG31" s="526">
        <f>-SOC!AG30</f>
        <v/>
      </c>
      <c r="AH31" s="526">
        <f>-SOC!AH30</f>
        <v/>
      </c>
      <c r="AI31" s="646" t="n">
        <v>0</v>
      </c>
      <c r="AJ31" s="646" t="n">
        <v>0</v>
      </c>
      <c r="AK31" s="646" t="n">
        <v>0</v>
      </c>
      <c r="AL31" s="646" t="n">
        <v>0</v>
      </c>
      <c r="AM31" s="646" t="n">
        <v>0</v>
      </c>
      <c r="AN31" s="646" t="n">
        <v>0</v>
      </c>
    </row>
    <row r="32">
      <c r="A32" s="32" t="inlineStr">
        <is>
          <t>Rebates</t>
        </is>
      </c>
      <c r="B32" s="526">
        <f>'HK Sales'!B23</f>
        <v/>
      </c>
      <c r="C32" s="526">
        <f>'HK Sales'!C23</f>
        <v/>
      </c>
      <c r="D32" s="526">
        <f>'HK Sales'!D23</f>
        <v/>
      </c>
      <c r="E32" s="526">
        <f>'HK Sales'!E23</f>
        <v/>
      </c>
      <c r="F32" s="526">
        <f>'HK Sales'!F23</f>
        <v/>
      </c>
      <c r="G32" s="526">
        <f>'HK Sales'!G23</f>
        <v/>
      </c>
      <c r="H32" s="526">
        <f>'HK Sales'!H23</f>
        <v/>
      </c>
      <c r="I32" s="526">
        <f>'HK Sales'!I23</f>
        <v/>
      </c>
      <c r="J32" s="526">
        <f>'HK Sales'!J23</f>
        <v/>
      </c>
      <c r="K32" s="526">
        <f>'HK Sales'!K23</f>
        <v/>
      </c>
      <c r="L32" s="526">
        <f>'HK Sales'!L23</f>
        <v/>
      </c>
      <c r="M32" s="526">
        <f>'HK Sales'!M23</f>
        <v/>
      </c>
      <c r="N32" s="526">
        <f>'HK Sales'!N23</f>
        <v/>
      </c>
      <c r="O32" s="526">
        <f>'HK Sales'!O23</f>
        <v/>
      </c>
      <c r="P32" s="526">
        <f>'HK Sales'!P23</f>
        <v/>
      </c>
      <c r="Q32" s="526">
        <f>'HK Sales'!Q23</f>
        <v/>
      </c>
      <c r="R32" s="526">
        <f>'HK Sales'!R23</f>
        <v/>
      </c>
      <c r="S32" s="526">
        <f>'HK Sales'!S23</f>
        <v/>
      </c>
      <c r="T32" s="526">
        <f>'HK Sales'!T23</f>
        <v/>
      </c>
      <c r="U32" s="526">
        <f>'HK Sales'!U23</f>
        <v/>
      </c>
      <c r="V32" s="526">
        <f>'HK Sales'!V23</f>
        <v/>
      </c>
      <c r="W32" s="526">
        <f>'HK Sales'!W23</f>
        <v/>
      </c>
      <c r="X32" s="526">
        <f>'HK Sales'!X23</f>
        <v/>
      </c>
      <c r="Y32" s="526">
        <f>'HK Sales'!Y23</f>
        <v/>
      </c>
      <c r="Z32" s="526">
        <f>'HK Sales'!Z23</f>
        <v/>
      </c>
      <c r="AA32" s="526">
        <f>'HK Sales'!AA23</f>
        <v/>
      </c>
      <c r="AB32" s="526">
        <f>'HK Sales'!AB23</f>
        <v/>
      </c>
      <c r="AC32" s="526">
        <f>'HK Sales'!AC23</f>
        <v/>
      </c>
      <c r="AD32" s="526">
        <f>'HK Sales'!AD23</f>
        <v/>
      </c>
      <c r="AE32" s="526">
        <f>'HK Sales'!AE23</f>
        <v/>
      </c>
      <c r="AF32" s="526">
        <f>'HK Sales'!AF23</f>
        <v/>
      </c>
      <c r="AG32" s="526">
        <f>'HK Sales'!AG23</f>
        <v/>
      </c>
      <c r="AH32" s="526">
        <f>'HK Sales'!AH23</f>
        <v/>
      </c>
      <c r="AI32" s="526">
        <f>'HK Sales'!AI23</f>
        <v/>
      </c>
      <c r="AJ32" s="526">
        <f>'HK Sales'!AJ23</f>
        <v/>
      </c>
      <c r="AK32" s="526">
        <f>'HK Sales'!AK23</f>
        <v/>
      </c>
      <c r="AL32" s="526">
        <f>'HK Sales'!AL23</f>
        <v/>
      </c>
      <c r="AM32" s="526">
        <f>'HK Sales'!AM23</f>
        <v/>
      </c>
      <c r="AN32" s="526">
        <f>'HK Sales'!AN23</f>
        <v/>
      </c>
    </row>
    <row r="33">
      <c r="A33" s="32" t="inlineStr">
        <is>
          <t>Other</t>
        </is>
      </c>
      <c r="B33" s="526" t="n">
        <v>-48</v>
      </c>
      <c r="C33" s="526">
        <f>C34-SUM(C30:C32)</f>
        <v/>
      </c>
      <c r="D33" s="526">
        <f>D34-SUM(D30:D32)</f>
        <v/>
      </c>
      <c r="E33" s="526">
        <f>E34-SUM(E30:E32)</f>
        <v/>
      </c>
      <c r="F33" s="526">
        <f>F34-SUM(F30:F32)</f>
        <v/>
      </c>
      <c r="G33" s="526">
        <f>G34-SUM(G30:G32)</f>
        <v/>
      </c>
      <c r="H33" s="526">
        <f>H34-SUM(H30:H32)</f>
        <v/>
      </c>
      <c r="I33" s="526">
        <f>I34-SUM(I30:I32)</f>
        <v/>
      </c>
      <c r="J33" s="526">
        <f>J34-SUM(J30:J32)</f>
        <v/>
      </c>
      <c r="K33" s="526">
        <f>K34-SUM(K30:K32)</f>
        <v/>
      </c>
      <c r="L33" s="526">
        <f>L34-SUM(L30:L32)</f>
        <v/>
      </c>
      <c r="M33" s="526">
        <f>M34-SUM(M30:M32)</f>
        <v/>
      </c>
      <c r="N33" s="526">
        <f>N34-SUM(N30:N32)</f>
        <v/>
      </c>
      <c r="O33" s="526">
        <f>O34-SUM(O30:O32)</f>
        <v/>
      </c>
      <c r="P33" s="526" t="n"/>
      <c r="Q33" s="526" t="n"/>
      <c r="R33" s="526" t="n"/>
      <c r="S33" s="526" t="n"/>
      <c r="T33" s="526" t="n"/>
      <c r="U33" s="526" t="n"/>
      <c r="V33" s="526" t="n"/>
      <c r="W33" s="526" t="n">
        <v>0</v>
      </c>
      <c r="X33" s="526" t="n">
        <v>-9</v>
      </c>
      <c r="Y33" s="526" t="n">
        <v>-1</v>
      </c>
      <c r="Z33" s="526" t="n">
        <v>-2</v>
      </c>
      <c r="AA33" s="526" t="n">
        <v>-2</v>
      </c>
      <c r="AB33" s="526" t="n">
        <v>-4</v>
      </c>
      <c r="AC33" s="526" t="n">
        <v>-11</v>
      </c>
      <c r="AD33" s="526" t="n">
        <v>-22</v>
      </c>
      <c r="AE33" s="526" t="n">
        <v>-18</v>
      </c>
      <c r="AF33" s="526" t="n">
        <v>-3</v>
      </c>
      <c r="AG33" s="526" t="n">
        <v>-40</v>
      </c>
      <c r="AH33" s="526" t="n">
        <v>-114</v>
      </c>
      <c r="AI33" s="564">
        <f>AH33</f>
        <v/>
      </c>
      <c r="AJ33" s="564">
        <f>AI33</f>
        <v/>
      </c>
      <c r="AK33" s="564">
        <f>AJ33</f>
        <v/>
      </c>
      <c r="AL33" s="564">
        <f>AK33</f>
        <v/>
      </c>
      <c r="AM33" s="564">
        <f>AL33</f>
        <v/>
      </c>
      <c r="AN33" s="564">
        <f>AM33</f>
        <v/>
      </c>
    </row>
    <row r="34" customFormat="1" s="62">
      <c r="A34" s="221" t="inlineStr">
        <is>
          <t>Closing balance</t>
        </is>
      </c>
      <c r="B34" s="597" t="n">
        <v>312</v>
      </c>
      <c r="C34" s="597" t="n">
        <v>188</v>
      </c>
      <c r="D34" s="597" t="n">
        <v>115</v>
      </c>
      <c r="E34" s="597" t="n">
        <v>119</v>
      </c>
      <c r="F34" s="597" t="n">
        <v>156</v>
      </c>
      <c r="G34" s="597" t="n">
        <v>148</v>
      </c>
      <c r="H34" s="597" t="n">
        <v>154</v>
      </c>
      <c r="I34" s="597" t="n">
        <v>253</v>
      </c>
      <c r="J34" s="597" t="n">
        <v>371</v>
      </c>
      <c r="K34" s="597" t="n">
        <v>411</v>
      </c>
      <c r="L34" s="597" t="n">
        <v>458</v>
      </c>
      <c r="M34" s="597" t="n">
        <v>471</v>
      </c>
      <c r="N34" s="597" t="n">
        <v>549</v>
      </c>
      <c r="O34" s="597" t="n">
        <v>489</v>
      </c>
      <c r="P34" s="597">
        <f>SUM(P30:P33)</f>
        <v/>
      </c>
      <c r="Q34" s="597">
        <f>SUM(Q30:Q33)</f>
        <v/>
      </c>
      <c r="R34" s="597">
        <f>SUM(R30:R33)</f>
        <v/>
      </c>
      <c r="S34" s="597">
        <f>SUM(S30:S33)</f>
        <v/>
      </c>
      <c r="T34" s="597">
        <f>SUM(T30:T33)</f>
        <v/>
      </c>
      <c r="U34" s="597">
        <f>SUM(U30:U33)</f>
        <v/>
      </c>
      <c r="V34" s="597">
        <f>SUM(V30:V33)</f>
        <v/>
      </c>
      <c r="W34" s="597">
        <f>SUM(W30:W33)</f>
        <v/>
      </c>
      <c r="X34" s="597">
        <f>SUM(X30:X33)</f>
        <v/>
      </c>
      <c r="Y34" s="597">
        <f>SUM(Y30:Y33)</f>
        <v/>
      </c>
      <c r="Z34" s="597">
        <f>SUM(Z30:Z33)</f>
        <v/>
      </c>
      <c r="AA34" s="597">
        <f>SUM(AA30:AA33)</f>
        <v/>
      </c>
      <c r="AB34" s="597">
        <f>SUM(AB30:AB33)</f>
        <v/>
      </c>
      <c r="AC34" s="597">
        <f>SUM(AC30:AC33)</f>
        <v/>
      </c>
      <c r="AD34" s="597">
        <f>SUM(AD30:AD33)</f>
        <v/>
      </c>
      <c r="AE34" s="597">
        <f>SUM(AE30:AE33)</f>
        <v/>
      </c>
      <c r="AF34" s="597">
        <f>SUM(AF30:AF33)</f>
        <v/>
      </c>
      <c r="AG34" s="597">
        <f>SUM(AG30:AG33)</f>
        <v/>
      </c>
      <c r="AH34" s="597">
        <f>SUM(AH30:AH33)</f>
        <v/>
      </c>
      <c r="AI34" s="597">
        <f>SUM(AI30:AI33)</f>
        <v/>
      </c>
      <c r="AJ34" s="597">
        <f>SUM(AJ30:AJ33)</f>
        <v/>
      </c>
      <c r="AK34" s="597">
        <f>SUM(AK30:AK33)</f>
        <v/>
      </c>
      <c r="AL34" s="597">
        <f>SUM(AL30:AL33)</f>
        <v/>
      </c>
      <c r="AM34" s="597">
        <f>SUM(AM30:AM33)</f>
        <v/>
      </c>
      <c r="AN34" s="597">
        <f>SUM(AN30:AN33)</f>
        <v/>
      </c>
    </row>
    <row r="35" customFormat="1" s="62">
      <c r="A35" s="221" t="n"/>
      <c r="B35" s="221" t="n"/>
      <c r="C35" s="221" t="n"/>
      <c r="D35" s="221" t="n"/>
      <c r="E35" s="221" t="n"/>
      <c r="F35" s="221" t="n"/>
      <c r="G35" s="221" t="n"/>
      <c r="H35" s="221" t="n"/>
      <c r="I35" s="221" t="n"/>
      <c r="J35" s="221" t="n"/>
      <c r="K35" s="221" t="n"/>
      <c r="L35" s="221" t="n"/>
      <c r="M35" s="221" t="n"/>
      <c r="N35" s="221" t="n"/>
      <c r="O35" s="221" t="n"/>
      <c r="P35" s="221" t="n"/>
      <c r="Q35" s="221" t="n"/>
      <c r="R35" s="221" t="n"/>
      <c r="S35" s="221" t="n"/>
      <c r="T35" s="221" t="n"/>
      <c r="U35" s="221" t="n"/>
      <c r="V35" s="221" t="n"/>
      <c r="W35" s="221" t="n"/>
      <c r="X35" s="221" t="n"/>
      <c r="Y35" s="221" t="n"/>
      <c r="Z35" s="221" t="n"/>
      <c r="AA35" s="221" t="n"/>
      <c r="AB35" s="221" t="n"/>
      <c r="AC35" s="221" t="n"/>
      <c r="AD35" s="221" t="n"/>
      <c r="AE35" s="221" t="n"/>
      <c r="AF35" s="221" t="n"/>
      <c r="AG35" s="221" t="n"/>
      <c r="AH35" s="221" t="n"/>
      <c r="AI35" s="221" t="n"/>
      <c r="AJ35" s="221" t="n"/>
      <c r="AK35" s="221" t="n"/>
      <c r="AL35" s="221" t="n"/>
      <c r="AM35" s="221" t="n"/>
      <c r="AN35" s="221" t="n"/>
    </row>
    <row r="36" customFormat="1" s="526">
      <c r="A36" s="88" t="inlineStr">
        <is>
          <t>Special rebate account</t>
        </is>
      </c>
      <c r="B36" s="643" t="n"/>
      <c r="C36" s="643" t="n"/>
      <c r="D36" s="643" t="n"/>
      <c r="E36" s="643" t="n"/>
      <c r="F36" s="643" t="n"/>
      <c r="G36" s="643" t="n"/>
      <c r="H36" s="643" t="n"/>
      <c r="I36" s="643" t="n"/>
      <c r="J36" s="643" t="n"/>
      <c r="K36" s="643" t="n"/>
      <c r="L36" s="643" t="n"/>
      <c r="M36" s="643" t="n"/>
      <c r="N36" s="643" t="n"/>
      <c r="O36" s="643" t="n"/>
      <c r="P36" s="643" t="n"/>
      <c r="Q36" s="643" t="n"/>
      <c r="R36" s="643" t="n"/>
      <c r="S36" s="643" t="n"/>
      <c r="T36" s="643" t="n"/>
      <c r="U36" s="643" t="n"/>
      <c r="V36" s="643" t="n"/>
      <c r="W36" s="643" t="n"/>
      <c r="X36" s="643" t="n"/>
      <c r="Y36" s="643" t="n"/>
      <c r="Z36" s="643" t="n"/>
      <c r="AA36" s="643" t="n"/>
      <c r="AB36" s="643" t="n"/>
      <c r="AC36" s="643" t="n"/>
      <c r="AD36" s="643" t="n"/>
      <c r="AE36" s="643" t="n"/>
      <c r="AF36" s="643" t="n"/>
      <c r="AG36" s="643" t="n"/>
      <c r="AH36" s="643" t="n"/>
      <c r="AI36" s="643" t="n"/>
      <c r="AJ36" s="643" t="n"/>
      <c r="AK36" s="643" t="n"/>
      <c r="AL36" s="643" t="n"/>
      <c r="AM36" s="643" t="n"/>
      <c r="AN36" s="643" t="n"/>
    </row>
    <row r="37" customFormat="1" s="62">
      <c r="A37" s="32" t="inlineStr">
        <is>
          <t>Opening balance</t>
        </is>
      </c>
      <c r="B37" s="526" t="n"/>
      <c r="C37" s="526" t="n"/>
      <c r="D37" s="526" t="n"/>
      <c r="E37" s="526" t="n"/>
      <c r="F37" s="526" t="n"/>
      <c r="G37" s="526" t="n"/>
      <c r="H37" s="526" t="n"/>
      <c r="I37" s="526" t="n"/>
      <c r="J37" s="526" t="n"/>
      <c r="K37" s="526" t="n"/>
      <c r="L37" s="526" t="n"/>
      <c r="M37" s="526" t="n"/>
      <c r="N37" s="526" t="n"/>
      <c r="O37" s="526" t="n"/>
      <c r="P37" s="526">
        <f>O40</f>
        <v/>
      </c>
      <c r="Q37" s="526">
        <f>P40</f>
        <v/>
      </c>
      <c r="R37" s="526">
        <f>Q40</f>
        <v/>
      </c>
      <c r="S37" s="526">
        <f>R40</f>
        <v/>
      </c>
      <c r="T37" s="526">
        <f>S40</f>
        <v/>
      </c>
      <c r="U37" s="526">
        <f>T40</f>
        <v/>
      </c>
      <c r="V37" s="526">
        <f>U40</f>
        <v/>
      </c>
      <c r="W37" s="526">
        <f>V40</f>
        <v/>
      </c>
      <c r="X37" s="526">
        <f>W40</f>
        <v/>
      </c>
      <c r="Y37" s="526">
        <f>X40</f>
        <v/>
      </c>
      <c r="Z37" s="526">
        <f>Y40</f>
        <v/>
      </c>
      <c r="AA37" s="526">
        <f>Z40</f>
        <v/>
      </c>
      <c r="AB37" s="526">
        <f>AA40</f>
        <v/>
      </c>
      <c r="AC37" s="526">
        <f>AB40</f>
        <v/>
      </c>
      <c r="AD37" s="526">
        <f>AC40</f>
        <v/>
      </c>
      <c r="AE37" s="526">
        <f>AD40</f>
        <v/>
      </c>
      <c r="AF37" s="526">
        <f>AE40</f>
        <v/>
      </c>
      <c r="AG37" s="526">
        <f>AF40</f>
        <v/>
      </c>
      <c r="AH37" s="526">
        <f>AG40</f>
        <v/>
      </c>
      <c r="AI37" s="526">
        <f>AH40</f>
        <v/>
      </c>
      <c r="AJ37" s="526">
        <f>AI40</f>
        <v/>
      </c>
      <c r="AK37" s="526">
        <f>AJ40</f>
        <v/>
      </c>
      <c r="AL37" s="526">
        <f>AK40</f>
        <v/>
      </c>
      <c r="AM37" s="526">
        <f>AL40</f>
        <v/>
      </c>
      <c r="AN37" s="526">
        <f>AM40</f>
        <v/>
      </c>
    </row>
    <row r="38" customFormat="1" s="62">
      <c r="A38" s="32" t="inlineStr">
        <is>
          <t>Recovery of rents and rates</t>
        </is>
      </c>
      <c r="B38" s="526" t="n"/>
      <c r="C38" s="526" t="n"/>
      <c r="D38" s="526" t="n"/>
      <c r="E38" s="526" t="n"/>
      <c r="F38" s="526" t="n"/>
      <c r="G38" s="526" t="n"/>
      <c r="H38" s="526" t="n"/>
      <c r="I38" s="526" t="n"/>
      <c r="J38" s="526" t="n"/>
      <c r="K38" s="526" t="n"/>
      <c r="L38" s="526" t="n"/>
      <c r="M38" s="526" t="n"/>
      <c r="N38" s="526" t="n"/>
      <c r="O38" s="526" t="n"/>
      <c r="P38" s="526" t="n"/>
      <c r="Q38" s="526" t="n"/>
      <c r="R38" s="526" t="n"/>
      <c r="S38" s="526" t="n"/>
      <c r="T38" s="526" t="n"/>
      <c r="U38" s="526" t="n"/>
      <c r="V38" s="526">
        <f>+V40-V39</f>
        <v/>
      </c>
      <c r="W38" s="526" t="n">
        <v>40</v>
      </c>
      <c r="X38" s="526" t="n">
        <v>72</v>
      </c>
      <c r="Y38" s="526" t="n"/>
      <c r="Z38" s="526" t="n"/>
      <c r="AA38" s="526">
        <f>AA40-AA37</f>
        <v/>
      </c>
      <c r="AB38" s="526">
        <f>AB40-AB37-AB39</f>
        <v/>
      </c>
      <c r="AC38" s="526">
        <f>AC40-AC37-AC39</f>
        <v/>
      </c>
      <c r="AD38" s="526">
        <f>AD40-AD37-AD39</f>
        <v/>
      </c>
      <c r="AE38" s="526">
        <f>AE40-AE37-AE39</f>
        <v/>
      </c>
      <c r="AF38" s="564">
        <f>AF40-AF37-AF39</f>
        <v/>
      </c>
      <c r="AG38" s="564">
        <f>AG40-AG37-AG39</f>
        <v/>
      </c>
      <c r="AH38" s="564">
        <f>AH40-AH37-AH39</f>
        <v/>
      </c>
      <c r="AI38" s="564" t="n"/>
      <c r="AJ38" s="564" t="n"/>
      <c r="AK38" s="564" t="n"/>
      <c r="AL38" s="564" t="n"/>
      <c r="AM38" s="564" t="n"/>
      <c r="AN38" s="564" t="n"/>
    </row>
    <row r="39" customFormat="1" s="62">
      <c r="A39" s="32" t="inlineStr">
        <is>
          <t>Rebate to customers</t>
        </is>
      </c>
      <c r="B39" s="526" t="n"/>
      <c r="C39" s="526" t="n"/>
      <c r="D39" s="526" t="n"/>
      <c r="E39" s="526" t="n"/>
      <c r="F39" s="526" t="n"/>
      <c r="G39" s="526" t="n"/>
      <c r="H39" s="526" t="n"/>
      <c r="I39" s="526" t="n"/>
      <c r="J39" s="526" t="n"/>
      <c r="K39" s="526" t="n"/>
      <c r="L39" s="526" t="n"/>
      <c r="M39" s="526" t="n"/>
      <c r="N39" s="526" t="n"/>
      <c r="O39" s="526" t="n"/>
      <c r="P39" s="526" t="n"/>
      <c r="Q39" s="526" t="n"/>
      <c r="R39" s="526" t="n"/>
      <c r="S39" s="526" t="n"/>
      <c r="T39" s="526" t="n"/>
      <c r="U39" s="526" t="n"/>
      <c r="V39" s="526">
        <f>'HK Sales'!V18/100*'HK Sales'!V36</f>
        <v/>
      </c>
      <c r="W39" s="526" t="n">
        <v>-565</v>
      </c>
      <c r="X39" s="526">
        <f>'HK Sales'!X18/100*'HK Sales'!X36</f>
        <v/>
      </c>
      <c r="Y39" s="526" t="n">
        <v>0</v>
      </c>
      <c r="Z39" s="526">
        <f>'HK Sales'!Z18/100*'HK Sales'!Z36</f>
        <v/>
      </c>
      <c r="AA39" s="526">
        <f>'HK Sales'!AA18/100*'HK Sales'!AA36</f>
        <v/>
      </c>
      <c r="AB39" s="526">
        <f>'HK Sales'!AB18/100*'HK Sales'!AB36</f>
        <v/>
      </c>
      <c r="AC39" s="526">
        <f>'HK Sales'!AC18/100*'HK Sales'!AC36</f>
        <v/>
      </c>
      <c r="AD39" s="526">
        <f>'HK Sales'!AD18/100*'HK Sales'!AD36</f>
        <v/>
      </c>
      <c r="AE39" s="526">
        <f>'HK Sales'!AE18/100*'HK Sales'!AE36</f>
        <v/>
      </c>
      <c r="AF39" s="526">
        <f>'HK Sales'!AF18/100*'HK Sales'!AF36</f>
        <v/>
      </c>
      <c r="AG39" s="526">
        <f>'HK Sales'!AG18/100*'HK Sales'!AG36</f>
        <v/>
      </c>
      <c r="AH39" s="526">
        <f>'HK Sales'!AH18/100*'HK Sales'!AH36</f>
        <v/>
      </c>
      <c r="AI39" s="526">
        <f>'HK Sales'!AI18/100*'HK Sales'!AI36</f>
        <v/>
      </c>
      <c r="AJ39" s="526">
        <f>'HK Sales'!AJ18/100*'HK Sales'!AJ36</f>
        <v/>
      </c>
      <c r="AK39" s="526">
        <f>'HK Sales'!AK18/100*'HK Sales'!AK36</f>
        <v/>
      </c>
      <c r="AL39" s="526">
        <f>'HK Sales'!AL18/100*'HK Sales'!AL36</f>
        <v/>
      </c>
      <c r="AM39" s="526">
        <f>'HK Sales'!AM18/100*'HK Sales'!AM36</f>
        <v/>
      </c>
      <c r="AN39" s="526">
        <f>'HK Sales'!AN18/100*'HK Sales'!AN36</f>
        <v/>
      </c>
    </row>
    <row r="40" customFormat="1" s="62">
      <c r="A40" s="221" t="inlineStr">
        <is>
          <t>Closing balance payable (receivable)</t>
        </is>
      </c>
      <c r="B40" s="597" t="n"/>
      <c r="C40" s="597" t="n"/>
      <c r="D40" s="597" t="n"/>
      <c r="E40" s="597" t="n"/>
      <c r="F40" s="597" t="n"/>
      <c r="G40" s="597" t="n"/>
      <c r="H40" s="597" t="n"/>
      <c r="I40" s="597" t="n"/>
      <c r="J40" s="597" t="n"/>
      <c r="K40" s="597" t="n"/>
      <c r="L40" s="597" t="n"/>
      <c r="M40" s="597" t="n"/>
      <c r="N40" s="597" t="n"/>
      <c r="O40" s="597">
        <f>SUM(O37:O39)</f>
        <v/>
      </c>
      <c r="P40" s="597">
        <f>SUM(P37:P39)</f>
        <v/>
      </c>
      <c r="Q40" s="597">
        <f>SUM(Q37:Q39)</f>
        <v/>
      </c>
      <c r="R40" s="597">
        <f>SUM(R37:R39)</f>
        <v/>
      </c>
      <c r="S40" s="597">
        <f>SUM(S37:S39)</f>
        <v/>
      </c>
      <c r="T40" s="597">
        <f>SUM(T37:T39)</f>
        <v/>
      </c>
      <c r="U40" s="597">
        <f>SUM(U37:U39)</f>
        <v/>
      </c>
      <c r="V40" s="597" t="n">
        <v>525</v>
      </c>
      <c r="W40" s="560">
        <f>SUM(W37:W39)</f>
        <v/>
      </c>
      <c r="X40" s="597">
        <f>SUM(X37:X39)</f>
        <v/>
      </c>
      <c r="Y40" s="597">
        <f>SUM(Y37:Y39)</f>
        <v/>
      </c>
      <c r="Z40" s="597">
        <f>SUM(Z37:Z39)</f>
        <v/>
      </c>
      <c r="AA40" s="597" t="n">
        <v>227</v>
      </c>
      <c r="AB40" s="597" t="n">
        <v>46</v>
      </c>
      <c r="AC40" s="597" t="n">
        <v>0</v>
      </c>
      <c r="AD40" s="597" t="n">
        <v>337</v>
      </c>
      <c r="AE40" s="597" t="n">
        <v>328</v>
      </c>
      <c r="AF40" s="597" t="n">
        <v>126</v>
      </c>
      <c r="AG40" s="597" t="n">
        <v>0</v>
      </c>
      <c r="AH40" s="597" t="n">
        <v>0</v>
      </c>
      <c r="AI40" s="613">
        <f>SUM(AI37:AI39)</f>
        <v/>
      </c>
      <c r="AJ40" s="613">
        <f>SUM(AJ37:AJ39)</f>
        <v/>
      </c>
      <c r="AK40" s="613">
        <f>SUM(AK37:AK39)</f>
        <v/>
      </c>
      <c r="AL40" s="613">
        <f>SUM(AL37:AL39)</f>
        <v/>
      </c>
      <c r="AM40" s="613">
        <f>SUM(AM37:AM39)</f>
        <v/>
      </c>
      <c r="AN40" s="613">
        <f>SUM(AN37:AN39)</f>
        <v/>
      </c>
    </row>
    <row r="41" customFormat="1" s="62">
      <c r="A41" s="213" t="inlineStr">
        <is>
          <t>Receivable</t>
        </is>
      </c>
      <c r="B41" s="597" t="n"/>
      <c r="C41" s="597" t="n"/>
      <c r="D41" s="597" t="n"/>
      <c r="E41" s="597" t="n"/>
      <c r="F41" s="597" t="n"/>
      <c r="G41" s="597" t="n"/>
      <c r="H41" s="597" t="n"/>
      <c r="I41" s="597" t="n"/>
      <c r="J41" s="597" t="n"/>
      <c r="K41" s="597" t="n"/>
      <c r="L41" s="597" t="n"/>
      <c r="M41" s="597" t="n"/>
      <c r="N41" s="597" t="n"/>
      <c r="O41" s="597" t="n"/>
      <c r="P41" s="597" t="n"/>
      <c r="Q41" s="597" t="n"/>
      <c r="R41" s="597" t="n"/>
      <c r="S41" s="597" t="n"/>
      <c r="T41" s="597" t="n"/>
      <c r="U41" s="597" t="n"/>
      <c r="V41" s="644">
        <f>IF(V40&gt;0,0,V40)</f>
        <v/>
      </c>
      <c r="W41" s="644">
        <f>IF(W40&gt;0,0,-W40)</f>
        <v/>
      </c>
      <c r="X41" s="644">
        <f>IF(X40&gt;0,0,-X40)</f>
        <v/>
      </c>
      <c r="Y41" s="644">
        <f>IF(Y40&gt;0,0,-Y40)</f>
        <v/>
      </c>
      <c r="Z41" s="644">
        <f>IF(Z40&gt;0,0,-Z40)</f>
        <v/>
      </c>
      <c r="AA41" s="644">
        <f>IF(AA40&gt;0,0,-AA40)</f>
        <v/>
      </c>
      <c r="AB41" s="644">
        <f>IF(AB40&gt;0,0,-AB40)</f>
        <v/>
      </c>
      <c r="AC41" s="644">
        <f>IF(AC40&gt;0,0,-AC40)</f>
        <v/>
      </c>
      <c r="AD41" s="644">
        <f>IF(AD40&gt;0,0,-AD40)</f>
        <v/>
      </c>
      <c r="AE41" s="644">
        <f>IF(AE40&gt;0,0,-AE40)</f>
        <v/>
      </c>
      <c r="AF41" s="644">
        <f>IF(AF40&gt;0,0,-AF40)</f>
        <v/>
      </c>
      <c r="AG41" s="644">
        <f>IF(AG40&gt;0,0,-AG40)</f>
        <v/>
      </c>
      <c r="AH41" s="644">
        <f>IF(AH40&gt;0,0,-AH40)</f>
        <v/>
      </c>
      <c r="AI41" s="644">
        <f>IF(AI40&gt;0,0,-AI40)</f>
        <v/>
      </c>
      <c r="AJ41" s="644">
        <f>IF(AJ40&gt;0,0,-AJ40)</f>
        <v/>
      </c>
      <c r="AK41" s="644">
        <f>IF(AK40&gt;0,0,-AK40)</f>
        <v/>
      </c>
      <c r="AL41" s="644">
        <f>IF(AL40&gt;0,0,-AL40)</f>
        <v/>
      </c>
      <c r="AM41" s="644">
        <f>IF(AM40&gt;0,0,-AM40)</f>
        <v/>
      </c>
      <c r="AN41" s="644">
        <f>IF(AN40&gt;0,0,-AN40)</f>
        <v/>
      </c>
    </row>
    <row r="42">
      <c r="A42" s="213" t="inlineStr">
        <is>
          <t>Payable</t>
        </is>
      </c>
      <c r="B42" s="526" t="n"/>
      <c r="C42" s="526" t="n"/>
      <c r="D42" s="526" t="n"/>
      <c r="E42" s="526" t="n"/>
      <c r="F42" s="526" t="n"/>
      <c r="G42" s="526" t="n"/>
      <c r="H42" s="526" t="n"/>
      <c r="I42" s="526" t="n"/>
      <c r="J42" s="526" t="n"/>
      <c r="K42" s="526" t="n"/>
      <c r="L42" s="526" t="n"/>
      <c r="M42" s="526" t="n"/>
      <c r="N42" s="526" t="n"/>
      <c r="O42" s="526" t="n"/>
      <c r="P42" s="526" t="n"/>
      <c r="Q42" s="526" t="n"/>
      <c r="R42" s="526" t="n"/>
      <c r="S42" s="526" t="n"/>
      <c r="T42" s="526" t="n"/>
      <c r="U42" s="526" t="n"/>
      <c r="V42" s="644">
        <f>IF(V40&lt;0,0,V40)</f>
        <v/>
      </c>
      <c r="W42" s="644">
        <f>IF(W40&lt;0,0,W40)</f>
        <v/>
      </c>
      <c r="X42" s="644">
        <f>IF(X40&lt;0,0,X40)</f>
        <v/>
      </c>
      <c r="Y42" s="644">
        <f>IF(Y40&lt;0,0,Y40)</f>
        <v/>
      </c>
      <c r="Z42" s="644">
        <f>IF(Z40&lt;0,0,Z40)</f>
        <v/>
      </c>
      <c r="AA42" s="644">
        <f>IF(AA40&lt;0,0,AA40)</f>
        <v/>
      </c>
      <c r="AB42" s="644">
        <f>IF(AB40&lt;0,0,AB40)</f>
        <v/>
      </c>
      <c r="AC42" s="644">
        <f>IF(AC40&lt;0,0,AC40)</f>
        <v/>
      </c>
      <c r="AD42" s="644">
        <f>IF(AD40&lt;0,0,AD40)</f>
        <v/>
      </c>
      <c r="AE42" s="644">
        <f>IF(AE40&lt;0,0,AE40)</f>
        <v/>
      </c>
      <c r="AF42" s="644">
        <f>IF(AF40&lt;0,0,AF40)</f>
        <v/>
      </c>
      <c r="AG42" s="644">
        <f>IF(AG40&lt;0,0,AG40)</f>
        <v/>
      </c>
      <c r="AH42" s="644">
        <f>IF(AH40&lt;0,0,AH40)</f>
        <v/>
      </c>
      <c r="AI42" s="644">
        <f>IF(AI40&lt;0,0,AI40)</f>
        <v/>
      </c>
      <c r="AJ42" s="644">
        <f>IF(AJ40&lt;0,0,AJ40)</f>
        <v/>
      </c>
      <c r="AK42" s="644">
        <f>IF(AK40&lt;0,0,AK40)</f>
        <v/>
      </c>
      <c r="AL42" s="644">
        <f>IF(AL40&lt;0,0,AL40)</f>
        <v/>
      </c>
      <c r="AM42" s="644">
        <f>IF(AM40&lt;0,0,AM40)</f>
        <v/>
      </c>
      <c r="AN42" s="644">
        <f>IF(AN40&lt;0,0,AN40)</f>
        <v/>
      </c>
    </row>
    <row r="43">
      <c r="A43" s="213" t="n"/>
      <c r="B43" s="526" t="n"/>
      <c r="C43" s="526" t="n"/>
      <c r="D43" s="526" t="n"/>
      <c r="E43" s="526" t="n"/>
      <c r="F43" s="526" t="n"/>
      <c r="G43" s="526" t="n"/>
      <c r="H43" s="526" t="n"/>
      <c r="I43" s="526" t="n"/>
      <c r="J43" s="526" t="n"/>
      <c r="K43" s="526" t="n"/>
      <c r="L43" s="526" t="n"/>
      <c r="M43" s="526" t="n"/>
      <c r="N43" s="526" t="n"/>
      <c r="O43" s="526" t="n"/>
      <c r="P43" s="526" t="n"/>
      <c r="Q43" s="526" t="n"/>
      <c r="R43" s="526" t="n"/>
      <c r="S43" s="526" t="n"/>
      <c r="T43" s="526" t="n"/>
      <c r="U43" s="526" t="n"/>
      <c r="V43" s="644" t="n"/>
      <c r="W43" s="644" t="n"/>
      <c r="X43" s="644" t="n"/>
      <c r="Y43" s="644" t="n"/>
      <c r="Z43" s="644" t="n"/>
      <c r="AA43" s="644" t="n"/>
      <c r="AB43" s="644" t="n"/>
      <c r="AC43" s="644" t="n"/>
      <c r="AD43" s="644" t="n"/>
      <c r="AE43" s="644" t="n"/>
      <c r="AF43" s="644" t="n"/>
      <c r="AG43" s="644" t="n"/>
      <c r="AH43" s="644" t="n"/>
      <c r="AI43" s="644" t="n"/>
      <c r="AJ43" s="644" t="n"/>
      <c r="AK43" s="644" t="n"/>
      <c r="AL43" s="644" t="n"/>
      <c r="AM43" s="644" t="n"/>
      <c r="AN43" s="644" t="n"/>
    </row>
    <row r="44" customFormat="1" s="526">
      <c r="A44" s="157" t="inlineStr">
        <is>
          <t>Operating costs</t>
        </is>
      </c>
      <c r="B44" s="553" t="n"/>
      <c r="C44" s="553" t="n"/>
      <c r="D44" s="553" t="n"/>
      <c r="E44" s="553" t="n"/>
      <c r="F44" s="553" t="n"/>
      <c r="G44" s="553" t="n"/>
      <c r="H44" s="553" t="n"/>
      <c r="I44" s="553" t="n"/>
      <c r="J44" s="553" t="n"/>
      <c r="K44" s="553" t="n"/>
      <c r="L44" s="553" t="n"/>
      <c r="M44" s="553" t="n"/>
      <c r="N44" s="553" t="n"/>
      <c r="O44" s="553" t="n"/>
      <c r="P44" s="553" t="n"/>
      <c r="Q44" s="553" t="n"/>
      <c r="R44" s="553" t="n"/>
      <c r="S44" s="553" t="n"/>
      <c r="T44" s="553" t="n"/>
      <c r="U44" s="553" t="n"/>
      <c r="V44" s="553" t="n"/>
      <c r="W44" s="553" t="n"/>
      <c r="X44" s="553" t="n"/>
      <c r="Y44" s="553" t="n"/>
      <c r="Z44" s="553" t="n"/>
      <c r="AA44" s="553" t="n"/>
      <c r="AB44" s="553" t="n"/>
      <c r="AC44" s="553" t="n"/>
      <c r="AD44" s="553" t="n"/>
      <c r="AE44" s="553" t="n"/>
      <c r="AF44" s="553" t="n"/>
      <c r="AG44" s="553" t="n"/>
      <c r="AH44" s="553" t="n"/>
      <c r="AI44" s="553" t="n"/>
      <c r="AJ44" s="553" t="n"/>
      <c r="AK44" s="553" t="n"/>
      <c r="AL44" s="553" t="n"/>
      <c r="AM44" s="553" t="n"/>
      <c r="AN44" s="553" t="n"/>
    </row>
    <row r="45" customFormat="1" s="62">
      <c r="A45" s="62" t="inlineStr">
        <is>
          <t>Nuclear Power purchase costs</t>
        </is>
      </c>
      <c r="B45" s="597">
        <f>SOC!B8</f>
        <v/>
      </c>
      <c r="C45" s="597">
        <f>SOC!C8</f>
        <v/>
      </c>
      <c r="D45" s="597">
        <f>SOC!D8</f>
        <v/>
      </c>
      <c r="E45" s="597">
        <f>SOC!E8</f>
        <v/>
      </c>
      <c r="F45" s="597">
        <f>SOC!F8</f>
        <v/>
      </c>
      <c r="G45" s="597">
        <f>SOC!G8</f>
        <v/>
      </c>
      <c r="H45" s="597">
        <f>SOC!H8</f>
        <v/>
      </c>
      <c r="I45" s="597">
        <f>SOC!I8</f>
        <v/>
      </c>
      <c r="J45" s="597">
        <f>SOC!J8</f>
        <v/>
      </c>
      <c r="K45" s="597">
        <f>SOC!K8</f>
        <v/>
      </c>
      <c r="L45" s="597">
        <f>SOC!L8</f>
        <v/>
      </c>
      <c r="M45" s="597">
        <f>SOC!M8</f>
        <v/>
      </c>
      <c r="N45" s="597">
        <f>SOC!N8</f>
        <v/>
      </c>
      <c r="O45" s="597">
        <f>SOC!O8</f>
        <v/>
      </c>
      <c r="P45" s="597">
        <f>SOC!P8</f>
        <v/>
      </c>
      <c r="Q45" s="597">
        <f>SOC!Q8</f>
        <v/>
      </c>
      <c r="R45" s="597">
        <f>SOC!R8</f>
        <v/>
      </c>
      <c r="S45" s="597">
        <f>SOC!S8</f>
        <v/>
      </c>
      <c r="T45" s="597">
        <f>SOC!T8</f>
        <v/>
      </c>
      <c r="U45" s="597">
        <f>SOC!U8</f>
        <v/>
      </c>
      <c r="V45" s="597">
        <f>SOC!V8</f>
        <v/>
      </c>
      <c r="W45" s="597">
        <f>SOC!W8</f>
        <v/>
      </c>
      <c r="X45" s="597">
        <f>SOC!X8</f>
        <v/>
      </c>
      <c r="Y45" s="597">
        <f>SOC!Y8</f>
        <v/>
      </c>
      <c r="Z45" s="597">
        <f>SOC!Z8</f>
        <v/>
      </c>
      <c r="AA45" s="597">
        <f>SOC!AA8</f>
        <v/>
      </c>
      <c r="AB45" s="597">
        <f>SOC!AB8</f>
        <v/>
      </c>
      <c r="AC45" s="597">
        <f>SOC!AC8</f>
        <v/>
      </c>
      <c r="AD45" s="597">
        <f>SOC!AD8</f>
        <v/>
      </c>
      <c r="AE45" s="597">
        <f>SOC!AE8</f>
        <v/>
      </c>
      <c r="AF45" s="597">
        <f>SOC!AF8</f>
        <v/>
      </c>
      <c r="AG45" s="597">
        <f>SOC!AG8</f>
        <v/>
      </c>
      <c r="AH45" s="597">
        <f>SOC!AH8</f>
        <v/>
      </c>
      <c r="AI45" s="563">
        <f>-AI56*AI46</f>
        <v/>
      </c>
      <c r="AJ45" s="563">
        <f>-AJ56*AJ46</f>
        <v/>
      </c>
      <c r="AK45" s="563">
        <f>-AK56*AK46</f>
        <v/>
      </c>
      <c r="AL45" s="563">
        <f>-AL56*AL46</f>
        <v/>
      </c>
      <c r="AM45" s="563">
        <f>-AM56*AM46</f>
        <v/>
      </c>
      <c r="AN45" s="563">
        <f>-AN56*AN46</f>
        <v/>
      </c>
    </row>
    <row r="46">
      <c r="A46" s="43" t="inlineStr">
        <is>
          <t>Cost per kWh</t>
        </is>
      </c>
      <c r="B46" s="647" t="n"/>
      <c r="C46" s="647" t="n"/>
      <c r="D46" s="647">
        <f>-D45/D56</f>
        <v/>
      </c>
      <c r="E46" s="647">
        <f>-E45/E56</f>
        <v/>
      </c>
      <c r="F46" s="647">
        <f>-F45/F56</f>
        <v/>
      </c>
      <c r="G46" s="647">
        <f>-G45/G56</f>
        <v/>
      </c>
      <c r="H46" s="647">
        <f>-H45/H56</f>
        <v/>
      </c>
      <c r="I46" s="647">
        <f>-I45/I56</f>
        <v/>
      </c>
      <c r="J46" s="647">
        <f>-J45/J56</f>
        <v/>
      </c>
      <c r="K46" s="647">
        <f>-K45/K56</f>
        <v/>
      </c>
      <c r="L46" s="647">
        <f>-L45/L56</f>
        <v/>
      </c>
      <c r="M46" s="647">
        <f>-M45/M56</f>
        <v/>
      </c>
      <c r="N46" s="647">
        <f>-N45/N56</f>
        <v/>
      </c>
      <c r="O46" s="647">
        <f>-O45/O56</f>
        <v/>
      </c>
      <c r="P46" s="647">
        <f>-P45/P56</f>
        <v/>
      </c>
      <c r="Q46" s="647">
        <f>-Q45/Q56</f>
        <v/>
      </c>
      <c r="R46" s="647">
        <f>-R45/R56</f>
        <v/>
      </c>
      <c r="S46" s="647">
        <f>-S45/S56</f>
        <v/>
      </c>
      <c r="T46" s="647">
        <f>-T45/T56</f>
        <v/>
      </c>
      <c r="U46" s="647">
        <f>-U45/U56</f>
        <v/>
      </c>
      <c r="V46" s="647">
        <f>-V45/V56</f>
        <v/>
      </c>
      <c r="W46" s="647">
        <f>-W45/W56</f>
        <v/>
      </c>
      <c r="X46" s="647">
        <f>-X45/X56</f>
        <v/>
      </c>
      <c r="Y46" s="647">
        <f>-Y45/Y56</f>
        <v/>
      </c>
      <c r="Z46" s="647">
        <f>-Z45/Z56</f>
        <v/>
      </c>
      <c r="AA46" s="647">
        <f>-AA45/AA56</f>
        <v/>
      </c>
      <c r="AB46" s="647">
        <f>-AB45/AB56</f>
        <v/>
      </c>
      <c r="AC46" s="647">
        <f>-AC45/AC56</f>
        <v/>
      </c>
      <c r="AD46" s="647">
        <f>-AD45/AD56</f>
        <v/>
      </c>
      <c r="AE46" s="647">
        <f>-AE45/AE56</f>
        <v/>
      </c>
      <c r="AF46" s="647">
        <f>-AF45/AF56</f>
        <v/>
      </c>
      <c r="AG46" s="647">
        <f>-AG45/AG56</f>
        <v/>
      </c>
      <c r="AH46" s="647">
        <f>-AH45/AH56</f>
        <v/>
      </c>
      <c r="AI46" s="648">
        <f>AH46</f>
        <v/>
      </c>
      <c r="AJ46" s="648">
        <f>AI46</f>
        <v/>
      </c>
      <c r="AK46" s="648">
        <f>AJ46</f>
        <v/>
      </c>
      <c r="AL46" s="648">
        <f>AK46</f>
        <v/>
      </c>
      <c r="AM46" s="648">
        <f>AL46</f>
        <v/>
      </c>
      <c r="AN46" s="648">
        <f>AM46</f>
        <v/>
      </c>
    </row>
    <row r="47">
      <c r="A47" s="43" t="n"/>
      <c r="B47" s="224" t="n"/>
      <c r="C47" s="187" t="n"/>
      <c r="D47" s="187" t="n"/>
      <c r="E47" s="187" t="n"/>
      <c r="F47" s="187" t="n"/>
      <c r="G47" s="187" t="n"/>
      <c r="H47" s="187" t="n"/>
      <c r="I47" s="187" t="n"/>
      <c r="J47" s="187" t="n"/>
      <c r="K47" s="187" t="n"/>
      <c r="L47" s="187" t="n"/>
      <c r="M47" s="187" t="n"/>
      <c r="N47" s="187" t="n"/>
      <c r="O47" s="187" t="n"/>
      <c r="P47" s="187" t="n"/>
      <c r="Q47" s="187" t="n"/>
      <c r="R47" s="187" t="n"/>
      <c r="S47" s="187" t="n"/>
      <c r="T47" s="225" t="n"/>
      <c r="U47" s="187" t="n"/>
      <c r="V47" s="187" t="n"/>
      <c r="W47" s="187" t="n"/>
      <c r="X47" s="187" t="n"/>
      <c r="Y47" s="187" t="n"/>
      <c r="Z47" s="187" t="n"/>
      <c r="AA47" s="187" t="n"/>
      <c r="AB47" s="187" t="n"/>
      <c r="AC47" s="187" t="n"/>
      <c r="AD47" s="187" t="n"/>
      <c r="AE47" s="187" t="n"/>
      <c r="AF47" s="187" t="n"/>
      <c r="AG47" s="187" t="n"/>
      <c r="AH47" s="187" t="n"/>
      <c r="AI47" s="187" t="n"/>
      <c r="AJ47" s="187" t="n"/>
      <c r="AK47" s="187" t="n"/>
      <c r="AL47" s="187" t="n"/>
      <c r="AM47" s="187" t="n"/>
      <c r="AN47" s="187" t="n"/>
    </row>
    <row r="48" customFormat="1" s="62">
      <c r="A48" s="221" t="inlineStr">
        <is>
          <t>Net operating costs</t>
        </is>
      </c>
      <c r="B48" s="597" t="n">
        <v>-2947</v>
      </c>
      <c r="C48" s="597" t="n">
        <v>-3323</v>
      </c>
      <c r="D48" s="597" t="n">
        <v>-2894</v>
      </c>
      <c r="E48" s="597">
        <f>SOC!E7</f>
        <v/>
      </c>
      <c r="F48" s="597">
        <f>SOC!F7</f>
        <v/>
      </c>
      <c r="G48" s="597">
        <f>SOC!G7</f>
        <v/>
      </c>
      <c r="H48" s="597">
        <f>SOC!H7</f>
        <v/>
      </c>
      <c r="I48" s="597">
        <f>SOC!I7</f>
        <v/>
      </c>
      <c r="J48" s="597">
        <f>SOC!J7</f>
        <v/>
      </c>
      <c r="K48" s="597">
        <f>SOC!K7</f>
        <v/>
      </c>
      <c r="L48" s="597">
        <f>SOC!L7</f>
        <v/>
      </c>
      <c r="M48" s="597">
        <f>SOC!M7</f>
        <v/>
      </c>
      <c r="N48" s="597">
        <f>SOC!N7</f>
        <v/>
      </c>
      <c r="O48" s="597">
        <f>SOC!O7</f>
        <v/>
      </c>
      <c r="P48" s="597">
        <f>SOC!P7</f>
        <v/>
      </c>
      <c r="Q48" s="597">
        <f>SOC!Q7</f>
        <v/>
      </c>
      <c r="R48" s="597">
        <f>SOC!R7</f>
        <v/>
      </c>
      <c r="S48" s="597">
        <f>SOC!S7</f>
        <v/>
      </c>
      <c r="T48" s="597">
        <f>SOC!T7</f>
        <v/>
      </c>
      <c r="U48" s="597">
        <f>SOC!U7</f>
        <v/>
      </c>
      <c r="V48" s="597">
        <f>SOC!V7</f>
        <v/>
      </c>
      <c r="W48" s="597">
        <f>SOC!W7</f>
        <v/>
      </c>
      <c r="X48" s="597">
        <f>SOC!X7</f>
        <v/>
      </c>
      <c r="Y48" s="597">
        <f>SOC!Y7</f>
        <v/>
      </c>
      <c r="Z48" s="597">
        <f>SOC!Z7</f>
        <v/>
      </c>
      <c r="AA48" s="597">
        <f>SOC!AA7</f>
        <v/>
      </c>
      <c r="AB48" s="597">
        <f>SOC!AB7</f>
        <v/>
      </c>
      <c r="AC48" s="597">
        <f>SOC!AC7</f>
        <v/>
      </c>
      <c r="AD48" s="597">
        <f>SOC!AD7</f>
        <v/>
      </c>
      <c r="AE48" s="597">
        <f>SOC!AE7</f>
        <v/>
      </c>
      <c r="AF48" s="597">
        <f>SOC!AF7</f>
        <v/>
      </c>
      <c r="AG48" s="597">
        <f>SOC!AG7</f>
        <v/>
      </c>
      <c r="AH48" s="597">
        <f>SOC!AH7</f>
        <v/>
      </c>
      <c r="AI48" s="563">
        <f>-AI49*'HK Sales'!AI38*(1+AI50)</f>
        <v/>
      </c>
      <c r="AJ48" s="563">
        <f>-AJ49*'HK Sales'!AJ38*(1+AJ50)</f>
        <v/>
      </c>
      <c r="AK48" s="563">
        <f>-AK49*'HK Sales'!AK38*(1+AK50)</f>
        <v/>
      </c>
      <c r="AL48" s="563">
        <f>-AL49*'HK Sales'!AL38*(1+AL50)</f>
        <v/>
      </c>
      <c r="AM48" s="563">
        <f>-AM49*'HK Sales'!AM38*(1+AM50)</f>
        <v/>
      </c>
      <c r="AN48" s="563">
        <f>-AN49*'HK Sales'!AN38*(1+AN50)</f>
        <v/>
      </c>
    </row>
    <row r="49">
      <c r="A49" s="43" t="inlineStr">
        <is>
          <t>Price per KWh</t>
        </is>
      </c>
      <c r="B49" s="647">
        <f>-B48/'HK Sales'!B38</f>
        <v/>
      </c>
      <c r="C49" s="647">
        <f>-C48/'HK Sales'!C38</f>
        <v/>
      </c>
      <c r="D49" s="647">
        <f>-D48/'HK Sales'!D38</f>
        <v/>
      </c>
      <c r="E49" s="647">
        <f>-E48/'HK Sales'!E38</f>
        <v/>
      </c>
      <c r="F49" s="647">
        <f>-F48/'HK Sales'!F38</f>
        <v/>
      </c>
      <c r="G49" s="647">
        <f>-G48/'HK Sales'!G38</f>
        <v/>
      </c>
      <c r="H49" s="647">
        <f>-H48/'HK Sales'!H38</f>
        <v/>
      </c>
      <c r="I49" s="647">
        <f>-I48/'HK Sales'!I38</f>
        <v/>
      </c>
      <c r="J49" s="647">
        <f>-J48/'HK Sales'!J38</f>
        <v/>
      </c>
      <c r="K49" s="647">
        <f>-K48/'HK Sales'!K38</f>
        <v/>
      </c>
      <c r="L49" s="647">
        <f>-L48/'HK Sales'!L38</f>
        <v/>
      </c>
      <c r="M49" s="647">
        <f>-M48/'HK Sales'!M38</f>
        <v/>
      </c>
      <c r="N49" s="647">
        <f>-N48/'HK Sales'!N38</f>
        <v/>
      </c>
      <c r="O49" s="647">
        <f>-O48/'HK Sales'!O38</f>
        <v/>
      </c>
      <c r="P49" s="647">
        <f>-P48/'HK Sales'!P38</f>
        <v/>
      </c>
      <c r="Q49" s="647">
        <f>-Q48/'HK Sales'!Q38</f>
        <v/>
      </c>
      <c r="R49" s="647">
        <f>-R48/'HK Sales'!R38</f>
        <v/>
      </c>
      <c r="S49" s="647">
        <f>-S48/'HK Sales'!S38</f>
        <v/>
      </c>
      <c r="T49" s="647">
        <f>-T48/'HK Sales'!T38</f>
        <v/>
      </c>
      <c r="U49" s="647">
        <f>-U48/'HK Sales'!U38</f>
        <v/>
      </c>
      <c r="V49" s="647">
        <f>-V48/'HK Sales'!V38</f>
        <v/>
      </c>
      <c r="W49" s="647">
        <f>-W48/'HK Sales'!W38</f>
        <v/>
      </c>
      <c r="X49" s="647">
        <f>-X48/'HK Sales'!X38</f>
        <v/>
      </c>
      <c r="Y49" s="647">
        <f>-Y48/'HK Sales'!Y38</f>
        <v/>
      </c>
      <c r="Z49" s="647">
        <f>-Z48/'HK Sales'!Z38</f>
        <v/>
      </c>
      <c r="AA49" s="647">
        <f>-AA48/'HK Sales'!AA38</f>
        <v/>
      </c>
      <c r="AB49" s="647">
        <f>-AB48/'HK Sales'!AB38</f>
        <v/>
      </c>
      <c r="AC49" s="647">
        <f>-AC48/'HK Sales'!AC38</f>
        <v/>
      </c>
      <c r="AD49" s="647">
        <f>-AD48/'HK Sales'!AD38</f>
        <v/>
      </c>
      <c r="AE49" s="647">
        <f>-AE48/'HK Sales'!AE38</f>
        <v/>
      </c>
      <c r="AF49" s="647">
        <f>-AF48/'HK Sales'!AF38</f>
        <v/>
      </c>
      <c r="AG49" s="647">
        <f>-AG48/'HK Sales'!AG38</f>
        <v/>
      </c>
      <c r="AH49" s="647">
        <f>-AH48/'HK Sales'!AH38</f>
        <v/>
      </c>
      <c r="AI49" s="649">
        <f>AH49*(1+AI50)</f>
        <v/>
      </c>
      <c r="AJ49" s="649">
        <f>AI49*(1+AJ50)</f>
        <v/>
      </c>
      <c r="AK49" s="649">
        <f>AJ49*(1+AK50)</f>
        <v/>
      </c>
      <c r="AL49" s="649">
        <f>AK49*(1+AL50)</f>
        <v/>
      </c>
      <c r="AM49" s="649">
        <f>AL49*(1+AM50)</f>
        <v/>
      </c>
      <c r="AN49" s="649">
        <f>AM49*(1+AN50)</f>
        <v/>
      </c>
    </row>
    <row r="50">
      <c r="A50" s="43" t="inlineStr">
        <is>
          <t>Inflation</t>
        </is>
      </c>
      <c r="B50" s="43" t="n"/>
      <c r="C50" s="614">
        <f>C49/B49-1</f>
        <v/>
      </c>
      <c r="D50" s="614">
        <f>D49/C49-1</f>
        <v/>
      </c>
      <c r="E50" s="614">
        <f>E49/D49-1</f>
        <v/>
      </c>
      <c r="F50" s="614">
        <f>F49/E49-1</f>
        <v/>
      </c>
      <c r="G50" s="614">
        <f>G49/F49-1</f>
        <v/>
      </c>
      <c r="H50" s="614">
        <f>H49/G49-1</f>
        <v/>
      </c>
      <c r="I50" s="614">
        <f>I49/H49-1</f>
        <v/>
      </c>
      <c r="J50" s="614">
        <f>J49/I49-1</f>
        <v/>
      </c>
      <c r="K50" s="614">
        <f>K49/J49-1</f>
        <v/>
      </c>
      <c r="L50" s="614">
        <f>L49/K49-1</f>
        <v/>
      </c>
      <c r="M50" s="614">
        <f>M49/L49-1</f>
        <v/>
      </c>
      <c r="N50" s="614">
        <f>N49/M49-1</f>
        <v/>
      </c>
      <c r="O50" s="614">
        <f>O49/N49-1</f>
        <v/>
      </c>
      <c r="P50" s="614">
        <f>P49/O49-1</f>
        <v/>
      </c>
      <c r="Q50" s="614">
        <f>Q49/P49-1</f>
        <v/>
      </c>
      <c r="R50" s="614">
        <f>R49/Q49-1</f>
        <v/>
      </c>
      <c r="S50" s="614">
        <f>S49/R49-1</f>
        <v/>
      </c>
      <c r="T50" s="614">
        <f>T49/S49-1</f>
        <v/>
      </c>
      <c r="U50" s="614">
        <f>U49/T49-1</f>
        <v/>
      </c>
      <c r="V50" s="614">
        <f>V49/U49-1</f>
        <v/>
      </c>
      <c r="W50" s="614">
        <f>W49/V49-1</f>
        <v/>
      </c>
      <c r="X50" s="614">
        <f>X49/W49-1</f>
        <v/>
      </c>
      <c r="Y50" s="614">
        <f>Y49/X49-1</f>
        <v/>
      </c>
      <c r="Z50" s="614">
        <f>Z49/Y49-1</f>
        <v/>
      </c>
      <c r="AA50" s="614">
        <f>AA49/Z49-1</f>
        <v/>
      </c>
      <c r="AB50" s="614">
        <f>AB49/AA49-1</f>
        <v/>
      </c>
      <c r="AC50" s="614">
        <f>AC49/AB49-1</f>
        <v/>
      </c>
      <c r="AD50" s="614">
        <f>AD49/AC49-1</f>
        <v/>
      </c>
      <c r="AE50" s="614">
        <f>AE49/AD49-1</f>
        <v/>
      </c>
      <c r="AF50" s="614">
        <f>AF49/AE49-1</f>
        <v/>
      </c>
      <c r="AG50" s="614">
        <f>AG49/AF49-1</f>
        <v/>
      </c>
      <c r="AH50" s="614">
        <f>AH49/AG49-1</f>
        <v/>
      </c>
      <c r="AI50" s="650">
        <f>AH50</f>
        <v/>
      </c>
      <c r="AJ50" s="650">
        <f>AI50</f>
        <v/>
      </c>
      <c r="AK50" s="650">
        <f>AJ50</f>
        <v/>
      </c>
      <c r="AL50" s="650">
        <f>AK50</f>
        <v/>
      </c>
      <c r="AM50" s="650">
        <f>AL50</f>
        <v/>
      </c>
      <c r="AN50" s="650">
        <f>AM50</f>
        <v/>
      </c>
    </row>
    <row r="51">
      <c r="X51" s="43" t="n"/>
      <c r="Y51" s="43" t="n"/>
      <c r="Z51" s="43" t="n"/>
    </row>
    <row r="52" customFormat="1" s="526">
      <c r="A52" s="88" t="inlineStr">
        <is>
          <t>Power sales by fuel type</t>
        </is>
      </c>
      <c r="B52" s="643" t="n"/>
      <c r="C52" s="643" t="n"/>
      <c r="D52" s="643" t="n"/>
      <c r="E52" s="643" t="n"/>
      <c r="F52" s="643" t="n"/>
      <c r="G52" s="643" t="n"/>
      <c r="H52" s="643" t="n"/>
      <c r="I52" s="643" t="n"/>
      <c r="J52" s="643" t="n"/>
      <c r="K52" s="643" t="n"/>
      <c r="L52" s="643" t="n"/>
      <c r="M52" s="643" t="n"/>
      <c r="N52" s="643" t="n"/>
      <c r="O52" s="643" t="n"/>
      <c r="P52" s="643" t="n"/>
      <c r="Q52" s="643" t="n"/>
      <c r="R52" s="643" t="n"/>
      <c r="S52" s="643" t="n"/>
      <c r="T52" s="643" t="n"/>
      <c r="U52" s="643" t="n"/>
      <c r="V52" s="643" t="n"/>
      <c r="W52" s="643" t="n"/>
      <c r="X52" s="643" t="n"/>
      <c r="Y52" s="643" t="n"/>
      <c r="Z52" s="643" t="n"/>
      <c r="AA52" s="643" t="n"/>
      <c r="AB52" s="643" t="n"/>
      <c r="AC52" s="643" t="n"/>
      <c r="AD52" s="643" t="n"/>
      <c r="AE52" s="643" t="n"/>
      <c r="AF52" s="643" t="n"/>
      <c r="AG52" s="643" t="n"/>
      <c r="AH52" s="643" t="n"/>
      <c r="AI52" s="643" t="n"/>
      <c r="AJ52" s="643" t="n"/>
      <c r="AK52" s="643" t="n"/>
      <c r="AL52" s="643" t="n"/>
      <c r="AM52" s="643" t="n"/>
      <c r="AN52" s="643" t="n"/>
    </row>
    <row r="53" customFormat="1" s="62">
      <c r="A53" s="62" t="inlineStr">
        <is>
          <t>Total power sales</t>
        </is>
      </c>
      <c r="C53" s="597" t="n"/>
      <c r="D53" s="597" t="n"/>
      <c r="E53" s="597" t="n"/>
      <c r="F53" s="597" t="n"/>
      <c r="G53" s="597" t="n"/>
      <c r="H53" s="597" t="n"/>
      <c r="I53" s="597" t="n"/>
      <c r="J53" s="597" t="n"/>
      <c r="K53" s="597" t="n"/>
      <c r="L53" s="597">
        <f>+'HK Sales'!L36</f>
        <v/>
      </c>
      <c r="M53" s="597">
        <f>+'HK Sales'!M38</f>
        <v/>
      </c>
      <c r="N53" s="597">
        <f>+'HK Sales'!N38</f>
        <v/>
      </c>
      <c r="O53" s="597">
        <f>+'HK Sales'!O38</f>
        <v/>
      </c>
      <c r="P53" s="597">
        <f>+'HK Sales'!P38</f>
        <v/>
      </c>
      <c r="Q53" s="597">
        <f>+'HK Sales'!Q38</f>
        <v/>
      </c>
      <c r="R53" s="597">
        <f>+'HK Sales'!R38</f>
        <v/>
      </c>
      <c r="S53" s="597">
        <f>+'HK Sales'!S38</f>
        <v/>
      </c>
      <c r="T53" s="597">
        <f>+'HK Sales'!T38</f>
        <v/>
      </c>
      <c r="U53" s="597">
        <f>+'HK Sales'!U38</f>
        <v/>
      </c>
      <c r="V53" s="597">
        <f>+'HK Sales'!V38</f>
        <v/>
      </c>
      <c r="W53" s="597">
        <f>+'HK Sales'!W38</f>
        <v/>
      </c>
      <c r="X53" s="597">
        <f>+'HK Sales'!X38</f>
        <v/>
      </c>
      <c r="Y53" s="597">
        <f>+'HK Sales'!Y38</f>
        <v/>
      </c>
      <c r="Z53" s="597">
        <f>+'HK Sales'!Z38</f>
        <v/>
      </c>
      <c r="AA53" s="597">
        <f>+'HK Sales'!AA38</f>
        <v/>
      </c>
      <c r="AB53" s="597">
        <f>+'HK Sales'!AB38</f>
        <v/>
      </c>
      <c r="AC53" s="597">
        <f>+'HK Sales'!AC38</f>
        <v/>
      </c>
      <c r="AD53" s="597">
        <f>+'HK Sales'!AD38</f>
        <v/>
      </c>
      <c r="AE53" s="597">
        <f>+'HK Sales'!AE38</f>
        <v/>
      </c>
      <c r="AF53" s="597">
        <f>+'HK Sales'!AF38</f>
        <v/>
      </c>
      <c r="AG53" s="597">
        <f>+'HK Sales'!AG38</f>
        <v/>
      </c>
      <c r="AH53" s="597">
        <f>+'HK Sales'!AH38</f>
        <v/>
      </c>
      <c r="AI53" s="597">
        <f>+'HK Sales'!AI38</f>
        <v/>
      </c>
      <c r="AJ53" s="597">
        <f>+'HK Sales'!AJ38</f>
        <v/>
      </c>
      <c r="AK53" s="597">
        <f>+'HK Sales'!AK38</f>
        <v/>
      </c>
      <c r="AL53" s="597">
        <f>+'HK Sales'!AL38</f>
        <v/>
      </c>
      <c r="AM53" s="597">
        <f>+'HK Sales'!AM38</f>
        <v/>
      </c>
      <c r="AN53" s="597">
        <f>+'HK Sales'!AN38</f>
        <v/>
      </c>
    </row>
    <row r="54">
      <c r="A54" s="214" t="inlineStr">
        <is>
          <t>T&amp;D Loss</t>
        </is>
      </c>
      <c r="Q54" s="651" t="n"/>
      <c r="R54" s="651">
        <f>+R55/R53-1</f>
        <v/>
      </c>
      <c r="S54" s="651">
        <f>+S55/S53-1</f>
        <v/>
      </c>
      <c r="T54" s="651">
        <f>+T55/T53-1</f>
        <v/>
      </c>
      <c r="U54" s="651">
        <f>+U55/U53-1</f>
        <v/>
      </c>
      <c r="V54" s="651">
        <f>+V55/V53-1</f>
        <v/>
      </c>
      <c r="W54" s="651">
        <f>+W55/W53-1</f>
        <v/>
      </c>
      <c r="X54" s="651">
        <f>+X55/X53-1</f>
        <v/>
      </c>
      <c r="Y54" s="651">
        <f>+Y55/Y53-1</f>
        <v/>
      </c>
      <c r="Z54" s="651">
        <f>+Z55/Z53-1</f>
        <v/>
      </c>
      <c r="AA54" s="651">
        <f>+AA55/AA53-1</f>
        <v/>
      </c>
      <c r="AB54" s="651">
        <f>+AB55/AB53-1</f>
        <v/>
      </c>
      <c r="AC54" s="651">
        <f>+AC55/AC53-1</f>
        <v/>
      </c>
      <c r="AD54" s="651">
        <f>+AD55/AD53-1</f>
        <v/>
      </c>
      <c r="AE54" s="651">
        <f>+AE55/AE53-1</f>
        <v/>
      </c>
      <c r="AF54" s="651">
        <f>+AF55/AF53-1</f>
        <v/>
      </c>
      <c r="AG54" s="651">
        <f>+AG55/AG53-1</f>
        <v/>
      </c>
      <c r="AH54" s="651">
        <f>+AH55/AH53-1</f>
        <v/>
      </c>
      <c r="AI54" s="652">
        <f>+AH54</f>
        <v/>
      </c>
      <c r="AJ54" s="652">
        <f>+AI54</f>
        <v/>
      </c>
      <c r="AK54" s="652">
        <f>+AJ54</f>
        <v/>
      </c>
      <c r="AL54" s="652">
        <f>+AK54</f>
        <v/>
      </c>
      <c r="AM54" s="652">
        <f>+AL54</f>
        <v/>
      </c>
      <c r="AN54" s="652">
        <f>+AM54</f>
        <v/>
      </c>
    </row>
    <row r="55">
      <c r="A55" s="62" t="inlineStr">
        <is>
          <t>Total power sent out</t>
        </is>
      </c>
      <c r="B55" s="62" t="n"/>
      <c r="C55" s="62" t="n"/>
      <c r="D55" s="62" t="n"/>
      <c r="E55" s="62" t="n"/>
      <c r="F55" s="62" t="n"/>
      <c r="G55" s="62" t="n"/>
      <c r="H55" s="62" t="n"/>
      <c r="I55" s="62" t="n"/>
      <c r="J55" s="62" t="n"/>
      <c r="K55" s="62" t="n"/>
      <c r="L55" s="62" t="n"/>
      <c r="M55" s="62" t="n"/>
      <c r="N55" s="62" t="n"/>
      <c r="O55" s="62" t="n"/>
      <c r="P55" s="62" t="n"/>
      <c r="Q55" s="62" t="n"/>
      <c r="R55" s="597">
        <f>+SUM(R56:R57)</f>
        <v/>
      </c>
      <c r="S55" s="597">
        <f>+SUM(S56:S57)</f>
        <v/>
      </c>
      <c r="T55" s="597">
        <f>+SUM(T56:T57)</f>
        <v/>
      </c>
      <c r="U55" s="597">
        <f>+SUM(U56:U57)</f>
        <v/>
      </c>
      <c r="V55" s="597">
        <f>+SUM(V56:V57)</f>
        <v/>
      </c>
      <c r="W55" s="597">
        <f>+SUM(W56:W57)</f>
        <v/>
      </c>
      <c r="X55" s="597">
        <f>+SUM(X56:X57)</f>
        <v/>
      </c>
      <c r="Y55" s="597">
        <f>+SUM(Y56:Y57)</f>
        <v/>
      </c>
      <c r="Z55" s="597">
        <f>+SUM(Z56:Z57)</f>
        <v/>
      </c>
      <c r="AA55" s="597">
        <f>+SUM(AA56:AA57)</f>
        <v/>
      </c>
      <c r="AB55" s="597">
        <f>+SUM(AB56:AB57)</f>
        <v/>
      </c>
      <c r="AC55" s="597">
        <f>+SUM(AC56:AC57)</f>
        <v/>
      </c>
      <c r="AD55" s="597">
        <f>+SUM(AD56:AD57)</f>
        <v/>
      </c>
      <c r="AE55" s="597">
        <f>+SUM(AE56:AE57)</f>
        <v/>
      </c>
      <c r="AF55" s="597">
        <f>+SUM(AF56:AF57)</f>
        <v/>
      </c>
      <c r="AG55" s="597">
        <f>+SUM(AG56:AG57)</f>
        <v/>
      </c>
      <c r="AH55" s="597">
        <f>+SUM(AH56:AH57)</f>
        <v/>
      </c>
      <c r="AI55" s="613">
        <f>+AI53*(1+AI54)</f>
        <v/>
      </c>
      <c r="AJ55" s="613">
        <f>+AJ53*(1+AJ54)</f>
        <v/>
      </c>
      <c r="AK55" s="613">
        <f>+AK53*(1+AK54)</f>
        <v/>
      </c>
      <c r="AL55" s="613">
        <f>+AL53*(1+AL54)</f>
        <v/>
      </c>
      <c r="AM55" s="613">
        <f>+AM53*(1+AM54)</f>
        <v/>
      </c>
      <c r="AN55" s="613">
        <f>+AN53*(1+AN54)</f>
        <v/>
      </c>
    </row>
    <row r="56">
      <c r="A56" s="111" t="inlineStr">
        <is>
          <t>GNPS/GPSPS/Others</t>
        </is>
      </c>
      <c r="B56" s="567" t="n">
        <v>0</v>
      </c>
      <c r="C56" s="567" t="n">
        <v>0</v>
      </c>
      <c r="D56" s="512" t="n">
        <v>6430</v>
      </c>
      <c r="E56" s="512" t="n">
        <v>6755</v>
      </c>
      <c r="F56" s="512" t="n">
        <v>7467</v>
      </c>
      <c r="G56" s="512" t="n">
        <v>7361</v>
      </c>
      <c r="H56" s="512" t="n">
        <v>7825</v>
      </c>
      <c r="I56" s="512">
        <f>8819+1680</f>
        <v/>
      </c>
      <c r="J56" s="512" t="n">
        <v>9735</v>
      </c>
      <c r="K56" s="512" t="n">
        <v>9961</v>
      </c>
      <c r="L56" s="512" t="n">
        <v>9784</v>
      </c>
      <c r="M56" s="512" t="n">
        <v>9968</v>
      </c>
      <c r="N56" s="512">
        <f>9165+1</f>
        <v/>
      </c>
      <c r="O56" s="512">
        <f>10212+3</f>
        <v/>
      </c>
      <c r="P56" s="512">
        <f>10256+5</f>
        <v/>
      </c>
      <c r="Q56" s="512">
        <f>10164+6</f>
        <v/>
      </c>
      <c r="R56" s="512">
        <f>10653+5</f>
        <v/>
      </c>
      <c r="S56" s="512">
        <f>10773+5</f>
        <v/>
      </c>
      <c r="T56" s="512">
        <f>10350+5</f>
        <v/>
      </c>
      <c r="U56" s="512">
        <f>10558+5</f>
        <v/>
      </c>
      <c r="V56" s="581">
        <f>11172+3</f>
        <v/>
      </c>
      <c r="W56" s="512">
        <f>9757+4</f>
        <v/>
      </c>
      <c r="X56" s="512">
        <f>10084+3</f>
        <v/>
      </c>
      <c r="Y56" s="512">
        <f>11612+4</f>
        <v/>
      </c>
      <c r="Z56" s="512">
        <f>11501+4</f>
        <v/>
      </c>
      <c r="AA56" s="512">
        <f>12426+2</f>
        <v/>
      </c>
      <c r="AB56" s="512">
        <f>12501+3</f>
        <v/>
      </c>
      <c r="AC56" s="512">
        <f>12276+9</f>
        <v/>
      </c>
      <c r="AD56" s="512">
        <f>12583+45</f>
        <v/>
      </c>
      <c r="AE56" s="512">
        <f>12484+111</f>
        <v/>
      </c>
      <c r="AF56" s="512">
        <f>12289+199</f>
        <v/>
      </c>
      <c r="AG56" s="512">
        <f>11552+267</f>
        <v/>
      </c>
      <c r="AH56" s="512">
        <f>11335+316</f>
        <v/>
      </c>
      <c r="AI56" s="528">
        <f>AH56</f>
        <v/>
      </c>
      <c r="AJ56" s="528">
        <f>AI56</f>
        <v/>
      </c>
      <c r="AK56" s="528">
        <f>AJ56</f>
        <v/>
      </c>
      <c r="AL56" s="528">
        <f>AK56</f>
        <v/>
      </c>
      <c r="AM56" s="528">
        <f>AL56</f>
        <v/>
      </c>
      <c r="AN56" s="528">
        <f>AM56</f>
        <v/>
      </c>
    </row>
    <row r="57">
      <c r="A57" s="111" t="inlineStr">
        <is>
          <t>CAPCO output (GWh)</t>
        </is>
      </c>
      <c r="R57" s="526" t="n">
        <v>24324</v>
      </c>
      <c r="S57" s="526" t="n">
        <v>24920</v>
      </c>
      <c r="T57" s="526" t="n">
        <v>24552</v>
      </c>
      <c r="U57" s="526" t="n">
        <v>24955</v>
      </c>
      <c r="V57" s="526" t="n">
        <v>24102</v>
      </c>
      <c r="W57" s="512" t="n">
        <v>25084</v>
      </c>
      <c r="X57" s="512" t="n">
        <v>25597</v>
      </c>
      <c r="Y57" s="512" t="n">
        <v>24075</v>
      </c>
      <c r="Z57" s="512" t="n">
        <v>24362</v>
      </c>
      <c r="AA57" s="512" t="n">
        <v>23456</v>
      </c>
      <c r="AB57" s="512" t="n">
        <v>23032</v>
      </c>
      <c r="AC57" s="512" t="n">
        <v>23369</v>
      </c>
      <c r="AD57" s="512" t="n">
        <v>22605</v>
      </c>
      <c r="AE57" s="512" t="n">
        <v>24109</v>
      </c>
      <c r="AF57" s="512" t="n">
        <v>23602</v>
      </c>
      <c r="AG57" s="512" t="n">
        <v>24846</v>
      </c>
      <c r="AH57" s="512" t="n">
        <v>25761</v>
      </c>
      <c r="AI57" s="528">
        <f>+AI55-AI56</f>
        <v/>
      </c>
      <c r="AJ57" s="528">
        <f>+AJ55-AJ56</f>
        <v/>
      </c>
      <c r="AK57" s="528">
        <f>+AK55-AK56</f>
        <v/>
      </c>
      <c r="AL57" s="528">
        <f>+AL55-AL56</f>
        <v/>
      </c>
      <c r="AM57" s="528">
        <f>+AM55-AM56</f>
        <v/>
      </c>
      <c r="AN57" s="528">
        <f>+AN55-AN56</f>
        <v/>
      </c>
    </row>
    <row r="58">
      <c r="A58" s="43" t="inlineStr">
        <is>
          <t xml:space="preserve">      Black Point (Gas fired)</t>
        </is>
      </c>
      <c r="R58" s="526" t="n"/>
      <c r="S58" s="526" t="n">
        <v>8871</v>
      </c>
      <c r="T58" s="526" t="n">
        <v>10548</v>
      </c>
      <c r="U58" s="526" t="n">
        <v>7311</v>
      </c>
      <c r="V58" s="526" t="n">
        <v>6787</v>
      </c>
      <c r="W58" s="512" t="n">
        <v>5675</v>
      </c>
      <c r="X58" s="512" t="n">
        <v>5315</v>
      </c>
      <c r="Y58" s="512" t="n">
        <v>8899</v>
      </c>
      <c r="Z58" s="512" t="n">
        <v>9175</v>
      </c>
      <c r="AA58" s="512" t="n">
        <v>9550</v>
      </c>
      <c r="AB58" s="512" t="n">
        <v>9304</v>
      </c>
      <c r="AC58" s="512" t="n">
        <v>10315</v>
      </c>
      <c r="AD58" s="512">
        <f>AC58/107183*134776</f>
        <v/>
      </c>
      <c r="AE58" s="512">
        <f>AD58/134776*142304</f>
        <v/>
      </c>
      <c r="AF58" s="512">
        <f>AE58/142304*151327</f>
        <v/>
      </c>
      <c r="AG58" s="512">
        <f>AF58/151327*146370</f>
        <v/>
      </c>
      <c r="AH58" s="512">
        <f>AG58/146370*151371</f>
        <v/>
      </c>
      <c r="AI58" s="528">
        <f>+AI57-AI59</f>
        <v/>
      </c>
      <c r="AJ58" s="528">
        <f>+AJ57-AJ59</f>
        <v/>
      </c>
      <c r="AK58" s="528">
        <f>+AK57-AK59</f>
        <v/>
      </c>
      <c r="AL58" s="528">
        <f>+AL57-AL59</f>
        <v/>
      </c>
      <c r="AM58" s="528">
        <f>+AM57-AM59</f>
        <v/>
      </c>
      <c r="AN58" s="528">
        <f>+AN57-AN59</f>
        <v/>
      </c>
    </row>
    <row r="59">
      <c r="A59" s="43" t="inlineStr">
        <is>
          <t xml:space="preserve">      Castle Peak (Coal fired)</t>
        </is>
      </c>
      <c r="R59" s="526" t="n"/>
      <c r="S59" s="526" t="n">
        <v>16049</v>
      </c>
      <c r="T59" s="526" t="n">
        <v>14004</v>
      </c>
      <c r="U59" s="526" t="n">
        <v>17644</v>
      </c>
      <c r="V59" s="526" t="n">
        <v>17310</v>
      </c>
      <c r="W59" s="512" t="n">
        <v>19409</v>
      </c>
      <c r="X59" s="512" t="n">
        <v>20280</v>
      </c>
      <c r="Y59" s="512" t="n">
        <v>15176</v>
      </c>
      <c r="Z59" s="512" t="n">
        <v>15187</v>
      </c>
      <c r="AA59" s="512" t="n">
        <v>13906</v>
      </c>
      <c r="AB59" s="512" t="n">
        <v>13727</v>
      </c>
      <c r="AC59" s="512" t="n">
        <v>13052</v>
      </c>
      <c r="AD59" s="512">
        <f>AD57-AD58</f>
        <v/>
      </c>
      <c r="AE59" s="512">
        <f>AE57-AE58</f>
        <v/>
      </c>
      <c r="AF59" s="512">
        <f>AF57-AF58</f>
        <v/>
      </c>
      <c r="AG59" s="512">
        <f>AG57-AG58</f>
        <v/>
      </c>
      <c r="AH59" s="512">
        <f>AH57-AH58</f>
        <v/>
      </c>
      <c r="AI59" s="528">
        <f>+AI62*AVERAGE(ROAFNA!AH64:AI64)*8760/1000</f>
        <v/>
      </c>
      <c r="AJ59" s="528">
        <f>+AJ62*AVERAGE(ROAFNA!AI64:AJ64)*8760/1000</f>
        <v/>
      </c>
      <c r="AK59" s="528">
        <f>+AK62*AVERAGE(ROAFNA!AJ64:AK64)*8760/1000</f>
        <v/>
      </c>
      <c r="AL59" s="528">
        <f>+AL62*AVERAGE(ROAFNA!AK64:AL64)*8760/1000</f>
        <v/>
      </c>
      <c r="AM59" s="528">
        <f>+AM62*AVERAGE(ROAFNA!AL64:AM64)*8760/1000</f>
        <v/>
      </c>
      <c r="AN59" s="528">
        <f>+AN62*AVERAGE(ROAFNA!AM64:AN64)*8760/1000</f>
        <v/>
      </c>
      <c r="AO59" s="446" t="n"/>
    </row>
    <row r="60">
      <c r="A60" s="62" t="inlineStr">
        <is>
          <t>Utilisation rate</t>
        </is>
      </c>
      <c r="X60" s="43" t="n"/>
    </row>
    <row r="61">
      <c r="A61" s="43" t="inlineStr">
        <is>
          <t xml:space="preserve">   Gas (implied)</t>
        </is>
      </c>
      <c r="S61" s="446" t="n"/>
      <c r="T61" s="446">
        <f>+T58/AVERAGE(ROAFNA!S65:T65)/8760*1000</f>
        <v/>
      </c>
      <c r="U61" s="446">
        <f>+U58/AVERAGE(ROAFNA!T65:U65)/8760*1000</f>
        <v/>
      </c>
      <c r="V61" s="446">
        <f>+V58/AVERAGE(ROAFNA!U65:V65)/8760*1000</f>
        <v/>
      </c>
      <c r="W61" s="446">
        <f>+W58/AVERAGE(ROAFNA!V65:W65)/8760*1000</f>
        <v/>
      </c>
      <c r="X61" s="446">
        <f>+X58/AVERAGE(ROAFNA!W65:X65)/8760*1000</f>
        <v/>
      </c>
      <c r="Y61" s="446">
        <f>+Y58/AVERAGE(ROAFNA!X65:Y65)/8760*1000</f>
        <v/>
      </c>
      <c r="Z61" s="446">
        <f>+Z58/AVERAGE(ROAFNA!Y65:Z65)/8760*1000</f>
        <v/>
      </c>
      <c r="AA61" s="446">
        <f>+AA58/AVERAGE(ROAFNA!Z65:AA65)/8760*1000</f>
        <v/>
      </c>
      <c r="AB61" s="446">
        <f>+AB58/AVERAGE(ROAFNA!AA65:AB65)/8760*1000</f>
        <v/>
      </c>
      <c r="AC61" s="446">
        <f>+AC58/AVERAGE(ROAFNA!AB65:AC65)/8760*1000</f>
        <v/>
      </c>
      <c r="AD61" s="446">
        <f>+AD58/AVERAGE(ROAFNA!AC65:AD65)/8760*1000</f>
        <v/>
      </c>
      <c r="AE61" s="446">
        <f>+AE58/AVERAGE(ROAFNA!AD65:AE65)/8760*1000</f>
        <v/>
      </c>
      <c r="AF61" s="446">
        <f>+AF58/AVERAGE(ROAFNA!AE65:AF65)/8760*1000</f>
        <v/>
      </c>
      <c r="AG61" s="446">
        <f>+AG58/AVERAGE(ROAFNA!AF65:AG65)/8760*1000</f>
        <v/>
      </c>
      <c r="AH61" s="446">
        <f>+AH58/AVERAGE(ROAFNA!AG65:AH65)/8760*1000</f>
        <v/>
      </c>
      <c r="AI61" s="446">
        <f>+AI58/AVERAGE(ROAFNA!AH65:AI65)/8760*1000</f>
        <v/>
      </c>
      <c r="AJ61" s="446">
        <f>+AJ58/AVERAGE(ROAFNA!AI65:AJ65)/8760*1000</f>
        <v/>
      </c>
      <c r="AK61" s="446">
        <f>+AK58/AVERAGE(ROAFNA!AJ65:AK65)/8760*1000</f>
        <v/>
      </c>
      <c r="AL61" s="446">
        <f>+AL58/AVERAGE(ROAFNA!AK65:AL65)/8760*1000</f>
        <v/>
      </c>
      <c r="AM61" s="446">
        <f>+AM58/AVERAGE(ROAFNA!AL65:AM65)/8760*1000</f>
        <v/>
      </c>
      <c r="AN61" s="446">
        <f>+AN58/AVERAGE(ROAFNA!AM65:AN65)/8760*1000</f>
        <v/>
      </c>
    </row>
    <row r="62">
      <c r="A62" s="43" t="inlineStr">
        <is>
          <t xml:space="preserve">   Coal</t>
        </is>
      </c>
      <c r="S62" s="446" t="n"/>
      <c r="T62" s="446">
        <f>+T59/AVERAGE(ROAFNA!S64:T64)/8760*1000</f>
        <v/>
      </c>
      <c r="U62" s="446">
        <f>+U59/AVERAGE(ROAFNA!T64:U64)/8760*1000</f>
        <v/>
      </c>
      <c r="V62" s="446">
        <f>+V59/AVERAGE(ROAFNA!U64:V64)/8760*1000</f>
        <v/>
      </c>
      <c r="W62" s="446">
        <f>+W59/AVERAGE(ROAFNA!V64:W64)/8760*1000</f>
        <v/>
      </c>
      <c r="X62" s="446">
        <f>+X59/AVERAGE(ROAFNA!W64:X64)/8760*1000</f>
        <v/>
      </c>
      <c r="Y62" s="446">
        <f>+Y59/AVERAGE(ROAFNA!X64:Y64)/8760*1000</f>
        <v/>
      </c>
      <c r="Z62" s="446">
        <f>+Z59/AVERAGE(ROAFNA!Y64:Z64)/8760*1000</f>
        <v/>
      </c>
      <c r="AA62" s="446">
        <f>+AA59/AVERAGE(ROAFNA!Z64:AA64)/8760*1000</f>
        <v/>
      </c>
      <c r="AB62" s="446">
        <f>+AB59/AVERAGE(ROAFNA!AA64:AB64)/8760*1000</f>
        <v/>
      </c>
      <c r="AC62" s="446">
        <f>+AC59/AVERAGE(ROAFNA!AB64:AC64)/8760*1000</f>
        <v/>
      </c>
      <c r="AD62" s="446">
        <f>+AD59/AVERAGE(ROAFNA!AC64:AD64)/8760*1000</f>
        <v/>
      </c>
      <c r="AE62" s="446">
        <f>+AE59/AVERAGE(ROAFNA!AD64:AE64)/8760*1000</f>
        <v/>
      </c>
      <c r="AF62" s="446">
        <f>+AF59/AVERAGE(ROAFNA!AE64:AF64)/8760*1000</f>
        <v/>
      </c>
      <c r="AG62" s="446">
        <f>+AG59/AVERAGE(ROAFNA!AF64:AG64)/8760*1000</f>
        <v/>
      </c>
      <c r="AH62" s="446">
        <f>+AH59/AVERAGE(ROAFNA!AG64:AH64)/8760*1000</f>
        <v/>
      </c>
      <c r="AI62" s="230">
        <f>+MAX($AN$62,AH62-0.75%)</f>
        <v/>
      </c>
      <c r="AJ62" s="230">
        <f>+MAX($AN$62,AI62-0.75%)</f>
        <v/>
      </c>
      <c r="AK62" s="230">
        <f>+MAX($AN$62,AJ62-0.75%)</f>
        <v/>
      </c>
      <c r="AL62" s="230">
        <f>+MAX($AN$62,AK62-0.75%)</f>
        <v/>
      </c>
      <c r="AM62" s="230">
        <f>+MAX($AN$62,AL62-0.75%)</f>
        <v/>
      </c>
      <c r="AN62" s="230" t="n">
        <v>0.3</v>
      </c>
    </row>
    <row r="63">
      <c r="A63" s="62" t="inlineStr">
        <is>
          <t>Implied fuel mix</t>
        </is>
      </c>
      <c r="X63" s="43" t="n"/>
      <c r="Y63" s="43" t="n"/>
      <c r="Z63" s="43" t="n"/>
    </row>
    <row r="64">
      <c r="A64" s="43" t="inlineStr">
        <is>
          <t xml:space="preserve">   Nuclear</t>
        </is>
      </c>
      <c r="S64" s="446">
        <f>+(S56/S$55)</f>
        <v/>
      </c>
      <c r="T64" s="446">
        <f>+(T56/T$55)</f>
        <v/>
      </c>
      <c r="U64" s="446">
        <f>+(U56/U$55)</f>
        <v/>
      </c>
      <c r="V64" s="446">
        <f>+(V56/V$55)</f>
        <v/>
      </c>
      <c r="W64" s="446">
        <f>+(W56/W$55)</f>
        <v/>
      </c>
      <c r="X64" s="446">
        <f>+(X56/X$55)</f>
        <v/>
      </c>
      <c r="Y64" s="446">
        <f>+(Y56/Y$55)</f>
        <v/>
      </c>
      <c r="Z64" s="446">
        <f>+(Z56/Z$55)</f>
        <v/>
      </c>
      <c r="AA64" s="446">
        <f>+(AA56/AA$55)</f>
        <v/>
      </c>
      <c r="AB64" s="446">
        <f>+(AB56/AB$55)</f>
        <v/>
      </c>
      <c r="AC64" s="446">
        <f>+(AC56/AC$55)</f>
        <v/>
      </c>
      <c r="AD64" s="446">
        <f>+(AD56/AD$55)</f>
        <v/>
      </c>
      <c r="AE64" s="446">
        <f>+(AE56/AE$55)</f>
        <v/>
      </c>
      <c r="AF64" s="446">
        <f>+(AF56/AF$55)</f>
        <v/>
      </c>
      <c r="AG64" s="446">
        <f>+(AG56/AG$55)</f>
        <v/>
      </c>
      <c r="AH64" s="446">
        <f>+(AH56/AH$55)</f>
        <v/>
      </c>
      <c r="AI64" s="446">
        <f>+(AI56/AI$55)</f>
        <v/>
      </c>
      <c r="AJ64" s="446">
        <f>+(AJ56/AJ$55)</f>
        <v/>
      </c>
      <c r="AK64" s="446">
        <f>+(AK56/AK$55)</f>
        <v/>
      </c>
      <c r="AL64" s="446">
        <f>+(AL56/AL$55)</f>
        <v/>
      </c>
      <c r="AM64" s="446">
        <f>+(AM56/AM$55)</f>
        <v/>
      </c>
      <c r="AN64" s="446">
        <f>+(AN56/AN$55)</f>
        <v/>
      </c>
    </row>
    <row r="65">
      <c r="A65" s="43" t="inlineStr">
        <is>
          <t xml:space="preserve">   Gas</t>
        </is>
      </c>
      <c r="S65" s="446">
        <f>+(S58/S$55)</f>
        <v/>
      </c>
      <c r="T65" s="446">
        <f>+(T58/T$55)</f>
        <v/>
      </c>
      <c r="U65" s="446">
        <f>+(U58/U$55)</f>
        <v/>
      </c>
      <c r="V65" s="446">
        <f>+(V58/V$55)</f>
        <v/>
      </c>
      <c r="W65" s="446">
        <f>+(W58/W$55)</f>
        <v/>
      </c>
      <c r="X65" s="446">
        <f>+(X58/X$55)</f>
        <v/>
      </c>
      <c r="Y65" s="446">
        <f>+(Y58/Y$55)</f>
        <v/>
      </c>
      <c r="Z65" s="446">
        <f>+(Z58/Z$55)</f>
        <v/>
      </c>
      <c r="AA65" s="446">
        <f>+(AA58/AA$55)</f>
        <v/>
      </c>
      <c r="AB65" s="446">
        <f>+(AB58/AB$55)</f>
        <v/>
      </c>
      <c r="AC65" s="446">
        <f>+(AC58/AC$55)</f>
        <v/>
      </c>
      <c r="AD65" s="446">
        <f>+(AD58/AD$55)</f>
        <v/>
      </c>
      <c r="AE65" s="446">
        <f>+(AE58/AE$55)</f>
        <v/>
      </c>
      <c r="AF65" s="446">
        <f>+(AF58/AF$55)</f>
        <v/>
      </c>
      <c r="AG65" s="446">
        <f>+(AG58/AG$55)</f>
        <v/>
      </c>
      <c r="AH65" s="446">
        <f>+(AH58/AH$55)</f>
        <v/>
      </c>
      <c r="AI65" s="446">
        <f>+(AI58/AI$55)</f>
        <v/>
      </c>
      <c r="AJ65" s="446">
        <f>+(AJ58/AJ$55)</f>
        <v/>
      </c>
      <c r="AK65" s="446">
        <f>+(AK58/AK$55)</f>
        <v/>
      </c>
      <c r="AL65" s="446">
        <f>+(AL58/AL$55)</f>
        <v/>
      </c>
      <c r="AM65" s="446">
        <f>+(AM58/AM$55)</f>
        <v/>
      </c>
      <c r="AN65" s="446">
        <f>+(AN58/AN$55)</f>
        <v/>
      </c>
    </row>
    <row r="66">
      <c r="A66" s="43" t="inlineStr">
        <is>
          <t xml:space="preserve">   Coal</t>
        </is>
      </c>
      <c r="S66" s="446">
        <f>+(S59/S$55)</f>
        <v/>
      </c>
      <c r="T66" s="446">
        <f>+(T59/T$55)</f>
        <v/>
      </c>
      <c r="U66" s="446">
        <f>+(U59/U$55)</f>
        <v/>
      </c>
      <c r="V66" s="446">
        <f>+(V59/V$55)</f>
        <v/>
      </c>
      <c r="W66" s="446">
        <f>+(W59/W$55)</f>
        <v/>
      </c>
      <c r="X66" s="446">
        <f>+(X59/X$55)</f>
        <v/>
      </c>
      <c r="Y66" s="446">
        <f>+(Y59/Y$55)</f>
        <v/>
      </c>
      <c r="Z66" s="446">
        <f>+(Z59/Z$55)</f>
        <v/>
      </c>
      <c r="AA66" s="446">
        <f>+(AA59/AA$55)</f>
        <v/>
      </c>
      <c r="AB66" s="446">
        <f>+(AB59/AB$55)</f>
        <v/>
      </c>
      <c r="AC66" s="446">
        <f>+(AC59/AC$55)</f>
        <v/>
      </c>
      <c r="AD66" s="446">
        <f>+(AD59/AD$55)</f>
        <v/>
      </c>
      <c r="AE66" s="446">
        <f>+(AE59/AE$55)</f>
        <v/>
      </c>
      <c r="AF66" s="446">
        <f>+(AF59/AF$55)</f>
        <v/>
      </c>
      <c r="AG66" s="446">
        <f>+(AG59/AG$55)</f>
        <v/>
      </c>
      <c r="AH66" s="446">
        <f>+(AH59/AH$55)</f>
        <v/>
      </c>
      <c r="AI66" s="446">
        <f>+(AI59/AI$55)</f>
        <v/>
      </c>
      <c r="AJ66" s="446">
        <f>+(AJ59/AJ$55)</f>
        <v/>
      </c>
      <c r="AK66" s="446">
        <f>+(AK59/AK$55)</f>
        <v/>
      </c>
      <c r="AL66" s="446">
        <f>+(AL59/AL$55)</f>
        <v/>
      </c>
      <c r="AM66" s="446">
        <f>+(AM59/AM$55)</f>
        <v/>
      </c>
      <c r="AN66" s="446">
        <f>+(AN59/AN$55)</f>
        <v/>
      </c>
    </row>
    <row r="67">
      <c r="A67" s="43" t="n"/>
      <c r="S67" s="446" t="n"/>
      <c r="T67" s="446" t="n"/>
      <c r="U67" s="446" t="n"/>
      <c r="V67" s="446" t="n"/>
      <c r="W67" s="446" t="n"/>
      <c r="X67" s="446" t="n"/>
      <c r="Y67" s="446" t="n"/>
      <c r="Z67" s="446" t="n"/>
      <c r="AA67" s="446" t="n"/>
      <c r="AB67" s="446" t="n"/>
      <c r="AC67" s="446" t="n"/>
      <c r="AD67" s="446" t="n"/>
      <c r="AE67" s="446" t="n"/>
      <c r="AF67" s="446" t="n"/>
      <c r="AG67" s="446" t="n"/>
      <c r="AH67" s="446" t="n"/>
      <c r="AI67" s="446" t="n"/>
      <c r="AJ67" s="446" t="n"/>
      <c r="AK67" s="446" t="n"/>
      <c r="AL67" s="446" t="n"/>
      <c r="AM67" s="446" t="n"/>
      <c r="AN67" s="446" t="n"/>
    </row>
    <row r="68" customFormat="1" s="526">
      <c r="A68" s="88" t="inlineStr">
        <is>
          <t>Fuel costs</t>
        </is>
      </c>
      <c r="B68" s="643" t="n"/>
      <c r="C68" s="643" t="n"/>
      <c r="D68" s="643" t="n"/>
      <c r="E68" s="643" t="n"/>
      <c r="F68" s="643" t="n"/>
      <c r="G68" s="643" t="n"/>
      <c r="H68" s="643" t="n"/>
      <c r="I68" s="643" t="n"/>
      <c r="J68" s="643" t="n"/>
      <c r="K68" s="643" t="n"/>
      <c r="L68" s="643" t="n"/>
      <c r="M68" s="643" t="n"/>
      <c r="N68" s="643" t="n"/>
      <c r="O68" s="643" t="n"/>
      <c r="P68" s="643" t="n"/>
      <c r="Q68" s="643" t="n"/>
      <c r="R68" s="643" t="n"/>
      <c r="S68" s="643" t="n"/>
      <c r="T68" s="643" t="n"/>
      <c r="U68" s="643" t="n"/>
      <c r="V68" s="643" t="n"/>
      <c r="W68" s="643" t="n"/>
      <c r="X68" s="643" t="n"/>
      <c r="Y68" s="643" t="n"/>
      <c r="Z68" s="643" t="n"/>
      <c r="AA68" s="643" t="n"/>
      <c r="AB68" s="643" t="n"/>
      <c r="AC68" s="643" t="n"/>
      <c r="AD68" s="643" t="n"/>
      <c r="AE68" s="643" t="n"/>
      <c r="AF68" s="643" t="n"/>
      <c r="AG68" s="643" t="n"/>
      <c r="AH68" s="643" t="n"/>
      <c r="AI68" s="643" t="n"/>
      <c r="AJ68" s="643" t="n"/>
      <c r="AK68" s="643" t="n"/>
      <c r="AL68" s="643" t="n"/>
      <c r="AM68" s="643" t="n"/>
      <c r="AN68" s="643" t="n"/>
    </row>
    <row r="69" customFormat="1" s="62">
      <c r="A69" s="221" t="inlineStr">
        <is>
          <t>Total fuel costs</t>
        </is>
      </c>
      <c r="B69" s="597">
        <f>SOC!B6</f>
        <v/>
      </c>
      <c r="C69" s="597">
        <f>SOC!C6</f>
        <v/>
      </c>
      <c r="D69" s="597">
        <f>SOC!D6</f>
        <v/>
      </c>
      <c r="E69" s="597">
        <f>SOC!E6</f>
        <v/>
      </c>
      <c r="F69" s="597">
        <f>SOC!F6</f>
        <v/>
      </c>
      <c r="G69" s="597">
        <f>SOC!G6</f>
        <v/>
      </c>
      <c r="H69" s="597">
        <f>SOC!H6</f>
        <v/>
      </c>
      <c r="I69" s="597">
        <f>SOC!I6</f>
        <v/>
      </c>
      <c r="J69" s="597">
        <f>SOC!J6</f>
        <v/>
      </c>
      <c r="K69" s="597">
        <f>SOC!K6</f>
        <v/>
      </c>
      <c r="L69" s="597">
        <f>SOC!L6</f>
        <v/>
      </c>
      <c r="M69" s="597">
        <f>SOC!M6</f>
        <v/>
      </c>
      <c r="N69" s="597">
        <f>SOC!N6</f>
        <v/>
      </c>
      <c r="O69" s="597">
        <f>SOC!O6</f>
        <v/>
      </c>
      <c r="P69" s="597">
        <f>SOC!P6</f>
        <v/>
      </c>
      <c r="Q69" s="597">
        <f>SOC!Q6</f>
        <v/>
      </c>
      <c r="R69" s="597">
        <f>SOC!R6</f>
        <v/>
      </c>
      <c r="S69" s="597">
        <f>SOC!S6</f>
        <v/>
      </c>
      <c r="T69" s="597">
        <f>SOC!T6</f>
        <v/>
      </c>
      <c r="U69" s="597">
        <f>SOC!U6</f>
        <v/>
      </c>
      <c r="V69" s="597">
        <f>SOC!V6</f>
        <v/>
      </c>
      <c r="W69" s="597">
        <f>SOC!W6</f>
        <v/>
      </c>
      <c r="X69" s="597">
        <f>SOC!X6</f>
        <v/>
      </c>
      <c r="Y69" s="597">
        <f>SOC!Y6</f>
        <v/>
      </c>
      <c r="Z69" s="597">
        <f>SOC!Z6</f>
        <v/>
      </c>
      <c r="AA69" s="597">
        <f>SOC!AA6</f>
        <v/>
      </c>
      <c r="AB69" s="597">
        <f>SOC!AB6</f>
        <v/>
      </c>
      <c r="AC69" s="597">
        <f>SOC!AC6</f>
        <v/>
      </c>
      <c r="AD69" s="597">
        <f>SOC!AD6</f>
        <v/>
      </c>
      <c r="AE69" s="597">
        <f>SOC!AE6</f>
        <v/>
      </c>
      <c r="AF69" s="597">
        <f>SOC!AF6</f>
        <v/>
      </c>
      <c r="AG69" s="597">
        <f>SOC!AG6</f>
        <v/>
      </c>
      <c r="AH69" s="597">
        <f>SOC!AH6</f>
        <v/>
      </c>
      <c r="AI69" s="563">
        <f>AI76+AI82</f>
        <v/>
      </c>
      <c r="AJ69" s="563">
        <f>AJ76+AJ82</f>
        <v/>
      </c>
      <c r="AK69" s="563">
        <f>AK76+AK82</f>
        <v/>
      </c>
      <c r="AL69" s="563">
        <f>AL76+AL82</f>
        <v/>
      </c>
      <c r="AM69" s="563">
        <f>AM76+AM82</f>
        <v/>
      </c>
      <c r="AN69" s="563">
        <f>AN76+AN82</f>
        <v/>
      </c>
    </row>
    <row r="70">
      <c r="A70" s="111" t="inlineStr">
        <is>
          <t>Price per KWh</t>
        </is>
      </c>
      <c r="B70" s="647">
        <f>-B69/('HK Sales'!B38-B56)</f>
        <v/>
      </c>
      <c r="C70" s="647">
        <f>-C69/('HK Sales'!C38-C56)</f>
        <v/>
      </c>
      <c r="D70" s="647">
        <f>-D69/('HK Sales'!D38-D56)</f>
        <v/>
      </c>
      <c r="E70" s="647">
        <f>-E69/('HK Sales'!E38-E56)</f>
        <v/>
      </c>
      <c r="F70" s="647">
        <f>-F69/('HK Sales'!F38-F56)</f>
        <v/>
      </c>
      <c r="G70" s="647">
        <f>-G69/('HK Sales'!G38-G56)</f>
        <v/>
      </c>
      <c r="H70" s="647">
        <f>-H69/('HK Sales'!H38-H56)</f>
        <v/>
      </c>
      <c r="I70" s="647">
        <f>-I69/('HK Sales'!I38-I56)</f>
        <v/>
      </c>
      <c r="J70" s="647">
        <f>-J69/('HK Sales'!J38-J56)</f>
        <v/>
      </c>
      <c r="K70" s="647">
        <f>-K69/('HK Sales'!K38-K56)</f>
        <v/>
      </c>
      <c r="L70" s="647">
        <f>-L69/('HK Sales'!L38-L56)</f>
        <v/>
      </c>
      <c r="M70" s="647">
        <f>-M69/('HK Sales'!M38-M56)</f>
        <v/>
      </c>
      <c r="N70" s="647">
        <f>-N69/('HK Sales'!N38-N56)</f>
        <v/>
      </c>
      <c r="O70" s="647">
        <f>-O69/('HK Sales'!O38-O56)</f>
        <v/>
      </c>
      <c r="P70" s="647">
        <f>-P69/('HK Sales'!P38-P56)</f>
        <v/>
      </c>
      <c r="Q70" s="647">
        <f>-Q69/('HK Sales'!Q38-Q56)</f>
        <v/>
      </c>
      <c r="R70" s="647">
        <f>-R69/('HK Sales'!R38-R56)</f>
        <v/>
      </c>
      <c r="S70" s="647">
        <f>-S69/('HK Sales'!S38-S56)</f>
        <v/>
      </c>
      <c r="T70" s="647">
        <f>-T69/('HK Sales'!T38-T56)</f>
        <v/>
      </c>
      <c r="U70" s="647">
        <f>-U69/('HK Sales'!U38-U56)</f>
        <v/>
      </c>
      <c r="V70" s="647">
        <f>-V69/('HK Sales'!V38-V56)</f>
        <v/>
      </c>
      <c r="W70" s="647">
        <f>-W69/('HK Sales'!W38-W56)</f>
        <v/>
      </c>
      <c r="X70" s="647">
        <f>-X69/('HK Sales'!X38-X56)</f>
        <v/>
      </c>
      <c r="Y70" s="647">
        <f>-Y69/('HK Sales'!Y38-Y56)</f>
        <v/>
      </c>
      <c r="Z70" s="647">
        <f>-Z69/('HK Sales'!Z38-Z56)</f>
        <v/>
      </c>
      <c r="AA70" s="647">
        <f>-AA69/('HK Sales'!AA38-AA56)</f>
        <v/>
      </c>
      <c r="AB70" s="647">
        <f>-AB69/('HK Sales'!AB38-AB56)</f>
        <v/>
      </c>
      <c r="AC70" s="647">
        <f>-AC69/('HK Sales'!AC38-AC56)</f>
        <v/>
      </c>
      <c r="AD70" s="647">
        <f>-AD69/('HK Sales'!AD38-AD56)</f>
        <v/>
      </c>
      <c r="AE70" s="647">
        <f>-AE69/('HK Sales'!AE38-AE56)</f>
        <v/>
      </c>
      <c r="AF70" s="647">
        <f>-AF69/('HK Sales'!AF38-AF56)</f>
        <v/>
      </c>
      <c r="AG70" s="647">
        <f>-AG69/('HK Sales'!AG38-AG56)</f>
        <v/>
      </c>
      <c r="AH70" s="647">
        <f>-AH69/('HK Sales'!AH38-AH56)</f>
        <v/>
      </c>
      <c r="AI70" s="647">
        <f>-AI69/('HK Sales'!AI38-AI56)</f>
        <v/>
      </c>
      <c r="AJ70" s="647">
        <f>-AJ69/('HK Sales'!AJ38-AJ56)</f>
        <v/>
      </c>
      <c r="AK70" s="647">
        <f>-AK69/('HK Sales'!AK38-AK56)</f>
        <v/>
      </c>
      <c r="AL70" s="647">
        <f>-AL69/('HK Sales'!AL38-AL56)</f>
        <v/>
      </c>
      <c r="AM70" s="647">
        <f>-AM69/('HK Sales'!AM38-AM56)</f>
        <v/>
      </c>
      <c r="AN70" s="647">
        <f>-AN69/('HK Sales'!AN38-AN56)</f>
        <v/>
      </c>
    </row>
    <row r="71">
      <c r="A71" s="62" t="inlineStr">
        <is>
          <t>Unit fuel costs by fuel type (HK$/kWh)</t>
        </is>
      </c>
      <c r="X71" s="43" t="n"/>
      <c r="Y71" s="446" t="n"/>
    </row>
    <row r="72">
      <c r="A72" s="43" t="inlineStr">
        <is>
          <t xml:space="preserve">   Nuclear</t>
        </is>
      </c>
      <c r="R72" s="232" t="n"/>
      <c r="S72" s="232">
        <f>+S46</f>
        <v/>
      </c>
      <c r="T72" s="232">
        <f>+T46</f>
        <v/>
      </c>
      <c r="U72" s="232">
        <f>+U46</f>
        <v/>
      </c>
      <c r="V72" s="232">
        <f>+V46</f>
        <v/>
      </c>
      <c r="W72" s="232">
        <f>+W46</f>
        <v/>
      </c>
      <c r="X72" s="232">
        <f>+X46</f>
        <v/>
      </c>
      <c r="Y72" s="232">
        <f>+Y46</f>
        <v/>
      </c>
      <c r="Z72" s="232">
        <f>+Z46</f>
        <v/>
      </c>
      <c r="AA72" s="232">
        <f>+AA46</f>
        <v/>
      </c>
      <c r="AB72" s="232">
        <f>+AB46</f>
        <v/>
      </c>
      <c r="AC72" s="232">
        <f>+AC46</f>
        <v/>
      </c>
      <c r="AD72" s="232">
        <f>+AD46</f>
        <v/>
      </c>
      <c r="AE72" s="232">
        <f>+AE46</f>
        <v/>
      </c>
      <c r="AF72" s="232">
        <f>+AF46</f>
        <v/>
      </c>
      <c r="AG72" s="232">
        <f>+AG46</f>
        <v/>
      </c>
      <c r="AH72" s="232">
        <f>+AH46</f>
        <v/>
      </c>
      <c r="AI72" s="232">
        <f>+AI46</f>
        <v/>
      </c>
      <c r="AJ72" s="232">
        <f>+AJ46</f>
        <v/>
      </c>
      <c r="AK72" s="232">
        <f>+AK46</f>
        <v/>
      </c>
      <c r="AL72" s="232">
        <f>+AL46</f>
        <v/>
      </c>
      <c r="AM72" s="232">
        <f>+AM46</f>
        <v/>
      </c>
      <c r="AN72" s="232">
        <f>+AN46</f>
        <v/>
      </c>
    </row>
    <row r="73">
      <c r="A73" s="43" t="inlineStr">
        <is>
          <t xml:space="preserve">   Gas</t>
        </is>
      </c>
      <c r="R73" s="442" t="n"/>
      <c r="S73" s="442">
        <f>-S82/S58</f>
        <v/>
      </c>
      <c r="T73" s="442">
        <f>-T82/T58</f>
        <v/>
      </c>
      <c r="U73" s="442">
        <f>-U82/U58</f>
        <v/>
      </c>
      <c r="V73" s="442">
        <f>-V82/V58</f>
        <v/>
      </c>
      <c r="W73" s="442">
        <f>-W82/W58</f>
        <v/>
      </c>
      <c r="X73" s="442">
        <f>-X82/X58</f>
        <v/>
      </c>
      <c r="Y73" s="442">
        <f>-Y82/Y58</f>
        <v/>
      </c>
      <c r="Z73" s="442">
        <f>-Z82/Z58</f>
        <v/>
      </c>
      <c r="AA73" s="442">
        <f>-AA82/AA58</f>
        <v/>
      </c>
      <c r="AB73" s="442">
        <f>-AB82/AB58</f>
        <v/>
      </c>
      <c r="AC73" s="442">
        <f>-AC82/AC58</f>
        <v/>
      </c>
      <c r="AD73" s="442">
        <f>-AD82/AD58</f>
        <v/>
      </c>
      <c r="AE73" s="442">
        <f>-AE82/AE58</f>
        <v/>
      </c>
      <c r="AF73" s="442">
        <f>-AF82/AF58</f>
        <v/>
      </c>
      <c r="AG73" s="442">
        <f>-AG82/AG58</f>
        <v/>
      </c>
      <c r="AH73" s="442">
        <f>-AH82/AH58</f>
        <v/>
      </c>
      <c r="AI73" s="442">
        <f>-AI82/AI58</f>
        <v/>
      </c>
      <c r="AJ73" s="442">
        <f>-AJ82/AJ58</f>
        <v/>
      </c>
      <c r="AK73" s="442">
        <f>-AK82/AK58</f>
        <v/>
      </c>
      <c r="AL73" s="442">
        <f>-AL82/AL58</f>
        <v/>
      </c>
      <c r="AM73" s="442">
        <f>-AM82/AM58</f>
        <v/>
      </c>
      <c r="AN73" s="442">
        <f>-AN82/AN58</f>
        <v/>
      </c>
    </row>
    <row r="74">
      <c r="A74" s="43" t="inlineStr">
        <is>
          <t xml:space="preserve">   Coal</t>
        </is>
      </c>
      <c r="S74" s="442">
        <f>-S76/S59</f>
        <v/>
      </c>
      <c r="T74" s="442">
        <f>-T76/T59</f>
        <v/>
      </c>
      <c r="U74" s="442">
        <f>-U76/U59</f>
        <v/>
      </c>
      <c r="V74" s="442">
        <f>-V76/V59</f>
        <v/>
      </c>
      <c r="W74" s="442">
        <f>-W76/W59</f>
        <v/>
      </c>
      <c r="X74" s="442">
        <f>-X76/X59</f>
        <v/>
      </c>
      <c r="Y74" s="442">
        <f>-Y76/Y59</f>
        <v/>
      </c>
      <c r="Z74" s="442">
        <f>-Z76/Z59</f>
        <v/>
      </c>
      <c r="AA74" s="442">
        <f>-AA76/AA59</f>
        <v/>
      </c>
      <c r="AB74" s="442">
        <f>-AB76/AB59</f>
        <v/>
      </c>
      <c r="AC74" s="442">
        <f>-AC76/AC59</f>
        <v/>
      </c>
      <c r="AD74" s="442">
        <f>-AD76/AD59</f>
        <v/>
      </c>
      <c r="AE74" s="442">
        <f>-AE76/AE59</f>
        <v/>
      </c>
      <c r="AF74" s="442">
        <f>-AF76/AF59</f>
        <v/>
      </c>
      <c r="AG74" s="442">
        <f>-AG76/AG59</f>
        <v/>
      </c>
      <c r="AH74" s="442">
        <f>-AH76/AH59</f>
        <v/>
      </c>
      <c r="AI74" s="442">
        <f>-AI76/AI59</f>
        <v/>
      </c>
      <c r="AJ74" s="442">
        <f>-AJ76/AJ59</f>
        <v/>
      </c>
      <c r="AK74" s="442">
        <f>-AK76/AK59</f>
        <v/>
      </c>
      <c r="AL74" s="442">
        <f>-AL76/AL59</f>
        <v/>
      </c>
      <c r="AM74" s="442">
        <f>-AM76/AM59</f>
        <v/>
      </c>
      <c r="AN74" s="442">
        <f>-AN76/AN59</f>
        <v/>
      </c>
    </row>
    <row r="75">
      <c r="A75" s="62" t="n"/>
      <c r="O75" s="512" t="n"/>
      <c r="P75" s="526" t="n"/>
      <c r="Q75" s="526" t="n"/>
      <c r="R75" s="526" t="n"/>
      <c r="S75" s="526" t="n"/>
      <c r="T75" s="526" t="n"/>
      <c r="U75" s="526" t="n"/>
      <c r="V75" s="526" t="n"/>
      <c r="W75" s="526" t="n"/>
      <c r="X75" s="526" t="n"/>
      <c r="Y75" s="567" t="n"/>
      <c r="Z75" s="526" t="n"/>
      <c r="AA75" s="526" t="n"/>
      <c r="AB75" s="526" t="n"/>
      <c r="AC75" s="526" t="n"/>
      <c r="AD75" s="526" t="n"/>
      <c r="AE75" s="526" t="n"/>
      <c r="AF75" s="526" t="n"/>
      <c r="AG75" s="526" t="n"/>
      <c r="AH75" s="526" t="n"/>
      <c r="AI75" s="526" t="n"/>
      <c r="AJ75" s="526" t="n"/>
      <c r="AK75" s="526" t="n"/>
      <c r="AL75" s="526" t="n"/>
      <c r="AM75" s="526" t="n"/>
      <c r="AN75" s="526" t="n"/>
    </row>
    <row r="76" customFormat="1" s="62">
      <c r="A76" s="409" t="inlineStr">
        <is>
          <t>Total cost of coal</t>
        </is>
      </c>
      <c r="O76" s="597" t="n"/>
      <c r="P76" s="597" t="n"/>
      <c r="Q76" s="597" t="n"/>
      <c r="R76" s="597" t="n"/>
      <c r="S76" s="597">
        <f>+S69-S82</f>
        <v/>
      </c>
      <c r="T76" s="597">
        <f>+T69-T82</f>
        <v/>
      </c>
      <c r="U76" s="597">
        <f>+U69-U82</f>
        <v/>
      </c>
      <c r="V76" s="597">
        <f>+V69-V82</f>
        <v/>
      </c>
      <c r="W76" s="597">
        <f>+W69-W82</f>
        <v/>
      </c>
      <c r="X76" s="597">
        <f>+X69-X82</f>
        <v/>
      </c>
      <c r="Y76" s="597" t="n">
        <v>-3419</v>
      </c>
      <c r="Z76" s="597" t="n">
        <v>-2832</v>
      </c>
      <c r="AA76" s="597" t="n">
        <v>-3770</v>
      </c>
      <c r="AB76" s="597" t="n">
        <v>-4613</v>
      </c>
      <c r="AC76" s="597" t="n">
        <v>-3654</v>
      </c>
      <c r="AD76" s="597" t="n">
        <v>-1270</v>
      </c>
      <c r="AE76" s="597" t="n">
        <v>-2486</v>
      </c>
      <c r="AF76" s="597" t="n">
        <v>-6288</v>
      </c>
      <c r="AG76" s="597" t="n">
        <v>-4671</v>
      </c>
      <c r="AH76" s="597" t="n">
        <v>-2608</v>
      </c>
      <c r="AI76" s="613">
        <f>-AI77*AI80*7.8*AI59/1000000</f>
        <v/>
      </c>
      <c r="AJ76" s="613">
        <f>-AJ77*AJ80*7.8*AJ59/1000000</f>
        <v/>
      </c>
      <c r="AK76" s="613">
        <f>-AK77*AK80*7.8*AK59/1000000</f>
        <v/>
      </c>
      <c r="AL76" s="613">
        <f>-AL77*AL80*7.8*AL59/1000000</f>
        <v/>
      </c>
      <c r="AM76" s="613">
        <f>-AM77*AM80*7.8*AM59/1000000</f>
        <v/>
      </c>
      <c r="AN76" s="613">
        <f>-AN77*AN80*7.8*AN59/1000000</f>
        <v/>
      </c>
    </row>
    <row r="77">
      <c r="A77" s="43" t="inlineStr">
        <is>
          <t>Coal cost (US$/t)</t>
        </is>
      </c>
      <c r="O77" s="526" t="n"/>
      <c r="P77" s="526" t="n"/>
      <c r="Q77" s="526" t="n"/>
      <c r="R77" s="526" t="n"/>
      <c r="S77" s="526">
        <f>-S76/S79/7.8</f>
        <v/>
      </c>
      <c r="T77" s="526">
        <f>-T76/T79/7.8</f>
        <v/>
      </c>
      <c r="U77" s="526">
        <f>-U76/U79/7.8</f>
        <v/>
      </c>
      <c r="V77" s="526">
        <f>-V76/V79/7.8</f>
        <v/>
      </c>
      <c r="W77" s="526">
        <f>-W76/W79/7.8</f>
        <v/>
      </c>
      <c r="X77" s="526">
        <f>-X76/X79/7.8</f>
        <v/>
      </c>
      <c r="Y77" s="526">
        <f>-Y76/Y79/7.8</f>
        <v/>
      </c>
      <c r="Z77" s="526">
        <f>-Z76/Z79/7.8</f>
        <v/>
      </c>
      <c r="AA77" s="526">
        <f>-AA76/AA79/7.8</f>
        <v/>
      </c>
      <c r="AB77" s="526">
        <f>-AB76/AB79/7.8</f>
        <v/>
      </c>
      <c r="AC77" s="526">
        <f>-AC76/AC79/7.8</f>
        <v/>
      </c>
      <c r="AD77" s="526">
        <f>-AD76/AD79/7.8</f>
        <v/>
      </c>
      <c r="AE77" s="526">
        <f>-AE76/AE79/7.8</f>
        <v/>
      </c>
      <c r="AF77" s="526">
        <f>-AF76/AF79/7.8</f>
        <v/>
      </c>
      <c r="AG77" s="526">
        <f>-AG76/AG79/7.8</f>
        <v/>
      </c>
      <c r="AH77" s="526">
        <f>-AH76/AH79/7.8</f>
        <v/>
      </c>
      <c r="AI77" s="581">
        <f>+AH77/80*82</f>
        <v/>
      </c>
      <c r="AJ77" s="581">
        <f>+AI77</f>
        <v/>
      </c>
      <c r="AK77" s="581">
        <f>+AJ77</f>
        <v/>
      </c>
      <c r="AL77" s="581">
        <f>+AK77</f>
        <v/>
      </c>
      <c r="AM77" s="581">
        <f>+AL77</f>
        <v/>
      </c>
      <c r="AN77" s="581">
        <f>+AM77</f>
        <v/>
      </c>
    </row>
    <row r="78">
      <c r="A78" s="43" t="inlineStr">
        <is>
          <t>Consumption of coal (TJ)</t>
        </is>
      </c>
      <c r="O78" s="526" t="n"/>
      <c r="P78" s="526" t="n"/>
      <c r="Q78" s="526" t="n"/>
      <c r="R78" s="526" t="n"/>
      <c r="S78" s="526" t="n">
        <v>169753</v>
      </c>
      <c r="T78" s="526" t="n">
        <v>148229</v>
      </c>
      <c r="U78" s="526" t="n">
        <v>188407</v>
      </c>
      <c r="V78" s="526" t="n">
        <v>182651</v>
      </c>
      <c r="W78" s="512" t="n">
        <v>205198</v>
      </c>
      <c r="X78" s="512" t="n">
        <v>215367</v>
      </c>
      <c r="Y78" s="512" t="n">
        <v>161988</v>
      </c>
      <c r="Z78" s="512" t="n">
        <v>160661</v>
      </c>
      <c r="AA78" s="512" t="n">
        <v>148065</v>
      </c>
      <c r="AB78" s="512" t="n">
        <v>150310</v>
      </c>
      <c r="AC78" s="512" t="n">
        <v>141830</v>
      </c>
      <c r="AD78" s="512" t="n">
        <v>63505</v>
      </c>
      <c r="AE78" s="512" t="n">
        <v>75307</v>
      </c>
      <c r="AF78" s="512" t="n">
        <v>77172</v>
      </c>
      <c r="AG78" s="512" t="n">
        <v>76699</v>
      </c>
      <c r="AH78" s="512" t="n">
        <v>69394</v>
      </c>
      <c r="AI78" s="528">
        <f>+AI80*AI59/34.1208</f>
        <v/>
      </c>
      <c r="AJ78" s="528">
        <f>+AJ80*AJ59/34.1208</f>
        <v/>
      </c>
      <c r="AK78" s="528">
        <f>+AK80*AK59/34.1208</f>
        <v/>
      </c>
      <c r="AL78" s="528">
        <f>+AL80*AL59/34.1208</f>
        <v/>
      </c>
      <c r="AM78" s="528">
        <f>+AM80*AM59/34.1208</f>
        <v/>
      </c>
      <c r="AN78" s="528">
        <f>+AN80*AN59/34.1208</f>
        <v/>
      </c>
    </row>
    <row r="79">
      <c r="A79" s="43" t="inlineStr">
        <is>
          <t>Consumption of coal (mt)</t>
        </is>
      </c>
      <c r="P79" s="207" t="n"/>
      <c r="Q79" s="207" t="n"/>
      <c r="R79" s="207" t="n"/>
      <c r="S79" s="653">
        <f>+S78*34.1208/1000000</f>
        <v/>
      </c>
      <c r="T79" s="653">
        <f>+T78*34.1208/1000000</f>
        <v/>
      </c>
      <c r="U79" s="653">
        <f>+U78*34.1208/1000000</f>
        <v/>
      </c>
      <c r="V79" s="653">
        <f>+V78*34.1208/1000000</f>
        <v/>
      </c>
      <c r="W79" s="653">
        <f>+W78*34.1208/1000000</f>
        <v/>
      </c>
      <c r="X79" s="653">
        <f>+X78*34.1208/1000000</f>
        <v/>
      </c>
      <c r="Y79" s="653">
        <f>+Y78*34.1208/1000000</f>
        <v/>
      </c>
      <c r="Z79" s="653">
        <f>+Z78*34.1208/1000000</f>
        <v/>
      </c>
      <c r="AA79" s="653">
        <f>+AA78*34.1208/1000000</f>
        <v/>
      </c>
      <c r="AB79" s="653">
        <f>+AB78*34.1208/1000000</f>
        <v/>
      </c>
      <c r="AC79" s="653">
        <f>+AC78*34.1208/1000000</f>
        <v/>
      </c>
      <c r="AD79" s="653">
        <f>+AD78*34.1208/1000000</f>
        <v/>
      </c>
      <c r="AE79" s="653">
        <f>+AE78*34.1208/1000000</f>
        <v/>
      </c>
      <c r="AF79" s="653">
        <f>+AF80*AF59/1000000</f>
        <v/>
      </c>
      <c r="AG79" s="653">
        <f>+AG80*AG59/1000000</f>
        <v/>
      </c>
      <c r="AH79" s="653">
        <f>+AH80*AH59/1000000</f>
        <v/>
      </c>
      <c r="AI79" s="653">
        <f>+AI80*AI59/1000000</f>
        <v/>
      </c>
      <c r="AJ79" s="653">
        <f>+AJ80*AJ59/1000000</f>
        <v/>
      </c>
      <c r="AK79" s="653">
        <f>+AK80*AK59/1000000</f>
        <v/>
      </c>
      <c r="AL79" s="653">
        <f>+AL80*AL59/1000000</f>
        <v/>
      </c>
      <c r="AM79" s="653">
        <f>+AM80*AM59/1000000</f>
        <v/>
      </c>
      <c r="AN79" s="653">
        <f>+AN80*AN59/1000000</f>
        <v/>
      </c>
    </row>
    <row r="80">
      <c r="A80" s="43" t="inlineStr">
        <is>
          <t>Coal consumption, output based (g/kWh)</t>
        </is>
      </c>
      <c r="P80" s="207" t="n"/>
      <c r="Q80" s="207" t="n"/>
      <c r="R80" s="207" t="n"/>
      <c r="S80" s="526">
        <f>++S78*34.1208/S59</f>
        <v/>
      </c>
      <c r="T80" s="526">
        <f>++T78*34.1208/T59</f>
        <v/>
      </c>
      <c r="U80" s="526">
        <f>++U78*34.1208/U59</f>
        <v/>
      </c>
      <c r="V80" s="526">
        <f>++V78*34.1208/V59</f>
        <v/>
      </c>
      <c r="W80" s="526">
        <f>++W78*34.1208/W59</f>
        <v/>
      </c>
      <c r="X80" s="526">
        <f>++X78*34.1208/X59</f>
        <v/>
      </c>
      <c r="Y80" s="526">
        <f>++Y78*34.1208/Y59</f>
        <v/>
      </c>
      <c r="Z80" s="526">
        <f>++Z78*34.1208/Z59</f>
        <v/>
      </c>
      <c r="AA80" s="526">
        <f>++AA78*34.1208/AA59</f>
        <v/>
      </c>
      <c r="AB80" s="526">
        <f>++AB78*34.1208/AB59</f>
        <v/>
      </c>
      <c r="AC80" s="526">
        <f>++AC78*34.1208/AC59</f>
        <v/>
      </c>
      <c r="AD80" s="526">
        <f>++AD78*34.1208/AD59</f>
        <v/>
      </c>
      <c r="AE80" s="526">
        <f>++AE78*34.1208/AE59</f>
        <v/>
      </c>
      <c r="AF80" s="526">
        <f>++AF78*34.1208/AF59</f>
        <v/>
      </c>
      <c r="AG80" s="526">
        <f>++AG78*34.1208/AG59</f>
        <v/>
      </c>
      <c r="AH80" s="526">
        <f>++AH78*34.1208/AH59</f>
        <v/>
      </c>
      <c r="AI80" s="618">
        <f>+AH80</f>
        <v/>
      </c>
      <c r="AJ80" s="618">
        <f>+AI80</f>
        <v/>
      </c>
      <c r="AK80" s="618">
        <f>+AJ80</f>
        <v/>
      </c>
      <c r="AL80" s="618">
        <f>+AK80</f>
        <v/>
      </c>
      <c r="AM80" s="618">
        <f>+AL80</f>
        <v/>
      </c>
      <c r="AN80" s="618">
        <f>+AM80</f>
        <v/>
      </c>
    </row>
    <row r="81">
      <c r="A81" s="43" t="n"/>
      <c r="Q81" s="220" t="n"/>
      <c r="R81" s="220" t="n"/>
      <c r="S81" s="442" t="n"/>
      <c r="T81" s="442" t="n"/>
      <c r="U81" s="442" t="n"/>
      <c r="V81" s="442" t="n"/>
      <c r="W81" s="442" t="n"/>
      <c r="X81" s="442" t="n"/>
      <c r="Y81" s="43" t="n"/>
      <c r="Z81" s="43" t="n"/>
    </row>
    <row r="82" customFormat="1" s="62">
      <c r="A82" s="409" t="inlineStr">
        <is>
          <t>Total cost of gas</t>
        </is>
      </c>
      <c r="S82" s="597">
        <f>-S83*7.8*S91*947.81712031332/1000000</f>
        <v/>
      </c>
      <c r="T82" s="597">
        <f>-T83*7.8*T91*947.81712031332/1000000</f>
        <v/>
      </c>
      <c r="U82" s="597">
        <f>-U83*7.8*U91*947.81712031332/1000000</f>
        <v/>
      </c>
      <c r="V82" s="597">
        <f>-V83*7.8*V91*947.81712031332/1000000</f>
        <v/>
      </c>
      <c r="W82" s="597">
        <f>-W83*7.8*W91*947.81712031332/1000000</f>
        <v/>
      </c>
      <c r="X82" s="597">
        <f>-X83*7.8*X91*947.81712031332/1000000</f>
        <v/>
      </c>
      <c r="Y82" s="597">
        <f>+Y69-Y76</f>
        <v/>
      </c>
      <c r="Z82" s="597">
        <f>+Z69-Z76</f>
        <v/>
      </c>
      <c r="AA82" s="597">
        <f>+AA69-AA76</f>
        <v/>
      </c>
      <c r="AB82" s="597">
        <f>+AB69-AB76</f>
        <v/>
      </c>
      <c r="AC82" s="597">
        <f>+AC69-AC76</f>
        <v/>
      </c>
      <c r="AD82" s="597">
        <f>+AD69-AD76</f>
        <v/>
      </c>
      <c r="AE82" s="597">
        <f>+AE69-AE76</f>
        <v/>
      </c>
      <c r="AF82" s="597">
        <f>+AF69-AF76</f>
        <v/>
      </c>
      <c r="AG82" s="597">
        <f>+AG69-AG76</f>
        <v/>
      </c>
      <c r="AH82" s="597">
        <f>+AH69-AH76</f>
        <v/>
      </c>
      <c r="AI82" s="613">
        <f>-AI83*7.8*AI91*947.81712031332/1000000</f>
        <v/>
      </c>
      <c r="AJ82" s="613">
        <f>-AJ83*7.8*AJ91*947.81712031332/1000000</f>
        <v/>
      </c>
      <c r="AK82" s="613">
        <f>-AK83*7.8*AK91*947.81712031332/1000000</f>
        <v/>
      </c>
      <c r="AL82" s="613">
        <f>-AL83*7.8*AL91*947.81712031332/1000000</f>
        <v/>
      </c>
      <c r="AM82" s="613">
        <f>-AM83*7.8*AM91*947.81712031332/1000000</f>
        <v/>
      </c>
      <c r="AN82" s="613">
        <f>-AN83*7.8*AN91*947.81712031332/1000000</f>
        <v/>
      </c>
    </row>
    <row r="83">
      <c r="A83" s="43" t="inlineStr">
        <is>
          <t>Gas cost (US$/mmbtu)</t>
        </is>
      </c>
      <c r="S83" s="654" t="n">
        <v>6</v>
      </c>
      <c r="T83" s="654" t="n">
        <v>6</v>
      </c>
      <c r="U83" s="654" t="n">
        <v>6</v>
      </c>
      <c r="V83" s="654">
        <f>+SUMPRODUCT(V84:V86,V88:V90)</f>
        <v/>
      </c>
      <c r="W83" s="654">
        <f>+SUMPRODUCT(W84:W86,W88:W90)</f>
        <v/>
      </c>
      <c r="X83" s="654">
        <f>+SUMPRODUCT(X84:X86,X88:X90)</f>
        <v/>
      </c>
      <c r="Y83" s="655">
        <f>-Y82/(7.8*Y91*947.81712031332/1000000)</f>
        <v/>
      </c>
      <c r="Z83" s="655">
        <f>-Z82/(7.8*Z91*947.81712031332/1000000)</f>
        <v/>
      </c>
      <c r="AA83" s="655">
        <f>-AA82/(7.8*AA91*947.81712031332/1000000)</f>
        <v/>
      </c>
      <c r="AB83" s="655">
        <f>-AB82/(7.8*AB91*947.81712031332/1000000)</f>
        <v/>
      </c>
      <c r="AC83" s="655">
        <f>-AC82/(7.8*AC91*947.81712031332/1000000)</f>
        <v/>
      </c>
      <c r="AD83" s="655">
        <f>-AD82/(7.8*AD91*947.81712031332/1000000)</f>
        <v/>
      </c>
      <c r="AE83" s="655">
        <f>-AE82/(7.8*AE91*947.81712031332/1000000)</f>
        <v/>
      </c>
      <c r="AF83" s="655">
        <f>-AF82/(7.8*AF91*947.81712031332/1000000)</f>
        <v/>
      </c>
      <c r="AG83" s="655">
        <f>-AG82/(7.8*AG91*947.81712031332/1000000)</f>
        <v/>
      </c>
      <c r="AH83" s="655">
        <f>-AH82/(7.8*AH91*947.81712031332/1000000)</f>
        <v/>
      </c>
      <c r="AI83" s="654">
        <f>+SUMPRODUCT(AI84:AI86,AI88:AI90)</f>
        <v/>
      </c>
      <c r="AJ83" s="654">
        <f>+SUMPRODUCT(AJ84:AJ86,AJ88:AJ90)</f>
        <v/>
      </c>
      <c r="AK83" s="654">
        <f>+SUMPRODUCT(AK84:AK86,AK88:AK90)</f>
        <v/>
      </c>
      <c r="AL83" s="654">
        <f>+SUMPRODUCT(AL84:AL86,AL88:AL90)</f>
        <v/>
      </c>
      <c r="AM83" s="654">
        <f>+SUMPRODUCT(AM84:AM86,AM88:AM90)</f>
        <v/>
      </c>
      <c r="AN83" s="654">
        <f>+SUMPRODUCT(AN84:AN86,AN88:AN90)</f>
        <v/>
      </c>
    </row>
    <row r="84">
      <c r="A84" s="43" t="inlineStr">
        <is>
          <t xml:space="preserve">   Yacheng (US$/mmbtu)</t>
        </is>
      </c>
      <c r="S84" s="654" t="n"/>
      <c r="T84" s="654" t="n"/>
      <c r="U84" s="654" t="n"/>
      <c r="V84" s="654" t="n">
        <v>6.5</v>
      </c>
      <c r="W84" s="654">
        <f>+V84</f>
        <v/>
      </c>
      <c r="X84" s="654">
        <f>+W84</f>
        <v/>
      </c>
      <c r="Y84" s="654">
        <f>+X84</f>
        <v/>
      </c>
      <c r="Z84" s="654">
        <f>+Y84</f>
        <v/>
      </c>
      <c r="AA84" s="654" t="n">
        <v>10</v>
      </c>
      <c r="AB84" s="654" t="n">
        <v>12</v>
      </c>
      <c r="AC84" s="656">
        <f>+AB84</f>
        <v/>
      </c>
      <c r="AD84" s="654">
        <f>+AC84*0.85</f>
        <v/>
      </c>
      <c r="AE84" s="654">
        <f>+AD84</f>
        <v/>
      </c>
      <c r="AF84" s="654">
        <f>+AE84</f>
        <v/>
      </c>
      <c r="AG84" s="654">
        <f>+AF84</f>
        <v/>
      </c>
      <c r="AH84" s="654">
        <f>+AG84</f>
        <v/>
      </c>
      <c r="AI84" s="654">
        <f>+AH84</f>
        <v/>
      </c>
      <c r="AJ84" s="654">
        <f>+AI84</f>
        <v/>
      </c>
      <c r="AK84" s="654">
        <f>+AJ84</f>
        <v/>
      </c>
      <c r="AL84" s="654">
        <f>+AK84</f>
        <v/>
      </c>
      <c r="AM84" s="654">
        <f>+AL84</f>
        <v/>
      </c>
      <c r="AN84" s="654">
        <f>+AM84</f>
        <v/>
      </c>
    </row>
    <row r="85">
      <c r="A85" s="43" t="inlineStr">
        <is>
          <t xml:space="preserve">   South China Sea Gas (US$/mmbtu)</t>
        </is>
      </c>
      <c r="S85" s="654" t="n"/>
      <c r="T85" s="654" t="n"/>
      <c r="U85" s="654" t="n"/>
      <c r="V85" s="654" t="n">
        <v>15</v>
      </c>
      <c r="W85" s="654" t="n">
        <v>15</v>
      </c>
      <c r="X85" s="654" t="n">
        <v>15</v>
      </c>
      <c r="Y85" s="654" t="n">
        <v>13</v>
      </c>
      <c r="Z85" s="654">
        <f>+Y85</f>
        <v/>
      </c>
      <c r="AA85" s="654">
        <f>+Z85</f>
        <v/>
      </c>
      <c r="AB85" s="654">
        <f>+AA85</f>
        <v/>
      </c>
      <c r="AC85" s="656">
        <f>+AB85</f>
        <v/>
      </c>
      <c r="AD85" s="654">
        <f>+AC85*0.85</f>
        <v/>
      </c>
      <c r="AE85" s="654">
        <f>+AD85</f>
        <v/>
      </c>
      <c r="AF85" s="654">
        <f>+AE85</f>
        <v/>
      </c>
      <c r="AG85" s="654">
        <f>+AF85</f>
        <v/>
      </c>
      <c r="AH85" s="654">
        <f>+AG85</f>
        <v/>
      </c>
      <c r="AI85" s="654">
        <f>+AH85</f>
        <v/>
      </c>
      <c r="AJ85" s="654">
        <f>+AI85</f>
        <v/>
      </c>
      <c r="AK85" s="654">
        <f>+AJ85</f>
        <v/>
      </c>
      <c r="AL85" s="654">
        <f>+AK85</f>
        <v/>
      </c>
      <c r="AM85" s="654">
        <f>+AL85</f>
        <v/>
      </c>
      <c r="AN85" s="654">
        <f>+AM85</f>
        <v/>
      </c>
    </row>
    <row r="86">
      <c r="A86" s="43" t="inlineStr">
        <is>
          <t xml:space="preserve">   West-to-East II pipeline (US$/mmbtu)</t>
        </is>
      </c>
      <c r="S86" s="654" t="n"/>
      <c r="T86" s="654" t="n"/>
      <c r="U86" s="654" t="n"/>
      <c r="V86" s="654" t="n">
        <v>19</v>
      </c>
      <c r="W86" s="654" t="n">
        <v>19</v>
      </c>
      <c r="X86" s="654" t="n">
        <v>19</v>
      </c>
      <c r="Y86" s="655">
        <f>+(Y83-Y84*Y88-Y85*Y89)/Y90</f>
        <v/>
      </c>
      <c r="Z86" s="655">
        <f>+(Z83-Z84*Z88-Z85*Z89)/Z90</f>
        <v/>
      </c>
      <c r="AA86" s="655">
        <f>+(AA83-AA84*AA88-AA85*AA89)/AA90</f>
        <v/>
      </c>
      <c r="AB86" s="655">
        <f>+(AB83-AB84*AB88-AB85*AB89)/AB90</f>
        <v/>
      </c>
      <c r="AC86" s="656" t="n">
        <v>17</v>
      </c>
      <c r="AD86" s="654">
        <f>+AC86</f>
        <v/>
      </c>
      <c r="AE86" s="654">
        <f>+AD86</f>
        <v/>
      </c>
      <c r="AF86" s="654">
        <f>+AE86</f>
        <v/>
      </c>
      <c r="AG86" s="654">
        <f>+AF86</f>
        <v/>
      </c>
      <c r="AH86" s="654">
        <f>+AG86</f>
        <v/>
      </c>
      <c r="AI86" s="654">
        <f>+AH86</f>
        <v/>
      </c>
      <c r="AJ86" s="654">
        <f>+AI86</f>
        <v/>
      </c>
      <c r="AK86" s="654">
        <f>+AJ86</f>
        <v/>
      </c>
      <c r="AL86" s="654">
        <f>+AK86</f>
        <v/>
      </c>
      <c r="AM86" s="654">
        <f>+AL86</f>
        <v/>
      </c>
      <c r="AN86" s="654">
        <f>+AM86</f>
        <v/>
      </c>
    </row>
    <row r="87">
      <c r="A87" s="43" t="inlineStr">
        <is>
          <t>% of gas from</t>
        </is>
      </c>
      <c r="S87" s="654" t="n"/>
      <c r="T87" s="654" t="n"/>
      <c r="U87" s="654" t="n"/>
      <c r="V87" s="654" t="n"/>
      <c r="W87" s="655" t="n"/>
      <c r="X87" s="655" t="n"/>
      <c r="Y87" s="655" t="n"/>
      <c r="Z87" s="655" t="n"/>
      <c r="AA87" s="655" t="n"/>
      <c r="AB87" s="655" t="n"/>
      <c r="AC87" s="655" t="n"/>
      <c r="AD87" s="655" t="n"/>
      <c r="AE87" s="655" t="n"/>
      <c r="AF87" s="655" t="n"/>
      <c r="AG87" s="655" t="n"/>
      <c r="AH87" s="655" t="n"/>
      <c r="AI87" s="655" t="n"/>
      <c r="AJ87" s="655" t="n"/>
      <c r="AK87" s="655" t="n"/>
      <c r="AL87" s="655" t="n"/>
      <c r="AM87" s="655" t="n"/>
      <c r="AN87" s="655" t="n"/>
    </row>
    <row r="88">
      <c r="A88" s="43" t="inlineStr">
        <is>
          <t xml:space="preserve">   Yacheng</t>
        </is>
      </c>
      <c r="S88" s="654" t="n"/>
      <c r="T88" s="654" t="n"/>
      <c r="U88" s="76" t="n">
        <v>1</v>
      </c>
      <c r="V88" s="76" t="n">
        <v>0.8</v>
      </c>
      <c r="W88" s="76" t="n">
        <v>0.45</v>
      </c>
      <c r="X88" s="76" t="n">
        <v>0.3</v>
      </c>
      <c r="Y88" s="76" t="n">
        <v>0.15</v>
      </c>
      <c r="Z88" s="76" t="n">
        <v>0.15</v>
      </c>
      <c r="AA88" s="76" t="n">
        <v>0.17</v>
      </c>
      <c r="AB88" s="76" t="n">
        <v>0.15</v>
      </c>
      <c r="AC88" s="456">
        <f>+AB88</f>
        <v/>
      </c>
      <c r="AD88" s="255">
        <f>+AC88</f>
        <v/>
      </c>
      <c r="AE88" s="255">
        <f>+AD88</f>
        <v/>
      </c>
      <c r="AF88" s="255">
        <f>+AE88</f>
        <v/>
      </c>
      <c r="AG88" s="255">
        <f>+AF88</f>
        <v/>
      </c>
      <c r="AH88" s="255">
        <f>+AG88</f>
        <v/>
      </c>
      <c r="AI88" s="255">
        <f>+AH88</f>
        <v/>
      </c>
      <c r="AJ88" s="255">
        <f>+AI88</f>
        <v/>
      </c>
      <c r="AK88" s="255">
        <f>+AJ88</f>
        <v/>
      </c>
      <c r="AL88" s="255">
        <f>+AK88</f>
        <v/>
      </c>
      <c r="AM88" s="255">
        <f>+AL88</f>
        <v/>
      </c>
      <c r="AN88" s="255">
        <f>+AM88</f>
        <v/>
      </c>
    </row>
    <row r="89">
      <c r="A89" s="43" t="inlineStr">
        <is>
          <t xml:space="preserve">   South China Sea Gas (short term)</t>
        </is>
      </c>
      <c r="S89" s="654" t="n"/>
      <c r="T89" s="654" t="n"/>
      <c r="U89" s="76" t="n">
        <v>0</v>
      </c>
      <c r="V89" s="76">
        <f>1-V88</f>
        <v/>
      </c>
      <c r="W89" s="76" t="n">
        <v>0.25</v>
      </c>
      <c r="X89" s="76" t="n">
        <v>0.3</v>
      </c>
      <c r="Y89" s="76" t="n">
        <v>0.15</v>
      </c>
      <c r="Z89" s="76" t="n">
        <v>0.1</v>
      </c>
      <c r="AA89" s="76" t="n">
        <v>0.05</v>
      </c>
      <c r="AB89" s="76" t="n">
        <v>0.1</v>
      </c>
      <c r="AC89" s="456">
        <f>+AB89</f>
        <v/>
      </c>
      <c r="AD89" s="255">
        <f>+AC89</f>
        <v/>
      </c>
      <c r="AE89" s="255">
        <f>+AD89</f>
        <v/>
      </c>
      <c r="AF89" s="255" t="n">
        <v>0.3</v>
      </c>
      <c r="AG89" s="255">
        <f>+AF89</f>
        <v/>
      </c>
      <c r="AH89" s="255">
        <f>+AG89</f>
        <v/>
      </c>
      <c r="AI89" s="255">
        <f>+AH89</f>
        <v/>
      </c>
      <c r="AJ89" s="255">
        <f>+AI89</f>
        <v/>
      </c>
      <c r="AK89" s="255">
        <f>+AJ89</f>
        <v/>
      </c>
      <c r="AL89" s="255">
        <f>+AK89</f>
        <v/>
      </c>
      <c r="AM89" s="255">
        <f>+AL89</f>
        <v/>
      </c>
      <c r="AN89" s="255">
        <f>+AM89</f>
        <v/>
      </c>
    </row>
    <row r="90">
      <c r="A90" s="43" t="inlineStr">
        <is>
          <t xml:space="preserve">   West-to-East II pipeline</t>
        </is>
      </c>
      <c r="S90" s="654" t="n"/>
      <c r="T90" s="654" t="n"/>
      <c r="U90" s="76" t="n">
        <v>0</v>
      </c>
      <c r="V90" s="76" t="n">
        <v>0</v>
      </c>
      <c r="W90" s="76" t="n">
        <v>0.3</v>
      </c>
      <c r="X90" s="76" t="n">
        <v>0.4</v>
      </c>
      <c r="Y90" s="76" t="n">
        <v>0.7</v>
      </c>
      <c r="Z90" s="76">
        <f>1-Z89-Z88</f>
        <v/>
      </c>
      <c r="AA90" s="76">
        <f>1-AA89-AA88</f>
        <v/>
      </c>
      <c r="AB90" s="76">
        <f>1-AB89-AB88</f>
        <v/>
      </c>
      <c r="AC90" s="431">
        <f>1-AC89-AC88</f>
        <v/>
      </c>
      <c r="AD90" s="76">
        <f>1-AD89-AD88</f>
        <v/>
      </c>
      <c r="AE90" s="76">
        <f>1-AE89-AE88</f>
        <v/>
      </c>
      <c r="AF90" s="76">
        <f>1-AF89-AF88</f>
        <v/>
      </c>
      <c r="AG90" s="76">
        <f>1-AG89-AG88</f>
        <v/>
      </c>
      <c r="AH90" s="76">
        <f>1-AH89-AH88</f>
        <v/>
      </c>
      <c r="AI90" s="76">
        <f>1-AI89-AI88</f>
        <v/>
      </c>
      <c r="AJ90" s="76">
        <f>1-AJ89-AJ88</f>
        <v/>
      </c>
      <c r="AK90" s="76">
        <f>1-AK89-AK88</f>
        <v/>
      </c>
      <c r="AL90" s="76">
        <f>1-AL89-AL88</f>
        <v/>
      </c>
      <c r="AM90" s="76">
        <f>1-AM89-AM88</f>
        <v/>
      </c>
      <c r="AN90" s="76">
        <f>1-AN89-AN88</f>
        <v/>
      </c>
    </row>
    <row r="91">
      <c r="A91" s="43" t="inlineStr">
        <is>
          <t>Gas consumption (TJ)</t>
        </is>
      </c>
      <c r="S91" s="512" t="n">
        <v>70291</v>
      </c>
      <c r="T91" s="512" t="n">
        <v>82971</v>
      </c>
      <c r="U91" s="512" t="n">
        <v>57639</v>
      </c>
      <c r="V91" s="512" t="n">
        <v>50408</v>
      </c>
      <c r="W91" s="512" t="n">
        <v>45141</v>
      </c>
      <c r="X91" s="512" t="n">
        <v>42433</v>
      </c>
      <c r="Y91" s="512" t="n">
        <v>71406</v>
      </c>
      <c r="Z91" s="512" t="n">
        <v>74559</v>
      </c>
      <c r="AA91" s="512" t="n">
        <v>75807</v>
      </c>
      <c r="AB91" s="512" t="n">
        <v>72969</v>
      </c>
      <c r="AC91" s="512">
        <f>80648+47</f>
        <v/>
      </c>
      <c r="AD91" s="512" t="n">
        <v>131244</v>
      </c>
      <c r="AE91" s="512" t="n">
        <v>132609</v>
      </c>
      <c r="AF91" s="512" t="n">
        <v>128453</v>
      </c>
      <c r="AG91" s="512" t="n">
        <v>135670</v>
      </c>
      <c r="AH91" s="512" t="n">
        <v>146100</v>
      </c>
      <c r="AI91" s="528">
        <f>+AI92*AI58</f>
        <v/>
      </c>
      <c r="AJ91" s="528">
        <f>+AJ92*AJ58</f>
        <v/>
      </c>
      <c r="AK91" s="528">
        <f>+AK92*AK58</f>
        <v/>
      </c>
      <c r="AL91" s="528">
        <f>+AL92*AL58</f>
        <v/>
      </c>
      <c r="AM91" s="528">
        <f>+AM92*AM58</f>
        <v/>
      </c>
      <c r="AN91" s="528">
        <f>+AN92*AN58</f>
        <v/>
      </c>
    </row>
    <row r="92">
      <c r="A92" s="43" t="inlineStr">
        <is>
          <t>Gas consumption, output based (J/kWh)</t>
        </is>
      </c>
      <c r="S92" s="442">
        <f>+S91/S58</f>
        <v/>
      </c>
      <c r="T92" s="442">
        <f>+T91/T58</f>
        <v/>
      </c>
      <c r="U92" s="442">
        <f>+U91/U58</f>
        <v/>
      </c>
      <c r="V92" s="442">
        <f>+V91/V58</f>
        <v/>
      </c>
      <c r="W92" s="442">
        <f>+W91/W58</f>
        <v/>
      </c>
      <c r="X92" s="442">
        <f>+X91/X58</f>
        <v/>
      </c>
      <c r="Y92" s="442">
        <f>+Y91/Y58</f>
        <v/>
      </c>
      <c r="Z92" s="442">
        <f>+Z91/Z58</f>
        <v/>
      </c>
      <c r="AA92" s="442">
        <f>+AA91/AA58</f>
        <v/>
      </c>
      <c r="AB92" s="442">
        <f>+AB91/AB58</f>
        <v/>
      </c>
      <c r="AC92" s="442">
        <f>+AC91/AC58</f>
        <v/>
      </c>
      <c r="AD92" s="442">
        <f>+AD91/AD58</f>
        <v/>
      </c>
      <c r="AE92" s="442">
        <f>+AE91/AE58</f>
        <v/>
      </c>
      <c r="AF92" s="442">
        <f>+AF91/AF58</f>
        <v/>
      </c>
      <c r="AG92" s="442">
        <f>+AG91/AG58</f>
        <v/>
      </c>
      <c r="AH92" s="442">
        <f>+AH91/AH58</f>
        <v/>
      </c>
      <c r="AI92" s="242">
        <f>+AH92</f>
        <v/>
      </c>
      <c r="AJ92" s="242">
        <f>+AI92</f>
        <v/>
      </c>
      <c r="AK92" s="242">
        <f>+AJ92</f>
        <v/>
      </c>
      <c r="AL92" s="242">
        <f>+AK92</f>
        <v/>
      </c>
      <c r="AM92" s="242">
        <f>+AL92</f>
        <v/>
      </c>
      <c r="AN92" s="242">
        <f>+AM92</f>
        <v/>
      </c>
    </row>
    <row r="93">
      <c r="V93" s="43" t="n"/>
      <c r="X93" s="43" t="n"/>
      <c r="Y93" s="442" t="n"/>
    </row>
    <row r="94">
      <c r="A94" s="62" t="inlineStr">
        <is>
          <t>Emission (t/fuel consumption, output based)</t>
        </is>
      </c>
      <c r="X94" s="43" t="n"/>
    </row>
    <row r="95">
      <c r="A95" s="43" t="inlineStr">
        <is>
          <t xml:space="preserve">   Black point</t>
        </is>
      </c>
      <c r="X95" s="43" t="n"/>
      <c r="Y95" s="43" t="n"/>
      <c r="Z95" s="43" t="n"/>
    </row>
    <row r="96">
      <c r="A96" s="43" t="inlineStr">
        <is>
          <t xml:space="preserve">      SO2</t>
        </is>
      </c>
      <c r="S96" s="634">
        <f>+S124*1000/(S$91)*1000</f>
        <v/>
      </c>
      <c r="T96" s="634">
        <f>+T124*1000/(T$91)*1000</f>
        <v/>
      </c>
      <c r="U96" s="634">
        <f>+U124*1000/(U$91)*1000</f>
        <v/>
      </c>
      <c r="V96" s="634">
        <f>+V124*1000/(V$91)*1000</f>
        <v/>
      </c>
      <c r="W96" s="634">
        <f>+W124*1000/(W$91)*1000</f>
        <v/>
      </c>
      <c r="X96" s="634">
        <f>+X124*1000/(X$91)*1000</f>
        <v/>
      </c>
      <c r="Y96" s="634">
        <f>+Y124*1000/(Y$91)*1000</f>
        <v/>
      </c>
      <c r="Z96" s="634">
        <f>+Z124*1000/(Z$91)*1000</f>
        <v/>
      </c>
      <c r="AA96" s="634">
        <f>+AA124*1000/(AA$91)*1000</f>
        <v/>
      </c>
      <c r="AB96" s="634">
        <f>+AB124*1000/(AB$91)*1000</f>
        <v/>
      </c>
      <c r="AC96" s="634">
        <f>+AC124*1000/(AC$91)*1000</f>
        <v/>
      </c>
      <c r="AD96" s="634">
        <f>+AD124*1000/(AD$91)*1000</f>
        <v/>
      </c>
      <c r="AE96" s="634">
        <f>+AE124*1000/(AE$91)*1000</f>
        <v/>
      </c>
      <c r="AF96" s="634">
        <f>+AF124*1000/(AF$91)*1000</f>
        <v/>
      </c>
      <c r="AG96" s="634">
        <f>+AG124*1000/(AG$91)*1000</f>
        <v/>
      </c>
      <c r="AH96" s="634">
        <f>+AH124*1000/(AH$91)*1000</f>
        <v/>
      </c>
      <c r="AI96" s="657">
        <f>+AH96</f>
        <v/>
      </c>
      <c r="AJ96" s="657">
        <f>+AI96</f>
        <v/>
      </c>
      <c r="AK96" s="657">
        <f>+AJ96</f>
        <v/>
      </c>
      <c r="AL96" s="657">
        <f>+AK96</f>
        <v/>
      </c>
      <c r="AM96" s="657">
        <f>+AL96</f>
        <v/>
      </c>
      <c r="AN96" s="657">
        <f>+AM96</f>
        <v/>
      </c>
    </row>
    <row r="97">
      <c r="A97" s="43" t="inlineStr">
        <is>
          <t xml:space="preserve">      NOx</t>
        </is>
      </c>
      <c r="S97" s="634">
        <f>+S125*1000/(S$91)</f>
        <v/>
      </c>
      <c r="T97" s="634">
        <f>+T125*1000/(T$91)</f>
        <v/>
      </c>
      <c r="U97" s="634">
        <f>+U125*1000/(U$91)</f>
        <v/>
      </c>
      <c r="V97" s="634">
        <f>+V125*1000/(V$91)</f>
        <v/>
      </c>
      <c r="W97" s="634">
        <f>+W125*1000/(W$91)</f>
        <v/>
      </c>
      <c r="X97" s="634">
        <f>+X125*1000/(X$91)</f>
        <v/>
      </c>
      <c r="Y97" s="634">
        <f>+Y125*1000/(Y$91)</f>
        <v/>
      </c>
      <c r="Z97" s="634">
        <f>+Z125*1000/(Z$91)</f>
        <v/>
      </c>
      <c r="AA97" s="634">
        <f>+AA125*1000/(AA$91)</f>
        <v/>
      </c>
      <c r="AB97" s="634">
        <f>+AB125*1000/(AB$91)</f>
        <v/>
      </c>
      <c r="AC97" s="634">
        <f>+AC125*1000/(AC$91)</f>
        <v/>
      </c>
      <c r="AD97" s="634">
        <f>+AD125*1000/(AD$91)</f>
        <v/>
      </c>
      <c r="AE97" s="634">
        <f>+AE125*1000/(AE$91)</f>
        <v/>
      </c>
      <c r="AF97" s="634">
        <f>+AF125*1000/(AF$91)</f>
        <v/>
      </c>
      <c r="AG97" s="634">
        <f>+AG125*1000/(AG$91)</f>
        <v/>
      </c>
      <c r="AH97" s="634">
        <f>+AH125*1000/(AH$91)</f>
        <v/>
      </c>
      <c r="AI97" s="657">
        <f>+AH97</f>
        <v/>
      </c>
      <c r="AJ97" s="657">
        <f>+AI97</f>
        <v/>
      </c>
      <c r="AK97" s="657">
        <f>+AJ97</f>
        <v/>
      </c>
      <c r="AL97" s="657">
        <f>+AK97</f>
        <v/>
      </c>
      <c r="AM97" s="657">
        <f>+AL97</f>
        <v/>
      </c>
      <c r="AN97" s="657">
        <f>+AM97</f>
        <v/>
      </c>
    </row>
    <row r="98">
      <c r="A98" s="43" t="inlineStr">
        <is>
          <t xml:space="preserve">      Particulate (Respirable)</t>
        </is>
      </c>
      <c r="S98" s="634">
        <f>+S126*1000/(S$58)</f>
        <v/>
      </c>
      <c r="T98" s="634">
        <f>+T126*1000/(T$58)</f>
        <v/>
      </c>
      <c r="U98" s="634">
        <f>+U126*1000/(U$58)</f>
        <v/>
      </c>
      <c r="V98" s="634">
        <f>+V126*1000/(V$58)</f>
        <v/>
      </c>
      <c r="W98" s="634">
        <f>+W126*1000/(W$58)</f>
        <v/>
      </c>
      <c r="X98" s="634">
        <f>+X126*1000/(X$58)</f>
        <v/>
      </c>
      <c r="Y98" s="634">
        <f>+Y126*1000/(Y$58)</f>
        <v/>
      </c>
      <c r="Z98" s="634">
        <f>+Z126*1000/(Z$58)</f>
        <v/>
      </c>
      <c r="AA98" s="634">
        <f>+AA126*1000/(AA$58)</f>
        <v/>
      </c>
      <c r="AB98" s="634">
        <f>+AB126*1000/(AB$58)</f>
        <v/>
      </c>
      <c r="AC98" s="634">
        <f>+AC126*1000/(AC$58)</f>
        <v/>
      </c>
      <c r="AD98" s="634">
        <f>+AD126*1000/(AD$58)</f>
        <v/>
      </c>
      <c r="AE98" s="634">
        <f>+AE126*1000/(AE$58)</f>
        <v/>
      </c>
      <c r="AF98" s="634">
        <f>+AF126*1000/(AF$58)</f>
        <v/>
      </c>
      <c r="AG98" s="634">
        <f>+AG126*1000/(AG$58)</f>
        <v/>
      </c>
      <c r="AH98" s="634">
        <f>+AH126*1000/(AH$58)</f>
        <v/>
      </c>
      <c r="AI98" s="657">
        <f>+AH98</f>
        <v/>
      </c>
      <c r="AJ98" s="657">
        <f>+AI98</f>
        <v/>
      </c>
      <c r="AK98" s="657">
        <f>+AJ98</f>
        <v/>
      </c>
      <c r="AL98" s="657">
        <f>+AK98</f>
        <v/>
      </c>
      <c r="AM98" s="657">
        <f>+AL98</f>
        <v/>
      </c>
      <c r="AN98" s="657">
        <f>+AM98</f>
        <v/>
      </c>
    </row>
    <row r="99">
      <c r="A99" s="43" t="inlineStr">
        <is>
          <t xml:space="preserve">   Castle Peak</t>
        </is>
      </c>
      <c r="V99" s="243" t="n"/>
      <c r="W99" s="243" t="n"/>
      <c r="X99" s="243" t="n"/>
      <c r="Y99" s="243" t="n"/>
      <c r="Z99" s="243" t="n"/>
      <c r="AA99" s="243" t="n"/>
      <c r="AB99" s="243" t="n"/>
      <c r="AC99" s="243" t="n"/>
      <c r="AD99" s="243" t="n"/>
      <c r="AE99" s="243" t="n"/>
      <c r="AF99" s="243" t="n"/>
      <c r="AG99" s="243" t="n"/>
      <c r="AH99" s="243" t="n"/>
      <c r="AI99" s="243" t="n"/>
      <c r="AJ99" s="243" t="n"/>
      <c r="AK99" s="243" t="n"/>
      <c r="AL99" s="243" t="n"/>
      <c r="AM99" s="243" t="n"/>
      <c r="AN99" s="243" t="n"/>
      <c r="AO99" s="43" t="n"/>
    </row>
    <row r="100">
      <c r="A100" s="43" t="inlineStr">
        <is>
          <t xml:space="preserve">      SO2</t>
        </is>
      </c>
      <c r="S100" s="442">
        <f>+S128/(S$79)</f>
        <v/>
      </c>
      <c r="T100" s="442">
        <f>+T128/(T$79)</f>
        <v/>
      </c>
      <c r="U100" s="442">
        <f>+U128/(U$79)</f>
        <v/>
      </c>
      <c r="V100" s="442">
        <f>+V128/(V$79)</f>
        <v/>
      </c>
      <c r="W100" s="442">
        <f>+W128/(W$79)</f>
        <v/>
      </c>
      <c r="X100" s="442">
        <f>+X128/(X$79)</f>
        <v/>
      </c>
      <c r="Y100" s="442">
        <f>+Y128/(Y$79)</f>
        <v/>
      </c>
      <c r="Z100" s="442">
        <f>+Z128/(Z$79)</f>
        <v/>
      </c>
      <c r="AA100" s="442">
        <f>+AA128/(AA$79)</f>
        <v/>
      </c>
      <c r="AB100" s="442">
        <f>+AB128/(AB$79)</f>
        <v/>
      </c>
      <c r="AC100" s="442">
        <f>+AC128/(AC$79)</f>
        <v/>
      </c>
      <c r="AD100" s="442">
        <f>+AD128/(AD$79)</f>
        <v/>
      </c>
      <c r="AE100" s="442">
        <f>+AE128/(AE$79)</f>
        <v/>
      </c>
      <c r="AF100" s="442">
        <f>+AF128/(AF$79)</f>
        <v/>
      </c>
      <c r="AG100" s="442">
        <f>+AG128/(AG$79)</f>
        <v/>
      </c>
      <c r="AH100" s="442">
        <f>+AH128/(AH$79)</f>
        <v/>
      </c>
      <c r="AI100" s="257">
        <f>+AH100</f>
        <v/>
      </c>
      <c r="AJ100" s="257">
        <f>+AI100</f>
        <v/>
      </c>
      <c r="AK100" s="257">
        <f>+AJ100</f>
        <v/>
      </c>
      <c r="AL100" s="257">
        <f>+AK100</f>
        <v/>
      </c>
      <c r="AM100" s="257">
        <f>+AL100</f>
        <v/>
      </c>
      <c r="AN100" s="257">
        <f>+AM100</f>
        <v/>
      </c>
      <c r="AO100" s="43" t="n"/>
    </row>
    <row r="101">
      <c r="A101" s="43" t="inlineStr">
        <is>
          <t xml:space="preserve">      NOx</t>
        </is>
      </c>
      <c r="S101" s="442">
        <f>+S129/(S$79)</f>
        <v/>
      </c>
      <c r="T101" s="442">
        <f>+T129/(T$79)</f>
        <v/>
      </c>
      <c r="U101" s="442">
        <f>+U129/(U$79)</f>
        <v/>
      </c>
      <c r="V101" s="442">
        <f>+V129/(V$79)</f>
        <v/>
      </c>
      <c r="W101" s="442">
        <f>+W129/(W$79)</f>
        <v/>
      </c>
      <c r="X101" s="442">
        <f>+X129/(X$79)</f>
        <v/>
      </c>
      <c r="Y101" s="442">
        <f>+Y129/(Y$79)</f>
        <v/>
      </c>
      <c r="Z101" s="442">
        <f>+Z129/(Z$79)</f>
        <v/>
      </c>
      <c r="AA101" s="442">
        <f>+AA129/(AA$79)</f>
        <v/>
      </c>
      <c r="AB101" s="442">
        <f>+AB129/(AB$79)</f>
        <v/>
      </c>
      <c r="AC101" s="442">
        <f>+AC129/(AC$79)</f>
        <v/>
      </c>
      <c r="AD101" s="442">
        <f>+AD129/(AD$79)</f>
        <v/>
      </c>
      <c r="AE101" s="442">
        <f>+AE129/(AE$79)</f>
        <v/>
      </c>
      <c r="AF101" s="442">
        <f>+AF129/(AF$79)</f>
        <v/>
      </c>
      <c r="AG101" s="442">
        <f>+AG129/(AG$79)</f>
        <v/>
      </c>
      <c r="AH101" s="442">
        <f>+AH129/(AH$79)</f>
        <v/>
      </c>
      <c r="AI101" s="257">
        <f>+AH101</f>
        <v/>
      </c>
      <c r="AJ101" s="257">
        <f>+AI101</f>
        <v/>
      </c>
      <c r="AK101" s="257">
        <f>+AJ101</f>
        <v/>
      </c>
      <c r="AL101" s="257">
        <f>+AK101</f>
        <v/>
      </c>
      <c r="AM101" s="257">
        <f>+AL101</f>
        <v/>
      </c>
      <c r="AN101" s="257">
        <f>+AM101</f>
        <v/>
      </c>
    </row>
    <row r="102">
      <c r="A102" s="43" t="inlineStr">
        <is>
          <t xml:space="preserve">      Particulate (Respirable)</t>
        </is>
      </c>
      <c r="S102" s="442">
        <f>+S130/(S$79)</f>
        <v/>
      </c>
      <c r="T102" s="442">
        <f>+T130/(T$79)</f>
        <v/>
      </c>
      <c r="U102" s="442">
        <f>+U130/(U$79)</f>
        <v/>
      </c>
      <c r="V102" s="442">
        <f>+V130/(V$79)</f>
        <v/>
      </c>
      <c r="W102" s="442">
        <f>+W130/(W$79)</f>
        <v/>
      </c>
      <c r="X102" s="442">
        <f>+X130/(X$79)</f>
        <v/>
      </c>
      <c r="Y102" s="442">
        <f>+Y130/(Y$79)</f>
        <v/>
      </c>
      <c r="Z102" s="442">
        <f>+Z130/(Z$79)</f>
        <v/>
      </c>
      <c r="AA102" s="442">
        <f>+AA130/(AA$79)</f>
        <v/>
      </c>
      <c r="AB102" s="442">
        <f>+AB130/(AB$79)</f>
        <v/>
      </c>
      <c r="AC102" s="442">
        <f>+AC130/(AC$79)</f>
        <v/>
      </c>
      <c r="AD102" s="442">
        <f>+AD130/(AD$79)</f>
        <v/>
      </c>
      <c r="AE102" s="442">
        <f>+AE130/(AE$79)</f>
        <v/>
      </c>
      <c r="AF102" s="442">
        <f>+AF130/(AF$79)</f>
        <v/>
      </c>
      <c r="AG102" s="442">
        <f>+AG130/(AG$79)</f>
        <v/>
      </c>
      <c r="AH102" s="442">
        <f>+AH130/(AH$79)</f>
        <v/>
      </c>
      <c r="AI102" s="257">
        <f>+AH102</f>
        <v/>
      </c>
      <c r="AJ102" s="257">
        <f>+AI102</f>
        <v/>
      </c>
      <c r="AK102" s="257">
        <f>+AJ102</f>
        <v/>
      </c>
      <c r="AL102" s="257">
        <f>+AK102</f>
        <v/>
      </c>
      <c r="AM102" s="257">
        <f>+AL102</f>
        <v/>
      </c>
      <c r="AN102" s="257">
        <f>+AM102</f>
        <v/>
      </c>
    </row>
    <row r="103">
      <c r="X103" s="43" t="n"/>
      <c r="Y103" s="43" t="n"/>
      <c r="Z103" s="43" t="n"/>
    </row>
    <row r="104" outlineLevel="1">
      <c r="A104" s="62" t="inlineStr">
        <is>
          <t>Higher or (lower) than government (kT)</t>
        </is>
      </c>
      <c r="X104" s="43" t="n"/>
      <c r="Y104" s="446" t="n"/>
    </row>
    <row r="105" outlineLevel="1">
      <c r="A105" s="43" t="inlineStr">
        <is>
          <t xml:space="preserve">   Overall</t>
        </is>
      </c>
      <c r="X105" s="43" t="n"/>
    </row>
    <row r="106" outlineLevel="1">
      <c r="A106" s="43" t="inlineStr">
        <is>
          <t xml:space="preserve">      SO2</t>
        </is>
      </c>
      <c r="T106" s="655" t="n"/>
      <c r="X106" s="43" t="n"/>
      <c r="Y106" s="658">
        <f>+IF(Y120-Y134&lt;0, "OK", "FAIL")</f>
        <v/>
      </c>
      <c r="Z106" s="659" t="n"/>
      <c r="AA106" s="658">
        <f>+IF(AA120-AA134&lt;0, "OK", "FAIL")</f>
        <v/>
      </c>
      <c r="AC106" s="658">
        <f>+IF(AC120-AC134&lt;0, "OK", "FAIL")</f>
        <v/>
      </c>
    </row>
    <row r="107" outlineLevel="1">
      <c r="A107" s="43" t="inlineStr">
        <is>
          <t xml:space="preserve">      NOx</t>
        </is>
      </c>
      <c r="T107" s="655" t="n"/>
      <c r="X107" s="43" t="n"/>
      <c r="Y107" s="658">
        <f>+IF(Y121-Y135&lt;0, "OK", "FAIL")</f>
        <v/>
      </c>
      <c r="Z107" s="659" t="n"/>
      <c r="AA107" s="658">
        <f>+IF(AA121-AA135&lt;0, "OK", "FAIL")</f>
        <v/>
      </c>
      <c r="AC107" s="658">
        <f>+IF(AC121-AC135&lt;0, "OK", "FAIL")</f>
        <v/>
      </c>
    </row>
    <row r="108" outlineLevel="1">
      <c r="A108" s="43" t="inlineStr">
        <is>
          <t xml:space="preserve">      Particulate (Respirable)</t>
        </is>
      </c>
      <c r="T108" s="655" t="n"/>
      <c r="X108" s="43" t="n"/>
      <c r="Y108" s="658">
        <f>+IF(Y122-Y136&lt;0, "OK", "FAIL")</f>
        <v/>
      </c>
      <c r="Z108" s="659" t="n"/>
      <c r="AA108" s="658">
        <f>+IF(AA122-AA136&lt;0, "OK", "FAIL")</f>
        <v/>
      </c>
      <c r="AC108" s="658">
        <f>+IF(AC122-AC136&lt;0, "OK", "FAIL")</f>
        <v/>
      </c>
    </row>
    <row r="109" outlineLevel="1">
      <c r="A109" s="43" t="inlineStr">
        <is>
          <t xml:space="preserve">   Black point</t>
        </is>
      </c>
      <c r="X109" s="43" t="n"/>
      <c r="Y109" s="658" t="n"/>
      <c r="Z109" s="659" t="n"/>
      <c r="AA109" s="658" t="n"/>
      <c r="AC109" s="658" t="n"/>
    </row>
    <row r="110" outlineLevel="1">
      <c r="A110" s="43" t="inlineStr">
        <is>
          <t xml:space="preserve">      SO2</t>
        </is>
      </c>
      <c r="X110" s="43" t="n"/>
      <c r="Y110" s="658">
        <f>+IF(Y124-Y138&lt;0, "OK", "FAIL")</f>
        <v/>
      </c>
      <c r="Z110" s="659" t="n"/>
      <c r="AA110" s="658">
        <f>+IF(AA124-AA138&lt;0, "OK", "FAIL")</f>
        <v/>
      </c>
      <c r="AC110" s="658">
        <f>+IF(AC124-AC138&lt;0, "OK", "FAIL")</f>
        <v/>
      </c>
    </row>
    <row r="111" outlineLevel="1">
      <c r="A111" s="43" t="inlineStr">
        <is>
          <t xml:space="preserve">      NOx</t>
        </is>
      </c>
      <c r="X111" s="43" t="n"/>
      <c r="Y111" s="658">
        <f>+IF(Y125-Y139&lt;0, "OK", "FAIL")</f>
        <v/>
      </c>
      <c r="Z111" s="659" t="n"/>
      <c r="AA111" s="658">
        <f>+IF(AA125-AA139&lt;0, "OK", "FAIL")</f>
        <v/>
      </c>
      <c r="AC111" s="658">
        <f>+IF(AC125-AC139&lt;0, "OK", "FAIL")</f>
        <v/>
      </c>
    </row>
    <row r="112" outlineLevel="1">
      <c r="A112" s="43" t="inlineStr">
        <is>
          <t xml:space="preserve">      Particulate (Respirable)</t>
        </is>
      </c>
      <c r="X112" s="43" t="n"/>
      <c r="Y112" s="658">
        <f>+IF(Y126-Y140&lt;0, "OK", "FAIL")</f>
        <v/>
      </c>
      <c r="Z112" s="659" t="n"/>
      <c r="AA112" s="658">
        <f>+IF(AA126-AA140&lt;0, "OK", "FAIL")</f>
        <v/>
      </c>
      <c r="AC112" s="658">
        <f>+IF(AC126-AC140&lt;0, "OK", "FAIL")</f>
        <v/>
      </c>
    </row>
    <row r="113" outlineLevel="1">
      <c r="A113" s="43" t="inlineStr">
        <is>
          <t xml:space="preserve">   Castle Peak</t>
        </is>
      </c>
      <c r="X113" s="43" t="n"/>
      <c r="Y113" s="660" t="n"/>
      <c r="Z113" s="238" t="n"/>
      <c r="AA113" s="660" t="n"/>
      <c r="AC113" s="660" t="n"/>
    </row>
    <row r="114" outlineLevel="1">
      <c r="A114" s="43" t="inlineStr">
        <is>
          <t xml:space="preserve">      SO2</t>
        </is>
      </c>
      <c r="X114" s="43" t="n"/>
      <c r="Y114" s="658">
        <f>+IF(Y128-Y142&lt;0, "OK", "FAIL")</f>
        <v/>
      </c>
      <c r="Z114" s="659" t="n"/>
      <c r="AA114" s="658">
        <f>+IF(AA128-AA142&lt;0, "OK", "FAIL")</f>
        <v/>
      </c>
      <c r="AC114" s="658">
        <f>+IF(AC128-AC142&lt;0, "OK", "FAIL")</f>
        <v/>
      </c>
    </row>
    <row r="115" outlineLevel="1">
      <c r="A115" s="43" t="inlineStr">
        <is>
          <t xml:space="preserve">      NOx</t>
        </is>
      </c>
      <c r="X115" s="43" t="n"/>
      <c r="Y115" s="661">
        <f>+IF(Y129-Y143&lt;0, "OK", "FAIL")</f>
        <v/>
      </c>
      <c r="Z115" s="659" t="n"/>
      <c r="AA115" s="658">
        <f>+IF(AA129-AA143&lt;0, "OK", "FAIL")</f>
        <v/>
      </c>
      <c r="AC115" s="658">
        <f>+IF(AC129-AC143&lt;0, "OK", "FAIL")</f>
        <v/>
      </c>
    </row>
    <row r="116" outlineLevel="1">
      <c r="A116" s="43" t="inlineStr">
        <is>
          <t xml:space="preserve">      Particulate (Respirable)</t>
        </is>
      </c>
      <c r="X116" s="43" t="n"/>
      <c r="Y116" s="658">
        <f>+IF(Y130-Y144&lt;0, "OK", "FAIL")</f>
        <v/>
      </c>
      <c r="Z116" s="659" t="n"/>
      <c r="AA116" s="658">
        <f>+IF(AA130-AA144&lt;0, "OK", "FAIL")</f>
        <v/>
      </c>
      <c r="AC116" s="658">
        <f>+IF(AC130-AC144&lt;0, "OK", "FAIL")</f>
        <v/>
      </c>
    </row>
    <row r="117" outlineLevel="1">
      <c r="X117" s="43" t="n"/>
    </row>
    <row r="118" outlineLevel="1">
      <c r="A118" s="62" t="inlineStr">
        <is>
          <t>Historical emission (kt)</t>
        </is>
      </c>
      <c r="X118" s="43" t="n"/>
    </row>
    <row r="119" outlineLevel="1">
      <c r="A119" s="43" t="inlineStr">
        <is>
          <t xml:space="preserve">   Overall</t>
        </is>
      </c>
      <c r="X119" s="43" t="n"/>
    </row>
    <row r="120" outlineLevel="1">
      <c r="A120" s="43" t="inlineStr">
        <is>
          <t xml:space="preserve">      SO2</t>
        </is>
      </c>
      <c r="S120" s="655">
        <f>+S124+S128</f>
        <v/>
      </c>
      <c r="T120" s="655">
        <f>+T124+T128</f>
        <v/>
      </c>
      <c r="U120" s="655">
        <f>+U124+U128</f>
        <v/>
      </c>
      <c r="V120" s="655">
        <f>+V124+V128</f>
        <v/>
      </c>
      <c r="W120" s="655">
        <f>+W124+W128</f>
        <v/>
      </c>
      <c r="X120" s="655">
        <f>+X124+X128</f>
        <v/>
      </c>
      <c r="Y120" s="655">
        <f>+Y124+Y128</f>
        <v/>
      </c>
      <c r="Z120" s="655">
        <f>+Z124+Z128</f>
        <v/>
      </c>
      <c r="AA120" s="655">
        <f>+AA124+AA128</f>
        <v/>
      </c>
      <c r="AB120" s="655">
        <f>+AB124+AB128</f>
        <v/>
      </c>
      <c r="AC120" s="655">
        <f>+AC124+AC128</f>
        <v/>
      </c>
      <c r="AD120" s="655" t="n"/>
      <c r="AE120" s="655" t="n"/>
      <c r="AF120" s="655" t="n"/>
      <c r="AG120" s="655" t="n"/>
      <c r="AH120" s="655" t="n"/>
      <c r="AI120" s="655" t="n"/>
      <c r="AJ120" s="655" t="n"/>
      <c r="AK120" s="655" t="n"/>
      <c r="AL120" s="655" t="n"/>
      <c r="AM120" s="655" t="n"/>
      <c r="AN120" s="655" t="n"/>
    </row>
    <row r="121" outlineLevel="1">
      <c r="A121" s="43" t="inlineStr">
        <is>
          <t xml:space="preserve">      NOx</t>
        </is>
      </c>
      <c r="S121" s="655">
        <f>+S125+S129</f>
        <v/>
      </c>
      <c r="T121" s="655">
        <f>+T125+T129</f>
        <v/>
      </c>
      <c r="U121" s="655">
        <f>+U125+U129</f>
        <v/>
      </c>
      <c r="V121" s="655">
        <f>+V125+V129</f>
        <v/>
      </c>
      <c r="W121" s="655">
        <f>+W125+W129</f>
        <v/>
      </c>
      <c r="X121" s="655">
        <f>+X125+X129</f>
        <v/>
      </c>
      <c r="Y121" s="655">
        <f>+Y125+Y129</f>
        <v/>
      </c>
      <c r="Z121" s="655">
        <f>+Z125+Z129</f>
        <v/>
      </c>
      <c r="AA121" s="655">
        <f>+AA125+AA129</f>
        <v/>
      </c>
      <c r="AB121" s="655">
        <f>+AB125+AB129</f>
        <v/>
      </c>
      <c r="AC121" s="655">
        <f>+AC125+AC129</f>
        <v/>
      </c>
      <c r="AD121" s="655" t="n"/>
      <c r="AE121" s="655" t="n"/>
      <c r="AF121" s="655" t="n"/>
      <c r="AG121" s="655" t="n"/>
      <c r="AH121" s="655" t="n"/>
      <c r="AI121" s="655" t="n"/>
      <c r="AJ121" s="655" t="n"/>
      <c r="AK121" s="655" t="n"/>
      <c r="AL121" s="655" t="n"/>
      <c r="AM121" s="655" t="n"/>
      <c r="AN121" s="655" t="n"/>
    </row>
    <row r="122" outlineLevel="1">
      <c r="A122" s="43" t="inlineStr">
        <is>
          <t xml:space="preserve">      Particulate (Respirable)</t>
        </is>
      </c>
      <c r="S122" s="655">
        <f>+S126+S130</f>
        <v/>
      </c>
      <c r="T122" s="655">
        <f>+T126+T130</f>
        <v/>
      </c>
      <c r="U122" s="655">
        <f>+U126+U130</f>
        <v/>
      </c>
      <c r="V122" s="655">
        <f>+V126+V130</f>
        <v/>
      </c>
      <c r="W122" s="655">
        <f>+W126+W130</f>
        <v/>
      </c>
      <c r="X122" s="655">
        <f>+X126+X130</f>
        <v/>
      </c>
      <c r="Y122" s="655">
        <f>+Y126+Y130</f>
        <v/>
      </c>
      <c r="Z122" s="655">
        <f>+Z126+Z130</f>
        <v/>
      </c>
      <c r="AA122" s="655">
        <f>+AA126+AA130</f>
        <v/>
      </c>
      <c r="AB122" s="655">
        <f>+AB126+AB130</f>
        <v/>
      </c>
      <c r="AC122" s="655">
        <f>+AC126+AC130</f>
        <v/>
      </c>
      <c r="AD122" s="655" t="n"/>
      <c r="AE122" s="655" t="n"/>
      <c r="AF122" s="655" t="n"/>
      <c r="AG122" s="655" t="n"/>
      <c r="AH122" s="655" t="n"/>
      <c r="AI122" s="655" t="n"/>
      <c r="AJ122" s="655" t="n"/>
      <c r="AK122" s="655" t="n"/>
      <c r="AL122" s="655" t="n"/>
      <c r="AM122" s="655" t="n"/>
      <c r="AN122" s="655" t="n"/>
    </row>
    <row r="123" outlineLevel="1">
      <c r="A123" s="43" t="inlineStr">
        <is>
          <t xml:space="preserve">   Black point</t>
        </is>
      </c>
      <c r="X123" s="43" t="n"/>
    </row>
    <row r="124" outlineLevel="1">
      <c r="A124" s="43" t="inlineStr">
        <is>
          <t xml:space="preserve">      SO2</t>
        </is>
      </c>
      <c r="S124" s="245" t="n">
        <v>0.15</v>
      </c>
      <c r="T124" s="245" t="n">
        <v>0.18</v>
      </c>
      <c r="U124" s="245" t="n">
        <v>0.13</v>
      </c>
      <c r="V124" s="245" t="n">
        <v>0.12</v>
      </c>
      <c r="W124" s="245" t="n">
        <v>0.08</v>
      </c>
      <c r="X124" s="245" t="n">
        <v>0.07000000000000001</v>
      </c>
      <c r="Y124" s="241">
        <f>0.013+0.015+0.013+0.013</f>
        <v/>
      </c>
      <c r="Z124" s="241" t="n">
        <v>0.05</v>
      </c>
      <c r="AA124" s="241" t="n">
        <v>0.08</v>
      </c>
      <c r="AB124" s="241" t="n">
        <v>0.08</v>
      </c>
      <c r="AC124" s="241" t="n">
        <v>0.07000000000000001</v>
      </c>
      <c r="AD124" s="242" t="n"/>
      <c r="AE124" s="242" t="n"/>
      <c r="AF124" s="242" t="n"/>
      <c r="AG124" s="242" t="n"/>
      <c r="AH124" s="242" t="n"/>
      <c r="AI124" s="242" t="n"/>
      <c r="AJ124" s="242" t="n"/>
      <c r="AK124" s="242" t="n"/>
      <c r="AL124" s="242" t="n"/>
      <c r="AM124" s="242" t="n"/>
      <c r="AN124" s="242" t="n"/>
    </row>
    <row r="125" outlineLevel="1">
      <c r="A125" s="43" t="inlineStr">
        <is>
          <t xml:space="preserve">      NOx</t>
        </is>
      </c>
      <c r="S125" s="245" t="n">
        <v>1.7</v>
      </c>
      <c r="T125" s="245" t="n">
        <v>1.9</v>
      </c>
      <c r="U125" s="245" t="n">
        <v>1.5</v>
      </c>
      <c r="V125" s="245" t="n">
        <v>1.5</v>
      </c>
      <c r="W125" s="245" t="n">
        <v>1.1</v>
      </c>
      <c r="X125" s="245" t="n">
        <v>0.9</v>
      </c>
      <c r="Y125" s="241">
        <f>0.281+0.426+0.492+0.324</f>
        <v/>
      </c>
      <c r="Z125" s="241" t="n">
        <v>1.6</v>
      </c>
      <c r="AA125" s="241" t="n">
        <v>1.4</v>
      </c>
      <c r="AB125" s="241" t="n">
        <v>1.4</v>
      </c>
      <c r="AC125" s="241" t="n">
        <v>1.51</v>
      </c>
      <c r="AD125" s="242" t="n"/>
      <c r="AE125" s="242" t="n"/>
      <c r="AF125" s="242" t="n"/>
      <c r="AG125" s="242" t="n"/>
      <c r="AH125" s="242" t="n"/>
      <c r="AI125" s="242" t="n"/>
      <c r="AJ125" s="242" t="n"/>
      <c r="AK125" s="242" t="n"/>
      <c r="AL125" s="242" t="n"/>
      <c r="AM125" s="242" t="n"/>
      <c r="AN125" s="242" t="n"/>
    </row>
    <row r="126" outlineLevel="1">
      <c r="A126" s="43" t="inlineStr">
        <is>
          <t xml:space="preserve">      Particulate (Respirable)</t>
        </is>
      </c>
      <c r="S126" s="245" t="n">
        <v>0.06</v>
      </c>
      <c r="T126" s="245" t="n">
        <v>0.07000000000000001</v>
      </c>
      <c r="U126" s="245" t="n">
        <v>0.05</v>
      </c>
      <c r="V126" s="245" t="n">
        <v>0.05</v>
      </c>
      <c r="W126" s="245" t="n">
        <v>0.04</v>
      </c>
      <c r="X126" s="245" t="n">
        <v>0.03</v>
      </c>
      <c r="Y126" s="241">
        <f>0.011+0.017+0.019+0.012</f>
        <v/>
      </c>
      <c r="Z126" s="241" t="n">
        <v>0.06</v>
      </c>
      <c r="AA126" s="241" t="n">
        <v>0.06</v>
      </c>
      <c r="AB126" s="241" t="n">
        <v>0.06</v>
      </c>
      <c r="AC126" s="241" t="n">
        <v>0.07000000000000001</v>
      </c>
      <c r="AD126" s="242" t="n"/>
      <c r="AE126" s="242" t="n"/>
      <c r="AF126" s="242" t="n"/>
      <c r="AG126" s="242" t="n"/>
      <c r="AH126" s="242" t="n"/>
      <c r="AI126" s="242" t="n"/>
      <c r="AJ126" s="242" t="n"/>
      <c r="AK126" s="242" t="n"/>
      <c r="AL126" s="242" t="n"/>
      <c r="AM126" s="242" t="n"/>
      <c r="AN126" s="242" t="n"/>
    </row>
    <row r="127" outlineLevel="1">
      <c r="A127" s="43" t="inlineStr">
        <is>
          <t xml:space="preserve">   Castle Peak</t>
        </is>
      </c>
      <c r="W127" s="243" t="n"/>
      <c r="X127" s="243" t="n"/>
      <c r="Y127" s="244" t="n"/>
      <c r="Z127" s="244" t="n"/>
      <c r="AA127" s="243" t="n"/>
      <c r="AB127" s="243" t="n"/>
      <c r="AC127" s="243" t="n"/>
      <c r="AD127" s="243" t="n"/>
      <c r="AE127" s="243" t="n"/>
      <c r="AF127" s="243" t="n"/>
      <c r="AG127" s="243" t="n"/>
      <c r="AH127" s="243" t="n"/>
      <c r="AI127" s="243" t="n"/>
      <c r="AJ127" s="243" t="n"/>
      <c r="AK127" s="243" t="n"/>
      <c r="AL127" s="243" t="n"/>
      <c r="AM127" s="243" t="n"/>
      <c r="AN127" s="243" t="n"/>
    </row>
    <row r="128" outlineLevel="1">
      <c r="A128" s="43" t="inlineStr">
        <is>
          <t xml:space="preserve">      SO2</t>
        </is>
      </c>
      <c r="S128" s="43" t="n">
        <v>29.2</v>
      </c>
      <c r="T128" s="43" t="n">
        <v>12.1</v>
      </c>
      <c r="U128" s="43" t="n">
        <v>9.699999999999999</v>
      </c>
      <c r="V128" s="43" t="n">
        <v>11.3</v>
      </c>
      <c r="W128" s="43" t="n">
        <v>11.8</v>
      </c>
      <c r="X128" s="662" t="n">
        <v>13.9</v>
      </c>
      <c r="Y128" s="241" t="n">
        <v>4.3</v>
      </c>
      <c r="Z128" s="241" t="n">
        <v>5.2</v>
      </c>
      <c r="AA128" s="241" t="n">
        <v>4.7</v>
      </c>
      <c r="AB128" s="241" t="n">
        <v>4.7</v>
      </c>
      <c r="AC128" s="241" t="n">
        <v>3.33</v>
      </c>
      <c r="AD128" s="242" t="n"/>
      <c r="AE128" s="242" t="n"/>
      <c r="AF128" s="242" t="n"/>
      <c r="AG128" s="242" t="n"/>
      <c r="AH128" s="242" t="n"/>
      <c r="AI128" s="242" t="n"/>
      <c r="AJ128" s="242" t="n"/>
      <c r="AK128" s="242" t="n"/>
      <c r="AL128" s="242" t="n"/>
      <c r="AM128" s="242" t="n"/>
      <c r="AN128" s="242" t="n"/>
    </row>
    <row r="129" outlineLevel="1">
      <c r="A129" s="43" t="inlineStr">
        <is>
          <t xml:space="preserve">      NOx</t>
        </is>
      </c>
      <c r="S129" s="43" t="n">
        <v>23.9</v>
      </c>
      <c r="T129" s="43" t="n">
        <v>15.4</v>
      </c>
      <c r="U129" s="43" t="n">
        <v>19.6</v>
      </c>
      <c r="V129" s="43" t="n">
        <v>20.8</v>
      </c>
      <c r="W129" s="43" t="n">
        <v>24.8</v>
      </c>
      <c r="X129" s="662" t="n">
        <v>26</v>
      </c>
      <c r="Y129" s="241">
        <f>2.5+4.4+4.7+4.3</f>
        <v/>
      </c>
      <c r="Z129" s="241" t="n">
        <v>15.4</v>
      </c>
      <c r="AA129" s="241" t="n">
        <v>13.1</v>
      </c>
      <c r="AB129" s="241" t="n">
        <v>14.4</v>
      </c>
      <c r="AC129" s="241" t="n">
        <v>14.06</v>
      </c>
      <c r="AD129" s="242" t="n"/>
      <c r="AE129" s="242" t="n"/>
      <c r="AF129" s="242" t="n"/>
      <c r="AG129" s="242" t="n"/>
      <c r="AH129" s="242" t="n"/>
      <c r="AI129" s="242" t="n"/>
      <c r="AJ129" s="242" t="n"/>
      <c r="AK129" s="242" t="n"/>
      <c r="AL129" s="242" t="n"/>
      <c r="AM129" s="242" t="n"/>
      <c r="AN129" s="242" t="n"/>
    </row>
    <row r="130" outlineLevel="1">
      <c r="A130" s="43" t="inlineStr">
        <is>
          <t xml:space="preserve">      Particulate (Respirable)</t>
        </is>
      </c>
      <c r="S130" s="43" t="n">
        <v>1.1</v>
      </c>
      <c r="T130" s="43" t="n">
        <v>0.7</v>
      </c>
      <c r="U130" s="43" t="n">
        <v>0.7</v>
      </c>
      <c r="V130" s="43" t="n">
        <v>0.7</v>
      </c>
      <c r="W130" s="43" t="n">
        <v>0.7</v>
      </c>
      <c r="X130" s="662" t="n">
        <v>0.8</v>
      </c>
      <c r="Y130" s="241" t="n">
        <v>0.3</v>
      </c>
      <c r="Z130" s="241" t="n">
        <v>0.3</v>
      </c>
      <c r="AA130" s="241" t="n">
        <v>0.4</v>
      </c>
      <c r="AB130" s="241" t="n">
        <v>0.4</v>
      </c>
      <c r="AC130" s="241" t="n">
        <v>0.32</v>
      </c>
      <c r="AD130" s="242" t="n"/>
      <c r="AE130" s="242" t="n"/>
      <c r="AF130" s="242" t="n"/>
      <c r="AG130" s="242" t="n"/>
      <c r="AH130" s="242" t="n"/>
      <c r="AI130" s="242" t="n"/>
      <c r="AJ130" s="242" t="n"/>
      <c r="AK130" s="242" t="n"/>
      <c r="AL130" s="242" t="n"/>
      <c r="AM130" s="242" t="n"/>
      <c r="AN130" s="242" t="n"/>
    </row>
    <row r="131" outlineLevel="1">
      <c r="A131" s="62" t="n"/>
      <c r="X131" s="43" t="n"/>
      <c r="Y131" s="245" t="n"/>
      <c r="Z131" s="245" t="n"/>
    </row>
    <row r="132" outlineLevel="1">
      <c r="A132" s="62" t="inlineStr">
        <is>
          <t>Government targets</t>
        </is>
      </c>
      <c r="X132" s="43" t="n"/>
    </row>
    <row r="133" outlineLevel="1">
      <c r="A133" s="43" t="inlineStr">
        <is>
          <t xml:space="preserve">   Overall</t>
        </is>
      </c>
      <c r="X133" s="43" t="n"/>
    </row>
    <row r="134" outlineLevel="1">
      <c r="A134" s="43" t="inlineStr">
        <is>
          <t xml:space="preserve">      SO2</t>
        </is>
      </c>
      <c r="T134" s="655">
        <f>+Y134/(36%)</f>
        <v/>
      </c>
      <c r="X134" s="43" t="n"/>
      <c r="Y134" s="663">
        <f>+Y138+Y142</f>
        <v/>
      </c>
      <c r="Z134" s="664" t="n"/>
      <c r="AA134" s="663">
        <f>+AA138+AA142</f>
        <v/>
      </c>
      <c r="AB134" s="446" t="n"/>
      <c r="AC134" s="663" t="n">
        <v>4.25</v>
      </c>
      <c r="AD134" s="446" t="n"/>
      <c r="AE134" s="446" t="n"/>
      <c r="AF134" s="446" t="n"/>
      <c r="AG134" s="446" t="n"/>
      <c r="AH134" s="446" t="n"/>
      <c r="AI134" s="446" t="n"/>
      <c r="AJ134" s="446" t="n"/>
      <c r="AK134" s="446" t="n"/>
      <c r="AL134" s="446" t="n"/>
      <c r="AM134" s="446" t="n"/>
      <c r="AN134" s="446" t="n"/>
      <c r="AO134" s="446">
        <f>+Y134/T134-1</f>
        <v/>
      </c>
      <c r="AQ134" s="446">
        <f>+AA134/Y134-1</f>
        <v/>
      </c>
    </row>
    <row r="135" outlineLevel="1">
      <c r="A135" s="43" t="inlineStr">
        <is>
          <t xml:space="preserve">      NOx</t>
        </is>
      </c>
      <c r="T135" s="655">
        <f>+Y135/(66%)</f>
        <v/>
      </c>
      <c r="X135" s="43" t="n"/>
      <c r="Y135" s="663">
        <f>+Y139+Y143</f>
        <v/>
      </c>
      <c r="Z135" s="665" t="n"/>
      <c r="AA135" s="663">
        <f>+AA139+AA143</f>
        <v/>
      </c>
      <c r="AB135" s="446" t="n"/>
      <c r="AC135" s="663" t="n">
        <v>8.98</v>
      </c>
      <c r="AD135" s="446" t="n"/>
      <c r="AE135" s="446" t="n"/>
      <c r="AF135" s="446" t="n"/>
      <c r="AG135" s="446" t="n"/>
      <c r="AH135" s="446" t="n"/>
      <c r="AI135" s="446" t="n"/>
      <c r="AJ135" s="446" t="n"/>
      <c r="AK135" s="446" t="n"/>
      <c r="AL135" s="446" t="n"/>
      <c r="AM135" s="446" t="n"/>
      <c r="AN135" s="446" t="n"/>
      <c r="AO135" s="446">
        <f>+Y135/T135-1</f>
        <v/>
      </c>
      <c r="AQ135" s="446">
        <f>+AA135/Y135-1</f>
        <v/>
      </c>
    </row>
    <row r="136" outlineLevel="1">
      <c r="A136" s="43" t="inlineStr">
        <is>
          <t xml:space="preserve">      Particulate (Respirable)</t>
        </is>
      </c>
      <c r="T136" s="655">
        <f>+Y136/(67%)</f>
        <v/>
      </c>
      <c r="X136" s="43" t="n"/>
      <c r="Y136" s="634">
        <f>+Y140+Y144</f>
        <v/>
      </c>
      <c r="Z136" s="665" t="n"/>
      <c r="AA136" s="663">
        <f>+AA140+AA144</f>
        <v/>
      </c>
      <c r="AB136" s="446" t="n"/>
      <c r="AC136" s="663" t="n">
        <v>0.2</v>
      </c>
      <c r="AD136" s="446" t="n"/>
      <c r="AE136" s="446" t="n"/>
      <c r="AF136" s="446" t="n"/>
      <c r="AG136" s="446" t="n"/>
      <c r="AH136" s="446" t="n"/>
      <c r="AI136" s="446" t="n"/>
      <c r="AJ136" s="446" t="n"/>
      <c r="AK136" s="446" t="n"/>
      <c r="AL136" s="446" t="n"/>
      <c r="AM136" s="446" t="n"/>
      <c r="AN136" s="446" t="n"/>
      <c r="AO136" s="446">
        <f>+Y136/T136-1</f>
        <v/>
      </c>
      <c r="AQ136" s="446">
        <f>+AA136/Y136-1</f>
        <v/>
      </c>
    </row>
    <row r="137" outlineLevel="1">
      <c r="A137" s="43" t="inlineStr">
        <is>
          <t xml:space="preserve">   Black point</t>
        </is>
      </c>
      <c r="X137" s="43" t="n"/>
      <c r="Y137" s="663" t="n"/>
      <c r="Z137" s="663" t="n"/>
      <c r="AA137" s="663" t="n"/>
      <c r="AC137" s="663" t="n"/>
    </row>
    <row r="138" outlineLevel="1">
      <c r="A138" s="43" t="inlineStr">
        <is>
          <t xml:space="preserve">      SO2</t>
        </is>
      </c>
      <c r="X138" s="43" t="n"/>
      <c r="Y138" s="634" t="n">
        <v>1.44</v>
      </c>
      <c r="Z138" s="663" t="n"/>
      <c r="AA138" s="663" t="n">
        <v>1.44</v>
      </c>
      <c r="AC138" s="663" t="n">
        <v>0.29</v>
      </c>
    </row>
    <row r="139" outlineLevel="1">
      <c r="A139" s="43" t="inlineStr">
        <is>
          <t xml:space="preserve">      NOx</t>
        </is>
      </c>
      <c r="X139" s="43" t="n"/>
      <c r="Y139" s="634" t="n">
        <v>4.14</v>
      </c>
      <c r="Z139" s="663" t="n"/>
      <c r="AA139" s="663" t="n">
        <v>4.14</v>
      </c>
      <c r="AC139" s="663" t="n">
        <v>4.14</v>
      </c>
    </row>
    <row r="140" outlineLevel="1">
      <c r="A140" s="43" t="inlineStr">
        <is>
          <t xml:space="preserve">      Particulate (Respirable)</t>
        </is>
      </c>
      <c r="X140" s="43" t="n"/>
      <c r="Y140" s="634" t="n">
        <v>0.11</v>
      </c>
      <c r="Z140" s="663" t="n"/>
      <c r="AA140" s="663" t="n">
        <v>0.11</v>
      </c>
      <c r="AC140" s="663" t="n">
        <v>0.11</v>
      </c>
    </row>
    <row r="141" outlineLevel="1">
      <c r="A141" s="43" t="inlineStr">
        <is>
          <t xml:space="preserve">   Castle Peak</t>
        </is>
      </c>
      <c r="X141" s="43" t="n"/>
      <c r="Y141" s="663" t="n"/>
      <c r="Z141" s="663" t="n"/>
      <c r="AA141" s="663" t="n"/>
      <c r="AC141" s="663" t="n"/>
    </row>
    <row r="142" outlineLevel="1">
      <c r="A142" s="43" t="inlineStr">
        <is>
          <t xml:space="preserve">      SO2</t>
        </is>
      </c>
      <c r="X142" s="43" t="n"/>
      <c r="Y142" s="663" t="n">
        <v>4.26</v>
      </c>
      <c r="Z142" s="663" t="n"/>
      <c r="AA142" s="663" t="n">
        <v>3.757</v>
      </c>
      <c r="AB142" s="446" t="n"/>
      <c r="AC142" s="663" t="n">
        <v>4.678</v>
      </c>
      <c r="AD142" s="446" t="n"/>
      <c r="AE142" s="446" t="n"/>
      <c r="AF142" s="446" t="n"/>
      <c r="AG142" s="446" t="n"/>
      <c r="AH142" s="446" t="n"/>
      <c r="AI142" s="446" t="n"/>
      <c r="AJ142" s="446" t="n"/>
      <c r="AK142" s="446" t="n"/>
      <c r="AL142" s="446" t="n"/>
      <c r="AM142" s="446" t="n"/>
      <c r="AN142" s="446" t="n"/>
    </row>
    <row r="143" outlineLevel="1">
      <c r="A143" s="43" t="inlineStr">
        <is>
          <t xml:space="preserve">      NOx</t>
        </is>
      </c>
      <c r="X143" s="43" t="n"/>
      <c r="Y143" s="250" t="n">
        <v>13.39</v>
      </c>
      <c r="Z143" s="663" t="n"/>
      <c r="AA143" s="250" t="n">
        <v>12.358</v>
      </c>
      <c r="AC143" s="250" t="n">
        <v>12.358</v>
      </c>
    </row>
    <row r="144" outlineLevel="1">
      <c r="A144" s="43" t="inlineStr">
        <is>
          <t xml:space="preserve">      Particulate (Respirable)</t>
        </is>
      </c>
      <c r="X144" s="43" t="n"/>
      <c r="Y144" s="663" t="n">
        <v>0.42</v>
      </c>
      <c r="Z144" s="663" t="n"/>
      <c r="AA144" s="663" t="n">
        <v>0.389</v>
      </c>
      <c r="AC144" s="663" t="n">
        <v>0.389</v>
      </c>
    </row>
    <row r="145">
      <c r="W145" s="207" t="n"/>
      <c r="X145" s="43" t="n"/>
    </row>
    <row r="146" ht="13.5" customHeight="1">
      <c r="A146" s="62" t="n"/>
      <c r="X146" s="43" t="n"/>
    </row>
    <row r="147">
      <c r="A147" s="43" t="n"/>
      <c r="Y147" s="220" t="n"/>
    </row>
    <row r="148">
      <c r="A148" s="43" t="n"/>
      <c r="Y148" s="220" t="n"/>
    </row>
    <row r="149">
      <c r="A149" s="43" t="n"/>
      <c r="Y149" s="220" t="n"/>
    </row>
    <row r="151">
      <c r="A151" s="43" t="n"/>
    </row>
    <row r="152">
      <c r="A152" s="43" t="n"/>
      <c r="Y152" s="446" t="n"/>
    </row>
    <row r="153">
      <c r="A153" s="43" t="n"/>
      <c r="Y153" s="446" t="n"/>
    </row>
    <row r="154">
      <c r="A154" s="43" t="n"/>
      <c r="Y154" s="446" t="n"/>
    </row>
  </sheetData>
  <printOptions headings="1" gridLines="1"/>
  <pageMargins left="0.7480314960629921" right="0.7480314960629921" top="0.5118110236220472" bottom="0.7086614173228347" header="0.5118110236220472" footer="0.5118110236220472"/>
  <pageSetup orientation="landscape" paperSize="9" scale="38"/>
  <legacyDrawing xmlns:r="http://schemas.openxmlformats.org/officeDocument/2006/relationships" r:id="anysvml"/>
</worksheet>
</file>

<file path=xl/worksheets/sheet8.xml><?xml version="1.0" encoding="utf-8"?>
<worksheet xmlns="http://schemas.openxmlformats.org/spreadsheetml/2006/main">
  <sheetPr codeName="Sheet15">
    <tabColor rgb="FFFFFF00"/>
    <outlinePr summaryBelow="1" summaryRight="1"/>
    <pageSetUpPr fitToPage="1"/>
  </sheetPr>
  <dimension ref="A1:AW120"/>
  <sheetViews>
    <sheetView showOutlineSymbols="0" zoomScale="130" zoomScaleNormal="130" workbookViewId="0">
      <pane xSplit="19" ySplit="2" topLeftCell="T21" activePane="bottomRight" state="frozen"/>
      <selection pane="topRight" activeCell="T1" sqref="T1"/>
      <selection pane="bottomLeft" activeCell="A3" sqref="A3"/>
      <selection pane="bottomRight" activeCell="Y1" sqref="T1:Y1048576"/>
    </sheetView>
  </sheetViews>
  <sheetFormatPr baseColWidth="8" defaultColWidth="9.140625" defaultRowHeight="12.75" outlineLevelRow="1"/>
  <cols>
    <col width="18.42578125" customWidth="1" style="49" min="1" max="1"/>
    <col hidden="1" outlineLevel="1" width="9.140625" customWidth="1" style="49" min="2" max="8"/>
    <col hidden="1" outlineLevel="1" width="7.85546875" customWidth="1" style="49" min="9" max="9"/>
    <col hidden="1" outlineLevel="1" width="8.42578125" customWidth="1" style="49" min="10" max="10"/>
    <col hidden="1" outlineLevel="1" width="9.140625" customWidth="1" style="49" min="11" max="17"/>
    <col hidden="1" outlineLevel="1" width="9.85546875" customWidth="1" style="49" min="18" max="18"/>
    <col hidden="1" outlineLevel="1" width="9.140625" customWidth="1" style="49" min="19" max="19"/>
    <col hidden="1" collapsed="1" width="13" customWidth="1" style="49" min="20" max="20"/>
    <col hidden="1" width="13" customWidth="1" style="49" min="21" max="26"/>
    <col hidden="1" width="10.28515625" customWidth="1" style="49" min="27" max="27"/>
    <col hidden="1" width="13" customWidth="1" style="49" min="28" max="28"/>
    <col width="9.140625" customWidth="1" style="49" min="29" max="31"/>
    <col width="9" customWidth="1" style="49" min="32" max="34"/>
    <col width="11.5703125" bestFit="1" customWidth="1" style="49" min="35" max="35"/>
    <col width="11.28515625" bestFit="1" customWidth="1" style="49" min="36" max="36"/>
    <col width="11.7109375" bestFit="1" customWidth="1" style="49" min="37" max="37"/>
    <col width="11.5703125" bestFit="1" customWidth="1" style="49" min="38" max="38"/>
    <col width="12.28515625" bestFit="1" customWidth="1" style="49" min="39" max="40"/>
    <col width="4.140625" customWidth="1" style="49" min="41" max="41"/>
    <col width="9.140625" customWidth="1" style="49" min="42" max="16384"/>
  </cols>
  <sheetData>
    <row r="1" customFormat="1" s="526">
      <c r="A1" s="157" t="inlineStr">
        <is>
          <t>SoC Permitted Return</t>
        </is>
      </c>
      <c r="B1" s="553" t="n"/>
      <c r="C1" s="553" t="n"/>
      <c r="D1" s="553" t="n"/>
      <c r="E1" s="553" t="n"/>
      <c r="F1" s="553" t="n"/>
      <c r="G1" s="553" t="n"/>
      <c r="H1" s="553" t="n"/>
      <c r="I1" s="553" t="n"/>
      <c r="J1" s="553" t="n"/>
      <c r="K1" s="553" t="n"/>
      <c r="L1" s="553" t="n"/>
      <c r="M1" s="553" t="n"/>
      <c r="N1" s="553" t="n"/>
      <c r="O1" s="553" t="n"/>
      <c r="P1" s="553" t="n"/>
      <c r="Q1" s="553" t="n"/>
      <c r="R1" s="553" t="n"/>
      <c r="S1" s="553" t="n"/>
      <c r="T1" s="553" t="n"/>
      <c r="U1" s="553" t="n"/>
      <c r="V1" s="553" t="n"/>
      <c r="W1" s="553" t="n"/>
      <c r="X1" s="553" t="n"/>
      <c r="Y1" s="553" t="n"/>
      <c r="Z1" s="553" t="n"/>
      <c r="AA1" s="553" t="n"/>
      <c r="AB1" s="553" t="n"/>
      <c r="AC1" s="553" t="n"/>
      <c r="AD1" s="553" t="n"/>
      <c r="AE1" s="553" t="n"/>
      <c r="AF1" s="553" t="n"/>
      <c r="AG1" s="553" t="n"/>
      <c r="AH1" s="553" t="n"/>
      <c r="AI1" s="553" t="n"/>
      <c r="AJ1" s="553" t="n"/>
      <c r="AK1" s="553" t="n"/>
      <c r="AL1" s="553" t="n"/>
      <c r="AM1" s="553" t="n"/>
      <c r="AN1" s="553" t="n"/>
    </row>
    <row r="2">
      <c r="A2" s="159" t="n"/>
      <c r="B2" s="160" t="n">
        <v>1992</v>
      </c>
      <c r="C2" s="160" t="n">
        <v>1993</v>
      </c>
      <c r="D2" s="161" t="n">
        <v>1994</v>
      </c>
      <c r="E2" s="161" t="n">
        <v>1995</v>
      </c>
      <c r="F2" s="162" t="inlineStr">
        <is>
          <t>1996</t>
        </is>
      </c>
      <c r="G2" s="163">
        <f>Final!G2</f>
        <v/>
      </c>
      <c r="H2" s="163">
        <f>Final!H2</f>
        <v/>
      </c>
      <c r="I2" s="163">
        <f>Final!I2</f>
        <v/>
      </c>
      <c r="J2" s="163">
        <f>Final!J2</f>
        <v/>
      </c>
      <c r="K2" s="163">
        <f>Final!K2</f>
        <v/>
      </c>
      <c r="L2" s="163">
        <f>Final!L2</f>
        <v/>
      </c>
      <c r="M2" s="163">
        <f>Final!M2</f>
        <v/>
      </c>
      <c r="N2" s="163">
        <f>Final!N2</f>
        <v/>
      </c>
      <c r="O2" s="163">
        <f>Final!O2</f>
        <v/>
      </c>
      <c r="P2" s="163">
        <f>Final!P2</f>
        <v/>
      </c>
      <c r="Q2" s="163">
        <f>Final!Q2</f>
        <v/>
      </c>
      <c r="R2" s="163">
        <f>Final!R2</f>
        <v/>
      </c>
      <c r="S2" s="163">
        <f>Final!S2</f>
        <v/>
      </c>
      <c r="T2" s="163">
        <f>Final!T2</f>
        <v/>
      </c>
      <c r="U2" s="163">
        <f>Final!U2</f>
        <v/>
      </c>
      <c r="V2" s="163">
        <f>Final!V2</f>
        <v/>
      </c>
      <c r="W2" s="163">
        <f>Final!W2</f>
        <v/>
      </c>
      <c r="X2" s="163">
        <f>Final!X2</f>
        <v/>
      </c>
      <c r="Y2" s="163">
        <f>Final!Y2</f>
        <v/>
      </c>
      <c r="Z2" s="163">
        <f>Final!Z2</f>
        <v/>
      </c>
      <c r="AA2" s="163">
        <f>Final!AA2</f>
        <v/>
      </c>
      <c r="AB2" s="163">
        <f>Final!AB2</f>
        <v/>
      </c>
      <c r="AC2" s="163">
        <f>Final!AC2</f>
        <v/>
      </c>
      <c r="AD2" s="163">
        <f>Final!AD2</f>
        <v/>
      </c>
      <c r="AE2" s="163">
        <f>Final!AE2</f>
        <v/>
      </c>
      <c r="AF2" s="163">
        <f>Final!AF2</f>
        <v/>
      </c>
      <c r="AG2" s="163">
        <f>Final!AG2</f>
        <v/>
      </c>
      <c r="AH2" s="163">
        <f>Final!AH2</f>
        <v/>
      </c>
      <c r="AI2" s="163">
        <f>Final!AI2</f>
        <v/>
      </c>
      <c r="AJ2" s="163">
        <f>Final!AJ2</f>
        <v/>
      </c>
      <c r="AK2" s="163">
        <f>Final!AK2</f>
        <v/>
      </c>
      <c r="AL2" s="163">
        <f>Final!AL2</f>
        <v/>
      </c>
      <c r="AM2" s="163">
        <f>Final!AM2</f>
        <v/>
      </c>
      <c r="AN2" s="163">
        <f>Final!AN2</f>
        <v/>
      </c>
    </row>
    <row r="3">
      <c r="A3" s="49" t="inlineStr">
        <is>
          <t>Closing net fixed assets</t>
        </is>
      </c>
      <c r="B3" s="512">
        <f>B18</f>
        <v/>
      </c>
      <c r="C3" s="512">
        <f>C18</f>
        <v/>
      </c>
      <c r="D3" s="512">
        <f>D18</f>
        <v/>
      </c>
      <c r="E3" s="512">
        <f>E18</f>
        <v/>
      </c>
      <c r="F3" s="512">
        <f>F18</f>
        <v/>
      </c>
      <c r="G3" s="512">
        <f>G18</f>
        <v/>
      </c>
      <c r="H3" s="512">
        <f>H18</f>
        <v/>
      </c>
      <c r="I3" s="512">
        <f>I18</f>
        <v/>
      </c>
      <c r="J3" s="512">
        <f>J18</f>
        <v/>
      </c>
      <c r="K3" s="512">
        <f>K18</f>
        <v/>
      </c>
      <c r="L3" s="512">
        <f>L18</f>
        <v/>
      </c>
      <c r="M3" s="512">
        <f>M18</f>
        <v/>
      </c>
      <c r="N3" s="512">
        <f>N18</f>
        <v/>
      </c>
      <c r="O3" s="512">
        <f>O18</f>
        <v/>
      </c>
      <c r="P3" s="512">
        <f>P18</f>
        <v/>
      </c>
      <c r="Q3" s="512">
        <f>Q18</f>
        <v/>
      </c>
      <c r="R3" s="512">
        <f>R18</f>
        <v/>
      </c>
      <c r="S3" s="512">
        <f>S18</f>
        <v/>
      </c>
      <c r="T3" s="512">
        <f>T18</f>
        <v/>
      </c>
      <c r="U3" s="512">
        <f>U18</f>
        <v/>
      </c>
      <c r="V3" s="512">
        <f>V18</f>
        <v/>
      </c>
      <c r="W3" s="512">
        <f>W18</f>
        <v/>
      </c>
      <c r="X3" s="512">
        <f>X18</f>
        <v/>
      </c>
      <c r="Y3" s="512">
        <f>Y18</f>
        <v/>
      </c>
      <c r="Z3" s="512">
        <f>Z18</f>
        <v/>
      </c>
      <c r="AA3" s="512">
        <f>AA18</f>
        <v/>
      </c>
      <c r="AB3" s="512">
        <f>AB18</f>
        <v/>
      </c>
      <c r="AC3" s="512">
        <f>AC18</f>
        <v/>
      </c>
      <c r="AD3" s="512">
        <f>AD18</f>
        <v/>
      </c>
      <c r="AE3" s="512">
        <f>AE18</f>
        <v/>
      </c>
      <c r="AF3" s="512">
        <f>AF18</f>
        <v/>
      </c>
      <c r="AG3" s="512">
        <f>AG18</f>
        <v/>
      </c>
      <c r="AH3" s="512">
        <f>AH18</f>
        <v/>
      </c>
      <c r="AI3" s="512">
        <f>AI18</f>
        <v/>
      </c>
      <c r="AJ3" s="512">
        <f>AJ18</f>
        <v/>
      </c>
      <c r="AK3" s="512">
        <f>AK18</f>
        <v/>
      </c>
      <c r="AL3" s="512">
        <f>AL18</f>
        <v/>
      </c>
      <c r="AM3" s="512">
        <f>AM18</f>
        <v/>
      </c>
      <c r="AN3" s="512">
        <f>AN18</f>
        <v/>
      </c>
    </row>
    <row r="4">
      <c r="A4" s="49" t="inlineStr">
        <is>
          <t>Average net fixed assets</t>
        </is>
      </c>
      <c r="B4" s="512">
        <f>(B3+31829)/2</f>
        <v/>
      </c>
      <c r="C4" s="512">
        <f>(C3+B3)/2</f>
        <v/>
      </c>
      <c r="D4" s="512">
        <f>(D3+C3)/2</f>
        <v/>
      </c>
      <c r="E4" s="512">
        <f>(E3+D3)/2</f>
        <v/>
      </c>
      <c r="F4" s="512">
        <f>(F3+E3)/2</f>
        <v/>
      </c>
      <c r="G4" s="512">
        <f>(G3+F3)/2</f>
        <v/>
      </c>
      <c r="H4" s="512">
        <f>(H3+G3)/2</f>
        <v/>
      </c>
      <c r="I4" s="512">
        <f>(I3+H3)/2</f>
        <v/>
      </c>
      <c r="J4" s="512">
        <f>(J3+I3)/2</f>
        <v/>
      </c>
      <c r="K4" s="512">
        <f>(K3+J3)/2</f>
        <v/>
      </c>
      <c r="L4" s="512">
        <f>(L3+K3)/2</f>
        <v/>
      </c>
      <c r="M4" s="512">
        <f>(M3+L3)/2</f>
        <v/>
      </c>
      <c r="N4" s="512">
        <f>(N3+M3)/2</f>
        <v/>
      </c>
      <c r="O4" s="512">
        <f>(O3+N3)/2</f>
        <v/>
      </c>
      <c r="P4" s="512">
        <f>(P3+O3)/2</f>
        <v/>
      </c>
      <c r="Q4" s="512">
        <f>(Q3+P3)/2</f>
        <v/>
      </c>
      <c r="R4" s="512">
        <f>(R3+Q3)/2</f>
        <v/>
      </c>
      <c r="S4" s="512">
        <f>(S3+R3)/2</f>
        <v/>
      </c>
      <c r="T4" s="512">
        <f>(T3+S3)/2</f>
        <v/>
      </c>
      <c r="U4" s="512">
        <f>(U3+T3)/2</f>
        <v/>
      </c>
      <c r="V4" s="512">
        <f>(V3+U3)/2</f>
        <v/>
      </c>
      <c r="W4" s="512">
        <f>(W3+V3)/2</f>
        <v/>
      </c>
      <c r="X4" s="512">
        <f>(X3+W3)/2</f>
        <v/>
      </c>
      <c r="Y4" s="512">
        <f>(Y3+X3)/2</f>
        <v/>
      </c>
      <c r="Z4" s="512">
        <f>(Z3+Y3)/2</f>
        <v/>
      </c>
      <c r="AA4" s="512">
        <f>(AA3+Z3)/2</f>
        <v/>
      </c>
      <c r="AB4" s="512">
        <f>(AB3+AA3)/2</f>
        <v/>
      </c>
      <c r="AC4" s="512">
        <f>(AC3+AB3)/2</f>
        <v/>
      </c>
      <c r="AD4" s="512">
        <f>(AD3+AC3)/2</f>
        <v/>
      </c>
      <c r="AE4" s="512">
        <f>(AE3+AD3)/2</f>
        <v/>
      </c>
      <c r="AF4" s="512">
        <f>(AF3+AE3)/2</f>
        <v/>
      </c>
      <c r="AG4" s="512">
        <f>(AG3+AF3)/2</f>
        <v/>
      </c>
      <c r="AH4" s="512">
        <f>(AH3+AG3)/2</f>
        <v/>
      </c>
      <c r="AI4" s="512">
        <f>(AI3+AH3)/2</f>
        <v/>
      </c>
      <c r="AJ4" s="512">
        <f>(AJ3+AI3)/2</f>
        <v/>
      </c>
      <c r="AK4" s="512">
        <f>(AK3+AJ3)/2</f>
        <v/>
      </c>
      <c r="AL4" s="512">
        <f>(AL3+AK3)/2</f>
        <v/>
      </c>
      <c r="AM4" s="512">
        <f>(AM3+AL3)/2</f>
        <v/>
      </c>
      <c r="AN4" s="512">
        <f>(AN3+AM3)/2</f>
        <v/>
      </c>
    </row>
    <row r="5">
      <c r="A5" s="49" t="inlineStr">
        <is>
          <t>%+/-</t>
        </is>
      </c>
      <c r="D5" s="568">
        <f>D4/C4-1</f>
        <v/>
      </c>
      <c r="E5" s="568">
        <f>E4/D4-1</f>
        <v/>
      </c>
      <c r="F5" s="568">
        <f>F4/E4-1</f>
        <v/>
      </c>
      <c r="G5" s="568">
        <f>G4/F4-1</f>
        <v/>
      </c>
      <c r="H5" s="568">
        <f>H4/G4-1</f>
        <v/>
      </c>
      <c r="I5" s="568">
        <f>I4/H4-1</f>
        <v/>
      </c>
      <c r="J5" s="568">
        <f>J4/I4-1</f>
        <v/>
      </c>
      <c r="K5" s="568">
        <f>K4/J4-1</f>
        <v/>
      </c>
      <c r="L5" s="568">
        <f>L4/K4-1</f>
        <v/>
      </c>
      <c r="M5" s="568">
        <f>M4/L4-1</f>
        <v/>
      </c>
      <c r="N5" s="568">
        <f>N4/M4-1</f>
        <v/>
      </c>
      <c r="O5" s="568">
        <f>O4/N4-1</f>
        <v/>
      </c>
      <c r="P5" s="568">
        <f>P4/O4-1</f>
        <v/>
      </c>
      <c r="Q5" s="568">
        <f>Q4/P4-1</f>
        <v/>
      </c>
      <c r="R5" s="568">
        <f>R4/Q4-1</f>
        <v/>
      </c>
      <c r="S5" s="568">
        <f>S4/R4-1</f>
        <v/>
      </c>
      <c r="T5" s="568">
        <f>T4/S4-1</f>
        <v/>
      </c>
      <c r="U5" s="568">
        <f>U4/T4-1</f>
        <v/>
      </c>
      <c r="V5" s="568">
        <f>V4/U4-1</f>
        <v/>
      </c>
      <c r="W5" s="568">
        <f>W4/V4-1</f>
        <v/>
      </c>
      <c r="X5" s="568">
        <f>X4/W4-1</f>
        <v/>
      </c>
      <c r="Y5" s="568">
        <f>Y4/X4-1</f>
        <v/>
      </c>
      <c r="Z5" s="568">
        <f>Z4/Y4-1</f>
        <v/>
      </c>
      <c r="AA5" s="568">
        <f>AA4/Z4-1</f>
        <v/>
      </c>
      <c r="AB5" s="568">
        <f>AB4/AA4-1</f>
        <v/>
      </c>
      <c r="AC5" s="568">
        <f>AC4/AB4-1</f>
        <v/>
      </c>
      <c r="AD5" s="568">
        <f>AD4/AC4-1</f>
        <v/>
      </c>
      <c r="AE5" s="568">
        <f>AE4/AD4-1</f>
        <v/>
      </c>
      <c r="AF5" s="568">
        <f>AF4/AE4-1</f>
        <v/>
      </c>
      <c r="AG5" s="568">
        <f>AG4/AF4-1</f>
        <v/>
      </c>
      <c r="AH5" s="568">
        <f>AH4/AG4-1</f>
        <v/>
      </c>
      <c r="AI5" s="568">
        <f>AI4/AH4-1</f>
        <v/>
      </c>
      <c r="AJ5" s="568">
        <f>AJ4/AI4-1</f>
        <v/>
      </c>
      <c r="AK5" s="568">
        <f>AK4/AJ4-1</f>
        <v/>
      </c>
      <c r="AL5" s="568">
        <f>AL4/AK4-1</f>
        <v/>
      </c>
      <c r="AM5" s="568">
        <f>AM4/AL4-1</f>
        <v/>
      </c>
      <c r="AN5" s="568">
        <f>AN4/AM4-1</f>
        <v/>
      </c>
    </row>
    <row r="6">
      <c r="A6" s="49" t="inlineStr">
        <is>
          <t>Allowed return</t>
        </is>
      </c>
      <c r="C6" s="568" t="n">
        <v>0.135</v>
      </c>
      <c r="D6" s="568">
        <f>C6</f>
        <v/>
      </c>
      <c r="E6" s="568">
        <f>D6</f>
        <v/>
      </c>
      <c r="F6" s="568">
        <f>E6</f>
        <v/>
      </c>
      <c r="G6" s="568">
        <f>F6</f>
        <v/>
      </c>
      <c r="H6" s="568">
        <f>G6</f>
        <v/>
      </c>
      <c r="I6" s="568">
        <f>H6</f>
        <v/>
      </c>
      <c r="J6" s="568">
        <f>I6</f>
        <v/>
      </c>
      <c r="K6" s="568">
        <f>J6</f>
        <v/>
      </c>
      <c r="L6" s="568">
        <f>K6</f>
        <v/>
      </c>
      <c r="M6" s="568">
        <f>L6</f>
        <v/>
      </c>
      <c r="N6" s="568">
        <f>M6</f>
        <v/>
      </c>
      <c r="O6" s="568">
        <f>N6</f>
        <v/>
      </c>
      <c r="P6" s="568">
        <f>O6</f>
        <v/>
      </c>
      <c r="Q6" s="568">
        <f>P6</f>
        <v/>
      </c>
      <c r="R6" s="568">
        <f>Q6*0.75+9.99%*0.25</f>
        <v/>
      </c>
      <c r="S6" s="568" t="n">
        <v>0.0999</v>
      </c>
      <c r="T6" s="568">
        <f>S6</f>
        <v/>
      </c>
      <c r="U6" s="568">
        <f>T6</f>
        <v/>
      </c>
      <c r="V6" s="568">
        <f>+V7/AVERAGE(U3,V3)</f>
        <v/>
      </c>
      <c r="W6" s="568">
        <f>V6</f>
        <v/>
      </c>
      <c r="X6" s="568">
        <f>W6</f>
        <v/>
      </c>
      <c r="Y6" s="568">
        <f>X6</f>
        <v/>
      </c>
      <c r="Z6" s="568">
        <f>Y6</f>
        <v/>
      </c>
      <c r="AA6" s="568">
        <f>Z6</f>
        <v/>
      </c>
      <c r="AB6" s="568">
        <f>10565/AB4</f>
        <v/>
      </c>
      <c r="AC6" s="568" t="n">
        <v>0.08</v>
      </c>
      <c r="AD6" s="568">
        <f>AC6</f>
        <v/>
      </c>
      <c r="AE6" s="568">
        <f>AD6</f>
        <v/>
      </c>
      <c r="AF6" s="568">
        <f>AE6</f>
        <v/>
      </c>
      <c r="AG6" s="568">
        <f>AF6</f>
        <v/>
      </c>
      <c r="AH6" s="568">
        <f>AG6</f>
        <v/>
      </c>
      <c r="AI6" s="666">
        <f>AH6</f>
        <v/>
      </c>
      <c r="AJ6" s="666">
        <f>AI6</f>
        <v/>
      </c>
      <c r="AK6" s="666">
        <f>AJ6</f>
        <v/>
      </c>
      <c r="AL6" s="666">
        <f>AK6</f>
        <v/>
      </c>
      <c r="AM6" s="666">
        <f>AL6</f>
        <v/>
      </c>
      <c r="AN6" s="666">
        <f>AM6</f>
        <v/>
      </c>
      <c r="AR6" s="49" t="n">
        <v>2025</v>
      </c>
      <c r="AS6" s="49" t="n">
        <v>2026</v>
      </c>
      <c r="AT6" s="49" t="n">
        <v>2027</v>
      </c>
      <c r="AU6" s="49" t="n">
        <v>2028</v>
      </c>
      <c r="AV6" s="49" t="n">
        <v>2029</v>
      </c>
      <c r="AW6" s="49" t="n">
        <v>2030</v>
      </c>
    </row>
    <row r="7">
      <c r="A7" s="49" t="inlineStr">
        <is>
          <t>Return on ANFA</t>
        </is>
      </c>
      <c r="C7" s="512">
        <f>C6*C4</f>
        <v/>
      </c>
      <c r="D7" s="512">
        <f>D6*D4</f>
        <v/>
      </c>
      <c r="E7" s="512">
        <f>E6*E4</f>
        <v/>
      </c>
      <c r="F7" s="512">
        <f>F6*F4</f>
        <v/>
      </c>
      <c r="G7" s="512">
        <f>G6*G4</f>
        <v/>
      </c>
      <c r="H7" s="512">
        <f>H6*H4</f>
        <v/>
      </c>
      <c r="I7" s="512">
        <f>I6*I4*5/4</f>
        <v/>
      </c>
      <c r="J7" s="512">
        <f>J6*J4</f>
        <v/>
      </c>
      <c r="K7" s="512">
        <f>K6*K4</f>
        <v/>
      </c>
      <c r="L7" s="512">
        <f>L6*L4</f>
        <v/>
      </c>
      <c r="M7" s="512">
        <f>M6*M4</f>
        <v/>
      </c>
      <c r="N7" s="512">
        <f>N6*N4</f>
        <v/>
      </c>
      <c r="O7" s="512">
        <f>O6*O4</f>
        <v/>
      </c>
      <c r="P7" s="512">
        <f>P6*P4</f>
        <v/>
      </c>
      <c r="Q7" s="512">
        <f>Q6*Q4</f>
        <v/>
      </c>
      <c r="R7" s="512">
        <f>R6*R4</f>
        <v/>
      </c>
      <c r="S7" s="512">
        <f>S6*S4</f>
        <v/>
      </c>
      <c r="T7" s="512">
        <f>T6*T4</f>
        <v/>
      </c>
      <c r="U7" s="512">
        <f>U6*U4</f>
        <v/>
      </c>
      <c r="V7" s="512" t="n">
        <v>9313</v>
      </c>
      <c r="W7" s="512">
        <f>W6*W4</f>
        <v/>
      </c>
      <c r="X7" s="512">
        <f>X6*X4</f>
        <v/>
      </c>
      <c r="Y7" s="512">
        <f>Y6*Y4</f>
        <v/>
      </c>
      <c r="Z7" s="512">
        <f>Z6*Z4</f>
        <v/>
      </c>
      <c r="AA7" s="512">
        <f>AA6*AA4</f>
        <v/>
      </c>
      <c r="AB7" s="512">
        <f>AB6*AB4</f>
        <v/>
      </c>
      <c r="AC7" s="512">
        <f>AC6*AC4</f>
        <v/>
      </c>
      <c r="AD7" s="512">
        <f>AD6*AD4</f>
        <v/>
      </c>
      <c r="AE7" s="512">
        <f>AE6*AE4</f>
        <v/>
      </c>
      <c r="AF7" s="512">
        <f>AF6*AF4</f>
        <v/>
      </c>
      <c r="AG7" s="512">
        <f>AG6*AG4</f>
        <v/>
      </c>
      <c r="AH7" s="512">
        <f>AH6*AH4</f>
        <v/>
      </c>
      <c r="AI7" s="512">
        <f>AI6*AI4</f>
        <v/>
      </c>
      <c r="AJ7" s="512">
        <f>AJ6*AJ4</f>
        <v/>
      </c>
      <c r="AK7" s="512">
        <f>AK6*AK4</f>
        <v/>
      </c>
      <c r="AL7" s="512">
        <f>AL6*AL4</f>
        <v/>
      </c>
      <c r="AM7" s="512">
        <f>AM6*AM4</f>
        <v/>
      </c>
      <c r="AN7" s="512">
        <f>AN6*AN4</f>
        <v/>
      </c>
      <c r="AR7" s="558">
        <f>Final!AI31</f>
        <v/>
      </c>
      <c r="AS7" s="558">
        <f>Final!AJ31</f>
        <v/>
      </c>
      <c r="AT7" s="558">
        <f>Final!AK31</f>
        <v/>
      </c>
      <c r="AU7" s="558">
        <f>Final!AL31</f>
        <v/>
      </c>
      <c r="AV7" s="558">
        <f>Final!AM31</f>
        <v/>
      </c>
      <c r="AW7" s="558">
        <f>Final!AN31</f>
        <v/>
      </c>
    </row>
    <row r="8">
      <c r="D8" s="446" t="n"/>
      <c r="E8" s="446" t="n"/>
      <c r="F8" s="446" t="n"/>
      <c r="G8" s="446" t="n"/>
      <c r="H8" s="446" t="n"/>
      <c r="AR8" s="49" t="n">
        <v>14491.09251005133</v>
      </c>
      <c r="AS8" s="49" t="n">
        <v>14684.32975966318</v>
      </c>
      <c r="AT8" s="49" t="n">
        <v>14871.34238654643</v>
      </c>
      <c r="AU8" s="49" t="n">
        <v>15052.5902228562</v>
      </c>
      <c r="AV8" s="49" t="n">
        <v>15228.53779818764</v>
      </c>
      <c r="AW8" s="49" t="n">
        <v>15399.6566528859</v>
      </c>
    </row>
    <row r="9" hidden="1" outlineLevel="1">
      <c r="A9" s="62" t="inlineStr">
        <is>
          <t>Shareholder investments post 79</t>
        </is>
      </c>
      <c r="C9" s="49">
        <f>C12/C11</f>
        <v/>
      </c>
      <c r="D9" s="49">
        <f>D12/D11</f>
        <v/>
      </c>
      <c r="E9" s="49">
        <f>E12/E11</f>
        <v/>
      </c>
      <c r="F9" s="49">
        <f>F12/F11</f>
        <v/>
      </c>
      <c r="G9" s="49">
        <f>G12/G11</f>
        <v/>
      </c>
      <c r="H9" s="49">
        <f>H12/H11</f>
        <v/>
      </c>
      <c r="I9" s="49">
        <f>(I12*4/5)/I11</f>
        <v/>
      </c>
      <c r="J9" s="49">
        <f>J12/J11</f>
        <v/>
      </c>
      <c r="K9" s="49">
        <f>K12/K11</f>
        <v/>
      </c>
      <c r="L9" s="49">
        <f>L12/L11</f>
        <v/>
      </c>
      <c r="M9" s="49">
        <f>M12/M11</f>
        <v/>
      </c>
      <c r="N9" s="49">
        <f>N12/N11</f>
        <v/>
      </c>
      <c r="O9" s="49">
        <f>O12/O11</f>
        <v/>
      </c>
      <c r="P9" s="49">
        <f>P12/P11</f>
        <v/>
      </c>
      <c r="Q9" s="49">
        <f>Q12/Q11</f>
        <v/>
      </c>
      <c r="R9" s="49">
        <f>R12/R11</f>
        <v/>
      </c>
    </row>
    <row r="10" hidden="1" outlineLevel="1">
      <c r="A10" s="62" t="inlineStr">
        <is>
          <t>Growth in post-79 shareholder invest</t>
        </is>
      </c>
      <c r="C10" s="446" t="n"/>
      <c r="D10" s="446">
        <f>D9/C9-1</f>
        <v/>
      </c>
      <c r="E10" s="446">
        <f>E9/D9-1</f>
        <v/>
      </c>
      <c r="F10" s="446">
        <f>F9/E9-1</f>
        <v/>
      </c>
      <c r="G10" s="446">
        <f>G9/F9-1</f>
        <v/>
      </c>
      <c r="H10" s="446">
        <f>H9/G9-1</f>
        <v/>
      </c>
      <c r="I10" s="446">
        <f>I9/H9-1</f>
        <v/>
      </c>
      <c r="J10" s="446">
        <f>J9/I9-1</f>
        <v/>
      </c>
      <c r="K10" s="446">
        <f>K9/J9-1</f>
        <v/>
      </c>
      <c r="L10" s="446">
        <f>L9/K9-1</f>
        <v/>
      </c>
      <c r="M10" s="446">
        <f>M9/L9-1</f>
        <v/>
      </c>
      <c r="N10" s="446">
        <f>N9/M9-1</f>
        <v/>
      </c>
      <c r="O10" s="446">
        <f>O9/N9-1</f>
        <v/>
      </c>
      <c r="P10" s="446">
        <f>P9/O9-1</f>
        <v/>
      </c>
      <c r="Q10" s="446">
        <f>Q9/P9-1</f>
        <v/>
      </c>
      <c r="R10" s="446">
        <f>R9/Q9-1</f>
        <v/>
      </c>
      <c r="S10" s="446" t="n"/>
      <c r="T10" s="446" t="n"/>
      <c r="U10" s="446" t="n"/>
      <c r="V10" s="446" t="n"/>
      <c r="W10" s="446" t="n"/>
      <c r="X10" s="446" t="n"/>
      <c r="Y10" s="446" t="n"/>
      <c r="Z10" s="446" t="n"/>
      <c r="AA10" s="446" t="n"/>
      <c r="AB10" s="446" t="n"/>
      <c r="AC10" s="446" t="n"/>
      <c r="AD10" s="446" t="n"/>
      <c r="AE10" s="446" t="n"/>
      <c r="AF10" s="446" t="n"/>
      <c r="AG10" s="446" t="n"/>
      <c r="AH10" s="446" t="n"/>
      <c r="AI10" s="446" t="n"/>
      <c r="AJ10" s="446" t="n"/>
      <c r="AK10" s="446" t="n"/>
      <c r="AL10" s="446" t="n"/>
      <c r="AM10" s="446" t="n"/>
      <c r="AN10" s="446" t="n"/>
    </row>
    <row r="11" hidden="1" outlineLevel="1">
      <c r="A11" s="49" t="inlineStr">
        <is>
          <t>Allowed return</t>
        </is>
      </c>
      <c r="C11" s="568" t="n">
        <v>0.015</v>
      </c>
      <c r="D11" s="568">
        <f>C11</f>
        <v/>
      </c>
      <c r="E11" s="568">
        <f>D11</f>
        <v/>
      </c>
      <c r="F11" s="568">
        <f>E11</f>
        <v/>
      </c>
      <c r="G11" s="568">
        <f>F11</f>
        <v/>
      </c>
      <c r="H11" s="568">
        <f>G11</f>
        <v/>
      </c>
      <c r="I11" s="568">
        <f>H11</f>
        <v/>
      </c>
      <c r="J11" s="568">
        <f>I11</f>
        <v/>
      </c>
      <c r="K11" s="568">
        <f>J11</f>
        <v/>
      </c>
      <c r="L11" s="568">
        <f>K11</f>
        <v/>
      </c>
      <c r="M11" s="568">
        <f>L11</f>
        <v/>
      </c>
      <c r="N11" s="568">
        <f>M11</f>
        <v/>
      </c>
      <c r="O11" s="568">
        <f>N11</f>
        <v/>
      </c>
      <c r="P11" s="568">
        <f>O11</f>
        <v/>
      </c>
      <c r="Q11" s="568">
        <f>P11</f>
        <v/>
      </c>
      <c r="R11" s="568">
        <f>Q11*9/12</f>
        <v/>
      </c>
      <c r="S11" s="568" t="n"/>
      <c r="T11" s="568" t="n"/>
      <c r="U11" s="568" t="n"/>
      <c r="V11" s="568" t="n"/>
      <c r="W11" s="568" t="n"/>
      <c r="X11" s="568" t="n"/>
      <c r="Y11" s="568" t="n"/>
      <c r="Z11" s="568" t="n"/>
      <c r="AA11" s="568" t="n"/>
      <c r="AB11" s="568" t="n"/>
      <c r="AC11" s="568" t="n"/>
      <c r="AD11" s="568" t="n"/>
      <c r="AE11" s="568" t="n"/>
      <c r="AF11" s="568" t="n"/>
      <c r="AG11" s="568" t="n"/>
      <c r="AH11" s="568" t="n"/>
      <c r="AI11" s="568" t="n"/>
      <c r="AJ11" s="568" t="n"/>
      <c r="AK11" s="568" t="n"/>
      <c r="AL11" s="568" t="n"/>
      <c r="AM11" s="568" t="n"/>
      <c r="AN11" s="568" t="n"/>
    </row>
    <row r="12" hidden="1" outlineLevel="1">
      <c r="C12" s="49">
        <f>C14-C7</f>
        <v/>
      </c>
      <c r="D12" s="49">
        <f>D14-D7</f>
        <v/>
      </c>
      <c r="E12" s="49">
        <f>E14-E7</f>
        <v/>
      </c>
      <c r="F12" s="49">
        <f>F14-F7</f>
        <v/>
      </c>
      <c r="G12" s="49">
        <f>G14-G7</f>
        <v/>
      </c>
      <c r="H12" s="49">
        <f>H14-H7</f>
        <v/>
      </c>
      <c r="I12" s="49">
        <f>I14-I7</f>
        <v/>
      </c>
      <c r="J12" s="49">
        <f>J14-J7</f>
        <v/>
      </c>
      <c r="K12" s="49">
        <f>K14-K7</f>
        <v/>
      </c>
      <c r="L12" s="49">
        <f>L14-L7</f>
        <v/>
      </c>
      <c r="M12" s="49">
        <f>M14-M7</f>
        <v/>
      </c>
      <c r="N12" s="49">
        <f>N14-N7</f>
        <v/>
      </c>
      <c r="O12" s="49">
        <f>O14-O7</f>
        <v/>
      </c>
      <c r="P12" s="49">
        <f>P14-P7</f>
        <v/>
      </c>
      <c r="Q12" s="49">
        <f>Q14-Q7</f>
        <v/>
      </c>
      <c r="R12" s="49">
        <f>R14-R7</f>
        <v/>
      </c>
    </row>
    <row r="13" hidden="1" outlineLevel="1">
      <c r="F13" s="446" t="n"/>
    </row>
    <row r="14" collapsed="1">
      <c r="A14" s="159" t="inlineStr">
        <is>
          <t>Permitted return for the year</t>
        </is>
      </c>
      <c r="B14" s="159" t="n">
        <v>4745</v>
      </c>
      <c r="C14" s="560" t="n">
        <v>5203</v>
      </c>
      <c r="D14" s="560" t="n">
        <v>5878</v>
      </c>
      <c r="E14" s="560" t="n">
        <v>6727</v>
      </c>
      <c r="F14" s="560" t="n">
        <v>7542</v>
      </c>
      <c r="G14" s="560" t="n">
        <v>8034.501000000001</v>
      </c>
      <c r="H14" s="560" t="n">
        <v>8252.717863636362</v>
      </c>
      <c r="I14" s="560">
        <f>8323+2085</f>
        <v/>
      </c>
      <c r="J14" s="560" t="n">
        <v>8384</v>
      </c>
      <c r="K14" s="560" t="n">
        <v>8580</v>
      </c>
      <c r="L14" s="560" t="n">
        <v>8887</v>
      </c>
      <c r="M14" s="560" t="n">
        <v>9317</v>
      </c>
      <c r="N14" s="560" t="n">
        <v>9847</v>
      </c>
      <c r="O14" s="560" t="n">
        <v>10223</v>
      </c>
      <c r="P14" s="560" t="n">
        <v>10452</v>
      </c>
      <c r="Q14" s="560" t="n">
        <v>10720</v>
      </c>
      <c r="R14" s="560">
        <f>8317+1968</f>
        <v/>
      </c>
      <c r="S14" s="560" t="n">
        <v>8155</v>
      </c>
      <c r="T14" s="560" t="n">
        <v>8568</v>
      </c>
      <c r="U14" s="560" t="n">
        <v>8936</v>
      </c>
      <c r="V14" s="560" t="n">
        <v>9313</v>
      </c>
      <c r="W14" s="560" t="n">
        <v>9638</v>
      </c>
      <c r="X14" s="560" t="n">
        <v>9958</v>
      </c>
      <c r="Y14" s="560" t="n">
        <v>10286</v>
      </c>
      <c r="Z14" s="560" t="n">
        <v>10558</v>
      </c>
      <c r="AA14" s="560" t="n">
        <v>10825</v>
      </c>
      <c r="AB14" s="560">
        <f>2253+8312</f>
        <v/>
      </c>
      <c r="AC14" s="560" t="n">
        <v>9218</v>
      </c>
      <c r="AD14" s="560" t="n">
        <v>9507</v>
      </c>
      <c r="AE14" s="560" t="n">
        <v>9854</v>
      </c>
      <c r="AF14" s="560" t="n">
        <v>10345</v>
      </c>
      <c r="AG14" s="560" t="n">
        <v>10858</v>
      </c>
      <c r="AH14" s="560" t="n">
        <v>11271</v>
      </c>
      <c r="AI14" s="563">
        <f>AI7</f>
        <v/>
      </c>
      <c r="AJ14" s="563">
        <f>AJ7</f>
        <v/>
      </c>
      <c r="AK14" s="563">
        <f>AK7</f>
        <v/>
      </c>
      <c r="AL14" s="563">
        <f>AL7</f>
        <v/>
      </c>
      <c r="AM14" s="563">
        <f>AM7</f>
        <v/>
      </c>
      <c r="AN14" s="563">
        <f>AN7</f>
        <v/>
      </c>
      <c r="AR14" s="667">
        <f>AR7/AR8-1</f>
        <v/>
      </c>
      <c r="AS14" s="667">
        <f>AS7/AS8-1</f>
        <v/>
      </c>
      <c r="AT14" s="667">
        <f>AT7/AT8-1</f>
        <v/>
      </c>
      <c r="AU14" s="667">
        <f>AU7/AU8-1</f>
        <v/>
      </c>
      <c r="AV14" s="667">
        <f>AV7/AV8-1</f>
        <v/>
      </c>
      <c r="AW14" s="667">
        <f>AW7/AW8-1</f>
        <v/>
      </c>
    </row>
    <row r="15">
      <c r="A15" s="49" t="inlineStr">
        <is>
          <t>Growth in Permitted Return</t>
        </is>
      </c>
      <c r="C15" s="568">
        <f>C14/B14-1</f>
        <v/>
      </c>
      <c r="D15" s="568">
        <f>D14/C14-1</f>
        <v/>
      </c>
      <c r="E15" s="568">
        <f>E14/D14-1</f>
        <v/>
      </c>
      <c r="F15" s="568">
        <f>F14/E14-1</f>
        <v/>
      </c>
      <c r="G15" s="568">
        <f>G14/F14-1</f>
        <v/>
      </c>
      <c r="H15" s="568">
        <f>H14/G14-1</f>
        <v/>
      </c>
      <c r="I15" s="568">
        <f>I14*4/5/H14-1</f>
        <v/>
      </c>
      <c r="J15" s="568">
        <f>J14/(I14*4/5)-1</f>
        <v/>
      </c>
      <c r="K15" s="568">
        <f>K14/J14-1</f>
        <v/>
      </c>
      <c r="L15" s="568">
        <f>L14/K14-1</f>
        <v/>
      </c>
      <c r="M15" s="568">
        <f>M14/L14-1</f>
        <v/>
      </c>
      <c r="N15" s="568">
        <f>N14/M14-1</f>
        <v/>
      </c>
      <c r="O15" s="568">
        <f>O14/N14-1</f>
        <v/>
      </c>
      <c r="P15" s="568">
        <f>P14/O14-1</f>
        <v/>
      </c>
      <c r="Q15" s="568">
        <f>Q14/P14-1</f>
        <v/>
      </c>
      <c r="R15" s="568">
        <f>R14/Q14-1</f>
        <v/>
      </c>
      <c r="S15" s="568">
        <f>S14/R14-1</f>
        <v/>
      </c>
      <c r="T15" s="568">
        <f>T14/S14-1</f>
        <v/>
      </c>
      <c r="U15" s="568">
        <f>U14/T14-1</f>
        <v/>
      </c>
      <c r="V15" s="568">
        <f>V14/U14-1</f>
        <v/>
      </c>
      <c r="W15" s="568">
        <f>W14/V14-1</f>
        <v/>
      </c>
      <c r="X15" s="568">
        <f>X14/W14-1</f>
        <v/>
      </c>
      <c r="Y15" s="568">
        <f>Y14/X14-1</f>
        <v/>
      </c>
      <c r="Z15" s="568">
        <f>Z14/Y14-1</f>
        <v/>
      </c>
      <c r="AA15" s="568">
        <f>AA14/Z14-1</f>
        <v/>
      </c>
      <c r="AB15" s="568">
        <f>AB14/AA14-1</f>
        <v/>
      </c>
      <c r="AC15" s="568">
        <f>AC14/AB14-1</f>
        <v/>
      </c>
      <c r="AD15" s="568">
        <f>AD14/AC14-1</f>
        <v/>
      </c>
      <c r="AE15" s="568">
        <f>AE14/AD14-1</f>
        <v/>
      </c>
      <c r="AF15" s="568">
        <f>AF14/AE14-1</f>
        <v/>
      </c>
      <c r="AG15" s="568">
        <f>AG14/AF14-1</f>
        <v/>
      </c>
      <c r="AH15" s="568">
        <f>AH14/AG14-1</f>
        <v/>
      </c>
      <c r="AI15" s="568">
        <f>AI14/AH14-1</f>
        <v/>
      </c>
      <c r="AJ15" s="568">
        <f>AJ14/AI14-1</f>
        <v/>
      </c>
      <c r="AK15" s="568">
        <f>AK14/AJ14-1</f>
        <v/>
      </c>
      <c r="AL15" s="568">
        <f>AL14/AK14-1</f>
        <v/>
      </c>
      <c r="AM15" s="568">
        <f>AM14/AL14-1</f>
        <v/>
      </c>
      <c r="AN15" s="568">
        <f>AN14/AM14-1</f>
        <v/>
      </c>
    </row>
    <row r="16">
      <c r="B16" s="165" t="n"/>
      <c r="C16" s="165" t="n"/>
      <c r="D16" s="165" t="n"/>
      <c r="E16" s="165" t="n"/>
      <c r="F16" s="165" t="n"/>
      <c r="G16" s="165" t="n"/>
      <c r="H16" s="165" t="n"/>
      <c r="I16" s="165" t="n"/>
      <c r="J16" s="165" t="n"/>
      <c r="K16" s="165" t="n"/>
      <c r="L16" s="165" t="n"/>
      <c r="M16" s="165" t="n"/>
      <c r="N16" s="165" t="n"/>
      <c r="O16" s="165" t="n"/>
      <c r="P16" s="165" t="n"/>
      <c r="Q16" s="165" t="n"/>
      <c r="R16" s="220" t="n"/>
      <c r="S16" s="165" t="n"/>
      <c r="AF16" s="446" t="n"/>
      <c r="AG16" s="446" t="n"/>
      <c r="AH16" s="446" t="n"/>
    </row>
    <row r="17" customFormat="1" s="43">
      <c r="A17" s="6" t="inlineStr">
        <is>
          <t>Balance Sheet</t>
        </is>
      </c>
      <c r="B17" s="85" t="n"/>
      <c r="C17" s="85" t="n"/>
      <c r="D17" s="85" t="n"/>
      <c r="E17" s="85" t="n"/>
      <c r="F17" s="85" t="n"/>
      <c r="G17" s="85" t="n"/>
      <c r="H17" s="85" t="n"/>
      <c r="I17" s="85" t="n"/>
      <c r="J17" s="85" t="n"/>
      <c r="K17" s="85" t="n"/>
      <c r="L17" s="85" t="n"/>
      <c r="M17" s="85" t="n"/>
      <c r="N17" s="85" t="n"/>
      <c r="O17" s="85" t="n"/>
      <c r="P17" s="85" t="n"/>
      <c r="Q17" s="85" t="n"/>
      <c r="R17" s="85" t="n"/>
      <c r="S17" s="85" t="n"/>
      <c r="T17" s="85" t="n"/>
      <c r="U17" s="85" t="n"/>
      <c r="V17" s="85" t="n"/>
      <c r="W17" s="85" t="n"/>
      <c r="X17" s="85" t="n"/>
      <c r="Y17" s="85" t="n"/>
      <c r="Z17" s="85" t="n"/>
      <c r="AA17" s="85" t="n"/>
      <c r="AB17" s="85" t="n"/>
      <c r="AC17" s="85" t="n"/>
      <c r="AD17" s="85" t="n"/>
      <c r="AE17" s="85" t="n"/>
      <c r="AF17" s="85" t="n"/>
      <c r="AG17" s="85" t="n"/>
      <c r="AH17" s="85" t="n"/>
      <c r="AI17" s="85" t="n"/>
      <c r="AJ17" s="85" t="n"/>
      <c r="AK17" s="85" t="n"/>
      <c r="AL17" s="85" t="n"/>
      <c r="AM17" s="85" t="n"/>
      <c r="AN17" s="85" t="n"/>
    </row>
    <row r="18">
      <c r="A18" s="668" t="inlineStr">
        <is>
          <t>Net fixed assets</t>
        </is>
      </c>
      <c r="B18" s="49" t="n">
        <v>33622</v>
      </c>
      <c r="C18" s="512" t="n">
        <v>37916</v>
      </c>
      <c r="D18" s="512" t="n">
        <v>43131</v>
      </c>
      <c r="E18" s="512" t="n">
        <v>49875</v>
      </c>
      <c r="F18" s="512" t="n">
        <v>54945</v>
      </c>
      <c r="G18" s="512" t="n">
        <v>57221</v>
      </c>
      <c r="H18" s="512" t="n">
        <v>57721</v>
      </c>
      <c r="I18" s="512" t="n">
        <v>57976</v>
      </c>
      <c r="J18" s="512" t="n">
        <v>58709</v>
      </c>
      <c r="K18" s="512" t="n">
        <v>60636</v>
      </c>
      <c r="L18" s="512" t="n">
        <v>63115</v>
      </c>
      <c r="M18" s="512" t="n">
        <v>66711</v>
      </c>
      <c r="N18" s="512" t="n">
        <v>69882</v>
      </c>
      <c r="O18" s="512" t="n">
        <v>71890</v>
      </c>
      <c r="P18" s="512" t="n">
        <v>73156</v>
      </c>
      <c r="Q18" s="512" t="n">
        <v>75239</v>
      </c>
      <c r="R18" s="512" t="n">
        <v>79445</v>
      </c>
      <c r="S18" s="512" t="n">
        <v>83811</v>
      </c>
      <c r="T18" s="512" t="n">
        <v>87713</v>
      </c>
      <c r="U18" s="512" t="n">
        <v>91187</v>
      </c>
      <c r="V18" s="512" t="n">
        <v>95243</v>
      </c>
      <c r="W18" s="512" t="n">
        <v>97918</v>
      </c>
      <c r="X18" s="512" t="n">
        <v>101420</v>
      </c>
      <c r="Y18" s="512" t="n">
        <v>104479</v>
      </c>
      <c r="Z18" s="512" t="n">
        <v>106886</v>
      </c>
      <c r="AA18" s="512" t="n">
        <v>109824</v>
      </c>
      <c r="AB18" s="512" t="n">
        <v>113295</v>
      </c>
      <c r="AC18" s="512" t="n">
        <v>117157</v>
      </c>
      <c r="AD18" s="512" t="n">
        <v>120523</v>
      </c>
      <c r="AE18" s="512" t="n">
        <v>125827</v>
      </c>
      <c r="AF18" s="512" t="n">
        <v>132792</v>
      </c>
      <c r="AG18" s="512" t="n">
        <v>138657</v>
      </c>
      <c r="AH18" s="512" t="n">
        <v>143124</v>
      </c>
      <c r="AI18" s="512">
        <f>AH18+AI53+AI49</f>
        <v/>
      </c>
      <c r="AJ18" s="512">
        <f>AI18+AJ53+AJ49</f>
        <v/>
      </c>
      <c r="AK18" s="512">
        <f>AJ18+AK53+AK49</f>
        <v/>
      </c>
      <c r="AL18" s="512">
        <f>AK18+AL53+AL49</f>
        <v/>
      </c>
      <c r="AM18" s="512">
        <f>AL18+AM53+AM49</f>
        <v/>
      </c>
      <c r="AN18" s="512">
        <f>AM18+AN53+AN49</f>
        <v/>
      </c>
      <c r="AR18" s="655">
        <f>DCF!$S$37</f>
        <v/>
      </c>
    </row>
    <row r="19" customFormat="1" s="43">
      <c r="A19" s="668" t="inlineStr">
        <is>
          <t>Other assets</t>
        </is>
      </c>
      <c r="B19" s="49" t="n">
        <v>1801</v>
      </c>
      <c r="C19" s="512" t="n">
        <v>1840</v>
      </c>
      <c r="D19" s="512" t="n">
        <v>1417</v>
      </c>
      <c r="E19" s="512" t="n">
        <v>1610</v>
      </c>
      <c r="F19" s="512" t="n">
        <v>2095</v>
      </c>
      <c r="G19" s="512" t="n">
        <v>3131</v>
      </c>
      <c r="H19" s="512" t="n">
        <v>3822</v>
      </c>
      <c r="I19" s="512" t="n">
        <v>2441</v>
      </c>
      <c r="J19" s="512" t="n">
        <v>1705</v>
      </c>
      <c r="K19" s="512" t="n">
        <v>1636</v>
      </c>
      <c r="L19" s="512" t="n">
        <v>1650</v>
      </c>
      <c r="M19" s="512">
        <f>1650+298</f>
        <v/>
      </c>
      <c r="N19" s="512">
        <f>2382+298</f>
        <v/>
      </c>
      <c r="O19" s="512">
        <f>3040+808</f>
        <v/>
      </c>
      <c r="P19" s="512">
        <f>3402+934</f>
        <v/>
      </c>
      <c r="Q19" s="512">
        <f>3504+533</f>
        <v/>
      </c>
      <c r="R19" s="512">
        <f>3612+1552</f>
        <v/>
      </c>
      <c r="S19" s="512">
        <f>3929+774</f>
        <v/>
      </c>
      <c r="T19" s="512">
        <f>4367+1698</f>
        <v/>
      </c>
      <c r="U19" s="512">
        <f>4913+2310</f>
        <v/>
      </c>
      <c r="V19" s="512">
        <f>1904+11530</f>
        <v/>
      </c>
      <c r="W19" s="512">
        <f>1091+6778</f>
        <v/>
      </c>
      <c r="X19" s="512">
        <f>6770+684</f>
        <v/>
      </c>
      <c r="Y19" s="512">
        <f>382+5327</f>
        <v/>
      </c>
      <c r="Z19" s="512">
        <f>440+4061</f>
        <v/>
      </c>
      <c r="AA19" s="512">
        <f>268+7606</f>
        <v/>
      </c>
      <c r="AB19" s="512">
        <f>198+6559</f>
        <v/>
      </c>
      <c r="AC19" s="512">
        <f>213+4231</f>
        <v/>
      </c>
      <c r="AD19" s="512">
        <f>351+6350</f>
        <v/>
      </c>
      <c r="AE19" s="512">
        <f>134+8359</f>
        <v/>
      </c>
      <c r="AF19" s="512">
        <f>74+9681</f>
        <v/>
      </c>
      <c r="AG19" s="512">
        <f>16+5706</f>
        <v/>
      </c>
      <c r="AH19" s="512">
        <f>4223+36</f>
        <v/>
      </c>
      <c r="AI19" s="669">
        <f>AH19</f>
        <v/>
      </c>
      <c r="AJ19" s="669">
        <f>AI19</f>
        <v/>
      </c>
      <c r="AK19" s="669">
        <f>AJ19</f>
        <v/>
      </c>
      <c r="AL19" s="669">
        <f>AK19</f>
        <v/>
      </c>
      <c r="AM19" s="669">
        <f>AL19</f>
        <v/>
      </c>
      <c r="AN19" s="669">
        <f>AM19</f>
        <v/>
      </c>
    </row>
    <row r="20" customFormat="1" s="43">
      <c r="A20" s="670" t="inlineStr">
        <is>
          <t>Total assets</t>
        </is>
      </c>
      <c r="B20" s="174">
        <f>SUM(B18:B19)</f>
        <v/>
      </c>
      <c r="C20" s="558">
        <f>SUM(C18:C19)</f>
        <v/>
      </c>
      <c r="D20" s="558">
        <f>SUM(D18:D19)</f>
        <v/>
      </c>
      <c r="E20" s="558">
        <f>SUM(E18:E19)</f>
        <v/>
      </c>
      <c r="F20" s="558">
        <f>SUM(F18:F19)</f>
        <v/>
      </c>
      <c r="G20" s="558">
        <f>SUM(G18:G19)</f>
        <v/>
      </c>
      <c r="H20" s="558">
        <f>SUM(H18:H19)</f>
        <v/>
      </c>
      <c r="I20" s="558">
        <f>SUM(I18:I19)</f>
        <v/>
      </c>
      <c r="J20" s="558">
        <f>SUM(J18:J19)</f>
        <v/>
      </c>
      <c r="K20" s="558">
        <f>SUM(K18:K19)</f>
        <v/>
      </c>
      <c r="L20" s="558">
        <f>SUM(L18:L19)</f>
        <v/>
      </c>
      <c r="M20" s="558">
        <f>SUM(M18:M19)</f>
        <v/>
      </c>
      <c r="N20" s="558">
        <f>SUM(N18:N19)</f>
        <v/>
      </c>
      <c r="O20" s="558">
        <f>SUM(O18:O19)</f>
        <v/>
      </c>
      <c r="P20" s="558">
        <f>SUM(P18:P19)</f>
        <v/>
      </c>
      <c r="Q20" s="558">
        <f>SUM(Q18:Q19)</f>
        <v/>
      </c>
      <c r="R20" s="558">
        <f>SUM(R18:R19)</f>
        <v/>
      </c>
      <c r="S20" s="558">
        <f>SUM(S18:S19)</f>
        <v/>
      </c>
      <c r="T20" s="558">
        <f>SUM(T18:T19)</f>
        <v/>
      </c>
      <c r="U20" s="558">
        <f>SUM(U18:U19)</f>
        <v/>
      </c>
      <c r="V20" s="558">
        <f>SUM(V18:V19)</f>
        <v/>
      </c>
      <c r="W20" s="558">
        <f>SUM(W18:W19)</f>
        <v/>
      </c>
      <c r="X20" s="558">
        <f>SUM(X18:X19)</f>
        <v/>
      </c>
      <c r="Y20" s="558">
        <f>SUM(Y18:Y19)</f>
        <v/>
      </c>
      <c r="Z20" s="558">
        <f>SUM(Z18:Z19)</f>
        <v/>
      </c>
      <c r="AA20" s="558">
        <f>SUM(AA18:AA19)</f>
        <v/>
      </c>
      <c r="AB20" s="558">
        <f>SUM(AB18:AB19)</f>
        <v/>
      </c>
      <c r="AC20" s="558">
        <f>SUM(AC18:AC19)</f>
        <v/>
      </c>
      <c r="AD20" s="558">
        <f>SUM(AD18:AD19)</f>
        <v/>
      </c>
      <c r="AE20" s="558">
        <f>SUM(AE18:AE19)</f>
        <v/>
      </c>
      <c r="AF20" s="558">
        <f>SUM(AF18:AF19)</f>
        <v/>
      </c>
      <c r="AG20" s="558">
        <f>SUM(AG18:AG19)</f>
        <v/>
      </c>
      <c r="AH20" s="558">
        <f>SUM(AH18:AH19)</f>
        <v/>
      </c>
      <c r="AI20" s="558">
        <f>SUM(AI18:AI19)</f>
        <v/>
      </c>
      <c r="AJ20" s="558">
        <f>SUM(AJ18:AJ19)</f>
        <v/>
      </c>
      <c r="AK20" s="558">
        <f>SUM(AK18:AK19)</f>
        <v/>
      </c>
      <c r="AL20" s="558">
        <f>SUM(AL18:AL19)</f>
        <v/>
      </c>
      <c r="AM20" s="558">
        <f>SUM(AM18:AM19)</f>
        <v/>
      </c>
      <c r="AN20" s="558">
        <f>SUM(AN18:AN19)</f>
        <v/>
      </c>
    </row>
    <row r="21">
      <c r="A21" s="668" t="n"/>
      <c r="B21" s="446" t="n"/>
      <c r="C21" s="220" t="n"/>
      <c r="D21" s="220" t="n"/>
      <c r="E21" s="220" t="n"/>
      <c r="F21" s="220" t="n"/>
      <c r="G21" s="220" t="n"/>
      <c r="H21" s="220" t="n"/>
      <c r="O21" s="512" t="n"/>
      <c r="P21" s="512" t="n"/>
      <c r="Q21" s="512" t="n"/>
      <c r="R21" s="512" t="n"/>
      <c r="S21" s="512" t="n"/>
      <c r="T21" s="512" t="n"/>
      <c r="U21" s="512" t="n"/>
      <c r="V21" s="512" t="n"/>
      <c r="W21" s="512" t="n"/>
      <c r="X21" s="512" t="n"/>
      <c r="Y21" s="512" t="n"/>
      <c r="Z21" s="512" t="n"/>
      <c r="AA21" s="512" t="n"/>
      <c r="AB21" s="512" t="n"/>
      <c r="AC21" s="512" t="n"/>
      <c r="AD21" s="512" t="n"/>
      <c r="AE21" s="512" t="n"/>
      <c r="AF21" s="512" t="n"/>
      <c r="AG21" s="512" t="n"/>
      <c r="AH21" s="512" t="n"/>
      <c r="AI21" s="512" t="n"/>
      <c r="AJ21" s="512" t="n"/>
      <c r="AK21" s="512" t="n"/>
      <c r="AL21" s="512" t="n"/>
      <c r="AM21" s="512" t="n"/>
      <c r="AN21" s="512" t="n"/>
    </row>
    <row r="22">
      <c r="A22" s="668" t="inlineStr">
        <is>
          <t>Current liabilities</t>
        </is>
      </c>
      <c r="B22" s="49" t="n">
        <v>6567</v>
      </c>
      <c r="C22" s="512" t="n">
        <v>7153</v>
      </c>
      <c r="D22" s="512" t="n">
        <v>8991</v>
      </c>
      <c r="E22" s="512" t="n">
        <v>8558</v>
      </c>
      <c r="F22" s="512" t="n">
        <v>9022</v>
      </c>
      <c r="G22" s="512" t="n">
        <v>10415</v>
      </c>
      <c r="H22" s="512" t="n">
        <v>9304</v>
      </c>
      <c r="I22" s="512" t="n">
        <v>7017</v>
      </c>
      <c r="J22" s="512" t="n">
        <v>7978</v>
      </c>
      <c r="K22" s="512" t="n">
        <v>9306</v>
      </c>
      <c r="L22" s="512" t="n">
        <v>10992</v>
      </c>
      <c r="M22" s="512" t="n">
        <v>9557</v>
      </c>
      <c r="N22" s="512" t="n">
        <v>9740</v>
      </c>
      <c r="O22" s="512" t="n">
        <v>12723</v>
      </c>
      <c r="P22" s="512" t="n">
        <v>10257</v>
      </c>
      <c r="Q22" s="512" t="n">
        <v>14429</v>
      </c>
      <c r="R22" s="512" t="n">
        <v>14394</v>
      </c>
      <c r="S22" s="512" t="n">
        <v>17658</v>
      </c>
      <c r="T22" s="512" t="n">
        <v>15194</v>
      </c>
      <c r="U22" s="512" t="n">
        <v>17439</v>
      </c>
      <c r="V22" s="512" t="n">
        <v>22248</v>
      </c>
      <c r="W22" s="512" t="n">
        <v>17142</v>
      </c>
      <c r="X22" s="512" t="n">
        <v>18518</v>
      </c>
      <c r="Y22" s="512" t="n">
        <v>18565</v>
      </c>
      <c r="Z22" s="512" t="n">
        <v>21474</v>
      </c>
      <c r="AA22" s="512" t="n">
        <v>22565</v>
      </c>
      <c r="AB22" s="512" t="n">
        <v>24699</v>
      </c>
      <c r="AC22" s="512" t="n">
        <v>28115</v>
      </c>
      <c r="AD22" s="512" t="n">
        <v>23046</v>
      </c>
      <c r="AE22" s="512" t="n">
        <v>25311</v>
      </c>
      <c r="AF22" s="512" t="n">
        <v>27881</v>
      </c>
      <c r="AG22" s="512" t="n">
        <v>32472</v>
      </c>
      <c r="AH22" s="512" t="n">
        <v>28641</v>
      </c>
      <c r="AI22" s="669">
        <f>AH22</f>
        <v/>
      </c>
      <c r="AJ22" s="669">
        <f>AI22</f>
        <v/>
      </c>
      <c r="AK22" s="669">
        <f>AJ22</f>
        <v/>
      </c>
      <c r="AL22" s="669">
        <f>AK22</f>
        <v/>
      </c>
      <c r="AM22" s="669">
        <f>AL22</f>
        <v/>
      </c>
      <c r="AN22" s="669">
        <f>AM22</f>
        <v/>
      </c>
    </row>
    <row r="23">
      <c r="A23" s="668" t="inlineStr">
        <is>
          <t>Exchange fluctuation</t>
        </is>
      </c>
      <c r="B23" s="512" t="n">
        <v>-445</v>
      </c>
      <c r="C23" s="512" t="n">
        <v>15</v>
      </c>
      <c r="D23" s="512" t="n">
        <v>12</v>
      </c>
      <c r="E23" s="512" t="n">
        <v>6</v>
      </c>
      <c r="F23" s="512" t="n">
        <v>6</v>
      </c>
      <c r="G23" s="512" t="n">
        <v>-6</v>
      </c>
      <c r="H23" s="512" t="n">
        <v>-31</v>
      </c>
      <c r="I23" s="512" t="n">
        <v>-88</v>
      </c>
      <c r="J23" s="512" t="n">
        <v>-128</v>
      </c>
      <c r="K23" s="512" t="n">
        <v>-49</v>
      </c>
      <c r="L23" s="512" t="n">
        <v>-38</v>
      </c>
      <c r="M23" s="512" t="n">
        <v>46</v>
      </c>
      <c r="N23" s="512" t="n">
        <v>34</v>
      </c>
      <c r="O23" s="512" t="n">
        <v>63</v>
      </c>
      <c r="P23" s="512" t="n">
        <v>-5</v>
      </c>
      <c r="Q23" s="512" t="n">
        <v>-51</v>
      </c>
      <c r="R23" s="512" t="n">
        <v>165</v>
      </c>
      <c r="S23" s="512" t="n">
        <v>346</v>
      </c>
      <c r="T23" s="512" t="n">
        <v>962</v>
      </c>
      <c r="U23" s="512" t="n">
        <v>1428</v>
      </c>
      <c r="V23" s="512" t="n">
        <v>907</v>
      </c>
      <c r="W23" s="512" t="n">
        <v>939</v>
      </c>
      <c r="X23" s="512" t="n">
        <v>565</v>
      </c>
      <c r="Y23" s="512" t="n">
        <v>-113</v>
      </c>
      <c r="Z23" s="512" t="n">
        <v>279</v>
      </c>
      <c r="AA23" s="512" t="n">
        <v>21</v>
      </c>
      <c r="AB23" s="512" t="n">
        <v>-81</v>
      </c>
      <c r="AC23" s="512" t="n">
        <v>-9</v>
      </c>
      <c r="AD23" s="512" t="n">
        <v>-555</v>
      </c>
      <c r="AE23" s="512" t="n">
        <v>-606</v>
      </c>
      <c r="AF23" s="512" t="n">
        <v>-465</v>
      </c>
      <c r="AG23" s="512" t="n">
        <v>-1183</v>
      </c>
      <c r="AH23" s="512" t="n">
        <v>-647</v>
      </c>
      <c r="AI23" s="581">
        <f>AH23</f>
        <v/>
      </c>
      <c r="AJ23" s="581">
        <f>AI23</f>
        <v/>
      </c>
      <c r="AK23" s="581">
        <f>AJ23</f>
        <v/>
      </c>
      <c r="AL23" s="581">
        <f>AK23</f>
        <v/>
      </c>
      <c r="AM23" s="581">
        <f>AL23</f>
        <v/>
      </c>
      <c r="AN23" s="581">
        <f>AM23</f>
        <v/>
      </c>
    </row>
    <row r="24">
      <c r="A24" s="668" t="inlineStr">
        <is>
          <t>Long term borrowing</t>
        </is>
      </c>
      <c r="B24" s="49" t="n">
        <v>5845</v>
      </c>
      <c r="C24" s="512" t="n">
        <v>6925</v>
      </c>
      <c r="D24" s="512" t="n">
        <v>7877</v>
      </c>
      <c r="E24" s="512" t="n">
        <v>13113</v>
      </c>
      <c r="F24" s="512" t="n">
        <v>17797</v>
      </c>
      <c r="G24" s="512" t="n">
        <v>17825</v>
      </c>
      <c r="H24" s="512" t="n">
        <v>17871</v>
      </c>
      <c r="I24" s="512" t="n">
        <v>16654</v>
      </c>
      <c r="J24" s="512" t="n">
        <v>15092</v>
      </c>
      <c r="K24" s="512" t="n">
        <v>14437</v>
      </c>
      <c r="L24" s="512" t="n">
        <v>13916</v>
      </c>
      <c r="M24" s="512" t="n">
        <v>13893</v>
      </c>
      <c r="N24" s="512" t="n">
        <v>15084</v>
      </c>
      <c r="O24" s="512" t="n">
        <v>13720</v>
      </c>
      <c r="P24" s="512" t="n">
        <v>16161</v>
      </c>
      <c r="Q24" s="512" t="n">
        <v>13828</v>
      </c>
      <c r="R24" s="512" t="n">
        <v>16616</v>
      </c>
      <c r="S24" s="512" t="n">
        <v>21598</v>
      </c>
      <c r="T24" s="512" t="n">
        <v>25248</v>
      </c>
      <c r="U24" s="512" t="n">
        <v>25283</v>
      </c>
      <c r="V24" s="512" t="n">
        <v>28254</v>
      </c>
      <c r="W24" s="512" t="n">
        <v>26873</v>
      </c>
      <c r="X24" s="512" t="n">
        <v>28340</v>
      </c>
      <c r="Y24" s="512" t="n">
        <v>30730</v>
      </c>
      <c r="Z24" s="512" t="n">
        <v>28885</v>
      </c>
      <c r="AA24" s="512" t="n">
        <v>34251</v>
      </c>
      <c r="AB24" s="512" t="n">
        <v>32274</v>
      </c>
      <c r="AC24" s="512" t="n">
        <v>29792</v>
      </c>
      <c r="AD24" s="512" t="n">
        <v>37146</v>
      </c>
      <c r="AE24" s="512" t="n">
        <v>38328</v>
      </c>
      <c r="AF24" s="512" t="n">
        <v>40680</v>
      </c>
      <c r="AG24" s="512" t="n">
        <v>35967</v>
      </c>
      <c r="AH24" s="512" t="n">
        <v>40860</v>
      </c>
      <c r="AI24" s="671">
        <f>AH24+1000</f>
        <v/>
      </c>
      <c r="AJ24" s="671">
        <f>AI24+1000</f>
        <v/>
      </c>
      <c r="AK24" s="671">
        <f>AJ24+1000</f>
        <v/>
      </c>
      <c r="AL24" s="671">
        <f>AK24</f>
        <v/>
      </c>
      <c r="AM24" s="671">
        <f>AL24</f>
        <v/>
      </c>
      <c r="AN24" s="671">
        <f>AM24</f>
        <v/>
      </c>
      <c r="AP24" s="273" t="n"/>
    </row>
    <row r="25">
      <c r="A25" s="668" t="inlineStr">
        <is>
          <t>Deferred liabilities</t>
        </is>
      </c>
      <c r="B25" s="49" t="n">
        <v>3328</v>
      </c>
      <c r="C25" s="512" t="n">
        <v>3598</v>
      </c>
      <c r="D25" s="512" t="n">
        <v>4929</v>
      </c>
      <c r="E25" s="512" t="n">
        <v>5868</v>
      </c>
      <c r="F25" s="512" t="n">
        <v>5945</v>
      </c>
      <c r="G25" s="512" t="n">
        <v>6360</v>
      </c>
      <c r="H25" s="512" t="n">
        <v>6424</v>
      </c>
      <c r="I25" s="512" t="n">
        <v>6222</v>
      </c>
      <c r="J25" s="512" t="n">
        <v>6268</v>
      </c>
      <c r="K25" s="512" t="n">
        <v>6561</v>
      </c>
      <c r="L25" s="512" t="n">
        <v>6947</v>
      </c>
      <c r="M25" s="512" t="n">
        <v>8459</v>
      </c>
      <c r="N25" s="512" t="n">
        <v>8844</v>
      </c>
      <c r="O25" s="512" t="n">
        <v>8978</v>
      </c>
      <c r="P25" s="512" t="n">
        <v>9305</v>
      </c>
      <c r="Q25" s="512" t="n">
        <v>8549</v>
      </c>
      <c r="R25" s="512" t="n">
        <v>9312</v>
      </c>
      <c r="S25" s="512" t="n">
        <v>10062</v>
      </c>
      <c r="T25" s="512" t="n">
        <v>10909</v>
      </c>
      <c r="U25" s="512" t="n">
        <v>11778</v>
      </c>
      <c r="V25" s="512" t="n">
        <v>13486</v>
      </c>
      <c r="W25" s="512" t="n">
        <v>15747</v>
      </c>
      <c r="X25" s="512" t="n">
        <v>17937</v>
      </c>
      <c r="Y25" s="512" t="n">
        <v>17764</v>
      </c>
      <c r="Z25" s="512" t="n">
        <v>17816</v>
      </c>
      <c r="AA25" s="512" t="n">
        <v>15379</v>
      </c>
      <c r="AB25" s="512" t="n">
        <v>15650</v>
      </c>
      <c r="AC25" s="512" t="n">
        <v>16020</v>
      </c>
      <c r="AD25" s="512" t="n">
        <v>17761</v>
      </c>
      <c r="AE25" s="512" t="n">
        <v>18244</v>
      </c>
      <c r="AF25" s="512" t="n">
        <v>18995</v>
      </c>
      <c r="AG25" s="512" t="n">
        <v>20230</v>
      </c>
      <c r="AH25" s="512" t="n">
        <v>20709</v>
      </c>
      <c r="AI25" s="528">
        <f>AH25/AH22*AI22</f>
        <v/>
      </c>
      <c r="AJ25" s="528">
        <f>AI25/AI22*AJ22</f>
        <v/>
      </c>
      <c r="AK25" s="528">
        <f>AJ25/AJ22*AK22</f>
        <v/>
      </c>
      <c r="AL25" s="528">
        <f>AK25/AK22*AL22</f>
        <v/>
      </c>
      <c r="AM25" s="528">
        <f>AL25/AL22*AM22</f>
        <v/>
      </c>
      <c r="AN25" s="528">
        <f>AM25/AM22*AN22</f>
        <v/>
      </c>
    </row>
    <row r="26">
      <c r="A26" s="668" t="inlineStr">
        <is>
          <t>Special provision account</t>
        </is>
      </c>
      <c r="B26" s="18">
        <f>'SOC Accounts'!B27</f>
        <v/>
      </c>
      <c r="C26" s="512">
        <f>'SOC Accounts'!C27</f>
        <v/>
      </c>
      <c r="D26" s="512">
        <f>'SOC Accounts'!D27</f>
        <v/>
      </c>
      <c r="E26" s="512">
        <f>'SOC Accounts'!E27</f>
        <v/>
      </c>
      <c r="F26" s="512">
        <f>'SOC Accounts'!F27</f>
        <v/>
      </c>
      <c r="G26" s="512">
        <f>'SOC Accounts'!G27</f>
        <v/>
      </c>
      <c r="H26" s="512">
        <f>'SOC Accounts'!H27</f>
        <v/>
      </c>
      <c r="I26" s="512">
        <f>'SOC Accounts'!I27</f>
        <v/>
      </c>
      <c r="J26" s="512">
        <f>'SOC Accounts'!J27</f>
        <v/>
      </c>
      <c r="K26" s="512">
        <f>'SOC Accounts'!K27</f>
        <v/>
      </c>
      <c r="L26" s="512">
        <f>'SOC Accounts'!L27</f>
        <v/>
      </c>
      <c r="M26" s="512">
        <f>'SOC Accounts'!M27</f>
        <v/>
      </c>
      <c r="N26" s="512">
        <f>'SOC Accounts'!N27</f>
        <v/>
      </c>
      <c r="O26" s="512">
        <f>'SOC Accounts'!O27</f>
        <v/>
      </c>
      <c r="P26" s="512">
        <f>'SOC Accounts'!P27</f>
        <v/>
      </c>
      <c r="Q26" s="512">
        <f>'SOC Accounts'!Q27</f>
        <v/>
      </c>
      <c r="R26" s="512">
        <f>'SOC Accounts'!R27</f>
        <v/>
      </c>
      <c r="S26" s="512">
        <f>'SOC Accounts'!S27</f>
        <v/>
      </c>
      <c r="T26" s="512">
        <f>'SOC Accounts'!T27</f>
        <v/>
      </c>
      <c r="U26" s="512">
        <f>'SOC Accounts'!U27</f>
        <v/>
      </c>
      <c r="V26" s="512">
        <f>'SOC Accounts'!V27</f>
        <v/>
      </c>
      <c r="W26" s="512">
        <f>'SOC Accounts'!W27</f>
        <v/>
      </c>
      <c r="X26" s="512">
        <f>'SOC Accounts'!X27</f>
        <v/>
      </c>
      <c r="Y26" s="512">
        <f>'SOC Accounts'!Y27</f>
        <v/>
      </c>
      <c r="Z26" s="512">
        <f>'SOC Accounts'!Z27</f>
        <v/>
      </c>
      <c r="AA26" s="512">
        <f>'SOC Accounts'!AA27</f>
        <v/>
      </c>
      <c r="AB26" s="512">
        <f>'SOC Accounts'!AB27</f>
        <v/>
      </c>
      <c r="AC26" s="512">
        <f>'SOC Accounts'!AC27</f>
        <v/>
      </c>
      <c r="AD26" s="512">
        <f>'SOC Accounts'!AD27</f>
        <v/>
      </c>
      <c r="AE26" s="512">
        <f>'SOC Accounts'!AE27</f>
        <v/>
      </c>
      <c r="AF26" s="512">
        <f>'SOC Accounts'!AF27</f>
        <v/>
      </c>
      <c r="AG26" s="512">
        <f>'SOC Accounts'!AG27</f>
        <v/>
      </c>
      <c r="AH26" s="512">
        <f>'SOC Accounts'!AH27</f>
        <v/>
      </c>
      <c r="AI26" s="512">
        <f>'SOC Accounts'!AI27</f>
        <v/>
      </c>
      <c r="AJ26" s="512">
        <f>'SOC Accounts'!AJ27</f>
        <v/>
      </c>
      <c r="AK26" s="512">
        <f>'SOC Accounts'!AK27</f>
        <v/>
      </c>
      <c r="AL26" s="512">
        <f>'SOC Accounts'!AL27</f>
        <v/>
      </c>
      <c r="AM26" s="512">
        <f>'SOC Accounts'!AM27</f>
        <v/>
      </c>
      <c r="AN26" s="512">
        <f>'SOC Accounts'!AN27</f>
        <v/>
      </c>
    </row>
    <row r="27">
      <c r="A27" s="668" t="inlineStr">
        <is>
          <t>Development fund</t>
        </is>
      </c>
      <c r="B27" s="49" t="n">
        <v>3222</v>
      </c>
      <c r="C27" s="512" t="n">
        <v>3847</v>
      </c>
      <c r="D27" s="512" t="n">
        <v>2944</v>
      </c>
      <c r="E27" s="512" t="n">
        <v>2419</v>
      </c>
      <c r="F27" s="512">
        <f>'SOC Accounts'!F21</f>
        <v/>
      </c>
      <c r="G27" s="512">
        <f>'SOC Accounts'!G21</f>
        <v/>
      </c>
      <c r="H27" s="512">
        <f>'SOC Accounts'!H21</f>
        <v/>
      </c>
      <c r="I27" s="512">
        <f>'SOC Accounts'!I21</f>
        <v/>
      </c>
      <c r="J27" s="512">
        <f>'SOC Accounts'!J21</f>
        <v/>
      </c>
      <c r="K27" s="512">
        <f>'SOC Accounts'!K21</f>
        <v/>
      </c>
      <c r="L27" s="512">
        <f>'SOC Accounts'!L21</f>
        <v/>
      </c>
      <c r="M27" s="512">
        <f>'SOC Accounts'!M21</f>
        <v/>
      </c>
      <c r="N27" s="512">
        <f>'SOC Accounts'!N21</f>
        <v/>
      </c>
      <c r="O27" s="512">
        <f>'SOC Accounts'!O21</f>
        <v/>
      </c>
      <c r="P27" s="512">
        <f>'SOC Accounts'!P21</f>
        <v/>
      </c>
      <c r="Q27" s="512">
        <f>'SOC Accounts'!Q21</f>
        <v/>
      </c>
      <c r="R27" s="512">
        <f>'SOC Accounts'!R21</f>
        <v/>
      </c>
      <c r="S27" s="512">
        <f>'SOC Accounts'!S21</f>
        <v/>
      </c>
      <c r="T27" s="512">
        <f>'SOC Accounts'!T21</f>
        <v/>
      </c>
      <c r="U27" s="512">
        <f>'SOC Accounts'!U21</f>
        <v/>
      </c>
      <c r="V27" s="512">
        <f>'SOC Accounts'!V21</f>
        <v/>
      </c>
      <c r="W27" s="512">
        <f>'SOC Accounts'!W21</f>
        <v/>
      </c>
      <c r="X27" s="512">
        <f>'SOC Accounts'!X21</f>
        <v/>
      </c>
      <c r="Y27" s="512">
        <f>'SOC Accounts'!Y21</f>
        <v/>
      </c>
      <c r="Z27" s="512">
        <f>'SOC Accounts'!Z21</f>
        <v/>
      </c>
      <c r="AA27" s="512">
        <f>'SOC Accounts'!AA21</f>
        <v/>
      </c>
      <c r="AB27" s="512">
        <f>'SOC Accounts'!AB21</f>
        <v/>
      </c>
      <c r="AC27" s="512">
        <f>'SOC Accounts'!AC21</f>
        <v/>
      </c>
      <c r="AD27" s="512">
        <f>'SOC Accounts'!AD21</f>
        <v/>
      </c>
      <c r="AE27" s="512">
        <f>'SOC Accounts'!AE21</f>
        <v/>
      </c>
      <c r="AF27" s="512">
        <f>'SOC Accounts'!AF21</f>
        <v/>
      </c>
      <c r="AG27" s="512">
        <f>'SOC Accounts'!AG21</f>
        <v/>
      </c>
      <c r="AH27" s="512">
        <f>'SOC Accounts'!AH21</f>
        <v/>
      </c>
      <c r="AI27" s="512">
        <f>'SOC Accounts'!AI21</f>
        <v/>
      </c>
      <c r="AJ27" s="512">
        <f>'SOC Accounts'!AJ21</f>
        <v/>
      </c>
      <c r="AK27" s="512">
        <f>'SOC Accounts'!AK21</f>
        <v/>
      </c>
      <c r="AL27" s="512">
        <f>'SOC Accounts'!AL21</f>
        <v/>
      </c>
      <c r="AM27" s="512">
        <f>'SOC Accounts'!AM21</f>
        <v/>
      </c>
      <c r="AN27" s="512">
        <f>'SOC Accounts'!AN21</f>
        <v/>
      </c>
    </row>
    <row r="28">
      <c r="A28" s="668" t="n"/>
      <c r="O28" s="512" t="n"/>
      <c r="P28" s="512" t="n"/>
      <c r="Q28" s="512" t="n"/>
      <c r="R28" s="512" t="n"/>
      <c r="S28" s="512" t="n"/>
      <c r="T28" s="512" t="n"/>
      <c r="U28" s="512" t="n"/>
      <c r="V28" s="512" t="n"/>
      <c r="W28" s="512" t="n"/>
      <c r="X28" s="512" t="n"/>
      <c r="Y28" s="512" t="n"/>
      <c r="Z28" s="512" t="n"/>
      <c r="AA28" s="512" t="n"/>
      <c r="AB28" s="512" t="n"/>
      <c r="AC28" s="512" t="n"/>
      <c r="AD28" s="512" t="n"/>
      <c r="AE28" s="512" t="n"/>
      <c r="AF28" s="512" t="n"/>
      <c r="AG28" s="512" t="n"/>
      <c r="AH28" s="512" t="n"/>
      <c r="AI28" s="512" t="n"/>
      <c r="AJ28" s="512" t="n"/>
      <c r="AK28" s="512" t="n"/>
      <c r="AL28" s="512" t="n"/>
      <c r="AM28" s="512" t="n"/>
      <c r="AN28" s="512" t="n"/>
    </row>
    <row r="29">
      <c r="A29" s="668" t="inlineStr">
        <is>
          <t>Capital</t>
        </is>
      </c>
      <c r="B29" s="49" t="n">
        <v>16906</v>
      </c>
      <c r="C29" s="512" t="n">
        <v>18218</v>
      </c>
      <c r="D29" s="512" t="n">
        <v>19795</v>
      </c>
      <c r="E29" s="512" t="n">
        <v>21521</v>
      </c>
      <c r="F29" s="512" t="n">
        <v>22344</v>
      </c>
      <c r="G29" s="512" t="n">
        <v>24326</v>
      </c>
      <c r="H29" s="512" t="n">
        <v>25447</v>
      </c>
      <c r="I29" s="512" t="n">
        <v>27292</v>
      </c>
      <c r="J29" s="512" t="n">
        <v>27515</v>
      </c>
      <c r="K29" s="512" t="n">
        <v>28074</v>
      </c>
      <c r="L29" s="512" t="n">
        <v>28906</v>
      </c>
      <c r="M29" s="512" t="n">
        <v>33568</v>
      </c>
      <c r="N29" s="512" t="n">
        <v>35689</v>
      </c>
      <c r="O29" s="512" t="n">
        <v>36569</v>
      </c>
      <c r="P29" s="512" t="n">
        <v>38842</v>
      </c>
      <c r="Q29" s="512" t="n">
        <v>40404</v>
      </c>
      <c r="R29" s="512" t="n">
        <v>42366</v>
      </c>
      <c r="S29" s="512" t="n">
        <v>37197</v>
      </c>
      <c r="T29" s="512" t="n">
        <v>39960</v>
      </c>
      <c r="U29" s="512" t="n">
        <v>41845</v>
      </c>
      <c r="V29" s="512" t="n">
        <v>43070</v>
      </c>
      <c r="W29" s="512" t="n">
        <v>45067</v>
      </c>
      <c r="X29" s="512" t="n">
        <v>42456</v>
      </c>
      <c r="Y29" s="512" t="n">
        <v>42307</v>
      </c>
      <c r="Z29" s="512" t="n">
        <v>42147</v>
      </c>
      <c r="AA29" s="512" t="n">
        <v>44736</v>
      </c>
      <c r="AB29" s="512" t="n">
        <v>46569</v>
      </c>
      <c r="AC29" s="512" t="n">
        <v>46205</v>
      </c>
      <c r="AD29" s="512" t="n">
        <v>47807</v>
      </c>
      <c r="AE29" s="512" t="n">
        <v>49934</v>
      </c>
      <c r="AF29" s="512" t="n">
        <v>52528</v>
      </c>
      <c r="AG29" s="512" t="n">
        <v>54364</v>
      </c>
      <c r="AH29" s="512" t="n">
        <v>56036</v>
      </c>
      <c r="AI29" s="528">
        <f>AI20-SUM(AI22:AI27)</f>
        <v/>
      </c>
      <c r="AJ29" s="528">
        <f>AJ20-SUM(AJ22:AJ27)</f>
        <v/>
      </c>
      <c r="AK29" s="528">
        <f>AK20-SUM(AK22:AK27)</f>
        <v/>
      </c>
      <c r="AL29" s="528">
        <f>AL20-SUM(AL22:AL27)</f>
        <v/>
      </c>
      <c r="AM29" s="528">
        <f>AM20-SUM(AM22:AM27)</f>
        <v/>
      </c>
      <c r="AN29" s="528">
        <f>AN20-SUM(AN22:AN27)</f>
        <v/>
      </c>
    </row>
    <row r="30">
      <c r="A30" s="670" t="inlineStr">
        <is>
          <t>Equity + Liability</t>
        </is>
      </c>
      <c r="B30" s="174">
        <f>SUM(B22:B29)</f>
        <v/>
      </c>
      <c r="C30" s="558">
        <f>SUM(C22:C29)</f>
        <v/>
      </c>
      <c r="D30" s="558">
        <f>SUM(D22:D29)</f>
        <v/>
      </c>
      <c r="E30" s="558">
        <f>SUM(E22:E29)</f>
        <v/>
      </c>
      <c r="F30" s="558">
        <f>SUM(F22:F29)</f>
        <v/>
      </c>
      <c r="G30" s="558">
        <f>SUM(G22:G29)</f>
        <v/>
      </c>
      <c r="H30" s="558">
        <f>SUM(H22:H29)</f>
        <v/>
      </c>
      <c r="I30" s="558">
        <f>SUM(I22:I29)</f>
        <v/>
      </c>
      <c r="J30" s="558">
        <f>SUM(J22:J29)</f>
        <v/>
      </c>
      <c r="K30" s="558">
        <f>SUM(K22:K29)</f>
        <v/>
      </c>
      <c r="L30" s="558">
        <f>SUM(L22:L29)</f>
        <v/>
      </c>
      <c r="M30" s="558">
        <f>SUM(M22:M29)</f>
        <v/>
      </c>
      <c r="N30" s="558">
        <f>SUM(N22:N29)</f>
        <v/>
      </c>
      <c r="O30" s="558">
        <f>SUM(O22:O29)</f>
        <v/>
      </c>
      <c r="P30" s="558">
        <f>SUM(P22:P29)</f>
        <v/>
      </c>
      <c r="Q30" s="558">
        <f>SUM(Q22:Q29)</f>
        <v/>
      </c>
      <c r="R30" s="558">
        <f>SUM(R22:R29)</f>
        <v/>
      </c>
      <c r="S30" s="558">
        <f>SUM(S22:S29)</f>
        <v/>
      </c>
      <c r="T30" s="558">
        <f>SUM(T22:T29)</f>
        <v/>
      </c>
      <c r="U30" s="558">
        <f>SUM(U22:U29)</f>
        <v/>
      </c>
      <c r="V30" s="558">
        <f>SUM(V22:V29)</f>
        <v/>
      </c>
      <c r="W30" s="558">
        <f>SUM(W22:W29)</f>
        <v/>
      </c>
      <c r="X30" s="558">
        <f>SUM(X22:X29)</f>
        <v/>
      </c>
      <c r="Y30" s="558">
        <f>SUM(Y22:Y29)</f>
        <v/>
      </c>
      <c r="Z30" s="558">
        <f>SUM(Z22:Z29)</f>
        <v/>
      </c>
      <c r="AA30" s="558">
        <f>SUM(AA22:AA29)</f>
        <v/>
      </c>
      <c r="AB30" s="558">
        <f>SUM(AB22:AB29)</f>
        <v/>
      </c>
      <c r="AC30" s="558">
        <f>SUM(AC22:AC29)</f>
        <v/>
      </c>
      <c r="AD30" s="558">
        <f>SUM(AD22:AD29)</f>
        <v/>
      </c>
      <c r="AE30" s="558">
        <f>SUM(AE22:AE29)</f>
        <v/>
      </c>
      <c r="AF30" s="558">
        <f>SUM(AF22:AF29)</f>
        <v/>
      </c>
      <c r="AG30" s="558">
        <f>SUM(AG22:AG29)</f>
        <v/>
      </c>
      <c r="AH30" s="558">
        <f>SUM(AH22:AH29)</f>
        <v/>
      </c>
      <c r="AI30" s="558">
        <f>SUM(AI22:AI29)</f>
        <v/>
      </c>
      <c r="AJ30" s="558">
        <f>SUM(AJ22:AJ29)</f>
        <v/>
      </c>
      <c r="AK30" s="558">
        <f>SUM(AK22:AK29)</f>
        <v/>
      </c>
      <c r="AL30" s="558">
        <f>SUM(AL22:AL29)</f>
        <v/>
      </c>
      <c r="AM30" s="558">
        <f>SUM(AM22:AM29)</f>
        <v/>
      </c>
      <c r="AN30" s="558">
        <f>SUM(AN22:AN29)</f>
        <v/>
      </c>
    </row>
    <row r="31">
      <c r="A31" s="668" t="n"/>
      <c r="B31" s="512">
        <f>B20-B30</f>
        <v/>
      </c>
      <c r="C31" s="512">
        <f>C20-C30</f>
        <v/>
      </c>
      <c r="D31" s="512">
        <f>D20-D30</f>
        <v/>
      </c>
      <c r="E31" s="512">
        <f>E20-E30</f>
        <v/>
      </c>
      <c r="F31" s="512">
        <f>F20-F30</f>
        <v/>
      </c>
      <c r="G31" s="512">
        <f>G20-G30</f>
        <v/>
      </c>
      <c r="H31" s="512">
        <f>H20-H30</f>
        <v/>
      </c>
      <c r="I31" s="512">
        <f>I20-I30</f>
        <v/>
      </c>
      <c r="J31" s="512">
        <f>J20-J30</f>
        <v/>
      </c>
      <c r="K31" s="512">
        <f>K20-K30</f>
        <v/>
      </c>
      <c r="L31" s="512">
        <f>L20-L30</f>
        <v/>
      </c>
      <c r="M31" s="512">
        <f>M20-M30</f>
        <v/>
      </c>
      <c r="N31" s="512">
        <f>N20-N30</f>
        <v/>
      </c>
      <c r="O31" s="512">
        <f>O20-O30</f>
        <v/>
      </c>
      <c r="P31" s="512">
        <f>P20-P30</f>
        <v/>
      </c>
      <c r="Q31" s="512">
        <f>Q20-Q30</f>
        <v/>
      </c>
      <c r="R31" s="512">
        <f>R20-R30</f>
        <v/>
      </c>
      <c r="S31" s="512">
        <f>S20-S30</f>
        <v/>
      </c>
      <c r="T31" s="512">
        <f>T20-T30</f>
        <v/>
      </c>
      <c r="U31" s="512">
        <f>U20-U30</f>
        <v/>
      </c>
      <c r="V31" s="512">
        <f>V20-V30</f>
        <v/>
      </c>
      <c r="W31" s="512">
        <f>W20-W30</f>
        <v/>
      </c>
      <c r="X31" s="512">
        <f>X20-X30</f>
        <v/>
      </c>
      <c r="Y31" s="512">
        <f>Y20-Y30</f>
        <v/>
      </c>
      <c r="Z31" s="512">
        <f>Z20-Z30</f>
        <v/>
      </c>
      <c r="AA31" s="512">
        <f>AA20-AA30</f>
        <v/>
      </c>
      <c r="AB31" s="512">
        <f>AB20-AB30</f>
        <v/>
      </c>
      <c r="AC31" s="512">
        <f>AC20-AC30</f>
        <v/>
      </c>
      <c r="AD31" s="512">
        <f>AD20-AD30</f>
        <v/>
      </c>
      <c r="AE31" s="512">
        <f>AE20-AE30</f>
        <v/>
      </c>
      <c r="AF31" s="512">
        <f>AF20-AF30</f>
        <v/>
      </c>
      <c r="AG31" s="512">
        <f>AG20-AG30</f>
        <v/>
      </c>
      <c r="AH31" s="512">
        <f>AH20-AH30</f>
        <v/>
      </c>
      <c r="AI31" s="512">
        <f>AI20-AI30</f>
        <v/>
      </c>
      <c r="AJ31" s="512">
        <f>AJ20-AJ30</f>
        <v/>
      </c>
      <c r="AK31" s="512">
        <f>AK20-AK30</f>
        <v/>
      </c>
      <c r="AL31" s="512">
        <f>AL20-AL30</f>
        <v/>
      </c>
      <c r="AM31" s="512">
        <f>AM20-AM30</f>
        <v/>
      </c>
      <c r="AN31" s="512">
        <f>AN20-AN30</f>
        <v/>
      </c>
    </row>
    <row r="32" customFormat="1" s="526">
      <c r="A32" s="88" t="inlineStr">
        <is>
          <t>Key drivers - Borrowing</t>
        </is>
      </c>
      <c r="B32" s="643" t="n"/>
      <c r="C32" s="643" t="n"/>
      <c r="D32" s="643" t="n"/>
      <c r="E32" s="643" t="n"/>
      <c r="F32" s="643" t="n"/>
      <c r="G32" s="643" t="n"/>
      <c r="H32" s="643" t="n"/>
      <c r="I32" s="643" t="n"/>
      <c r="J32" s="643" t="n"/>
      <c r="K32" s="643" t="n"/>
      <c r="L32" s="643" t="n"/>
      <c r="M32" s="643" t="n"/>
      <c r="N32" s="643" t="n"/>
      <c r="O32" s="643" t="n"/>
      <c r="P32" s="643" t="n"/>
      <c r="Q32" s="643" t="n"/>
      <c r="R32" s="643" t="n"/>
      <c r="S32" s="643" t="n"/>
      <c r="T32" s="643" t="n"/>
      <c r="U32" s="643" t="n"/>
      <c r="V32" s="643" t="n"/>
      <c r="W32" s="643" t="n"/>
      <c r="X32" s="643" t="n"/>
      <c r="Y32" s="643" t="n"/>
      <c r="Z32" s="643" t="n"/>
      <c r="AA32" s="643" t="n"/>
      <c r="AB32" s="643" t="n"/>
      <c r="AC32" s="643" t="n"/>
      <c r="AD32" s="643" t="n"/>
      <c r="AE32" s="643" t="n"/>
      <c r="AF32" s="643" t="n"/>
      <c r="AG32" s="643" t="n"/>
      <c r="AH32" s="643" t="n"/>
      <c r="AI32" s="643" t="n"/>
      <c r="AJ32" s="643" t="n"/>
      <c r="AK32" s="643" t="n"/>
      <c r="AL32" s="643" t="n"/>
      <c r="AM32" s="643" t="n"/>
      <c r="AN32" s="643" t="n"/>
    </row>
    <row r="33">
      <c r="A33" s="49" t="inlineStr">
        <is>
          <t>Borrowing - CLP Power HK</t>
        </is>
      </c>
      <c r="B33" s="512" t="n">
        <v>1255</v>
      </c>
      <c r="C33" s="512" t="n">
        <v>1057</v>
      </c>
      <c r="D33" s="512" t="n">
        <v>1497</v>
      </c>
      <c r="E33" s="512" t="n">
        <v>1670</v>
      </c>
      <c r="F33" s="512" t="n">
        <v>3319</v>
      </c>
      <c r="G33" s="512" t="n">
        <v>3903</v>
      </c>
      <c r="H33" s="512" t="n">
        <v>2744</v>
      </c>
      <c r="I33" s="512" t="n">
        <v>2778</v>
      </c>
      <c r="J33" s="512" t="n">
        <v>2433</v>
      </c>
      <c r="K33" s="512" t="n">
        <v>4240</v>
      </c>
      <c r="L33" s="512" t="n">
        <v>6742</v>
      </c>
      <c r="M33" s="512" t="n">
        <v>7451</v>
      </c>
      <c r="N33" s="512" t="n">
        <v>8642</v>
      </c>
      <c r="O33" s="512" t="n">
        <v>11475</v>
      </c>
      <c r="P33" s="512" t="n">
        <v>13053</v>
      </c>
      <c r="Q33" s="512" t="n">
        <v>13613</v>
      </c>
      <c r="R33" s="512" t="n">
        <v>14848</v>
      </c>
      <c r="S33" s="512" t="n">
        <v>22429</v>
      </c>
      <c r="T33" s="512" t="n">
        <v>25603</v>
      </c>
      <c r="U33" s="512" t="n">
        <v>27391</v>
      </c>
      <c r="V33" s="512" t="n">
        <v>33435</v>
      </c>
      <c r="W33" s="512" t="n">
        <v>28283</v>
      </c>
      <c r="X33" s="512" t="n">
        <v>34780</v>
      </c>
      <c r="Y33" s="512" t="n">
        <v>35002</v>
      </c>
      <c r="Z33" s="512">
        <f>Z35-Z34</f>
        <v/>
      </c>
      <c r="AA33" s="512">
        <f>AA35-AA34</f>
        <v/>
      </c>
      <c r="AB33" s="512">
        <f>AB35-AB34</f>
        <v/>
      </c>
      <c r="AC33" s="512">
        <f>AC35-AC34</f>
        <v/>
      </c>
      <c r="AD33" s="512">
        <f>AD35-AD34</f>
        <v/>
      </c>
      <c r="AE33" s="512">
        <f>AE35-AE34</f>
        <v/>
      </c>
      <c r="AF33" s="512">
        <f>AF35-AF34</f>
        <v/>
      </c>
      <c r="AG33" s="512">
        <f>AG35-AG34</f>
        <v/>
      </c>
      <c r="AH33" s="512">
        <f>AH35-AH34</f>
        <v/>
      </c>
      <c r="AI33" s="512">
        <f>AI35-AI34</f>
        <v/>
      </c>
      <c r="AJ33" s="512">
        <f>AJ35-AJ34</f>
        <v/>
      </c>
      <c r="AK33" s="512">
        <f>AK35-AK34</f>
        <v/>
      </c>
      <c r="AL33" s="512">
        <f>AL35-AL34</f>
        <v/>
      </c>
      <c r="AM33" s="512">
        <f>AM35-AM34</f>
        <v/>
      </c>
      <c r="AN33" s="512">
        <f>AN35-AN34</f>
        <v/>
      </c>
    </row>
    <row r="34">
      <c r="A34" s="49" t="inlineStr">
        <is>
          <t>Borrowing - CAPCO</t>
        </is>
      </c>
      <c r="K34" s="49" t="n">
        <v>13864</v>
      </c>
      <c r="L34" s="49" t="n">
        <v>11832</v>
      </c>
      <c r="M34" s="49" t="n">
        <v>9770</v>
      </c>
      <c r="N34" s="49" t="n">
        <v>9585</v>
      </c>
      <c r="O34" s="49" t="n">
        <v>8072</v>
      </c>
      <c r="P34" s="49" t="n">
        <v>6343</v>
      </c>
      <c r="Q34" s="49" t="n">
        <v>7035</v>
      </c>
      <c r="R34" s="49" t="n">
        <v>7767</v>
      </c>
      <c r="S34" s="272">
        <f>8329-200</f>
        <v/>
      </c>
      <c r="T34" s="272">
        <f>5947-200</f>
        <v/>
      </c>
      <c r="U34" s="272">
        <f>5622-200</f>
        <v/>
      </c>
      <c r="V34" s="272">
        <f>6486-200</f>
        <v/>
      </c>
      <c r="W34" s="272">
        <f>6119-200</f>
        <v/>
      </c>
      <c r="X34" s="49" t="n">
        <v>5855</v>
      </c>
      <c r="Y34" s="49" t="n">
        <v>5974</v>
      </c>
      <c r="Z34" s="173">
        <f>Y34</f>
        <v/>
      </c>
      <c r="AA34" s="173">
        <f>Z34+500*7.8</f>
        <v/>
      </c>
      <c r="AB34" s="173">
        <f>AA34</f>
        <v/>
      </c>
      <c r="AC34" s="173">
        <f>AB34</f>
        <v/>
      </c>
      <c r="AD34" s="173">
        <f>AC34</f>
        <v/>
      </c>
      <c r="AE34" s="173">
        <f>AD34</f>
        <v/>
      </c>
      <c r="AF34" s="173">
        <f>AE34</f>
        <v/>
      </c>
      <c r="AG34" s="173">
        <f>AF34</f>
        <v/>
      </c>
      <c r="AH34" s="173">
        <f>AG34</f>
        <v/>
      </c>
      <c r="AI34" s="173">
        <f>AH34</f>
        <v/>
      </c>
      <c r="AJ34" s="173">
        <f>AI34</f>
        <v/>
      </c>
      <c r="AK34" s="173">
        <f>AJ34</f>
        <v/>
      </c>
      <c r="AL34" s="173">
        <f>AK34</f>
        <v/>
      </c>
      <c r="AM34" s="173">
        <f>AL34</f>
        <v/>
      </c>
      <c r="AN34" s="173">
        <f>AM34</f>
        <v/>
      </c>
    </row>
    <row r="35">
      <c r="A35" s="174" t="inlineStr">
        <is>
          <t>CLP's HK Segment</t>
        </is>
      </c>
      <c r="B35" s="174">
        <f>B33</f>
        <v/>
      </c>
      <c r="C35" s="174">
        <f>C33</f>
        <v/>
      </c>
      <c r="D35" s="174">
        <f>D33</f>
        <v/>
      </c>
      <c r="E35" s="174">
        <f>E33</f>
        <v/>
      </c>
      <c r="F35" s="174">
        <f>F33</f>
        <v/>
      </c>
      <c r="G35" s="174">
        <f>G33</f>
        <v/>
      </c>
      <c r="H35" s="174">
        <f>H33</f>
        <v/>
      </c>
      <c r="I35" s="174">
        <f>I33</f>
        <v/>
      </c>
      <c r="J35" s="174">
        <f>J33</f>
        <v/>
      </c>
      <c r="K35" s="174">
        <f>K33</f>
        <v/>
      </c>
      <c r="L35" s="174">
        <f>L33</f>
        <v/>
      </c>
      <c r="M35" s="174">
        <f>M33</f>
        <v/>
      </c>
      <c r="N35" s="174">
        <f>N33</f>
        <v/>
      </c>
      <c r="O35" s="174">
        <f>O33</f>
        <v/>
      </c>
      <c r="P35" s="174">
        <f>P33</f>
        <v/>
      </c>
      <c r="Q35" s="174">
        <f>Q33</f>
        <v/>
      </c>
      <c r="R35" s="174">
        <f>R33</f>
        <v/>
      </c>
      <c r="S35" s="174">
        <f>S33</f>
        <v/>
      </c>
      <c r="T35" s="174">
        <f>T33</f>
        <v/>
      </c>
      <c r="U35" s="174">
        <f>U33</f>
        <v/>
      </c>
      <c r="V35" s="174">
        <f>V33</f>
        <v/>
      </c>
      <c r="W35" s="174">
        <f>W33</f>
        <v/>
      </c>
      <c r="X35" s="174">
        <f>+X33+X34</f>
        <v/>
      </c>
      <c r="Y35" s="174">
        <f>+Y33+Y34</f>
        <v/>
      </c>
      <c r="Z35" s="174" t="n">
        <v>37814</v>
      </c>
      <c r="AA35" s="174" t="n">
        <v>40361</v>
      </c>
      <c r="AB35" s="174" t="n">
        <v>38636</v>
      </c>
      <c r="AC35" s="174" t="n">
        <v>41171</v>
      </c>
      <c r="AD35" s="174" t="n">
        <v>43257</v>
      </c>
      <c r="AE35" s="174" t="n">
        <v>46351</v>
      </c>
      <c r="AF35" s="174" t="n">
        <v>48559</v>
      </c>
      <c r="AG35" s="174" t="n">
        <v>47835</v>
      </c>
      <c r="AH35" s="174" t="n">
        <v>56024</v>
      </c>
      <c r="AI35" s="276">
        <f>AI24-AH24+AH35</f>
        <v/>
      </c>
      <c r="AJ35" s="276">
        <f>AJ24-AI24+AI35</f>
        <v/>
      </c>
      <c r="AK35" s="276">
        <f>AK24-AJ24+AJ35</f>
        <v/>
      </c>
      <c r="AL35" s="276">
        <f>AL24-AK24+AK35</f>
        <v/>
      </c>
      <c r="AM35" s="276">
        <f>AM24-AL24+AL35</f>
        <v/>
      </c>
      <c r="AN35" s="276">
        <f>AN24-AM24+AM35</f>
        <v/>
      </c>
    </row>
    <row r="36">
      <c r="A36" s="49" t="inlineStr">
        <is>
          <t>Net finance costs - CLP HK segment</t>
        </is>
      </c>
      <c r="B36" s="512" t="n">
        <v>-67</v>
      </c>
      <c r="C36" s="512" t="n">
        <v>-48</v>
      </c>
      <c r="D36" s="512" t="n">
        <v>-16</v>
      </c>
      <c r="E36" s="512" t="n">
        <v>-48</v>
      </c>
      <c r="F36" s="512" t="n">
        <v>-50</v>
      </c>
      <c r="G36" s="512" t="n">
        <v>565</v>
      </c>
      <c r="H36" s="512" t="n">
        <v>973</v>
      </c>
      <c r="I36" s="512" t="n">
        <v>612</v>
      </c>
      <c r="J36" s="512" t="n">
        <v>-94</v>
      </c>
      <c r="K36" s="512" t="n">
        <v>-158</v>
      </c>
      <c r="L36" s="512" t="n">
        <v>-156</v>
      </c>
      <c r="M36" s="512" t="n">
        <v>-640.2206927175844</v>
      </c>
      <c r="N36" s="512" t="n">
        <v>-983</v>
      </c>
      <c r="O36" s="512" t="n">
        <v>-1489</v>
      </c>
      <c r="P36" s="512">
        <f>-4624-P37</f>
        <v/>
      </c>
      <c r="Q36" s="512">
        <f>-4881-Q37-Driver!Q110-Driver!Q111</f>
        <v/>
      </c>
      <c r="R36" s="512">
        <f>-3409+15-R37</f>
        <v/>
      </c>
      <c r="S36" s="512">
        <f>-2673+11-S37</f>
        <v/>
      </c>
      <c r="T36" s="512">
        <f>-3115+1-T37</f>
        <v/>
      </c>
      <c r="U36" s="512">
        <f>-3508+2-U37</f>
        <v/>
      </c>
      <c r="V36" s="512">
        <f>-3565+8-V37</f>
        <v/>
      </c>
      <c r="W36" s="512">
        <f>-3685+11-W37</f>
        <v/>
      </c>
      <c r="X36" s="512">
        <f>-1954+9-X37</f>
        <v/>
      </c>
      <c r="Y36" s="512">
        <f>-1110+2</f>
        <v/>
      </c>
      <c r="Z36" s="512" t="n">
        <v>-1020</v>
      </c>
      <c r="AA36" s="512" t="n">
        <v>-1049</v>
      </c>
      <c r="AB36" s="512" t="n">
        <v>-1011</v>
      </c>
      <c r="AC36" s="512">
        <f>-1014+1</f>
        <v/>
      </c>
      <c r="AD36" s="512">
        <f>-1012+16</f>
        <v/>
      </c>
      <c r="AE36" s="512">
        <f>-907+39</f>
        <v/>
      </c>
      <c r="AF36" s="512">
        <f>-973+136</f>
        <v/>
      </c>
      <c r="AG36" s="512">
        <f>-1428+159</f>
        <v/>
      </c>
      <c r="AH36" s="512">
        <f>-1579+119</f>
        <v/>
      </c>
      <c r="AI36" s="528">
        <f>-AI38*AH35</f>
        <v/>
      </c>
      <c r="AJ36" s="528">
        <f>-AJ38*AI35</f>
        <v/>
      </c>
      <c r="AK36" s="528">
        <f>-AK38*AJ35</f>
        <v/>
      </c>
      <c r="AL36" s="528">
        <f>-AL38*AK35</f>
        <v/>
      </c>
      <c r="AM36" s="528">
        <f>-AM38*AL35</f>
        <v/>
      </c>
      <c r="AN36" s="528">
        <f>-AN38*AM35</f>
        <v/>
      </c>
      <c r="AO36" s="512" t="n"/>
    </row>
    <row r="37">
      <c r="A37" s="49" t="inlineStr">
        <is>
          <t>Finance lease charge</t>
        </is>
      </c>
      <c r="B37" s="512" t="n"/>
      <c r="C37" s="512" t="n">
        <v>0</v>
      </c>
      <c r="D37" s="512" t="n">
        <v>0</v>
      </c>
      <c r="E37" s="512" t="n">
        <v>0</v>
      </c>
      <c r="F37" s="512" t="n">
        <v>0</v>
      </c>
      <c r="G37" s="512" t="n">
        <v>0</v>
      </c>
      <c r="H37" s="512" t="n">
        <v>0</v>
      </c>
      <c r="I37" s="512" t="n">
        <v>0</v>
      </c>
      <c r="J37" s="512" t="n">
        <v>0</v>
      </c>
      <c r="K37" s="512" t="n">
        <v>0</v>
      </c>
      <c r="L37" s="512" t="n">
        <v>0</v>
      </c>
      <c r="M37" s="512" t="n">
        <v>0</v>
      </c>
      <c r="N37" s="512" t="n">
        <v>0</v>
      </c>
      <c r="O37" s="512" t="n">
        <v>0</v>
      </c>
      <c r="P37" s="512" t="n">
        <v>-3020</v>
      </c>
      <c r="Q37" s="512" t="n">
        <v>-3422</v>
      </c>
      <c r="R37" s="512" t="n">
        <v>-2930</v>
      </c>
      <c r="S37" s="512" t="n">
        <v>-2190</v>
      </c>
      <c r="T37" s="512" t="n">
        <v>-2471</v>
      </c>
      <c r="U37" s="512" t="n">
        <v>-2735</v>
      </c>
      <c r="V37" s="512" t="n">
        <v>-2735</v>
      </c>
      <c r="W37" s="512" t="n">
        <v>-2753</v>
      </c>
      <c r="X37" s="512" t="n">
        <v>-922</v>
      </c>
      <c r="Y37" s="512" t="n">
        <v>0</v>
      </c>
      <c r="Z37" s="512" t="n">
        <v>0</v>
      </c>
      <c r="AA37" s="512" t="n">
        <v>0</v>
      </c>
      <c r="AB37" s="512" t="n">
        <v>0</v>
      </c>
      <c r="AC37" s="512" t="n">
        <v>0</v>
      </c>
      <c r="AD37" s="512" t="n">
        <v>0</v>
      </c>
      <c r="AE37" s="512" t="n">
        <v>0</v>
      </c>
      <c r="AF37" s="512" t="n">
        <v>0</v>
      </c>
      <c r="AG37" s="512" t="n">
        <v>0</v>
      </c>
      <c r="AH37" s="512" t="n">
        <v>0</v>
      </c>
      <c r="AI37" s="512" t="n">
        <v>0</v>
      </c>
      <c r="AJ37" s="512" t="n">
        <v>0</v>
      </c>
      <c r="AK37" s="512" t="n">
        <v>0</v>
      </c>
      <c r="AL37" s="512" t="n">
        <v>0</v>
      </c>
      <c r="AM37" s="512" t="n">
        <v>0</v>
      </c>
      <c r="AN37" s="512" t="n">
        <v>0</v>
      </c>
      <c r="AO37" s="512" t="n"/>
    </row>
    <row r="38">
      <c r="A38" s="170" t="inlineStr">
        <is>
          <t>Interest expense rate</t>
        </is>
      </c>
      <c r="C38" s="169" t="n"/>
      <c r="D38" s="169" t="n"/>
      <c r="E38" s="169" t="n"/>
      <c r="F38" s="169" t="n"/>
      <c r="G38" s="169" t="n"/>
      <c r="H38" s="169" t="n"/>
      <c r="I38" s="169" t="n"/>
      <c r="J38" s="169" t="n"/>
      <c r="K38" s="169" t="n"/>
      <c r="L38" s="169" t="n"/>
      <c r="M38" s="169" t="n"/>
      <c r="N38" s="169" t="n"/>
      <c r="O38" s="169" t="n"/>
      <c r="P38" s="169" t="n"/>
      <c r="Q38" s="169" t="n"/>
      <c r="R38" s="667">
        <f>-R36/AVERAGE(Q35:R35)</f>
        <v/>
      </c>
      <c r="S38" s="667">
        <f>-S36/AVERAGE(R35:S35)</f>
        <v/>
      </c>
      <c r="T38" s="667">
        <f>-T36/AVERAGE(S35:T35)</f>
        <v/>
      </c>
      <c r="U38" s="667">
        <f>-U36/AVERAGE(T35:U35)</f>
        <v/>
      </c>
      <c r="V38" s="667">
        <f>-V36/AVERAGE(U35:V35)</f>
        <v/>
      </c>
      <c r="W38" s="667">
        <f>-W36/AVERAGE(V35:W35)</f>
        <v/>
      </c>
      <c r="X38" s="667">
        <f>-X36/AVERAGE(W35:X35)</f>
        <v/>
      </c>
      <c r="Y38" s="667">
        <f>-Y36/AVERAGE(X35:Y35)</f>
        <v/>
      </c>
      <c r="Z38" s="667">
        <f>-Z36/AVERAGE(Y35:Z35)</f>
        <v/>
      </c>
      <c r="AA38" s="667">
        <f>-AA36/AVERAGE(Z35:AA35)</f>
        <v/>
      </c>
      <c r="AB38" s="667">
        <f>-AB36/AVERAGE(AA35:AB35)</f>
        <v/>
      </c>
      <c r="AC38" s="667">
        <f>-AC36/AVERAGE(AB35:AC35)</f>
        <v/>
      </c>
      <c r="AD38" s="667">
        <f>-AD36/AVERAGE(AC35:AD35)</f>
        <v/>
      </c>
      <c r="AE38" s="667">
        <f>-AE36/AVERAGE(AD35:AE35)</f>
        <v/>
      </c>
      <c r="AF38" s="667">
        <f>-AF36/AVERAGE(AE35:AF35)</f>
        <v/>
      </c>
      <c r="AG38" s="667">
        <f>-AG36/AVERAGE(AF35:AG35)</f>
        <v/>
      </c>
      <c r="AH38" s="667">
        <f>-AH36/AVERAGE(AG35:AH35)</f>
        <v/>
      </c>
      <c r="AI38" s="672">
        <f>AH38-0.2%</f>
        <v/>
      </c>
      <c r="AJ38" s="672">
        <f>AI38-0.2%</f>
        <v/>
      </c>
      <c r="AK38" s="672">
        <f>AJ38</f>
        <v/>
      </c>
      <c r="AL38" s="672">
        <f>AK38</f>
        <v/>
      </c>
      <c r="AM38" s="672">
        <f>AL38</f>
        <v/>
      </c>
      <c r="AN38" s="672">
        <f>AM38</f>
        <v/>
      </c>
    </row>
    <row r="39">
      <c r="A39" s="278" t="inlineStr">
        <is>
          <t>Check with SoC interest expense</t>
        </is>
      </c>
      <c r="B39" s="279" t="n"/>
      <c r="C39" s="279" t="n"/>
      <c r="D39" s="279" t="n"/>
      <c r="E39" s="279" t="n"/>
      <c r="F39" s="279" t="n"/>
      <c r="G39" s="279" t="n"/>
      <c r="H39" s="279" t="n"/>
      <c r="I39" s="279" t="n"/>
      <c r="J39" s="279" t="n"/>
      <c r="K39" s="279" t="n"/>
      <c r="L39" s="279" t="n"/>
      <c r="M39" s="279" t="n"/>
      <c r="N39" s="279" t="n"/>
      <c r="O39" s="279" t="n"/>
      <c r="P39" s="673" t="n"/>
      <c r="Q39" s="673" t="n"/>
      <c r="R39" s="673">
        <f>R36-R41</f>
        <v/>
      </c>
      <c r="S39" s="673">
        <f>S36-S41</f>
        <v/>
      </c>
      <c r="T39" s="673">
        <f>T36-T41</f>
        <v/>
      </c>
      <c r="U39" s="673">
        <f>U36-U41</f>
        <v/>
      </c>
      <c r="V39" s="673">
        <f>V36-V41</f>
        <v/>
      </c>
      <c r="W39" s="673">
        <f>W36-W41</f>
        <v/>
      </c>
      <c r="X39" s="673">
        <f>X36-X41</f>
        <v/>
      </c>
      <c r="Y39" s="673">
        <f>Y36-Y41</f>
        <v/>
      </c>
      <c r="Z39" s="673">
        <f>Z36-Z41</f>
        <v/>
      </c>
      <c r="AA39" s="673">
        <f>AA36-AA41</f>
        <v/>
      </c>
      <c r="AB39" s="673">
        <f>AB36-AB41</f>
        <v/>
      </c>
      <c r="AC39" s="673">
        <f>AC36-AC41</f>
        <v/>
      </c>
      <c r="AD39" s="673">
        <f>AD36-AD41</f>
        <v/>
      </c>
      <c r="AE39" s="673">
        <f>AE36-AE41</f>
        <v/>
      </c>
      <c r="AF39" s="673">
        <f>AF36-AF41</f>
        <v/>
      </c>
      <c r="AG39" s="673">
        <f>AG36-AG41</f>
        <v/>
      </c>
      <c r="AH39" s="673">
        <f>AH36-AH41</f>
        <v/>
      </c>
      <c r="AI39" s="673">
        <f>AI36-AI41</f>
        <v/>
      </c>
      <c r="AJ39" s="673">
        <f>AJ36-AJ41</f>
        <v/>
      </c>
      <c r="AK39" s="673">
        <f>AK36-AK41</f>
        <v/>
      </c>
      <c r="AL39" s="673">
        <f>AL36-AL41</f>
        <v/>
      </c>
      <c r="AM39" s="673">
        <f>AM36-AM41</f>
        <v/>
      </c>
      <c r="AN39" s="673">
        <f>AN36-AN41</f>
        <v/>
      </c>
    </row>
    <row r="40">
      <c r="A40" s="674" t="n"/>
      <c r="B40" s="668" t="n"/>
      <c r="C40" s="512" t="n"/>
      <c r="D40" s="512" t="n"/>
      <c r="E40" s="512" t="n"/>
      <c r="F40" s="512" t="n"/>
      <c r="G40" s="512" t="n"/>
      <c r="H40" s="512" t="n"/>
      <c r="I40" s="512" t="n"/>
      <c r="J40" s="512" t="n"/>
      <c r="K40" s="512" t="n"/>
      <c r="L40" s="512" t="n"/>
      <c r="M40" s="512" t="n"/>
      <c r="N40" s="512" t="n"/>
      <c r="O40" s="512" t="n"/>
      <c r="P40" s="512" t="n"/>
      <c r="Q40" s="512" t="n"/>
      <c r="R40" s="512" t="n"/>
      <c r="S40" s="512" t="n"/>
      <c r="T40" s="512" t="n"/>
      <c r="U40" s="512" t="n"/>
      <c r="V40" s="512" t="n"/>
      <c r="W40" s="512" t="n"/>
      <c r="X40" s="512" t="n"/>
      <c r="Y40" s="512" t="n"/>
      <c r="Z40" s="512" t="n"/>
      <c r="AA40" s="512" t="n"/>
      <c r="AB40" s="512" t="n"/>
      <c r="AC40" s="512" t="n"/>
      <c r="AD40" s="512" t="n"/>
      <c r="AE40" s="512" t="n"/>
      <c r="AF40" s="512" t="n"/>
      <c r="AG40" s="512" t="n"/>
      <c r="AH40" s="512" t="n"/>
      <c r="AI40" s="512" t="n"/>
      <c r="AJ40" s="512" t="n"/>
      <c r="AK40" s="512" t="n"/>
      <c r="AL40" s="512" t="n"/>
      <c r="AM40" s="512" t="n"/>
      <c r="AN40" s="512" t="n"/>
      <c r="AR40" s="273" t="n"/>
    </row>
    <row r="41">
      <c r="A41" s="49" t="inlineStr">
        <is>
          <t>Net finance costs - SoC</t>
        </is>
      </c>
      <c r="B41" s="512">
        <f>-SOC!B17</f>
        <v/>
      </c>
      <c r="C41" s="512">
        <f>-SOC!C17</f>
        <v/>
      </c>
      <c r="D41" s="512">
        <f>-SOC!D17</f>
        <v/>
      </c>
      <c r="E41" s="512">
        <f>-SOC!E17</f>
        <v/>
      </c>
      <c r="F41" s="512">
        <f>-SOC!F17</f>
        <v/>
      </c>
      <c r="G41" s="512">
        <f>-SOC!G17</f>
        <v/>
      </c>
      <c r="H41" s="512">
        <f>-SOC!H17</f>
        <v/>
      </c>
      <c r="I41" s="512">
        <f>-SOC!I17</f>
        <v/>
      </c>
      <c r="J41" s="512">
        <f>-SOC!J17</f>
        <v/>
      </c>
      <c r="K41" s="512">
        <f>-SOC!K17</f>
        <v/>
      </c>
      <c r="L41" s="512">
        <f>-SOC!L17</f>
        <v/>
      </c>
      <c r="M41" s="512">
        <f>-SOC!M17</f>
        <v/>
      </c>
      <c r="N41" s="512">
        <f>-SOC!N17</f>
        <v/>
      </c>
      <c r="O41" s="512">
        <f>-SOC!O17</f>
        <v/>
      </c>
      <c r="P41" s="512">
        <f>-SOC!P17</f>
        <v/>
      </c>
      <c r="Q41" s="512">
        <f>-SOC!Q17</f>
        <v/>
      </c>
      <c r="R41" s="512">
        <f>-SOC!R17</f>
        <v/>
      </c>
      <c r="S41" s="512">
        <f>-SOC!S17</f>
        <v/>
      </c>
      <c r="T41" s="512">
        <f>-SOC!T17</f>
        <v/>
      </c>
      <c r="U41" s="512">
        <f>-SOC!U17</f>
        <v/>
      </c>
      <c r="V41" s="512">
        <f>-SOC!V17</f>
        <v/>
      </c>
      <c r="W41" s="512">
        <f>-SOC!W17</f>
        <v/>
      </c>
      <c r="X41" s="512">
        <f>-SOC!X17</f>
        <v/>
      </c>
      <c r="Y41" s="512">
        <f>-SOC!Y17</f>
        <v/>
      </c>
      <c r="Z41" s="512">
        <f>-SOC!Z17</f>
        <v/>
      </c>
      <c r="AA41" s="512">
        <f>-SOC!AA17</f>
        <v/>
      </c>
      <c r="AB41" s="512">
        <f>-SOC!AB17</f>
        <v/>
      </c>
      <c r="AC41" s="512">
        <f>-SOC!AC17</f>
        <v/>
      </c>
      <c r="AD41" s="512">
        <f>-SOC!AD17</f>
        <v/>
      </c>
      <c r="AE41" s="512">
        <f>-SOC!AE17</f>
        <v/>
      </c>
      <c r="AF41" s="512">
        <f>-SOC!AF17</f>
        <v/>
      </c>
      <c r="AG41" s="512">
        <f>-SOC!AG17</f>
        <v/>
      </c>
      <c r="AH41" s="512">
        <f>-SOC!AH17</f>
        <v/>
      </c>
      <c r="AI41" s="528">
        <f>AVERAGE(AH24:AI24)*AI42</f>
        <v/>
      </c>
      <c r="AJ41" s="528">
        <f>AVERAGE(AI24:AJ24)*AJ42</f>
        <v/>
      </c>
      <c r="AK41" s="528">
        <f>AVERAGE(AJ24:AK24)*AK42</f>
        <v/>
      </c>
      <c r="AL41" s="528">
        <f>AVERAGE(AK24:AL24)*AL42</f>
        <v/>
      </c>
      <c r="AM41" s="528">
        <f>AVERAGE(AL24:AM24)*AM42</f>
        <v/>
      </c>
      <c r="AN41" s="528">
        <f>AVERAGE(AM24:AN24)*AN42</f>
        <v/>
      </c>
      <c r="AO41" s="512" t="n"/>
    </row>
    <row r="42">
      <c r="A42" s="675" t="inlineStr">
        <is>
          <t>Interest rate (%)</t>
        </is>
      </c>
      <c r="B42" s="668" t="n"/>
      <c r="C42" s="169">
        <f>C41/AVERAGE(B24:C24)</f>
        <v/>
      </c>
      <c r="D42" s="169">
        <f>D41/AVERAGE(C24:D24)</f>
        <v/>
      </c>
      <c r="E42" s="169">
        <f>E41/AVERAGE(D24:E24)</f>
        <v/>
      </c>
      <c r="F42" s="169">
        <f>F41/AVERAGE(E24:F24)</f>
        <v/>
      </c>
      <c r="G42" s="169">
        <f>G41/AVERAGE(F24:G24)</f>
        <v/>
      </c>
      <c r="H42" s="169">
        <f>H41/AVERAGE(G24:H24)</f>
        <v/>
      </c>
      <c r="I42" s="169">
        <f>I41/AVERAGE(H24:I24)</f>
        <v/>
      </c>
      <c r="J42" s="169">
        <f>J41/AVERAGE(I24:J24)</f>
        <v/>
      </c>
      <c r="K42" s="169">
        <f>K41/AVERAGE(J24:K24)</f>
        <v/>
      </c>
      <c r="L42" s="169">
        <f>L41/AVERAGE(K24:L24)</f>
        <v/>
      </c>
      <c r="M42" s="169">
        <f>M41/AVERAGE(L24:M24)</f>
        <v/>
      </c>
      <c r="N42" s="169">
        <f>N41/AVERAGE(M24:N24)</f>
        <v/>
      </c>
      <c r="O42" s="169">
        <f>O41/AVERAGE(N24:O24)</f>
        <v/>
      </c>
      <c r="P42" s="169">
        <f>P41/AVERAGE(O24:P24)</f>
        <v/>
      </c>
      <c r="Q42" s="169">
        <f>Q41/AVERAGE(P24:Q24)</f>
        <v/>
      </c>
      <c r="R42" s="667">
        <f>R41/AVERAGE(Q24:R24)</f>
        <v/>
      </c>
      <c r="S42" s="667">
        <f>S41/AVERAGE(R24:S24)</f>
        <v/>
      </c>
      <c r="T42" s="667">
        <f>T41/AVERAGE(S24:T24)</f>
        <v/>
      </c>
      <c r="U42" s="667">
        <f>U41/AVERAGE(T24:U24)</f>
        <v/>
      </c>
      <c r="V42" s="667">
        <f>V41/AVERAGE(U24:V24)</f>
        <v/>
      </c>
      <c r="W42" s="667">
        <f>W41/AVERAGE(V24:W24)</f>
        <v/>
      </c>
      <c r="X42" s="667">
        <f>X41/AVERAGE(W24:X24)</f>
        <v/>
      </c>
      <c r="Y42" s="667">
        <f>Y41/AVERAGE(X24:Y24)</f>
        <v/>
      </c>
      <c r="Z42" s="667">
        <f>Z41/AVERAGE(Y24:Z24)</f>
        <v/>
      </c>
      <c r="AA42" s="667">
        <f>AA41/AVERAGE(Z24:AA24)</f>
        <v/>
      </c>
      <c r="AB42" s="667">
        <f>AB41/AVERAGE(AA24:AB24)</f>
        <v/>
      </c>
      <c r="AC42" s="667">
        <f>AC41/AVERAGE(AB24:AC24)</f>
        <v/>
      </c>
      <c r="AD42" s="667">
        <f>AD41/AVERAGE(AC24:AD24)</f>
        <v/>
      </c>
      <c r="AE42" s="667">
        <f>AE41/AVERAGE(AD24:AE24)</f>
        <v/>
      </c>
      <c r="AF42" s="667">
        <f>AF41/AVERAGE(AE24:AF24)</f>
        <v/>
      </c>
      <c r="AG42" s="667">
        <f>AG41/AVERAGE(AF24:AG24)</f>
        <v/>
      </c>
      <c r="AH42" s="667">
        <f>AH41/AVERAGE(AG24:AH24)</f>
        <v/>
      </c>
      <c r="AI42" s="672">
        <f>(2.5%+0.75%)*-1</f>
        <v/>
      </c>
      <c r="AJ42" s="672">
        <f>-(1.9%+0.75%)</f>
        <v/>
      </c>
      <c r="AK42" s="672">
        <f>AJ42</f>
        <v/>
      </c>
      <c r="AL42" s="672">
        <f>AK42</f>
        <v/>
      </c>
      <c r="AM42" s="672">
        <f>AL42</f>
        <v/>
      </c>
      <c r="AN42" s="672">
        <f>AM42</f>
        <v/>
      </c>
      <c r="AO42" s="667" t="n"/>
    </row>
    <row r="43">
      <c r="A43" s="668" t="n"/>
      <c r="B43" s="668" t="n"/>
      <c r="C43" s="512" t="n"/>
      <c r="D43" s="512" t="n"/>
      <c r="E43" s="512" t="n"/>
      <c r="F43" s="512" t="n"/>
      <c r="G43" s="512" t="n"/>
      <c r="H43" s="512" t="n"/>
      <c r="I43" s="512" t="n"/>
      <c r="J43" s="512" t="n"/>
      <c r="K43" s="512" t="n"/>
      <c r="L43" s="512" t="n"/>
      <c r="M43" s="512" t="n"/>
      <c r="N43" s="512" t="n"/>
      <c r="O43" s="512" t="n"/>
      <c r="P43" s="512" t="n"/>
      <c r="Q43" s="512" t="n"/>
      <c r="R43" s="667" t="n"/>
      <c r="S43" s="667" t="n"/>
      <c r="T43" s="667" t="n"/>
      <c r="U43" s="667" t="n"/>
      <c r="V43" s="667" t="n"/>
      <c r="W43" s="667" t="n"/>
      <c r="X43" s="667" t="n"/>
      <c r="Y43" s="667" t="n"/>
      <c r="Z43" s="667" t="n"/>
      <c r="AA43" s="667" t="n"/>
      <c r="AB43" s="667" t="n"/>
      <c r="AC43" s="667" t="n"/>
      <c r="AD43" s="667" t="n"/>
      <c r="AE43" s="667" t="n"/>
      <c r="AF43" s="667" t="n"/>
      <c r="AG43" s="667" t="n"/>
      <c r="AH43" s="667" t="n"/>
      <c r="AI43" s="667" t="n"/>
      <c r="AJ43" s="667" t="n"/>
      <c r="AK43" s="667" t="n"/>
      <c r="AL43" s="667" t="n"/>
      <c r="AM43" s="667" t="n"/>
      <c r="AN43" s="667" t="n"/>
      <c r="AO43" s="667" t="n"/>
    </row>
    <row r="44" customFormat="1" s="526">
      <c r="A44" s="157" t="inlineStr">
        <is>
          <t>Fixed Assets and CAPEX</t>
        </is>
      </c>
      <c r="B44" s="553" t="n"/>
      <c r="C44" s="553" t="n"/>
      <c r="D44" s="553" t="n"/>
      <c r="E44" s="553" t="n"/>
      <c r="F44" s="553" t="n"/>
      <c r="G44" s="553" t="n"/>
      <c r="H44" s="553" t="n"/>
      <c r="I44" s="553" t="n"/>
      <c r="J44" s="553" t="n"/>
      <c r="K44" s="553" t="n"/>
      <c r="L44" s="553" t="n"/>
      <c r="M44" s="553" t="n"/>
      <c r="N44" s="553" t="n"/>
      <c r="O44" s="553" t="n"/>
      <c r="P44" s="553" t="n"/>
      <c r="Q44" s="553" t="n"/>
      <c r="R44" s="553" t="n"/>
      <c r="S44" s="553" t="n"/>
      <c r="T44" s="553" t="n"/>
      <c r="U44" s="553" t="n"/>
      <c r="V44" s="553" t="n"/>
      <c r="W44" s="553" t="n"/>
      <c r="X44" s="553" t="n"/>
      <c r="Y44" s="553" t="n"/>
      <c r="Z44" s="553" t="n"/>
      <c r="AA44" s="553" t="n"/>
      <c r="AB44" s="553" t="n"/>
      <c r="AC44" s="553" t="n"/>
      <c r="AD44" s="553" t="n"/>
      <c r="AE44" s="553" t="n"/>
      <c r="AF44" s="553" t="n"/>
      <c r="AG44" s="553" t="n"/>
      <c r="AH44" s="553" t="n"/>
      <c r="AI44" s="553" t="n"/>
      <c r="AJ44" s="553" t="n"/>
      <c r="AK44" s="553" t="n"/>
      <c r="AL44" s="553" t="n"/>
      <c r="AM44" s="553" t="n"/>
      <c r="AN44" s="553" t="n"/>
    </row>
    <row r="45" customFormat="1" s="526">
      <c r="A45" s="88" t="inlineStr">
        <is>
          <t>Fixed Assets</t>
        </is>
      </c>
      <c r="B45" s="643" t="n"/>
      <c r="C45" s="643" t="n"/>
      <c r="D45" s="643" t="n"/>
      <c r="E45" s="643" t="n"/>
      <c r="F45" s="643" t="n"/>
      <c r="G45" s="643" t="n"/>
      <c r="H45" s="643" t="n"/>
      <c r="I45" s="643" t="n"/>
      <c r="J45" s="643" t="n"/>
      <c r="K45" s="643" t="n"/>
      <c r="L45" s="643" t="n"/>
      <c r="M45" s="643" t="n"/>
      <c r="N45" s="643" t="n"/>
      <c r="O45" s="643" t="n"/>
      <c r="P45" s="643" t="n"/>
      <c r="Q45" s="643" t="n"/>
      <c r="R45" s="643" t="n"/>
      <c r="S45" s="643" t="n"/>
      <c r="T45" s="643" t="n"/>
      <c r="U45" s="643" t="n"/>
      <c r="V45" s="643" t="n"/>
      <c r="W45" s="643" t="n"/>
      <c r="X45" s="643" t="n"/>
      <c r="Y45" s="643" t="n"/>
      <c r="Z45" s="643" t="n"/>
      <c r="AA45" s="643" t="n"/>
      <c r="AB45" s="643" t="n"/>
      <c r="AC45" s="643" t="n"/>
      <c r="AD45" s="643" t="n"/>
      <c r="AE45" s="643" t="n"/>
      <c r="AF45" s="643" t="n"/>
      <c r="AG45" s="643" t="n"/>
      <c r="AH45" s="643" t="n"/>
      <c r="AI45" s="643" t="n"/>
      <c r="AJ45" s="643" t="n"/>
      <c r="AK45" s="643" t="n"/>
      <c r="AL45" s="643" t="n"/>
      <c r="AM45" s="643" t="n"/>
      <c r="AN45" s="643" t="n"/>
    </row>
    <row r="46" ht="11.25" customHeight="1">
      <c r="A46" s="159" t="inlineStr">
        <is>
          <t>Net fixed assets - CLP</t>
        </is>
      </c>
      <c r="B46" s="560" t="n">
        <v>17184</v>
      </c>
      <c r="C46" s="560" t="n">
        <v>18960</v>
      </c>
      <c r="D46" s="560" t="n">
        <v>21028</v>
      </c>
      <c r="E46" s="560" t="n">
        <v>23407</v>
      </c>
      <c r="F46" s="560" t="n">
        <v>25375</v>
      </c>
      <c r="G46" s="560" t="n">
        <v>26720</v>
      </c>
      <c r="H46" s="560" t="n">
        <v>27268</v>
      </c>
      <c r="I46" s="560" t="n">
        <v>28624</v>
      </c>
      <c r="J46" s="560" t="n">
        <v>30347</v>
      </c>
      <c r="K46" s="560" t="n">
        <v>33197</v>
      </c>
      <c r="L46" s="560" t="n">
        <v>36273</v>
      </c>
      <c r="M46" s="560" t="n">
        <v>39258</v>
      </c>
      <c r="N46" s="560" t="n">
        <v>42415</v>
      </c>
      <c r="O46" s="560" t="n">
        <v>45099</v>
      </c>
      <c r="P46" s="560" t="n">
        <v>47516</v>
      </c>
      <c r="Q46" s="560" t="n">
        <v>49684</v>
      </c>
      <c r="R46" s="560" t="n">
        <v>52132</v>
      </c>
      <c r="S46" s="560" t="n">
        <v>54712</v>
      </c>
      <c r="T46" s="560" t="n">
        <v>57247</v>
      </c>
      <c r="U46" s="560" t="n">
        <v>60142</v>
      </c>
      <c r="V46" s="560" t="n">
        <v>63599</v>
      </c>
      <c r="W46" s="560" t="n">
        <v>67057</v>
      </c>
      <c r="X46" s="560" t="n">
        <v>101420</v>
      </c>
      <c r="Y46" s="560" t="n">
        <v>104479</v>
      </c>
      <c r="Z46" s="560" t="n">
        <v>106886</v>
      </c>
      <c r="AA46" s="560">
        <f>AA18</f>
        <v/>
      </c>
      <c r="AB46" s="560">
        <f>AB18</f>
        <v/>
      </c>
      <c r="AC46" s="560">
        <f>AC18</f>
        <v/>
      </c>
      <c r="AD46" s="560">
        <f>AD18</f>
        <v/>
      </c>
      <c r="AE46" s="560">
        <f>AE18</f>
        <v/>
      </c>
      <c r="AF46" s="560">
        <f>AF18</f>
        <v/>
      </c>
      <c r="AG46" s="560">
        <f>AG18</f>
        <v/>
      </c>
      <c r="AH46" s="560">
        <f>AH18</f>
        <v/>
      </c>
      <c r="AI46" s="560">
        <f>AI18</f>
        <v/>
      </c>
      <c r="AJ46" s="560">
        <f>AJ18</f>
        <v/>
      </c>
      <c r="AK46" s="560">
        <f>AK18</f>
        <v/>
      </c>
      <c r="AL46" s="560">
        <f>AL18</f>
        <v/>
      </c>
      <c r="AM46" s="560">
        <f>AM18</f>
        <v/>
      </c>
      <c r="AN46" s="560">
        <f>AN18</f>
        <v/>
      </c>
    </row>
    <row r="47">
      <c r="A47" s="49" t="inlineStr">
        <is>
          <t>Net fixed assets - CAPCO</t>
        </is>
      </c>
      <c r="B47" s="512">
        <f>B18-B46</f>
        <v/>
      </c>
      <c r="C47" s="512">
        <f>C18-C46</f>
        <v/>
      </c>
      <c r="D47" s="512">
        <f>D18-D46</f>
        <v/>
      </c>
      <c r="E47" s="512">
        <f>E18-E46</f>
        <v/>
      </c>
      <c r="F47" s="512">
        <f>F18-F46</f>
        <v/>
      </c>
      <c r="G47" s="512">
        <f>G18-G46</f>
        <v/>
      </c>
      <c r="H47" s="512">
        <f>H18-H46</f>
        <v/>
      </c>
      <c r="I47" s="512">
        <f>I18-I46</f>
        <v/>
      </c>
      <c r="J47" s="512">
        <f>J18-J46</f>
        <v/>
      </c>
      <c r="K47" s="512">
        <f>K18-K46</f>
        <v/>
      </c>
      <c r="L47" s="512">
        <f>L18-L46</f>
        <v/>
      </c>
      <c r="M47" s="512">
        <f>M18-M46</f>
        <v/>
      </c>
      <c r="N47" s="512">
        <f>N18-N46</f>
        <v/>
      </c>
      <c r="O47" s="512">
        <f>O18-O46</f>
        <v/>
      </c>
      <c r="P47" s="512">
        <f>P18-P46</f>
        <v/>
      </c>
      <c r="Q47" s="512">
        <f>Q18-Q46</f>
        <v/>
      </c>
      <c r="R47" s="512">
        <f>R18-R46</f>
        <v/>
      </c>
      <c r="S47" s="512">
        <f>S18-S46</f>
        <v/>
      </c>
      <c r="T47" s="512">
        <f>T18-T46</f>
        <v/>
      </c>
      <c r="U47" s="512">
        <f>U18-U46</f>
        <v/>
      </c>
      <c r="V47" s="512">
        <f>V18-V46</f>
        <v/>
      </c>
      <c r="W47" s="512">
        <f>W18-W46</f>
        <v/>
      </c>
      <c r="X47" s="528">
        <f>W47/W18*X18</f>
        <v/>
      </c>
      <c r="Y47" s="528">
        <f>X47/X18*Y18</f>
        <v/>
      </c>
      <c r="Z47" s="528">
        <f>Y47/Y18*Z18</f>
        <v/>
      </c>
      <c r="AA47" s="528">
        <f>Z47/Z18*AA18</f>
        <v/>
      </c>
      <c r="AB47" s="528">
        <f>AA47/AA18*AB18</f>
        <v/>
      </c>
      <c r="AC47" s="528">
        <f>AB47/AB18*AC18</f>
        <v/>
      </c>
      <c r="AD47" s="528">
        <f>AC47/AC18*AD18</f>
        <v/>
      </c>
      <c r="AE47" s="528">
        <f>AD47/AD18*AE18</f>
        <v/>
      </c>
      <c r="AF47" s="528">
        <f>AE47/AE18*AF18</f>
        <v/>
      </c>
      <c r="AG47" s="528">
        <f>AF47/AF18*AG18</f>
        <v/>
      </c>
      <c r="AH47" s="528">
        <f>AG47/AG18*AH18</f>
        <v/>
      </c>
      <c r="AI47" s="528">
        <f>AH47/AH18*AI18</f>
        <v/>
      </c>
      <c r="AJ47" s="528">
        <f>AI47/AI18*AJ18</f>
        <v/>
      </c>
      <c r="AK47" s="528">
        <f>AJ47/AJ18*AK18</f>
        <v/>
      </c>
      <c r="AL47" s="528">
        <f>AK47/AK18*AL18</f>
        <v/>
      </c>
      <c r="AM47" s="528">
        <f>AL47/AL18*AM18</f>
        <v/>
      </c>
      <c r="AN47" s="528">
        <f>AM47/AM18*AN18</f>
        <v/>
      </c>
    </row>
    <row r="48">
      <c r="A48" s="170" t="inlineStr">
        <is>
          <t>CLP's share (%)</t>
        </is>
      </c>
      <c r="B48" s="169">
        <f>B46/B18</f>
        <v/>
      </c>
      <c r="C48" s="169">
        <f>C46/C18</f>
        <v/>
      </c>
      <c r="D48" s="169">
        <f>D46/D18</f>
        <v/>
      </c>
      <c r="E48" s="169">
        <f>E46/E18</f>
        <v/>
      </c>
      <c r="F48" s="169">
        <f>F46/F18</f>
        <v/>
      </c>
      <c r="G48" s="169">
        <f>G46/G18</f>
        <v/>
      </c>
      <c r="H48" s="169">
        <f>H46/H18</f>
        <v/>
      </c>
      <c r="I48" s="169">
        <f>I46/I18</f>
        <v/>
      </c>
      <c r="J48" s="169">
        <f>J46/J18</f>
        <v/>
      </c>
      <c r="K48" s="169">
        <f>K46/K18</f>
        <v/>
      </c>
      <c r="L48" s="169">
        <f>L46/L18</f>
        <v/>
      </c>
      <c r="M48" s="169">
        <f>M46/M18</f>
        <v/>
      </c>
      <c r="N48" s="169">
        <f>N46/N18</f>
        <v/>
      </c>
      <c r="O48" s="169">
        <f>O46/O18</f>
        <v/>
      </c>
      <c r="P48" s="169">
        <f>P46/P18</f>
        <v/>
      </c>
      <c r="Q48" s="169">
        <f>Q46/Q18</f>
        <v/>
      </c>
      <c r="R48" s="169">
        <f>R46/R18</f>
        <v/>
      </c>
      <c r="S48" s="169">
        <f>S46/S18</f>
        <v/>
      </c>
      <c r="T48" s="169">
        <f>T46/T18</f>
        <v/>
      </c>
      <c r="U48" s="169">
        <f>U46/U18</f>
        <v/>
      </c>
      <c r="V48" s="169">
        <f>V46/V18</f>
        <v/>
      </c>
      <c r="W48" s="169">
        <f>W46/W18</f>
        <v/>
      </c>
      <c r="X48" s="169">
        <f>X46/X18</f>
        <v/>
      </c>
      <c r="Y48" s="169">
        <f>Y46/Y18</f>
        <v/>
      </c>
      <c r="Z48" s="169">
        <f>Z46/Z18</f>
        <v/>
      </c>
      <c r="AA48" s="169">
        <f>AA46/AA18</f>
        <v/>
      </c>
      <c r="AB48" s="169">
        <f>AB46/AB18</f>
        <v/>
      </c>
      <c r="AC48" s="169">
        <f>AC46/AC18</f>
        <v/>
      </c>
      <c r="AD48" s="169">
        <f>AD46/AD18</f>
        <v/>
      </c>
      <c r="AE48" s="169">
        <f>AE46/AE18</f>
        <v/>
      </c>
      <c r="AF48" s="169">
        <f>AF46/AF18</f>
        <v/>
      </c>
      <c r="AG48" s="169">
        <f>AG46/AG18</f>
        <v/>
      </c>
      <c r="AH48" s="169">
        <f>AH46/AH18</f>
        <v/>
      </c>
      <c r="AI48" s="169">
        <f>AI46/AI18</f>
        <v/>
      </c>
      <c r="AJ48" s="169">
        <f>AJ46/AJ18</f>
        <v/>
      </c>
      <c r="AK48" s="169">
        <f>AK46/AK18</f>
        <v/>
      </c>
      <c r="AL48" s="169">
        <f>AL46/AL18</f>
        <v/>
      </c>
      <c r="AM48" s="169">
        <f>AM46/AM18</f>
        <v/>
      </c>
      <c r="AN48" s="169">
        <f>AN46/AN18</f>
        <v/>
      </c>
    </row>
    <row r="49" customFormat="1" s="159">
      <c r="A49" s="404" t="inlineStr">
        <is>
          <t>Total Depreciation</t>
        </is>
      </c>
      <c r="B49" s="597">
        <f>SOC!B10</f>
        <v/>
      </c>
      <c r="C49" s="597">
        <f>SOC!C10</f>
        <v/>
      </c>
      <c r="D49" s="597">
        <f>SOC!D10</f>
        <v/>
      </c>
      <c r="E49" s="597">
        <f>SOC!E10</f>
        <v/>
      </c>
      <c r="F49" s="597">
        <f>SOC!F10</f>
        <v/>
      </c>
      <c r="G49" s="597">
        <f>SOC!G10</f>
        <v/>
      </c>
      <c r="H49" s="597">
        <f>SOC!H10</f>
        <v/>
      </c>
      <c r="I49" s="597">
        <f>SOC!I10</f>
        <v/>
      </c>
      <c r="J49" s="597">
        <f>SOC!J10</f>
        <v/>
      </c>
      <c r="K49" s="597">
        <f>SOC!K10</f>
        <v/>
      </c>
      <c r="L49" s="597">
        <f>SOC!L10</f>
        <v/>
      </c>
      <c r="M49" s="597">
        <f>SOC!M10</f>
        <v/>
      </c>
      <c r="N49" s="597">
        <f>SOC!N10</f>
        <v/>
      </c>
      <c r="O49" s="597">
        <f>SOC!O10</f>
        <v/>
      </c>
      <c r="P49" s="597">
        <f>SOC!P10</f>
        <v/>
      </c>
      <c r="Q49" s="597">
        <f>SOC!Q10</f>
        <v/>
      </c>
      <c r="R49" s="597">
        <f>SOC!R10</f>
        <v/>
      </c>
      <c r="S49" s="597">
        <f>SOC!S10</f>
        <v/>
      </c>
      <c r="T49" s="597">
        <f>SOC!T10</f>
        <v/>
      </c>
      <c r="U49" s="597">
        <f>SOC!U10</f>
        <v/>
      </c>
      <c r="V49" s="597">
        <f>SOC!V10</f>
        <v/>
      </c>
      <c r="W49" s="597">
        <f>SOC!W10</f>
        <v/>
      </c>
      <c r="X49" s="597">
        <f>SOC!X10</f>
        <v/>
      </c>
      <c r="Y49" s="597">
        <f>SOC!Y10</f>
        <v/>
      </c>
      <c r="Z49" s="597">
        <f>SOC!Z10</f>
        <v/>
      </c>
      <c r="AA49" s="597">
        <f>SOC!AA10</f>
        <v/>
      </c>
      <c r="AB49" s="597">
        <f>SOC!AB10</f>
        <v/>
      </c>
      <c r="AC49" s="597">
        <f>SOC!AC10</f>
        <v/>
      </c>
      <c r="AD49" s="597">
        <f>SOC!AD10</f>
        <v/>
      </c>
      <c r="AE49" s="597">
        <f>SOC!AE10</f>
        <v/>
      </c>
      <c r="AF49" s="597">
        <f>SOC!AF10</f>
        <v/>
      </c>
      <c r="AG49" s="597">
        <f>SOC!AG10</f>
        <v/>
      </c>
      <c r="AH49" s="597">
        <f>SOC!AH10</f>
        <v/>
      </c>
      <c r="AI49" s="613">
        <f>-AH18*AI50</f>
        <v/>
      </c>
      <c r="AJ49" s="613">
        <f>-AI18*AJ50</f>
        <v/>
      </c>
      <c r="AK49" s="613">
        <f>-AJ18*AK50</f>
        <v/>
      </c>
      <c r="AL49" s="613">
        <f>-AK18*AL50</f>
        <v/>
      </c>
      <c r="AM49" s="613">
        <f>-AL18*AM50</f>
        <v/>
      </c>
      <c r="AN49" s="613">
        <f>-AM18*AN50</f>
        <v/>
      </c>
    </row>
    <row r="50">
      <c r="A50" s="170" t="inlineStr">
        <is>
          <t>Depreciation rate (%)</t>
        </is>
      </c>
      <c r="B50" s="169" t="n"/>
      <c r="C50" s="667">
        <f>-C49/AVERAGE(B18:C18)</f>
        <v/>
      </c>
      <c r="D50" s="667">
        <f>-D49/AVERAGE(C18:D18)</f>
        <v/>
      </c>
      <c r="E50" s="667">
        <f>-E49/AVERAGE(D18:E18)</f>
        <v/>
      </c>
      <c r="F50" s="667">
        <f>-F49/AVERAGE(E18:F18)</f>
        <v/>
      </c>
      <c r="G50" s="667">
        <f>-G49/AVERAGE(F18:G18)</f>
        <v/>
      </c>
      <c r="H50" s="667">
        <f>-H49/AVERAGE(G18:H18)</f>
        <v/>
      </c>
      <c r="I50" s="667">
        <f>-I49/AVERAGE(H18:I18)</f>
        <v/>
      </c>
      <c r="J50" s="667">
        <f>-J49/AVERAGE(I18:J18)</f>
        <v/>
      </c>
      <c r="K50" s="667">
        <f>-K49/AVERAGE(J18:K18)</f>
        <v/>
      </c>
      <c r="L50" s="667">
        <f>-L49/AVERAGE(K18:L18)</f>
        <v/>
      </c>
      <c r="M50" s="667">
        <f>-M49/AVERAGE(L18:M18)</f>
        <v/>
      </c>
      <c r="N50" s="667">
        <f>-N49/AVERAGE(M18:N18)</f>
        <v/>
      </c>
      <c r="O50" s="667">
        <f>-O49/AVERAGE(N18:O18)</f>
        <v/>
      </c>
      <c r="P50" s="667">
        <f>-P49/AVERAGE(O18:P18)</f>
        <v/>
      </c>
      <c r="Q50" s="667">
        <f>-Q49/AVERAGE(P18:Q18)</f>
        <v/>
      </c>
      <c r="R50" s="667">
        <f>-R49/AVERAGE(Q18:R18)</f>
        <v/>
      </c>
      <c r="S50" s="667">
        <f>-S49/AVERAGE(R18:S18)</f>
        <v/>
      </c>
      <c r="T50" s="667">
        <f>-T49/AVERAGE(S18:T18)</f>
        <v/>
      </c>
      <c r="U50" s="667">
        <f>-U49/AVERAGE(T18:U18)</f>
        <v/>
      </c>
      <c r="V50" s="667">
        <f>-V49/AVERAGE(U18:V18)</f>
        <v/>
      </c>
      <c r="W50" s="667">
        <f>-W49/AVERAGE(V18:W18)</f>
        <v/>
      </c>
      <c r="X50" s="667">
        <f>-X49/AVERAGE(W18:X18)</f>
        <v/>
      </c>
      <c r="Y50" s="667">
        <f>-Y49/AVERAGE(X18:Y18)</f>
        <v/>
      </c>
      <c r="Z50" s="667">
        <f>-Z49/AVERAGE(Y18:Z18)</f>
        <v/>
      </c>
      <c r="AA50" s="667">
        <f>-AA49/AVERAGE(Z18:AA18)</f>
        <v/>
      </c>
      <c r="AB50" s="667">
        <f>-AB49/AVERAGE(AA18:AB18)</f>
        <v/>
      </c>
      <c r="AC50" s="667">
        <f>-AC49/AVERAGE(AB18:AC18)</f>
        <v/>
      </c>
      <c r="AD50" s="667">
        <f>-AD49/AVERAGE(AC18:AD18)</f>
        <v/>
      </c>
      <c r="AE50" s="667">
        <f>-AE49/AVERAGE(AD18:AE18)</f>
        <v/>
      </c>
      <c r="AF50" s="667">
        <f>-AF49/AVERAGE(AE18:AF18)</f>
        <v/>
      </c>
      <c r="AG50" s="667">
        <f>-AG49/AVERAGE(AF18:AG18)</f>
        <v/>
      </c>
      <c r="AH50" s="667">
        <f>-AH49/AVERAGE(AG18:AH18)</f>
        <v/>
      </c>
      <c r="AI50" s="676">
        <f>AH50</f>
        <v/>
      </c>
      <c r="AJ50" s="676">
        <f>AI50</f>
        <v/>
      </c>
      <c r="AK50" s="676">
        <f>AJ50</f>
        <v/>
      </c>
      <c r="AL50" s="676">
        <f>AK50</f>
        <v/>
      </c>
      <c r="AM50" s="676">
        <f>AL50</f>
        <v/>
      </c>
      <c r="AN50" s="676">
        <f>AM50</f>
        <v/>
      </c>
    </row>
    <row r="51">
      <c r="A51" s="170" t="n"/>
      <c r="B51" s="169" t="n"/>
      <c r="C51" s="667" t="n"/>
      <c r="D51" s="667" t="n"/>
      <c r="E51" s="667" t="n"/>
      <c r="F51" s="667" t="n"/>
      <c r="G51" s="667" t="n"/>
      <c r="H51" s="667" t="n"/>
      <c r="I51" s="667" t="n"/>
      <c r="J51" s="667" t="n"/>
      <c r="K51" s="667" t="n"/>
      <c r="L51" s="667" t="n"/>
      <c r="M51" s="667" t="n"/>
      <c r="N51" s="667" t="n"/>
      <c r="O51" s="667" t="n"/>
      <c r="P51" s="667" t="n"/>
      <c r="Q51" s="667" t="n"/>
      <c r="R51" s="667" t="n"/>
      <c r="S51" s="667" t="n"/>
      <c r="T51" s="667" t="n"/>
      <c r="U51" s="667" t="n"/>
      <c r="V51" s="667" t="n"/>
      <c r="W51" s="667" t="n"/>
      <c r="X51" s="667" t="n"/>
      <c r="Y51" s="667" t="n"/>
      <c r="Z51" s="667" t="n"/>
      <c r="AA51" s="676" t="n"/>
      <c r="AB51" s="676" t="n"/>
      <c r="AC51" s="676" t="n"/>
      <c r="AD51" s="676" t="n"/>
      <c r="AE51" s="676" t="n"/>
      <c r="AF51" s="676" t="n"/>
      <c r="AG51" s="676" t="n"/>
      <c r="AH51" s="676" t="n"/>
      <c r="AI51" s="676" t="n"/>
      <c r="AJ51" s="676" t="n"/>
      <c r="AK51" s="676" t="n"/>
      <c r="AL51" s="676" t="n"/>
      <c r="AM51" s="676" t="n"/>
      <c r="AN51" s="676" t="n"/>
      <c r="AR51" s="273" t="n"/>
    </row>
    <row r="52" customFormat="1" s="526">
      <c r="A52" s="88" t="inlineStr">
        <is>
          <t>CAPEX</t>
        </is>
      </c>
      <c r="B52" s="643" t="n"/>
      <c r="C52" s="643" t="n"/>
      <c r="D52" s="643" t="n"/>
      <c r="E52" s="643" t="n"/>
      <c r="F52" s="643" t="n"/>
      <c r="G52" s="643" t="n"/>
      <c r="H52" s="643" t="n"/>
      <c r="I52" s="643" t="n"/>
      <c r="J52" s="643" t="n"/>
      <c r="K52" s="643" t="n"/>
      <c r="L52" s="643" t="n"/>
      <c r="M52" s="643" t="n"/>
      <c r="N52" s="643" t="n"/>
      <c r="O52" s="643" t="n"/>
      <c r="P52" s="643" t="n"/>
      <c r="Q52" s="643" t="n"/>
      <c r="R52" s="643" t="n"/>
      <c r="S52" s="643" t="n"/>
      <c r="T52" s="643" t="n"/>
      <c r="U52" s="643" t="n"/>
      <c r="V52" s="643" t="n"/>
      <c r="W52" s="643" t="n"/>
      <c r="X52" s="643" t="n"/>
      <c r="Y52" s="643" t="n"/>
      <c r="Z52" s="643" t="n"/>
      <c r="AA52" s="643" t="n"/>
      <c r="AB52" s="643" t="n"/>
      <c r="AC52" s="643" t="n"/>
      <c r="AD52" s="643" t="n"/>
      <c r="AE52" s="643" t="n"/>
      <c r="AF52" s="643" t="n"/>
      <c r="AG52" s="643" t="n"/>
      <c r="AH52" s="643" t="n"/>
      <c r="AI52" s="643" t="n"/>
      <c r="AJ52" s="643" t="n"/>
      <c r="AK52" s="643" t="n"/>
      <c r="AL52" s="643" t="n"/>
      <c r="AM52" s="643" t="n"/>
      <c r="AN52" s="643" t="n"/>
    </row>
    <row r="53" customFormat="1" s="159">
      <c r="A53" s="674" t="inlineStr">
        <is>
          <t>Total SoC capex</t>
        </is>
      </c>
      <c r="B53" s="560" t="n">
        <v>3833</v>
      </c>
      <c r="C53" s="560" t="n">
        <v>6346</v>
      </c>
      <c r="D53" s="560" t="n">
        <v>6831</v>
      </c>
      <c r="E53" s="560" t="n">
        <v>8664</v>
      </c>
      <c r="F53" s="560" t="n">
        <v>7129</v>
      </c>
      <c r="G53" s="560" t="n">
        <v>4857</v>
      </c>
      <c r="H53" s="560" t="n">
        <v>3090</v>
      </c>
      <c r="I53" s="560" t="n">
        <v>3720</v>
      </c>
      <c r="J53" s="560" t="n">
        <v>3671</v>
      </c>
      <c r="K53" s="560" t="n">
        <v>5172</v>
      </c>
      <c r="L53" s="560" t="n">
        <v>5861</v>
      </c>
      <c r="M53" s="560" t="n">
        <v>7273</v>
      </c>
      <c r="N53" s="560" t="n">
        <v>6961</v>
      </c>
      <c r="O53" s="560" t="n">
        <v>6005</v>
      </c>
      <c r="P53" s="560" t="n">
        <v>5673</v>
      </c>
      <c r="Q53" s="560" t="n">
        <v>6123</v>
      </c>
      <c r="R53" s="560" t="n">
        <v>7665</v>
      </c>
      <c r="S53" s="560" t="n">
        <v>7798</v>
      </c>
      <c r="T53" s="560" t="n">
        <v>7748</v>
      </c>
      <c r="U53" s="560" t="n">
        <v>7774</v>
      </c>
      <c r="V53" s="560" t="n">
        <v>8621</v>
      </c>
      <c r="W53" s="560" t="n">
        <v>7479</v>
      </c>
      <c r="X53" s="560" t="n">
        <v>7800</v>
      </c>
      <c r="Y53" s="560" t="n">
        <v>7630</v>
      </c>
      <c r="Z53" s="560" t="n">
        <v>7292</v>
      </c>
      <c r="AA53" s="560" t="n">
        <v>8068</v>
      </c>
      <c r="AB53" s="560" t="n">
        <v>8922</v>
      </c>
      <c r="AC53" s="560" t="n">
        <v>9097</v>
      </c>
      <c r="AD53" s="560" t="n">
        <v>8882</v>
      </c>
      <c r="AE53" s="560" t="n">
        <v>11222</v>
      </c>
      <c r="AF53" s="560" t="n">
        <v>12573</v>
      </c>
      <c r="AG53" s="560" t="n">
        <v>11670</v>
      </c>
      <c r="AH53" s="560" t="n">
        <v>10818</v>
      </c>
      <c r="AI53" s="563">
        <f>AI57</f>
        <v/>
      </c>
      <c r="AJ53" s="563">
        <f>AJ57</f>
        <v/>
      </c>
      <c r="AK53" s="563">
        <f>AK57</f>
        <v/>
      </c>
      <c r="AL53" s="563">
        <f>AL57</f>
        <v/>
      </c>
      <c r="AM53" s="563">
        <f>AM57</f>
        <v/>
      </c>
      <c r="AN53" s="563">
        <f>AN57</f>
        <v/>
      </c>
    </row>
    <row r="54">
      <c r="A54" s="49" t="inlineStr">
        <is>
          <t>CAPEX - CLP Power HK</t>
        </is>
      </c>
      <c r="B54" s="512" t="n">
        <v>2982</v>
      </c>
      <c r="C54" s="512" t="n">
        <v>2785</v>
      </c>
      <c r="D54" s="512" t="n">
        <v>2943</v>
      </c>
      <c r="E54" s="512" t="n">
        <v>3396</v>
      </c>
      <c r="F54" s="512" t="n">
        <v>3037</v>
      </c>
      <c r="G54" s="512" t="n">
        <v>2618</v>
      </c>
      <c r="H54" s="512" t="n">
        <v>1921</v>
      </c>
      <c r="I54" s="512" t="n">
        <v>3148</v>
      </c>
      <c r="J54" s="512" t="n">
        <v>3402</v>
      </c>
      <c r="K54" s="512" t="n">
        <v>4653</v>
      </c>
      <c r="L54" s="512" t="n">
        <v>4923</v>
      </c>
      <c r="M54" s="512" t="n">
        <v>5125</v>
      </c>
      <c r="N54" s="512" t="n">
        <v>5278</v>
      </c>
      <c r="O54" s="512" t="n">
        <v>4849</v>
      </c>
      <c r="P54" s="512" t="n">
        <v>4788</v>
      </c>
      <c r="Q54" s="512" t="n">
        <v>4745</v>
      </c>
      <c r="R54" s="512" t="n">
        <v>4379</v>
      </c>
      <c r="S54" s="512" t="n">
        <v>4447</v>
      </c>
      <c r="T54" s="512" t="n">
        <v>4552</v>
      </c>
      <c r="U54" s="512" t="n">
        <v>4903</v>
      </c>
      <c r="V54" s="512" t="n">
        <v>5650</v>
      </c>
      <c r="W54" s="512" t="n">
        <v>5680</v>
      </c>
      <c r="X54" s="512" t="n">
        <v>5615</v>
      </c>
      <c r="Y54" s="512" t="n">
        <v>5152</v>
      </c>
      <c r="Z54" s="512" t="n">
        <v>4996</v>
      </c>
      <c r="AA54" s="512" t="n">
        <v>4523</v>
      </c>
      <c r="AB54" s="512" t="n">
        <v>4411</v>
      </c>
      <c r="AC54" s="512" t="n">
        <v>4584</v>
      </c>
      <c r="AD54" s="512" t="n">
        <v>4528</v>
      </c>
      <c r="AE54" s="512" t="n">
        <v>4869</v>
      </c>
      <c r="AF54" s="512" t="n">
        <v>6007</v>
      </c>
      <c r="AG54" s="512" t="n">
        <v>6759</v>
      </c>
      <c r="AH54" s="512" t="n">
        <v>8010</v>
      </c>
      <c r="AI54" s="528">
        <f>+AI57/$U$94*$U$91</f>
        <v/>
      </c>
      <c r="AJ54" s="528">
        <f>+AJ57/$U$94*$U$91</f>
        <v/>
      </c>
      <c r="AK54" s="528">
        <f>+AK57/$U$94*$U$91</f>
        <v/>
      </c>
      <c r="AL54" s="528">
        <f>+AL57/$U$94*$U$91</f>
        <v/>
      </c>
      <c r="AM54" s="528">
        <f>AL54-AL55+AM55</f>
        <v/>
      </c>
      <c r="AN54" s="528">
        <f>AM54-AM55+AN55</f>
        <v/>
      </c>
      <c r="AP54" s="159" t="n"/>
    </row>
    <row r="55">
      <c r="A55" s="170" t="inlineStr">
        <is>
          <t>CCGT new build</t>
        </is>
      </c>
      <c r="B55" s="512" t="n"/>
      <c r="C55" s="512" t="n"/>
      <c r="D55" s="512" t="n"/>
      <c r="E55" s="512" t="n"/>
      <c r="F55" s="512" t="n"/>
      <c r="G55" s="512" t="n"/>
      <c r="H55" s="512" t="n"/>
      <c r="I55" s="512" t="n"/>
      <c r="J55" s="512" t="n"/>
      <c r="K55" s="512" t="n"/>
      <c r="L55" s="512" t="n"/>
      <c r="M55" s="512" t="n"/>
      <c r="N55" s="512" t="n"/>
      <c r="O55" s="512" t="n"/>
      <c r="P55" s="512" t="n"/>
      <c r="Q55" s="512" t="n"/>
      <c r="R55" s="512" t="n"/>
      <c r="S55" s="512" t="n"/>
      <c r="T55" s="512" t="n"/>
      <c r="U55" s="512" t="n"/>
      <c r="V55" s="512" t="n"/>
      <c r="W55" s="512" t="n"/>
      <c r="X55" s="512" t="n"/>
      <c r="Y55" s="512" t="n"/>
      <c r="Z55" s="512" t="n"/>
      <c r="AA55" s="528">
        <f>3575/21*12</f>
        <v/>
      </c>
      <c r="AB55" s="528">
        <f>3575/21*9+(5547-3575)/15*3</f>
        <v/>
      </c>
      <c r="AC55" s="671">
        <f>5547-AA55-AB55+800</f>
        <v/>
      </c>
      <c r="AD55" s="671" t="n">
        <v>1000</v>
      </c>
      <c r="AE55" s="671" t="n">
        <v>1000</v>
      </c>
      <c r="AF55" s="528">
        <f>AE55</f>
        <v/>
      </c>
      <c r="AG55" s="528">
        <f>AF55</f>
        <v/>
      </c>
      <c r="AH55" s="528">
        <f>AG55</f>
        <v/>
      </c>
      <c r="AI55" s="671" t="n"/>
      <c r="AJ55" s="671" t="n"/>
      <c r="AK55" s="671" t="n"/>
      <c r="AL55" s="528" t="n"/>
      <c r="AM55" s="528" t="n"/>
      <c r="AN55" s="528" t="n"/>
    </row>
    <row r="56">
      <c r="A56" s="49" t="inlineStr">
        <is>
          <t>CAPEX - CAPCO</t>
        </is>
      </c>
      <c r="B56" s="512">
        <f>B53-B54</f>
        <v/>
      </c>
      <c r="C56" s="512">
        <f>C53-C54</f>
        <v/>
      </c>
      <c r="D56" s="512">
        <f>D53-D54</f>
        <v/>
      </c>
      <c r="E56" s="512">
        <f>E53-E54</f>
        <v/>
      </c>
      <c r="F56" s="512">
        <f>F53-F54</f>
        <v/>
      </c>
      <c r="G56" s="512">
        <f>G53-G54</f>
        <v/>
      </c>
      <c r="H56" s="512">
        <f>H53-H54</f>
        <v/>
      </c>
      <c r="I56" s="512">
        <f>I53-I54</f>
        <v/>
      </c>
      <c r="J56" s="512">
        <f>J53-J54</f>
        <v/>
      </c>
      <c r="K56" s="512">
        <f>K53-K54</f>
        <v/>
      </c>
      <c r="L56" s="512">
        <f>L53-L54</f>
        <v/>
      </c>
      <c r="M56" s="512">
        <f>M53-M54</f>
        <v/>
      </c>
      <c r="N56" s="512">
        <f>N53-N54</f>
        <v/>
      </c>
      <c r="O56" s="512">
        <f>O53-O54</f>
        <v/>
      </c>
      <c r="P56" s="512">
        <f>P53-P54</f>
        <v/>
      </c>
      <c r="Q56" s="512">
        <f>Q53-Q54</f>
        <v/>
      </c>
      <c r="R56" s="512">
        <f>R53-R54</f>
        <v/>
      </c>
      <c r="S56" s="512">
        <f>S53-S54</f>
        <v/>
      </c>
      <c r="T56" s="512">
        <f>T53-T54</f>
        <v/>
      </c>
      <c r="U56" s="512">
        <f>U53-U54</f>
        <v/>
      </c>
      <c r="V56" s="512">
        <f>V53-V54</f>
        <v/>
      </c>
      <c r="W56" s="512">
        <f>W53-W54</f>
        <v/>
      </c>
      <c r="X56" s="512">
        <f>X53-X54</f>
        <v/>
      </c>
      <c r="Y56" s="512">
        <f>Y53-Y54</f>
        <v/>
      </c>
      <c r="Z56" s="512">
        <f>Z53-Z54</f>
        <v/>
      </c>
      <c r="AA56" s="512" t="n">
        <v>3545</v>
      </c>
      <c r="AB56" s="512" t="n">
        <v>4511</v>
      </c>
      <c r="AC56" s="512" t="n">
        <v>4513</v>
      </c>
      <c r="AD56" s="512" t="n">
        <v>4354</v>
      </c>
      <c r="AE56" s="512" t="n">
        <v>6353</v>
      </c>
      <c r="AF56" s="512" t="n">
        <v>6566</v>
      </c>
      <c r="AG56" s="512" t="n">
        <v>4911</v>
      </c>
      <c r="AH56" s="512" t="n">
        <v>2808</v>
      </c>
      <c r="AI56" s="528">
        <f>+AI57-AI54</f>
        <v/>
      </c>
      <c r="AJ56" s="528">
        <f>+AJ57-AJ54</f>
        <v/>
      </c>
      <c r="AK56" s="528">
        <f>+AK57-AK54</f>
        <v/>
      </c>
      <c r="AL56" s="528">
        <f>+AL57-AL54</f>
        <v/>
      </c>
      <c r="AM56" s="528">
        <f>AL56</f>
        <v/>
      </c>
      <c r="AN56" s="528">
        <f>AM56</f>
        <v/>
      </c>
    </row>
    <row r="57">
      <c r="A57" s="174" t="inlineStr">
        <is>
          <t>CLP consolidated CAPEX</t>
        </is>
      </c>
      <c r="B57" s="558">
        <f>B54</f>
        <v/>
      </c>
      <c r="C57" s="558">
        <f>C54</f>
        <v/>
      </c>
      <c r="D57" s="558">
        <f>D54</f>
        <v/>
      </c>
      <c r="E57" s="558">
        <f>E54</f>
        <v/>
      </c>
      <c r="F57" s="558">
        <f>F54</f>
        <v/>
      </c>
      <c r="G57" s="558">
        <f>G54</f>
        <v/>
      </c>
      <c r="H57" s="558">
        <f>H54</f>
        <v/>
      </c>
      <c r="I57" s="558">
        <f>I54</f>
        <v/>
      </c>
      <c r="J57" s="558">
        <f>J54</f>
        <v/>
      </c>
      <c r="K57" s="558">
        <f>K54</f>
        <v/>
      </c>
      <c r="L57" s="558">
        <f>L54</f>
        <v/>
      </c>
      <c r="M57" s="558">
        <f>M54</f>
        <v/>
      </c>
      <c r="N57" s="558">
        <f>N54</f>
        <v/>
      </c>
      <c r="O57" s="558">
        <f>O54</f>
        <v/>
      </c>
      <c r="P57" s="558">
        <f>P54</f>
        <v/>
      </c>
      <c r="Q57" s="558">
        <f>Q54</f>
        <v/>
      </c>
      <c r="R57" s="558">
        <f>R54</f>
        <v/>
      </c>
      <c r="S57" s="558">
        <f>S54</f>
        <v/>
      </c>
      <c r="T57" s="558">
        <f>T54</f>
        <v/>
      </c>
      <c r="U57" s="558">
        <f>U54</f>
        <v/>
      </c>
      <c r="V57" s="558">
        <f>V54</f>
        <v/>
      </c>
      <c r="W57" s="558">
        <f>W54</f>
        <v/>
      </c>
      <c r="X57" s="558">
        <f>X54+X56</f>
        <v/>
      </c>
      <c r="Y57" s="558">
        <f>Y54+Y56</f>
        <v/>
      </c>
      <c r="Z57" s="558">
        <f>Z54+Z56</f>
        <v/>
      </c>
      <c r="AA57" s="558">
        <f>AA54+AA56</f>
        <v/>
      </c>
      <c r="AB57" s="558">
        <f>AB54+AB56</f>
        <v/>
      </c>
      <c r="AC57" s="558">
        <f>AC54+AC56</f>
        <v/>
      </c>
      <c r="AD57" s="558">
        <f>AD54+AD56</f>
        <v/>
      </c>
      <c r="AE57" s="558">
        <f>AE54+AE56</f>
        <v/>
      </c>
      <c r="AF57" s="558">
        <f>AF54+AF56</f>
        <v/>
      </c>
      <c r="AG57" s="558">
        <f>AG54+AG56</f>
        <v/>
      </c>
      <c r="AH57" s="558">
        <f>AH54+AH56</f>
        <v/>
      </c>
      <c r="AI57" s="559">
        <f>+AI59-AI58</f>
        <v/>
      </c>
      <c r="AJ57" s="559">
        <f>+AJ59-AJ58</f>
        <v/>
      </c>
      <c r="AK57" s="559">
        <f>+AK59-AK58</f>
        <v/>
      </c>
      <c r="AL57" s="559">
        <f>+AL59-AL58</f>
        <v/>
      </c>
      <c r="AM57" s="559">
        <f>+AM59-AM58</f>
        <v/>
      </c>
      <c r="AN57" s="559">
        <f>+AN59-AN58</f>
        <v/>
      </c>
    </row>
    <row r="58">
      <c r="A58" s="49" t="inlineStr">
        <is>
          <t>Addition to leased assets</t>
        </is>
      </c>
      <c r="B58" s="512" t="n"/>
      <c r="C58" s="512" t="n"/>
      <c r="D58" s="512" t="n"/>
      <c r="E58" s="512" t="n"/>
      <c r="F58" s="512" t="n"/>
      <c r="G58" s="512" t="n"/>
      <c r="H58" s="512" t="n"/>
      <c r="I58" s="512" t="n"/>
      <c r="J58" s="512" t="n"/>
      <c r="K58" s="512" t="n"/>
      <c r="L58" s="512" t="n"/>
      <c r="M58" s="512" t="n"/>
      <c r="N58" s="512" t="n"/>
      <c r="O58" s="512" t="n"/>
      <c r="P58" s="512">
        <f>277+3029</f>
        <v/>
      </c>
      <c r="Q58" s="512">
        <f>70+535</f>
        <v/>
      </c>
      <c r="R58" s="512">
        <f>73+1045</f>
        <v/>
      </c>
      <c r="S58" s="512">
        <f>110+1494</f>
        <v/>
      </c>
      <c r="T58" s="512">
        <f>1774+5259</f>
        <v/>
      </c>
      <c r="U58" s="512">
        <f>176+153+2364</f>
        <v/>
      </c>
      <c r="V58" s="512">
        <f>246+1748</f>
        <v/>
      </c>
      <c r="W58" s="512">
        <f>363+3139</f>
        <v/>
      </c>
      <c r="X58" s="512" t="n">
        <v>0</v>
      </c>
      <c r="Y58" s="512" t="n">
        <v>0</v>
      </c>
      <c r="Z58" s="512" t="n">
        <v>0</v>
      </c>
      <c r="AA58" s="512" t="n">
        <v>0</v>
      </c>
      <c r="AB58" s="512" t="n">
        <v>0</v>
      </c>
      <c r="AC58" s="512" t="n">
        <v>0</v>
      </c>
      <c r="AD58" s="512" t="n">
        <v>0</v>
      </c>
      <c r="AE58" s="512" t="n">
        <v>0</v>
      </c>
      <c r="AF58" s="512" t="n">
        <v>0</v>
      </c>
      <c r="AG58" s="512" t="n">
        <v>0</v>
      </c>
      <c r="AH58" s="512" t="n">
        <v>0</v>
      </c>
      <c r="AI58" s="528" t="n">
        <v>0</v>
      </c>
      <c r="AJ58" s="528" t="n">
        <v>0</v>
      </c>
      <c r="AK58" s="528" t="n">
        <v>0</v>
      </c>
      <c r="AL58" s="528" t="n">
        <v>0</v>
      </c>
      <c r="AM58" s="528" t="n">
        <v>0</v>
      </c>
      <c r="AN58" s="528" t="n">
        <v>0</v>
      </c>
    </row>
    <row r="59">
      <c r="A59" s="174" t="inlineStr">
        <is>
          <t>CLP capex - HK Segment</t>
        </is>
      </c>
      <c r="B59" s="558">
        <f>B57+B58</f>
        <v/>
      </c>
      <c r="C59" s="558">
        <f>C57+C58</f>
        <v/>
      </c>
      <c r="D59" s="558">
        <f>D57+D58</f>
        <v/>
      </c>
      <c r="E59" s="558">
        <f>E57+E58</f>
        <v/>
      </c>
      <c r="F59" s="558">
        <f>F57+F58</f>
        <v/>
      </c>
      <c r="G59" s="558">
        <f>G57+G58</f>
        <v/>
      </c>
      <c r="H59" s="558">
        <f>H57+H58</f>
        <v/>
      </c>
      <c r="I59" s="558">
        <f>I57+I58</f>
        <v/>
      </c>
      <c r="J59" s="558">
        <f>J57+J58</f>
        <v/>
      </c>
      <c r="K59" s="558">
        <f>K57+K58</f>
        <v/>
      </c>
      <c r="L59" s="558">
        <f>L57+L58</f>
        <v/>
      </c>
      <c r="M59" s="558">
        <f>M57+M58</f>
        <v/>
      </c>
      <c r="N59" s="558">
        <f>N57+N58</f>
        <v/>
      </c>
      <c r="O59" s="558">
        <f>O57+O58</f>
        <v/>
      </c>
      <c r="P59" s="558">
        <f>P57+P58</f>
        <v/>
      </c>
      <c r="Q59" s="558">
        <f>Q57+Q58</f>
        <v/>
      </c>
      <c r="R59" s="558">
        <f>R57+R58</f>
        <v/>
      </c>
      <c r="S59" s="558">
        <f>S57+S58</f>
        <v/>
      </c>
      <c r="T59" s="558">
        <f>T57+T58</f>
        <v/>
      </c>
      <c r="U59" s="558">
        <f>U57+U58</f>
        <v/>
      </c>
      <c r="V59" s="558">
        <f>V57+V58</f>
        <v/>
      </c>
      <c r="W59" s="558">
        <f>W57+W58</f>
        <v/>
      </c>
      <c r="X59" s="558">
        <f>X57+X58</f>
        <v/>
      </c>
      <c r="Y59" s="558">
        <f>Y57+Y58</f>
        <v/>
      </c>
      <c r="Z59" s="558">
        <f>Z57+Z58</f>
        <v/>
      </c>
      <c r="AA59" s="558">
        <f>AA57+AA58</f>
        <v/>
      </c>
      <c r="AB59" s="558">
        <f>AB57+AB58</f>
        <v/>
      </c>
      <c r="AC59" s="558">
        <f>AC57+AC58</f>
        <v/>
      </c>
      <c r="AD59" s="558">
        <f>AD57+AD58</f>
        <v/>
      </c>
      <c r="AE59" s="558">
        <f>AE57+AE58</f>
        <v/>
      </c>
      <c r="AF59" s="558">
        <f>AF57+AF58</f>
        <v/>
      </c>
      <c r="AG59" s="558">
        <f>AG57+AG58</f>
        <v/>
      </c>
      <c r="AH59" s="558">
        <f>AH57+AH58</f>
        <v/>
      </c>
      <c r="AI59" s="559">
        <f>+$V$94/5</f>
        <v/>
      </c>
      <c r="AJ59" s="559">
        <f>+$V$94/5</f>
        <v/>
      </c>
      <c r="AK59" s="559">
        <f>+$V$94/5</f>
        <v/>
      </c>
      <c r="AL59" s="559">
        <f>+V94-SUM(AH59:AK59)</f>
        <v/>
      </c>
      <c r="AM59" s="559">
        <f>+$V$94/5</f>
        <v/>
      </c>
      <c r="AN59" s="559">
        <f>+$V$94/5</f>
        <v/>
      </c>
    </row>
    <row r="61" customFormat="1" s="526">
      <c r="A61" s="88" t="inlineStr">
        <is>
          <t>Capacity</t>
        </is>
      </c>
      <c r="B61" s="643" t="n"/>
      <c r="C61" s="643" t="n"/>
      <c r="D61" s="643" t="n"/>
      <c r="E61" s="643" t="n"/>
      <c r="F61" s="643" t="n"/>
      <c r="G61" s="643" t="n"/>
      <c r="H61" s="643" t="n"/>
      <c r="I61" s="643" t="n"/>
      <c r="J61" s="643" t="n"/>
      <c r="K61" s="643" t="n"/>
      <c r="L61" s="643" t="n"/>
      <c r="M61" s="643" t="n"/>
      <c r="N61" s="643" t="n"/>
      <c r="O61" s="643" t="n"/>
      <c r="P61" s="643" t="n"/>
      <c r="Q61" s="643" t="n"/>
      <c r="R61" s="643" t="n"/>
      <c r="S61" s="643" t="n"/>
      <c r="T61" s="643" t="n"/>
      <c r="U61" s="643" t="n"/>
      <c r="V61" s="643" t="n"/>
      <c r="W61" s="643" t="n"/>
      <c r="X61" s="643" t="n"/>
      <c r="Y61" s="643" t="n"/>
      <c r="Z61" s="643" t="n"/>
      <c r="AA61" s="643" t="n"/>
      <c r="AB61" s="643" t="n"/>
      <c r="AC61" s="643" t="n"/>
      <c r="AD61" s="643" t="n"/>
      <c r="AE61" s="643" t="n"/>
      <c r="AF61" s="643" t="n"/>
      <c r="AG61" s="643" t="n"/>
      <c r="AH61" s="643" t="n"/>
      <c r="AI61" s="643" t="n"/>
      <c r="AJ61" s="643" t="n"/>
      <c r="AK61" s="643" t="n"/>
      <c r="AL61" s="643" t="n"/>
      <c r="AM61" s="643" t="n"/>
      <c r="AN61" s="643" t="n"/>
    </row>
    <row r="62" customFormat="1" s="43">
      <c r="A62" s="224" t="n"/>
      <c r="B62" s="224" t="n"/>
      <c r="C62" s="224" t="n"/>
      <c r="D62" s="224" t="n"/>
      <c r="E62" s="224" t="n"/>
      <c r="F62" s="224" t="n"/>
      <c r="G62" s="224" t="n"/>
      <c r="H62" s="224" t="n"/>
      <c r="I62" s="224" t="n"/>
      <c r="J62" s="224" t="n"/>
      <c r="K62" s="224" t="n"/>
      <c r="L62" s="224" t="n"/>
      <c r="M62" s="224" t="n"/>
      <c r="N62" s="224" t="n"/>
      <c r="O62" s="224" t="n"/>
      <c r="P62" s="224" t="n"/>
      <c r="Q62" s="224" t="n"/>
      <c r="R62" s="224" t="n"/>
      <c r="AD62" s="526" t="n"/>
    </row>
    <row r="63" customFormat="1" s="43">
      <c r="A63" s="62" t="inlineStr">
        <is>
          <t>Attributable installed capacity available to HK</t>
        </is>
      </c>
      <c r="B63" s="137" t="n">
        <v>6432</v>
      </c>
      <c r="C63" s="137" t="n">
        <v>6430</v>
      </c>
      <c r="D63" s="137" t="n">
        <v>7540</v>
      </c>
      <c r="E63" s="137" t="n">
        <v>6890</v>
      </c>
      <c r="F63" s="137" t="n">
        <v>7515</v>
      </c>
      <c r="G63" s="137" t="n">
        <v>7638</v>
      </c>
      <c r="H63" s="137" t="n">
        <v>7950.5</v>
      </c>
      <c r="I63" s="137" t="n">
        <v>8263</v>
      </c>
      <c r="J63" s="137" t="n">
        <v>8263</v>
      </c>
      <c r="K63" s="137" t="n">
        <v>8263</v>
      </c>
      <c r="L63" s="137" t="n">
        <v>8263</v>
      </c>
      <c r="M63" s="137" t="n">
        <v>8263</v>
      </c>
      <c r="N63" s="137" t="n">
        <v>8263</v>
      </c>
      <c r="O63" s="137" t="n">
        <v>8575.5</v>
      </c>
      <c r="P63" s="137" t="n">
        <v>8888</v>
      </c>
      <c r="Q63" s="137" t="n">
        <v>8888</v>
      </c>
      <c r="R63" s="137" t="n">
        <v>8888</v>
      </c>
      <c r="S63" s="137" t="n">
        <v>8888</v>
      </c>
      <c r="T63" s="137" t="n">
        <v>8888</v>
      </c>
      <c r="U63" s="137" t="n">
        <v>8888</v>
      </c>
      <c r="V63" s="560" t="n">
        <v>8888</v>
      </c>
      <c r="W63" s="560" t="n">
        <v>8888</v>
      </c>
      <c r="X63" s="560" t="n">
        <v>8888</v>
      </c>
      <c r="Y63" s="560" t="n">
        <v>8888</v>
      </c>
      <c r="Z63" s="560" t="n">
        <v>8913</v>
      </c>
      <c r="AA63" s="560" t="n">
        <v>8913</v>
      </c>
      <c r="AB63" s="560">
        <f>SUM(AB64:AB68)</f>
        <v/>
      </c>
      <c r="AC63" s="560">
        <f>SUM(AC64:AC68)</f>
        <v/>
      </c>
      <c r="AD63" s="560">
        <f>SUM(AD64:AD68)</f>
        <v/>
      </c>
      <c r="AE63" s="560">
        <f>SUM(AE64:AE68)</f>
        <v/>
      </c>
      <c r="AF63" s="560">
        <f>SUM(AF64:AF68)</f>
        <v/>
      </c>
      <c r="AG63" s="560">
        <f>SUM(AG64:AG68)</f>
        <v/>
      </c>
      <c r="AH63" s="560">
        <f>AG63+AH70</f>
        <v/>
      </c>
      <c r="AI63" s="563">
        <f>AH63+AI70</f>
        <v/>
      </c>
      <c r="AJ63" s="563">
        <f>AI63+AJ70</f>
        <v/>
      </c>
      <c r="AK63" s="563">
        <f>AJ63+AK70</f>
        <v/>
      </c>
      <c r="AL63" s="563">
        <f>AK63+AL70</f>
        <v/>
      </c>
      <c r="AM63" s="563">
        <f>AL63+AM70</f>
        <v/>
      </c>
      <c r="AN63" s="563">
        <f>AM63+AN70</f>
        <v/>
      </c>
    </row>
    <row r="64" customFormat="1" s="43">
      <c r="A64" s="111" t="inlineStr">
        <is>
          <t>Coal-fired (CAPCO)</t>
        </is>
      </c>
      <c r="B64" s="220" t="n"/>
      <c r="C64" s="220" t="n"/>
      <c r="D64" s="220" t="n"/>
      <c r="E64" s="220" t="n"/>
      <c r="F64" s="220" t="n"/>
      <c r="G64" s="220" t="n"/>
      <c r="H64" s="220" t="n"/>
      <c r="I64" s="220" t="n"/>
      <c r="J64" s="220" t="n"/>
      <c r="K64" s="220" t="n"/>
      <c r="L64" s="220" t="n"/>
      <c r="M64" s="220" t="n"/>
      <c r="N64" s="220" t="n"/>
      <c r="O64" s="220" t="n"/>
      <c r="P64" s="220">
        <f>+Q64</f>
        <v/>
      </c>
      <c r="Q64" s="512">
        <f>+R64</f>
        <v/>
      </c>
      <c r="R64" s="512">
        <f>+S64</f>
        <v/>
      </c>
      <c r="S64" s="512">
        <f>+T64</f>
        <v/>
      </c>
      <c r="T64" s="512" t="n">
        <v>4108</v>
      </c>
      <c r="U64" s="512" t="n">
        <v>4108</v>
      </c>
      <c r="V64" s="512" t="n">
        <v>4108</v>
      </c>
      <c r="W64" s="512" t="n">
        <v>4108</v>
      </c>
      <c r="X64" s="512" t="n">
        <v>4108</v>
      </c>
      <c r="Y64" s="512" t="n">
        <v>4108</v>
      </c>
      <c r="Z64" s="512" t="n">
        <v>4108</v>
      </c>
      <c r="AA64" s="512" t="n">
        <v>4108</v>
      </c>
      <c r="AB64" s="512" t="n">
        <v>4108</v>
      </c>
      <c r="AC64" s="512">
        <f>+AB64+AC71</f>
        <v/>
      </c>
      <c r="AD64" s="512">
        <f>+AC64+AD71</f>
        <v/>
      </c>
      <c r="AE64" s="512">
        <f>+AD64+AE71</f>
        <v/>
      </c>
      <c r="AF64" s="512">
        <f>+AE64+AF71</f>
        <v/>
      </c>
      <c r="AG64" s="512">
        <f>+AF64+AG71</f>
        <v/>
      </c>
      <c r="AH64" s="512">
        <f>+AG64+AH71</f>
        <v/>
      </c>
      <c r="AI64" s="512">
        <f>+AH64+AI71</f>
        <v/>
      </c>
      <c r="AJ64" s="512">
        <f>+AI64+AJ71</f>
        <v/>
      </c>
      <c r="AK64" s="512">
        <f>+AJ64+AK71</f>
        <v/>
      </c>
      <c r="AL64" s="512">
        <f>+AK64+AL71</f>
        <v/>
      </c>
      <c r="AM64" s="512">
        <f>+AL64+AM71</f>
        <v/>
      </c>
      <c r="AN64" s="512">
        <f>+AM64+AN71</f>
        <v/>
      </c>
    </row>
    <row r="65" customFormat="1" s="43">
      <c r="A65" s="111" t="inlineStr">
        <is>
          <t>Gas-fired (Black Point)</t>
        </is>
      </c>
      <c r="B65" s="220" t="n"/>
      <c r="C65" s="220" t="n"/>
      <c r="D65" s="220" t="n"/>
      <c r="E65" s="220" t="n"/>
      <c r="F65" s="220" t="n"/>
      <c r="G65" s="220" t="n"/>
      <c r="H65" s="220" t="n"/>
      <c r="I65" s="220" t="n"/>
      <c r="J65" s="220" t="n"/>
      <c r="K65" s="220" t="n"/>
      <c r="L65" s="220" t="n"/>
      <c r="M65" s="220" t="n"/>
      <c r="N65" s="220" t="n"/>
      <c r="O65" s="220" t="n"/>
      <c r="P65" s="220">
        <f>+Q65</f>
        <v/>
      </c>
      <c r="Q65" s="512">
        <f>+R65</f>
        <v/>
      </c>
      <c r="R65" s="512">
        <f>+S65</f>
        <v/>
      </c>
      <c r="S65" s="512">
        <f>+T65</f>
        <v/>
      </c>
      <c r="T65" s="512" t="n">
        <v>2500</v>
      </c>
      <c r="U65" s="512" t="n">
        <v>2500</v>
      </c>
      <c r="V65" s="512" t="n">
        <v>2500</v>
      </c>
      <c r="W65" s="512" t="n">
        <v>2500</v>
      </c>
      <c r="X65" s="512" t="n">
        <v>2500</v>
      </c>
      <c r="Y65" s="512" t="n">
        <v>2500</v>
      </c>
      <c r="Z65" s="512" t="n">
        <v>2525</v>
      </c>
      <c r="AA65" s="512" t="n">
        <v>2525</v>
      </c>
      <c r="AB65" s="512" t="n">
        <v>2575</v>
      </c>
      <c r="AC65" s="512" t="n">
        <v>2600</v>
      </c>
      <c r="AD65" s="512" t="n">
        <v>3175</v>
      </c>
      <c r="AE65" s="512" t="n">
        <v>3225</v>
      </c>
      <c r="AF65" s="512" t="n">
        <v>3250</v>
      </c>
      <c r="AG65" s="512" t="n">
        <v>3250</v>
      </c>
      <c r="AH65" s="512">
        <f>+AG65+AH72</f>
        <v/>
      </c>
      <c r="AI65" s="528">
        <f>+AH65+AI72</f>
        <v/>
      </c>
      <c r="AJ65" s="528">
        <f>+AI65+AJ72</f>
        <v/>
      </c>
      <c r="AK65" s="528">
        <f>+AJ65+AK72</f>
        <v/>
      </c>
      <c r="AL65" s="528">
        <f>+AK65+AL72</f>
        <v/>
      </c>
      <c r="AM65" s="528">
        <f>+AL65+AM72</f>
        <v/>
      </c>
      <c r="AN65" s="528">
        <f>+AM65+AN72</f>
        <v/>
      </c>
    </row>
    <row r="66" customFormat="1" s="43">
      <c r="A66" s="111" t="inlineStr">
        <is>
          <t>Oil (Penny Bay)</t>
        </is>
      </c>
      <c r="B66" s="220" t="n"/>
      <c r="C66" s="220" t="n"/>
      <c r="D66" s="220" t="n"/>
      <c r="E66" s="220" t="n"/>
      <c r="F66" s="220" t="n"/>
      <c r="G66" s="220" t="n"/>
      <c r="H66" s="220" t="n"/>
      <c r="I66" s="220" t="n"/>
      <c r="J66" s="220" t="n"/>
      <c r="K66" s="220" t="n"/>
      <c r="L66" s="220" t="n"/>
      <c r="M66" s="220" t="n"/>
      <c r="N66" s="220" t="n"/>
      <c r="O66" s="220" t="n"/>
      <c r="P66" s="220">
        <f>+Q66</f>
        <v/>
      </c>
      <c r="Q66" s="512">
        <f>+R66</f>
        <v/>
      </c>
      <c r="R66" s="512">
        <f>+S66</f>
        <v/>
      </c>
      <c r="S66" s="512">
        <f>+T66</f>
        <v/>
      </c>
      <c r="T66" s="512" t="n">
        <v>300</v>
      </c>
      <c r="U66" s="512" t="n">
        <v>300</v>
      </c>
      <c r="V66" s="512" t="n">
        <v>300</v>
      </c>
      <c r="W66" s="512" t="n">
        <v>300</v>
      </c>
      <c r="X66" s="512" t="n">
        <v>300</v>
      </c>
      <c r="Y66" s="512" t="n">
        <v>300</v>
      </c>
      <c r="Z66" s="512" t="n">
        <v>300</v>
      </c>
      <c r="AA66" s="512" t="n">
        <v>300</v>
      </c>
      <c r="AB66" s="512" t="n">
        <v>300</v>
      </c>
      <c r="AC66" s="512" t="n">
        <v>300</v>
      </c>
      <c r="AD66" s="512" t="n">
        <v>300</v>
      </c>
      <c r="AE66" s="512" t="n">
        <v>300</v>
      </c>
      <c r="AF66" s="512">
        <f>+AE66+AF73</f>
        <v/>
      </c>
      <c r="AG66" s="512">
        <f>+AF66+AG73</f>
        <v/>
      </c>
      <c r="AH66" s="512">
        <f>+AG66+AH73</f>
        <v/>
      </c>
      <c r="AI66" s="512">
        <f>+AH66+AI73</f>
        <v/>
      </c>
      <c r="AJ66" s="512">
        <f>+AI66+AJ73</f>
        <v/>
      </c>
      <c r="AK66" s="512">
        <f>+AJ66+AK73</f>
        <v/>
      </c>
      <c r="AL66" s="512">
        <f>+AK66+AL73</f>
        <v/>
      </c>
      <c r="AM66" s="512">
        <f>+AL66+AM73</f>
        <v/>
      </c>
      <c r="AN66" s="512">
        <f>+AM66+AN73</f>
        <v/>
      </c>
    </row>
    <row r="67" customFormat="1" s="43">
      <c r="A67" s="111" t="inlineStr">
        <is>
          <t>Nuclear (Daya Bay)</t>
        </is>
      </c>
      <c r="B67" s="220" t="n"/>
      <c r="C67" s="220" t="n"/>
      <c r="D67" s="220" t="n"/>
      <c r="E67" s="220" t="n"/>
      <c r="F67" s="220" t="n"/>
      <c r="G67" s="220" t="n"/>
      <c r="H67" s="220" t="n"/>
      <c r="I67" s="220" t="n"/>
      <c r="J67" s="220" t="n"/>
      <c r="K67" s="220" t="n"/>
      <c r="L67" s="220" t="n"/>
      <c r="M67" s="220" t="n"/>
      <c r="N67" s="220" t="n"/>
      <c r="O67" s="220" t="n"/>
      <c r="P67" s="512">
        <f>CN!P70</f>
        <v/>
      </c>
      <c r="Q67" s="512">
        <f>CN!Q70</f>
        <v/>
      </c>
      <c r="R67" s="512">
        <f>CN!R70</f>
        <v/>
      </c>
      <c r="S67" s="512">
        <f>CN!S70</f>
        <v/>
      </c>
      <c r="T67" s="512">
        <f>CN!T70</f>
        <v/>
      </c>
      <c r="U67" s="512">
        <f>CN!U70</f>
        <v/>
      </c>
      <c r="V67" s="512">
        <f>CN!V70</f>
        <v/>
      </c>
      <c r="W67" s="512">
        <f>CN!W70</f>
        <v/>
      </c>
      <c r="X67" s="512">
        <f>CN!X70</f>
        <v/>
      </c>
      <c r="Y67" s="512">
        <f>CN!Y70</f>
        <v/>
      </c>
      <c r="Z67" s="512">
        <f>CN!Z70</f>
        <v/>
      </c>
      <c r="AA67" s="512" t="n">
        <v>1380</v>
      </c>
      <c r="AB67" s="512" t="n">
        <v>1577</v>
      </c>
      <c r="AC67" s="512">
        <f>CN!AC70</f>
        <v/>
      </c>
      <c r="AD67" s="512">
        <f>CN!AD70</f>
        <v/>
      </c>
      <c r="AE67" s="512">
        <f>CN!AE70</f>
        <v/>
      </c>
      <c r="AF67" s="512">
        <f>CN!AF70</f>
        <v/>
      </c>
      <c r="AG67" s="512">
        <f>CN!AG70</f>
        <v/>
      </c>
      <c r="AH67" s="512">
        <f>CN!AH70</f>
        <v/>
      </c>
      <c r="AI67" s="512">
        <f>CN!AI70</f>
        <v/>
      </c>
      <c r="AJ67" s="512">
        <f>CN!AJ70</f>
        <v/>
      </c>
      <c r="AK67" s="512">
        <f>CN!AK70</f>
        <v/>
      </c>
      <c r="AL67" s="512">
        <f>CN!AL70</f>
        <v/>
      </c>
      <c r="AM67" s="512">
        <f>CN!AM70</f>
        <v/>
      </c>
      <c r="AN67" s="512">
        <f>CN!AN70</f>
        <v/>
      </c>
    </row>
    <row r="68" customFormat="1" s="43">
      <c r="A68" s="111" t="inlineStr">
        <is>
          <t>Pumped storage</t>
        </is>
      </c>
      <c r="B68" s="220" t="n"/>
      <c r="C68" s="220" t="n"/>
      <c r="D68" s="220" t="n"/>
      <c r="E68" s="220" t="n"/>
      <c r="F68" s="220" t="n"/>
      <c r="G68" s="220" t="n"/>
      <c r="H68" s="220" t="n"/>
      <c r="I68" s="220" t="n"/>
      <c r="J68" s="220" t="n"/>
      <c r="K68" s="220" t="n"/>
      <c r="L68" s="220" t="n"/>
      <c r="M68" s="220" t="n"/>
      <c r="N68" s="220" t="n"/>
      <c r="O68" s="220" t="n"/>
      <c r="P68" s="220">
        <f>+Q68</f>
        <v/>
      </c>
      <c r="Q68" s="512">
        <f>+R68</f>
        <v/>
      </c>
      <c r="R68" s="512">
        <f>+S68</f>
        <v/>
      </c>
      <c r="S68" s="512">
        <f>+T68</f>
        <v/>
      </c>
      <c r="T68" s="512" t="n">
        <v>600</v>
      </c>
      <c r="U68" s="512" t="n">
        <v>600</v>
      </c>
      <c r="V68" s="512" t="n">
        <v>600</v>
      </c>
      <c r="W68" s="512" t="n">
        <v>600</v>
      </c>
      <c r="X68" s="512" t="n">
        <v>600</v>
      </c>
      <c r="Y68" s="512" t="n">
        <v>600</v>
      </c>
      <c r="Z68" s="512" t="n">
        <v>600</v>
      </c>
      <c r="AA68" s="512" t="n">
        <v>600</v>
      </c>
      <c r="AB68" s="512" t="n">
        <v>600</v>
      </c>
      <c r="AC68" s="512">
        <f>+AB68+AC75</f>
        <v/>
      </c>
      <c r="AD68" s="512">
        <f>+AC68+AD75</f>
        <v/>
      </c>
      <c r="AE68" s="512">
        <f>+AD68+AE75</f>
        <v/>
      </c>
      <c r="AF68" s="512">
        <f>+AE68+AF75</f>
        <v/>
      </c>
      <c r="AG68" s="512">
        <f>+AF68+AG75</f>
        <v/>
      </c>
      <c r="AH68" s="512">
        <f>+AG68+AH75</f>
        <v/>
      </c>
      <c r="AI68" s="512">
        <f>+AH68+AI75</f>
        <v/>
      </c>
      <c r="AJ68" s="512">
        <f>+AI68+AJ75</f>
        <v/>
      </c>
      <c r="AK68" s="512">
        <f>+AJ68+AK75</f>
        <v/>
      </c>
      <c r="AL68" s="512">
        <f>+AK68+AL75</f>
        <v/>
      </c>
      <c r="AM68" s="512">
        <f>+AL68+AM75</f>
        <v/>
      </c>
      <c r="AN68" s="512">
        <f>+AM68+AN75</f>
        <v/>
      </c>
    </row>
    <row r="69" customFormat="1" s="43">
      <c r="B69" s="220" t="n"/>
      <c r="C69" s="220" t="n"/>
      <c r="D69" s="220" t="n"/>
      <c r="E69" s="220" t="n"/>
      <c r="F69" s="220" t="n"/>
      <c r="G69" s="220" t="n"/>
      <c r="H69" s="220" t="n"/>
      <c r="I69" s="220" t="n"/>
      <c r="J69" s="220" t="n"/>
      <c r="K69" s="220" t="n"/>
      <c r="L69" s="220" t="n"/>
      <c r="M69" s="220" t="n"/>
      <c r="N69" s="220" t="n"/>
      <c r="O69" s="220" t="n"/>
      <c r="P69" s="220" t="n"/>
      <c r="Q69" s="512" t="n"/>
      <c r="R69" s="512" t="n"/>
      <c r="S69" s="512" t="n"/>
      <c r="T69" s="512" t="n"/>
      <c r="U69" s="512" t="n"/>
      <c r="V69" s="512" t="n"/>
      <c r="W69" s="512" t="n"/>
      <c r="X69" s="512" t="n"/>
      <c r="Y69" s="512" t="n"/>
      <c r="Z69" s="512" t="n"/>
      <c r="AA69" s="512" t="n"/>
      <c r="AB69" s="512" t="n"/>
      <c r="AC69" s="512" t="n"/>
      <c r="AD69" s="512" t="n"/>
      <c r="AE69" s="512" t="n"/>
      <c r="AF69" s="512" t="n"/>
      <c r="AG69" s="512" t="n"/>
      <c r="AH69" s="512" t="n"/>
      <c r="AI69" s="512" t="n"/>
      <c r="AJ69" s="512" t="n"/>
      <c r="AK69" s="512" t="n"/>
      <c r="AL69" s="512" t="n"/>
      <c r="AM69" s="512" t="n"/>
      <c r="AN69" s="512" t="n"/>
    </row>
    <row r="70" customFormat="1" s="43">
      <c r="A70" s="62" t="inlineStr">
        <is>
          <t>Net capacity additions</t>
        </is>
      </c>
      <c r="B70" s="220" t="n"/>
      <c r="C70" s="512">
        <f>C63-B63</f>
        <v/>
      </c>
      <c r="D70" s="512">
        <f>D63-C63</f>
        <v/>
      </c>
      <c r="E70" s="512">
        <f>E63-D63</f>
        <v/>
      </c>
      <c r="F70" s="512">
        <f>F63-E63</f>
        <v/>
      </c>
      <c r="G70" s="512">
        <f>G63-F63</f>
        <v/>
      </c>
      <c r="H70" s="512">
        <f>H63-G63</f>
        <v/>
      </c>
      <c r="I70" s="512">
        <f>I63-H63</f>
        <v/>
      </c>
      <c r="J70" s="512">
        <f>J63-I63</f>
        <v/>
      </c>
      <c r="K70" s="512">
        <f>K63-J63</f>
        <v/>
      </c>
      <c r="L70" s="512">
        <f>L63-K63</f>
        <v/>
      </c>
      <c r="M70" s="512">
        <f>M63-L63</f>
        <v/>
      </c>
      <c r="N70" s="512">
        <f>N63-M63</f>
        <v/>
      </c>
      <c r="O70" s="512">
        <f>O63-N63</f>
        <v/>
      </c>
      <c r="P70" s="512">
        <f>P63-O63</f>
        <v/>
      </c>
      <c r="Q70" s="512">
        <f>Q63-P63</f>
        <v/>
      </c>
      <c r="R70" s="512">
        <f>R63-Q63</f>
        <v/>
      </c>
      <c r="S70" s="512">
        <f>S63-R63</f>
        <v/>
      </c>
      <c r="T70" s="512">
        <f>T63-S63</f>
        <v/>
      </c>
      <c r="U70" s="512">
        <f>U63-T63</f>
        <v/>
      </c>
      <c r="V70" s="512">
        <f>V63-U63</f>
        <v/>
      </c>
      <c r="W70" s="512">
        <f>W63-V63</f>
        <v/>
      </c>
      <c r="X70" s="512">
        <f>X63-W63</f>
        <v/>
      </c>
      <c r="Y70" s="512">
        <f>Y63-X63</f>
        <v/>
      </c>
      <c r="Z70" s="512">
        <f>Z63-Y63</f>
        <v/>
      </c>
      <c r="AA70" s="512">
        <f>AA63-Z63</f>
        <v/>
      </c>
      <c r="AB70" s="512">
        <f>AB63-AA63</f>
        <v/>
      </c>
      <c r="AC70" s="512">
        <f>AC63-AB63</f>
        <v/>
      </c>
      <c r="AD70" s="512">
        <f>AD63-AC63</f>
        <v/>
      </c>
      <c r="AE70" s="512">
        <f>AE63-AD63</f>
        <v/>
      </c>
      <c r="AF70" s="512">
        <f>AF63-AE63</f>
        <v/>
      </c>
      <c r="AG70" s="512">
        <f>AG63-AF63</f>
        <v/>
      </c>
      <c r="AH70" s="512">
        <f>+SUM(AH71:AH75)</f>
        <v/>
      </c>
      <c r="AI70" s="581">
        <f>+SUM(AI71:AI75)</f>
        <v/>
      </c>
      <c r="AJ70" s="581">
        <f>+SUM(AJ71:AJ75)</f>
        <v/>
      </c>
      <c r="AK70" s="581">
        <f>+SUM(AK71:AK75)</f>
        <v/>
      </c>
      <c r="AL70" s="581">
        <f>+SUM(AL71:AL75)</f>
        <v/>
      </c>
      <c r="AM70" s="581">
        <f>+SUM(AM71:AM75)</f>
        <v/>
      </c>
      <c r="AN70" s="581">
        <f>+SUM(AN71:AN75)</f>
        <v/>
      </c>
    </row>
    <row r="71" customFormat="1" s="43">
      <c r="A71" s="111" t="inlineStr">
        <is>
          <t>Coal-fired (CAPCO)</t>
        </is>
      </c>
      <c r="B71" s="220" t="n"/>
      <c r="C71" s="220" t="n"/>
      <c r="D71" s="220" t="n"/>
      <c r="E71" s="220" t="n"/>
      <c r="F71" s="220" t="n"/>
      <c r="G71" s="220" t="n"/>
      <c r="H71" s="220" t="n"/>
      <c r="I71" s="220" t="n"/>
      <c r="J71" s="220" t="n"/>
      <c r="K71" s="220" t="n"/>
      <c r="L71" s="220" t="n"/>
      <c r="M71" s="220" t="n"/>
      <c r="N71" s="220" t="n"/>
      <c r="O71" s="220" t="n"/>
      <c r="P71" s="220" t="n"/>
      <c r="Q71" s="512">
        <f>+Q64-P64</f>
        <v/>
      </c>
      <c r="R71" s="512">
        <f>+R64-Q64</f>
        <v/>
      </c>
      <c r="S71" s="512">
        <f>+S64-R64</f>
        <v/>
      </c>
      <c r="T71" s="512">
        <f>T64-S64</f>
        <v/>
      </c>
      <c r="U71" s="512">
        <f>U64-T64</f>
        <v/>
      </c>
      <c r="V71" s="512">
        <f>V64-U64</f>
        <v/>
      </c>
      <c r="W71" s="512">
        <f>W64-V64</f>
        <v/>
      </c>
      <c r="X71" s="512">
        <f>X64-W64</f>
        <v/>
      </c>
      <c r="Y71" s="512">
        <f>Y64-X64</f>
        <v/>
      </c>
      <c r="Z71" s="512">
        <f>Z64-Y64</f>
        <v/>
      </c>
      <c r="AA71" s="512">
        <f>AA64-Z64</f>
        <v/>
      </c>
      <c r="AB71" s="512">
        <f>AB64-AA64</f>
        <v/>
      </c>
      <c r="AC71" s="581">
        <f>+AB71</f>
        <v/>
      </c>
      <c r="AD71" s="581">
        <f>+AC71</f>
        <v/>
      </c>
      <c r="AE71" s="581">
        <f>+AD71</f>
        <v/>
      </c>
      <c r="AF71" s="581">
        <f>+AE71</f>
        <v/>
      </c>
      <c r="AG71" s="581">
        <f>+AF71</f>
        <v/>
      </c>
      <c r="AH71" s="581" t="n">
        <v>-1050</v>
      </c>
      <c r="AI71" s="581" t="n">
        <v>0</v>
      </c>
      <c r="AJ71" s="581">
        <f>+AI71</f>
        <v/>
      </c>
      <c r="AK71" s="581">
        <f>+AJ71</f>
        <v/>
      </c>
      <c r="AL71" s="581">
        <f>+AK71</f>
        <v/>
      </c>
      <c r="AM71" s="581">
        <f>+AL71</f>
        <v/>
      </c>
      <c r="AN71" s="581">
        <f>+AM71</f>
        <v/>
      </c>
    </row>
    <row r="72" customFormat="1" s="43">
      <c r="A72" s="111" t="inlineStr">
        <is>
          <t>Gas-fired (Black Point)</t>
        </is>
      </c>
      <c r="B72" s="220" t="n"/>
      <c r="C72" s="220" t="n"/>
      <c r="D72" s="220" t="n"/>
      <c r="E72" s="220" t="n"/>
      <c r="F72" s="220" t="n"/>
      <c r="G72" s="220" t="n"/>
      <c r="H72" s="220" t="n"/>
      <c r="I72" s="220" t="n"/>
      <c r="J72" s="220" t="n"/>
      <c r="K72" s="220" t="n"/>
      <c r="L72" s="220" t="n"/>
      <c r="M72" s="220" t="n"/>
      <c r="N72" s="220" t="n"/>
      <c r="O72" s="220" t="n"/>
      <c r="P72" s="220" t="n"/>
      <c r="Q72" s="512">
        <f>+Q65-P65</f>
        <v/>
      </c>
      <c r="R72" s="512">
        <f>+R65-Q65</f>
        <v/>
      </c>
      <c r="S72" s="512">
        <f>+S65-R65</f>
        <v/>
      </c>
      <c r="T72" s="512">
        <f>T65-S65</f>
        <v/>
      </c>
      <c r="U72" s="512">
        <f>U65-T65</f>
        <v/>
      </c>
      <c r="V72" s="512">
        <f>V65-U65</f>
        <v/>
      </c>
      <c r="W72" s="512">
        <f>W65-V65</f>
        <v/>
      </c>
      <c r="X72" s="512">
        <f>X65-W65</f>
        <v/>
      </c>
      <c r="Y72" s="512">
        <f>Y65-X65</f>
        <v/>
      </c>
      <c r="Z72" s="512">
        <f>Z65-Y65</f>
        <v/>
      </c>
      <c r="AA72" s="512">
        <f>AA65-Z65</f>
        <v/>
      </c>
      <c r="AB72" s="512">
        <f>AB65-AA65</f>
        <v/>
      </c>
      <c r="AC72" s="512">
        <f>AC65-AB65</f>
        <v/>
      </c>
      <c r="AD72" s="512">
        <f>AD65-AC65</f>
        <v/>
      </c>
      <c r="AE72" s="512">
        <f>AE65-AD65</f>
        <v/>
      </c>
      <c r="AF72" s="512">
        <f>AF65-AE65</f>
        <v/>
      </c>
      <c r="AG72" s="512">
        <f>AG65-AF65</f>
        <v/>
      </c>
      <c r="AH72" s="512" t="n">
        <v>0</v>
      </c>
      <c r="AI72" s="512" t="n">
        <v>0</v>
      </c>
      <c r="AJ72" s="512" t="n">
        <v>0</v>
      </c>
      <c r="AK72" s="512" t="n">
        <v>0</v>
      </c>
      <c r="AL72" s="671" t="n">
        <v>550</v>
      </c>
      <c r="AM72" s="581" t="n">
        <v>0</v>
      </c>
      <c r="AN72" s="581" t="n">
        <v>0</v>
      </c>
    </row>
    <row r="73" customFormat="1" s="43">
      <c r="A73" s="111" t="inlineStr">
        <is>
          <t>Oil (Penny Bay)</t>
        </is>
      </c>
      <c r="B73" s="220" t="n"/>
      <c r="C73" s="220" t="n"/>
      <c r="D73" s="220" t="n"/>
      <c r="E73" s="220" t="n"/>
      <c r="F73" s="220" t="n"/>
      <c r="G73" s="220" t="n"/>
      <c r="H73" s="220" t="n"/>
      <c r="I73" s="220" t="n"/>
      <c r="J73" s="220" t="n"/>
      <c r="K73" s="220" t="n"/>
      <c r="L73" s="220" t="n"/>
      <c r="M73" s="220" t="n"/>
      <c r="N73" s="220" t="n"/>
      <c r="O73" s="220" t="n"/>
      <c r="P73" s="220" t="n"/>
      <c r="Q73" s="512">
        <f>+Q66-P66</f>
        <v/>
      </c>
      <c r="R73" s="512">
        <f>+R66-Q66</f>
        <v/>
      </c>
      <c r="S73" s="512">
        <f>+S66-R66</f>
        <v/>
      </c>
      <c r="T73" s="512">
        <f>T66-S66</f>
        <v/>
      </c>
      <c r="U73" s="512">
        <f>U66-T66</f>
        <v/>
      </c>
      <c r="V73" s="512">
        <f>V66-U66</f>
        <v/>
      </c>
      <c r="W73" s="512">
        <f>W66-V66</f>
        <v/>
      </c>
      <c r="X73" s="512">
        <f>X66-W66</f>
        <v/>
      </c>
      <c r="Y73" s="512">
        <f>Y66-X66</f>
        <v/>
      </c>
      <c r="Z73" s="512">
        <f>Z66-Y66</f>
        <v/>
      </c>
      <c r="AA73" s="512">
        <f>AA66-Z66</f>
        <v/>
      </c>
      <c r="AB73" s="512">
        <f>AB66-AA66</f>
        <v/>
      </c>
      <c r="AC73" s="581">
        <f>+AB73</f>
        <v/>
      </c>
      <c r="AD73" s="581">
        <f>+AC73</f>
        <v/>
      </c>
      <c r="AE73" s="581">
        <f>+AD73</f>
        <v/>
      </c>
      <c r="AF73" s="581">
        <f>+AE73</f>
        <v/>
      </c>
      <c r="AG73" s="581">
        <f>+AF73</f>
        <v/>
      </c>
      <c r="AH73" s="581">
        <f>+AG73</f>
        <v/>
      </c>
      <c r="AI73" s="581">
        <f>+AH73</f>
        <v/>
      </c>
      <c r="AJ73" s="581">
        <f>+AI73</f>
        <v/>
      </c>
      <c r="AK73" s="581">
        <f>+AJ73</f>
        <v/>
      </c>
      <c r="AL73" s="581">
        <f>+AK73</f>
        <v/>
      </c>
      <c r="AM73" s="581">
        <f>+AL73</f>
        <v/>
      </c>
      <c r="AN73" s="581">
        <f>+AM73</f>
        <v/>
      </c>
    </row>
    <row r="74" customFormat="1" s="43">
      <c r="A74" s="111" t="inlineStr">
        <is>
          <t>Nuclear (Daya Bay)</t>
        </is>
      </c>
      <c r="B74" s="220" t="n"/>
      <c r="C74" s="220" t="n"/>
      <c r="D74" s="220" t="n"/>
      <c r="E74" s="220" t="n"/>
      <c r="F74" s="220" t="n"/>
      <c r="G74" s="220" t="n"/>
      <c r="H74" s="220" t="n"/>
      <c r="I74" s="220" t="n"/>
      <c r="J74" s="220" t="n"/>
      <c r="K74" s="220" t="n"/>
      <c r="L74" s="220" t="n"/>
      <c r="M74" s="220" t="n"/>
      <c r="N74" s="220" t="n"/>
      <c r="O74" s="220" t="n"/>
      <c r="P74" s="220" t="n"/>
      <c r="Q74" s="512">
        <f>+Q67-P67</f>
        <v/>
      </c>
      <c r="R74" s="512">
        <f>+R67-Q67</f>
        <v/>
      </c>
      <c r="S74" s="512">
        <f>+S67-R67</f>
        <v/>
      </c>
      <c r="T74" s="512">
        <f>T67-S67</f>
        <v/>
      </c>
      <c r="U74" s="512">
        <f>U67-T67</f>
        <v/>
      </c>
      <c r="V74" s="512">
        <f>V67-U67</f>
        <v/>
      </c>
      <c r="W74" s="512">
        <f>W67-V67</f>
        <v/>
      </c>
      <c r="X74" s="512">
        <f>X67-W67</f>
        <v/>
      </c>
      <c r="Y74" s="512">
        <f>Y67-X67</f>
        <v/>
      </c>
      <c r="Z74" s="512">
        <f>Z67-Y67</f>
        <v/>
      </c>
      <c r="AA74" s="512">
        <f>AA67-Z67</f>
        <v/>
      </c>
      <c r="AB74" s="512">
        <f>AB67-AA67</f>
        <v/>
      </c>
      <c r="AC74" s="512">
        <f>AC67-AB67</f>
        <v/>
      </c>
      <c r="AD74" s="512">
        <f>AD67-AC67</f>
        <v/>
      </c>
      <c r="AE74" s="512">
        <f>+AD74</f>
        <v/>
      </c>
      <c r="AF74" s="512">
        <f>+AE74</f>
        <v/>
      </c>
      <c r="AG74" s="512">
        <f>+AF74</f>
        <v/>
      </c>
      <c r="AH74" s="512">
        <f>+AG74</f>
        <v/>
      </c>
      <c r="AI74" s="512">
        <f>+AH74</f>
        <v/>
      </c>
      <c r="AJ74" s="512">
        <f>+AI74</f>
        <v/>
      </c>
      <c r="AK74" s="512">
        <f>+AJ74</f>
        <v/>
      </c>
      <c r="AL74" s="581">
        <f>+AK74</f>
        <v/>
      </c>
      <c r="AM74" s="581">
        <f>+AL74</f>
        <v/>
      </c>
      <c r="AN74" s="581">
        <f>+AM74</f>
        <v/>
      </c>
    </row>
    <row r="75" customFormat="1" s="43">
      <c r="A75" s="111" t="inlineStr">
        <is>
          <t>Pumped storage</t>
        </is>
      </c>
      <c r="B75" s="220" t="n"/>
      <c r="C75" s="220" t="n"/>
      <c r="D75" s="220" t="n"/>
      <c r="E75" s="220" t="n"/>
      <c r="F75" s="220" t="n"/>
      <c r="G75" s="220" t="n"/>
      <c r="H75" s="220" t="n"/>
      <c r="I75" s="220" t="n"/>
      <c r="J75" s="220" t="n"/>
      <c r="K75" s="220" t="n"/>
      <c r="L75" s="220" t="n"/>
      <c r="M75" s="220" t="n"/>
      <c r="N75" s="220" t="n"/>
      <c r="O75" s="220" t="n"/>
      <c r="P75" s="220" t="n"/>
      <c r="Q75" s="512">
        <f>+Q68-P68</f>
        <v/>
      </c>
      <c r="R75" s="512">
        <f>+R68-Q68</f>
        <v/>
      </c>
      <c r="S75" s="512">
        <f>+S68-R68</f>
        <v/>
      </c>
      <c r="T75" s="512">
        <f>T68-S68</f>
        <v/>
      </c>
      <c r="U75" s="512">
        <f>U68-T68</f>
        <v/>
      </c>
      <c r="V75" s="512">
        <f>V68-U68</f>
        <v/>
      </c>
      <c r="W75" s="512">
        <f>W68-V68</f>
        <v/>
      </c>
      <c r="X75" s="512">
        <f>X68-W68</f>
        <v/>
      </c>
      <c r="Y75" s="512">
        <f>Y68-X68</f>
        <v/>
      </c>
      <c r="Z75" s="512">
        <f>Z68-Y68</f>
        <v/>
      </c>
      <c r="AA75" s="512">
        <f>AA68-Z68</f>
        <v/>
      </c>
      <c r="AB75" s="512">
        <f>AB68-AA68</f>
        <v/>
      </c>
      <c r="AC75" s="581">
        <f>+AB75</f>
        <v/>
      </c>
      <c r="AD75" s="581">
        <f>+AC75</f>
        <v/>
      </c>
      <c r="AE75" s="581">
        <f>+AD75</f>
        <v/>
      </c>
      <c r="AF75" s="581">
        <f>+AE75</f>
        <v/>
      </c>
      <c r="AG75" s="581">
        <f>+AF75</f>
        <v/>
      </c>
      <c r="AH75" s="581">
        <f>+AG75</f>
        <v/>
      </c>
      <c r="AI75" s="581">
        <f>+AH75</f>
        <v/>
      </c>
      <c r="AJ75" s="581">
        <f>+AI75</f>
        <v/>
      </c>
      <c r="AK75" s="581">
        <f>+AJ75</f>
        <v/>
      </c>
      <c r="AL75" s="581">
        <f>+AK75</f>
        <v/>
      </c>
      <c r="AM75" s="581">
        <f>+AL75</f>
        <v/>
      </c>
      <c r="AN75" s="581">
        <f>+AM75</f>
        <v/>
      </c>
    </row>
    <row r="76" customFormat="1" s="43">
      <c r="A76" s="62" t="n"/>
      <c r="B76" s="220" t="n"/>
      <c r="C76" s="220" t="n"/>
      <c r="D76" s="220" t="n"/>
      <c r="E76" s="220" t="n"/>
      <c r="F76" s="220" t="n"/>
      <c r="G76" s="220" t="n"/>
      <c r="H76" s="220" t="n"/>
      <c r="I76" s="220" t="n"/>
      <c r="J76" s="220" t="n"/>
      <c r="K76" s="220" t="n"/>
      <c r="L76" s="220" t="n"/>
      <c r="M76" s="220" t="n"/>
      <c r="N76" s="220" t="n"/>
      <c r="O76" s="220" t="n"/>
      <c r="P76" s="220" t="n"/>
      <c r="Q76" s="512" t="n"/>
      <c r="R76" s="512" t="n"/>
      <c r="S76" s="512" t="n"/>
      <c r="T76" s="512" t="n"/>
      <c r="U76" s="512" t="n"/>
      <c r="V76" s="512" t="n"/>
      <c r="W76" s="512" t="n"/>
      <c r="X76" s="512" t="n"/>
      <c r="Y76" s="512" t="n"/>
      <c r="Z76" s="512" t="n"/>
      <c r="AA76" s="512" t="n"/>
      <c r="AB76" s="512" t="n"/>
      <c r="AC76" s="512" t="n"/>
      <c r="AD76" s="581" t="n"/>
      <c r="AE76" s="581" t="n"/>
      <c r="AF76" s="581" t="n"/>
      <c r="AG76" s="581" t="n"/>
      <c r="AH76" s="581" t="n"/>
      <c r="AI76" s="581" t="n"/>
      <c r="AJ76" s="581" t="n"/>
      <c r="AK76" s="581" t="n"/>
      <c r="AL76" s="512" t="n"/>
      <c r="AM76" s="512" t="n"/>
      <c r="AN76" s="512" t="n"/>
    </row>
    <row r="77" customFormat="1" s="43">
      <c r="A77" s="43" t="inlineStr">
        <is>
          <t>Local peak demand</t>
        </is>
      </c>
      <c r="B77" s="220" t="n">
        <v>4365</v>
      </c>
      <c r="C77" s="220" t="n">
        <v>4432</v>
      </c>
      <c r="D77" s="220" t="n">
        <v>4730</v>
      </c>
      <c r="E77" s="220" t="n">
        <v>4720</v>
      </c>
      <c r="F77" s="220" t="n">
        <v>4998</v>
      </c>
      <c r="G77" s="220" t="n">
        <v>5066</v>
      </c>
      <c r="H77" s="220" t="n">
        <v>5304</v>
      </c>
      <c r="I77" s="220" t="n">
        <v>5354</v>
      </c>
      <c r="J77" s="220" t="n">
        <v>5598</v>
      </c>
      <c r="K77" s="220" t="n">
        <v>5844</v>
      </c>
      <c r="L77" s="220" t="n">
        <v>5829</v>
      </c>
      <c r="M77" s="220" t="n">
        <v>5874</v>
      </c>
      <c r="N77" s="220" t="n">
        <v>6329</v>
      </c>
      <c r="O77" s="220" t="n">
        <v>6475</v>
      </c>
      <c r="P77" s="220" t="n">
        <v>6435</v>
      </c>
      <c r="Q77" s="512" t="n">
        <v>6284</v>
      </c>
      <c r="R77" s="512" t="n">
        <v>6749</v>
      </c>
      <c r="S77" s="512" t="n">
        <v>6389</v>
      </c>
      <c r="T77" s="512" t="n">
        <v>6766</v>
      </c>
      <c r="U77" s="512" t="n">
        <v>6702</v>
      </c>
      <c r="V77" s="512" t="n">
        <v>6769</v>
      </c>
      <c r="W77" s="512" t="n">
        <v>6699</v>
      </c>
      <c r="X77" s="512" t="n">
        <v>7030</v>
      </c>
      <c r="Y77" s="512" t="n">
        <v>6878</v>
      </c>
      <c r="Z77" s="512" t="n">
        <v>6841</v>
      </c>
      <c r="AA77" s="512" t="n">
        <v>7155</v>
      </c>
      <c r="AB77" s="512" t="n">
        <v>7036</v>
      </c>
      <c r="AC77" s="512" t="n">
        <v>7206</v>
      </c>
      <c r="AD77" s="512" t="n">
        <v>7264</v>
      </c>
      <c r="AE77" s="512" t="n">
        <v>7477</v>
      </c>
      <c r="AF77" s="512" t="n">
        <v>7720</v>
      </c>
      <c r="AG77" s="512" t="n">
        <v>7452</v>
      </c>
      <c r="AH77" s="512" t="n">
        <v>7336</v>
      </c>
      <c r="AI77" s="528">
        <f>AH77*(1+AI81)</f>
        <v/>
      </c>
      <c r="AJ77" s="528">
        <f>AI77*(1+AJ81)</f>
        <v/>
      </c>
      <c r="AK77" s="528">
        <f>AJ77*(1+AK81)</f>
        <v/>
      </c>
      <c r="AL77" s="528">
        <f>AK77*(1+AL81)</f>
        <v/>
      </c>
      <c r="AM77" s="528">
        <f>AL77*(1+AM81)</f>
        <v/>
      </c>
      <c r="AN77" s="528">
        <f>AM77*(1+AN81)</f>
        <v/>
      </c>
    </row>
    <row r="78" customFormat="1" s="43">
      <c r="A78" s="43" t="inlineStr">
        <is>
          <t>System demand</t>
        </is>
      </c>
      <c r="B78" s="220" t="n">
        <v>5289</v>
      </c>
      <c r="C78" s="220" t="n">
        <v>5244</v>
      </c>
      <c r="D78" s="220" t="n">
        <v>5948</v>
      </c>
      <c r="E78" s="220" t="n">
        <v>6083</v>
      </c>
      <c r="F78" s="220" t="n">
        <v>5088</v>
      </c>
      <c r="G78" s="220" t="n">
        <v>5184</v>
      </c>
      <c r="H78" s="220" t="n">
        <v>5422</v>
      </c>
      <c r="I78" s="220" t="n">
        <v>5455</v>
      </c>
      <c r="J78" s="220" t="n">
        <v>6828</v>
      </c>
      <c r="K78" s="220" t="n">
        <v>7062</v>
      </c>
      <c r="L78" s="220" t="n">
        <v>6897</v>
      </c>
      <c r="M78" s="220" t="n">
        <v>7646</v>
      </c>
      <c r="N78" s="220" t="n">
        <v>7862</v>
      </c>
      <c r="O78" s="220" t="n">
        <v>7817</v>
      </c>
      <c r="P78" s="220" t="n">
        <v>8318</v>
      </c>
      <c r="Q78" s="512" t="n">
        <v>7730</v>
      </c>
      <c r="R78" s="512" t="n">
        <v>8199</v>
      </c>
      <c r="S78" s="512" t="n">
        <v>7616</v>
      </c>
      <c r="T78" s="512" t="n">
        <v>7349</v>
      </c>
      <c r="U78" s="512" t="n">
        <v>7798</v>
      </c>
      <c r="V78" s="512" t="n">
        <v>7431</v>
      </c>
      <c r="W78" s="512" t="n">
        <v>7615</v>
      </c>
      <c r="X78" s="512" t="n">
        <v>7502</v>
      </c>
      <c r="Y78" s="512" t="n">
        <v>7582</v>
      </c>
      <c r="Z78" s="512" t="n">
        <v>7509</v>
      </c>
      <c r="AA78" s="512" t="n">
        <v>8183</v>
      </c>
      <c r="AB78" s="512" t="n">
        <v>7316</v>
      </c>
      <c r="AC78" s="512" t="n">
        <v>7206</v>
      </c>
      <c r="AD78" s="512" t="n">
        <v>7264</v>
      </c>
      <c r="AE78" s="512" t="n">
        <v>7477</v>
      </c>
      <c r="AF78" s="512" t="n">
        <v>7720</v>
      </c>
      <c r="AG78" s="512" t="n">
        <v>7452</v>
      </c>
      <c r="AH78" s="512" t="n">
        <v>7336</v>
      </c>
      <c r="AI78" s="528">
        <f>AI77+AI79</f>
        <v/>
      </c>
      <c r="AJ78" s="528">
        <f>AJ77+AJ79</f>
        <v/>
      </c>
      <c r="AK78" s="528">
        <f>AK77+AK79</f>
        <v/>
      </c>
      <c r="AL78" s="528">
        <f>AL77+AL79</f>
        <v/>
      </c>
      <c r="AM78" s="528">
        <f>AM77+AM79</f>
        <v/>
      </c>
      <c r="AN78" s="528">
        <f>AN77+AN79</f>
        <v/>
      </c>
    </row>
    <row r="79" customFormat="1" s="43">
      <c r="A79" s="43" t="inlineStr">
        <is>
          <t>Implied China demand at local peak</t>
        </is>
      </c>
      <c r="B79" s="220">
        <f>B78-B77</f>
        <v/>
      </c>
      <c r="C79" s="220">
        <f>C78-C77</f>
        <v/>
      </c>
      <c r="D79" s="220">
        <f>D78-D77</f>
        <v/>
      </c>
      <c r="E79" s="220">
        <f>E78-E77</f>
        <v/>
      </c>
      <c r="F79" s="220">
        <f>F78-F77</f>
        <v/>
      </c>
      <c r="G79" s="220">
        <f>G78-G77</f>
        <v/>
      </c>
      <c r="H79" s="220">
        <f>H78-H77</f>
        <v/>
      </c>
      <c r="I79" s="220">
        <f>I78-I77</f>
        <v/>
      </c>
      <c r="J79" s="220">
        <f>J78-J77</f>
        <v/>
      </c>
      <c r="K79" s="220">
        <f>K78-K77</f>
        <v/>
      </c>
      <c r="L79" s="220">
        <f>L78-L77</f>
        <v/>
      </c>
      <c r="M79" s="220">
        <f>M78-M77</f>
        <v/>
      </c>
      <c r="N79" s="220">
        <f>N78-N77</f>
        <v/>
      </c>
      <c r="O79" s="220">
        <f>O78-O77</f>
        <v/>
      </c>
      <c r="P79" s="220">
        <f>P78-P77</f>
        <v/>
      </c>
      <c r="Q79" s="512">
        <f>Q78-Q77</f>
        <v/>
      </c>
      <c r="R79" s="512">
        <f>R78-R77</f>
        <v/>
      </c>
      <c r="S79" s="512">
        <f>S78-S77</f>
        <v/>
      </c>
      <c r="T79" s="512">
        <f>T78-T77</f>
        <v/>
      </c>
      <c r="U79" s="512">
        <f>U78-U77</f>
        <v/>
      </c>
      <c r="V79" s="512">
        <f>V78-V77</f>
        <v/>
      </c>
      <c r="W79" s="512">
        <f>W78-W77</f>
        <v/>
      </c>
      <c r="X79" s="512">
        <f>X78-X77</f>
        <v/>
      </c>
      <c r="Y79" s="512">
        <f>Y78-Y77</f>
        <v/>
      </c>
      <c r="Z79" s="512">
        <f>Z78-Z77</f>
        <v/>
      </c>
      <c r="AA79" s="512">
        <f>AA78-AA77</f>
        <v/>
      </c>
      <c r="AB79" s="512">
        <f>AB78-AB77</f>
        <v/>
      </c>
      <c r="AC79" s="512">
        <f>AC78-AC77</f>
        <v/>
      </c>
      <c r="AD79" s="512">
        <f>AD78-AD77</f>
        <v/>
      </c>
      <c r="AE79" s="512">
        <f>AE78-AE77</f>
        <v/>
      </c>
      <c r="AF79" s="512">
        <f>AE79*(1+AF83)</f>
        <v/>
      </c>
      <c r="AG79" s="512">
        <f>AF79*(1+AG83)</f>
        <v/>
      </c>
      <c r="AH79" s="512">
        <f>AG79*(1+AH83)</f>
        <v/>
      </c>
      <c r="AI79" s="512">
        <f>AH79*(1+AI83)</f>
        <v/>
      </c>
      <c r="AJ79" s="512">
        <f>AI79*(1+AJ83)</f>
        <v/>
      </c>
      <c r="AK79" s="512">
        <f>AJ79*(1+AK83)</f>
        <v/>
      </c>
      <c r="AL79" s="512">
        <f>AK79*(1+AL83)</f>
        <v/>
      </c>
      <c r="AM79" s="512">
        <f>AL79*(1+AM83)</f>
        <v/>
      </c>
      <c r="AN79" s="512">
        <f>AM79*(1+AN83)</f>
        <v/>
      </c>
    </row>
    <row r="80" customFormat="1" s="43">
      <c r="B80" s="220" t="n"/>
      <c r="C80" s="220" t="n"/>
      <c r="D80" s="220" t="n"/>
      <c r="E80" s="220" t="n"/>
      <c r="F80" s="220" t="n"/>
      <c r="G80" s="220" t="n"/>
      <c r="H80" s="220" t="n"/>
      <c r="I80" s="220" t="n"/>
      <c r="J80" s="220" t="n"/>
      <c r="K80" s="220" t="n"/>
      <c r="L80" s="220" t="n"/>
      <c r="M80" s="220" t="n"/>
      <c r="N80" s="32" t="n"/>
      <c r="O80" s="32" t="n"/>
      <c r="P80" s="32" t="n"/>
      <c r="Q80" s="32" t="n"/>
      <c r="R80" s="32" t="n"/>
      <c r="S80" s="32" t="n"/>
      <c r="T80" s="32" t="n"/>
      <c r="U80" s="32" t="n"/>
      <c r="V80" s="32" t="n"/>
      <c r="W80" s="32" t="n"/>
      <c r="X80" s="32" t="n"/>
      <c r="Y80" s="32" t="n"/>
      <c r="Z80" s="32" t="n"/>
      <c r="AA80" s="32" t="n"/>
      <c r="AB80" s="32" t="n"/>
      <c r="AC80" s="32" t="n"/>
      <c r="AD80" s="32" t="n"/>
      <c r="AE80" s="32" t="n"/>
      <c r="AF80" s="32" t="n"/>
      <c r="AG80" s="32" t="n"/>
      <c r="AH80" s="32" t="n"/>
      <c r="AI80" s="32" t="n"/>
      <c r="AJ80" s="32" t="n"/>
      <c r="AK80" s="32" t="n"/>
      <c r="AL80" s="32" t="n"/>
      <c r="AM80" s="32" t="n"/>
      <c r="AN80" s="32" t="n"/>
    </row>
    <row r="81" customFormat="1" s="43">
      <c r="A81" s="43" t="inlineStr">
        <is>
          <t>Local peak demand growth</t>
        </is>
      </c>
      <c r="B81" s="568">
        <f>B77/4180-1</f>
        <v/>
      </c>
      <c r="C81" s="568">
        <f>C77/B77-1</f>
        <v/>
      </c>
      <c r="D81" s="568">
        <f>D77/C77-1</f>
        <v/>
      </c>
      <c r="E81" s="568">
        <f>E77/D77-1</f>
        <v/>
      </c>
      <c r="F81" s="568">
        <f>F77/E77-1</f>
        <v/>
      </c>
      <c r="G81" s="568">
        <f>G77/F77-1</f>
        <v/>
      </c>
      <c r="H81" s="568">
        <f>H77/G77-1</f>
        <v/>
      </c>
      <c r="I81" s="568">
        <f>I77/H77-1</f>
        <v/>
      </c>
      <c r="J81" s="568">
        <f>J77/I77-1</f>
        <v/>
      </c>
      <c r="K81" s="568">
        <f>K77/J77-1</f>
        <v/>
      </c>
      <c r="L81" s="568">
        <f>L77/K77-1</f>
        <v/>
      </c>
      <c r="M81" s="568">
        <f>M77/L77-1</f>
        <v/>
      </c>
      <c r="N81" s="568">
        <f>N77/M77-1</f>
        <v/>
      </c>
      <c r="O81" s="568">
        <f>O77/N77-1</f>
        <v/>
      </c>
      <c r="P81" s="568">
        <f>P77/O77-1</f>
        <v/>
      </c>
      <c r="Q81" s="568">
        <f>Q77/P77-1</f>
        <v/>
      </c>
      <c r="R81" s="568">
        <f>R77/Q77-1</f>
        <v/>
      </c>
      <c r="S81" s="568">
        <f>S77/R77-1</f>
        <v/>
      </c>
      <c r="T81" s="568">
        <f>T77/S77-1</f>
        <v/>
      </c>
      <c r="U81" s="568">
        <f>U77/T77-1</f>
        <v/>
      </c>
      <c r="V81" s="568">
        <f>V77/U77-1</f>
        <v/>
      </c>
      <c r="W81" s="568">
        <f>W77/V77-1</f>
        <v/>
      </c>
      <c r="X81" s="568">
        <f>X77/W77-1</f>
        <v/>
      </c>
      <c r="Y81" s="568">
        <f>Y77/X77-1</f>
        <v/>
      </c>
      <c r="Z81" s="568">
        <f>Z77/Y77-1</f>
        <v/>
      </c>
      <c r="AA81" s="568">
        <f>AA77/Z77-1</f>
        <v/>
      </c>
      <c r="AB81" s="568">
        <f>AB77/AA77-1</f>
        <v/>
      </c>
      <c r="AC81" s="568">
        <f>AC77/AB77-1</f>
        <v/>
      </c>
      <c r="AD81" s="568">
        <f>AD77/AC77-1</f>
        <v/>
      </c>
      <c r="AE81" s="568">
        <f>AE77/AD77-1</f>
        <v/>
      </c>
      <c r="AF81" s="568">
        <f>AF77/AE77-1</f>
        <v/>
      </c>
      <c r="AG81" s="568">
        <f>AG77/AF77-1</f>
        <v/>
      </c>
      <c r="AH81" s="568">
        <f>AH77/AG77-1</f>
        <v/>
      </c>
      <c r="AI81" s="641">
        <f>AH81</f>
        <v/>
      </c>
      <c r="AJ81" s="641">
        <f>AI81</f>
        <v/>
      </c>
      <c r="AK81" s="641">
        <f>AJ81</f>
        <v/>
      </c>
      <c r="AL81" s="641">
        <f>AK81</f>
        <v/>
      </c>
      <c r="AM81" s="641">
        <f>AL81</f>
        <v/>
      </c>
      <c r="AN81" s="641">
        <f>AM81</f>
        <v/>
      </c>
    </row>
    <row r="82" customFormat="1" s="43">
      <c r="A82" s="43" t="inlineStr">
        <is>
          <t>System peak demand growth</t>
        </is>
      </c>
      <c r="B82" s="568">
        <f>B78/4828-1</f>
        <v/>
      </c>
      <c r="C82" s="568">
        <f>C78/B78-1</f>
        <v/>
      </c>
      <c r="D82" s="568">
        <f>D78/C78-1</f>
        <v/>
      </c>
      <c r="E82" s="568">
        <f>E78/D78-1</f>
        <v/>
      </c>
      <c r="F82" s="568">
        <f>F78/E78-1</f>
        <v/>
      </c>
      <c r="G82" s="568">
        <f>G78/F78-1</f>
        <v/>
      </c>
      <c r="H82" s="568">
        <f>H78/G78-1</f>
        <v/>
      </c>
      <c r="I82" s="568">
        <f>I78/H78-1</f>
        <v/>
      </c>
      <c r="J82" s="568">
        <f>J78/I78-1</f>
        <v/>
      </c>
      <c r="K82" s="568">
        <f>K78/J78-1</f>
        <v/>
      </c>
      <c r="L82" s="568">
        <f>L78/K78-1</f>
        <v/>
      </c>
      <c r="M82" s="568">
        <f>M78/L78-1</f>
        <v/>
      </c>
      <c r="N82" s="568">
        <f>N78/M78-1</f>
        <v/>
      </c>
      <c r="O82" s="568">
        <f>O78/N78-1</f>
        <v/>
      </c>
      <c r="P82" s="568">
        <f>P78/O78-1</f>
        <v/>
      </c>
      <c r="Q82" s="568">
        <f>Q78/P78-1</f>
        <v/>
      </c>
      <c r="R82" s="568">
        <f>R78/Q78-1</f>
        <v/>
      </c>
      <c r="S82" s="568">
        <f>S78/R78-1</f>
        <v/>
      </c>
      <c r="T82" s="568">
        <f>T78/S78-1</f>
        <v/>
      </c>
      <c r="U82" s="568">
        <f>U78/T78-1</f>
        <v/>
      </c>
      <c r="V82" s="568">
        <f>V78/U78-1</f>
        <v/>
      </c>
      <c r="W82" s="568">
        <f>W78/V78-1</f>
        <v/>
      </c>
      <c r="X82" s="568">
        <f>X78/W78-1</f>
        <v/>
      </c>
      <c r="Y82" s="568">
        <f>Y78/X78-1</f>
        <v/>
      </c>
      <c r="Z82" s="568">
        <f>Z78/Y78-1</f>
        <v/>
      </c>
      <c r="AA82" s="568">
        <f>AA78/Z78-1</f>
        <v/>
      </c>
      <c r="AB82" s="568">
        <f>AB78/AA78-1</f>
        <v/>
      </c>
      <c r="AC82" s="568">
        <f>AC78/AB78-1</f>
        <v/>
      </c>
      <c r="AD82" s="568">
        <f>AD78/AC78-1</f>
        <v/>
      </c>
      <c r="AE82" s="568">
        <f>AE78/AD78-1</f>
        <v/>
      </c>
      <c r="AF82" s="568">
        <f>AF78/AE78-1</f>
        <v/>
      </c>
      <c r="AG82" s="568">
        <f>AG78/AF78-1</f>
        <v/>
      </c>
      <c r="AH82" s="568">
        <f>AH78/AG78-1</f>
        <v/>
      </c>
      <c r="AI82" s="568">
        <f>AI78/AH78-1</f>
        <v/>
      </c>
      <c r="AJ82" s="568">
        <f>AJ78/AI78-1</f>
        <v/>
      </c>
      <c r="AK82" s="568">
        <f>AK78/AJ78-1</f>
        <v/>
      </c>
      <c r="AL82" s="568">
        <f>AL78/AK78-1</f>
        <v/>
      </c>
      <c r="AM82" s="568">
        <f>AM78/AL78-1</f>
        <v/>
      </c>
      <c r="AN82" s="568">
        <f>AN78/AM78-1</f>
        <v/>
      </c>
    </row>
    <row r="83" customFormat="1" s="43">
      <c r="A83" s="43" t="inlineStr">
        <is>
          <t>China demand growth</t>
        </is>
      </c>
      <c r="B83" s="568">
        <f>B79/(4828-4180)-1</f>
        <v/>
      </c>
      <c r="C83" s="568">
        <f>C79/B79-1</f>
        <v/>
      </c>
      <c r="D83" s="568">
        <f>D79/C79-1</f>
        <v/>
      </c>
      <c r="E83" s="568">
        <f>E79/D79-1</f>
        <v/>
      </c>
      <c r="F83" s="568">
        <f>F79/E79-1</f>
        <v/>
      </c>
      <c r="G83" s="568">
        <f>G79/F79-1</f>
        <v/>
      </c>
      <c r="H83" s="568">
        <f>H79/G79-1</f>
        <v/>
      </c>
      <c r="I83" s="568">
        <f>I79/H79-1</f>
        <v/>
      </c>
      <c r="J83" s="568">
        <f>J79/I79-1</f>
        <v/>
      </c>
      <c r="K83" s="568">
        <f>K79/J79-1</f>
        <v/>
      </c>
      <c r="L83" s="568">
        <f>L79/K79-1</f>
        <v/>
      </c>
      <c r="M83" s="568">
        <f>M79/L79-1</f>
        <v/>
      </c>
      <c r="N83" s="568">
        <f>N79/M79-1</f>
        <v/>
      </c>
      <c r="O83" s="568">
        <f>O79/N79-1</f>
        <v/>
      </c>
      <c r="P83" s="568">
        <f>P79/O79-1</f>
        <v/>
      </c>
      <c r="Q83" s="568">
        <f>Q79/P79-1</f>
        <v/>
      </c>
      <c r="R83" s="568">
        <f>R79/Q79-1</f>
        <v/>
      </c>
      <c r="S83" s="568">
        <f>S79/R79-1</f>
        <v/>
      </c>
      <c r="T83" s="568">
        <f>T79/S79-1</f>
        <v/>
      </c>
      <c r="U83" s="568">
        <f>U79/T79-1</f>
        <v/>
      </c>
      <c r="V83" s="568">
        <f>V79/U79-1</f>
        <v/>
      </c>
      <c r="W83" s="568">
        <f>W79/V79-1</f>
        <v/>
      </c>
      <c r="X83" s="568">
        <f>X79/W79-1</f>
        <v/>
      </c>
      <c r="Y83" s="568">
        <f>Y79/X79-1</f>
        <v/>
      </c>
      <c r="Z83" s="568">
        <f>Z79/Y79-1</f>
        <v/>
      </c>
      <c r="AA83" s="568">
        <f>AA79/Z79-1</f>
        <v/>
      </c>
      <c r="AB83" s="568">
        <f>AB79/AA79-1</f>
        <v/>
      </c>
      <c r="AC83" s="568">
        <f>AC79/AB79-1</f>
        <v/>
      </c>
      <c r="AD83" s="568" t="n">
        <v>0</v>
      </c>
      <c r="AE83" s="568" t="n">
        <v>0</v>
      </c>
      <c r="AF83" s="568" t="n">
        <v>0</v>
      </c>
      <c r="AG83" s="568" t="n">
        <v>0</v>
      </c>
      <c r="AH83" s="568" t="n">
        <v>0</v>
      </c>
      <c r="AI83" s="641">
        <f>AH83</f>
        <v/>
      </c>
      <c r="AJ83" s="641">
        <f>AI83</f>
        <v/>
      </c>
      <c r="AK83" s="641">
        <f>AJ83</f>
        <v/>
      </c>
      <c r="AL83" s="641">
        <f>AK83</f>
        <v/>
      </c>
      <c r="AM83" s="641">
        <f>AL83</f>
        <v/>
      </c>
      <c r="AN83" s="641">
        <f>AM83</f>
        <v/>
      </c>
    </row>
    <row r="84" customFormat="1" s="43"/>
    <row r="85" customFormat="1" s="43">
      <c r="A85" s="109" t="inlineStr">
        <is>
          <t>Local reserve margin</t>
        </is>
      </c>
      <c r="B85" s="408">
        <f>B63/B77-1</f>
        <v/>
      </c>
      <c r="C85" s="408">
        <f>C63/C77-1</f>
        <v/>
      </c>
      <c r="D85" s="408">
        <f>D63/D77-1</f>
        <v/>
      </c>
      <c r="E85" s="408">
        <f>E63/E77-1</f>
        <v/>
      </c>
      <c r="F85" s="408">
        <f>F63/F77-1</f>
        <v/>
      </c>
      <c r="G85" s="408">
        <f>G63/G77-1</f>
        <v/>
      </c>
      <c r="H85" s="408">
        <f>H63/H77-1</f>
        <v/>
      </c>
      <c r="I85" s="408">
        <f>I63/I77-1</f>
        <v/>
      </c>
      <c r="J85" s="408">
        <f>J63/J77-1</f>
        <v/>
      </c>
      <c r="K85" s="408">
        <f>K63/K77-1</f>
        <v/>
      </c>
      <c r="L85" s="408">
        <f>L63/L77-1</f>
        <v/>
      </c>
      <c r="M85" s="408">
        <f>M63/M77-1</f>
        <v/>
      </c>
      <c r="N85" s="408">
        <f>N63/N77-1</f>
        <v/>
      </c>
      <c r="O85" s="408">
        <f>O63/O77-1</f>
        <v/>
      </c>
      <c r="P85" s="408">
        <f>P63/P77-1</f>
        <v/>
      </c>
      <c r="Q85" s="408">
        <f>Q63/Q77-1</f>
        <v/>
      </c>
      <c r="R85" s="408">
        <f>R63/R77-1</f>
        <v/>
      </c>
      <c r="S85" s="408">
        <f>S63/S77-1</f>
        <v/>
      </c>
      <c r="T85" s="408">
        <f>T63/T77-1</f>
        <v/>
      </c>
      <c r="U85" s="408">
        <f>U63/U77-1</f>
        <v/>
      </c>
      <c r="V85" s="408">
        <f>V63/V77-1</f>
        <v/>
      </c>
      <c r="W85" s="408">
        <f>W63/W77-1</f>
        <v/>
      </c>
      <c r="X85" s="408">
        <f>X63/X77-1</f>
        <v/>
      </c>
      <c r="Y85" s="408">
        <f>Y63/Y77-1</f>
        <v/>
      </c>
      <c r="Z85" s="408">
        <f>Z63/Z77-1</f>
        <v/>
      </c>
      <c r="AA85" s="408">
        <f>AA63/AA77-1</f>
        <v/>
      </c>
      <c r="AB85" s="408">
        <f>AB63/AB77-1</f>
        <v/>
      </c>
      <c r="AC85" s="408">
        <f>AC63/AC77-1</f>
        <v/>
      </c>
      <c r="AD85" s="408">
        <f>AD63/AD77-1</f>
        <v/>
      </c>
      <c r="AE85" s="408">
        <f>AE63/AE77-1</f>
        <v/>
      </c>
      <c r="AF85" s="408">
        <f>AF63/AF77-1</f>
        <v/>
      </c>
      <c r="AG85" s="408">
        <f>AG63/AG77-1</f>
        <v/>
      </c>
      <c r="AH85" s="408">
        <f>AH63/AH77-1</f>
        <v/>
      </c>
      <c r="AI85" s="408">
        <f>AI63/AI77-1</f>
        <v/>
      </c>
      <c r="AJ85" s="408">
        <f>AJ63/AJ77-1</f>
        <v/>
      </c>
      <c r="AK85" s="408">
        <f>AK63/AK77-1</f>
        <v/>
      </c>
      <c r="AL85" s="408">
        <f>AL63/AL77-1</f>
        <v/>
      </c>
      <c r="AM85" s="408">
        <f>AM63/AM77-1</f>
        <v/>
      </c>
      <c r="AN85" s="408">
        <f>AN63/AN77-1</f>
        <v/>
      </c>
    </row>
    <row r="86" customFormat="1" s="43">
      <c r="A86" s="62" t="inlineStr">
        <is>
          <t>System reserve margin, post China demand</t>
        </is>
      </c>
      <c r="B86" s="445">
        <f>B63/B78-1</f>
        <v/>
      </c>
      <c r="C86" s="445">
        <f>C63/C78-1</f>
        <v/>
      </c>
      <c r="D86" s="445">
        <f>D63/D78-1</f>
        <v/>
      </c>
      <c r="E86" s="445">
        <f>E63/E78-1</f>
        <v/>
      </c>
      <c r="F86" s="445">
        <f>F63/F78-1</f>
        <v/>
      </c>
      <c r="G86" s="445">
        <f>G63/G78-1</f>
        <v/>
      </c>
      <c r="H86" s="445">
        <f>H63/H78-1</f>
        <v/>
      </c>
      <c r="I86" s="445">
        <f>I63/I78-1</f>
        <v/>
      </c>
      <c r="J86" s="445">
        <f>J63/J78-1</f>
        <v/>
      </c>
      <c r="K86" s="445">
        <f>K63/K78-1</f>
        <v/>
      </c>
      <c r="L86" s="445">
        <f>L63/L78-1</f>
        <v/>
      </c>
      <c r="M86" s="445">
        <f>M63/M78-1</f>
        <v/>
      </c>
      <c r="N86" s="445">
        <f>N63/N78-1</f>
        <v/>
      </c>
      <c r="O86" s="445">
        <f>O63/O78-1</f>
        <v/>
      </c>
      <c r="P86" s="445">
        <f>P63/P78-1</f>
        <v/>
      </c>
      <c r="Q86" s="445">
        <f>Q63/Q78-1</f>
        <v/>
      </c>
      <c r="R86" s="445">
        <f>R63/R78-1</f>
        <v/>
      </c>
      <c r="S86" s="445">
        <f>S63/S78-1</f>
        <v/>
      </c>
      <c r="T86" s="445">
        <f>T63/T78-1</f>
        <v/>
      </c>
      <c r="U86" s="445">
        <f>U63/U78-1</f>
        <v/>
      </c>
      <c r="V86" s="445">
        <f>V63/V78-1</f>
        <v/>
      </c>
      <c r="W86" s="445">
        <f>W63/W78-1</f>
        <v/>
      </c>
      <c r="X86" s="445">
        <f>X63/X78-1</f>
        <v/>
      </c>
      <c r="Y86" s="445">
        <f>Y63/Y78-1</f>
        <v/>
      </c>
      <c r="Z86" s="445">
        <f>Z63/Z78-1</f>
        <v/>
      </c>
      <c r="AA86" s="445">
        <f>AA63/AA78-1</f>
        <v/>
      </c>
      <c r="AB86" s="445">
        <f>AB63/AB78-1</f>
        <v/>
      </c>
      <c r="AC86" s="445">
        <f>AC63/AC78-1</f>
        <v/>
      </c>
      <c r="AD86" s="445">
        <f>AD63/AD78-1</f>
        <v/>
      </c>
      <c r="AE86" s="445">
        <f>AE63/AE78-1</f>
        <v/>
      </c>
      <c r="AF86" s="445">
        <f>AF63/AF78-1</f>
        <v/>
      </c>
      <c r="AG86" s="445">
        <f>AG63/AG78-1</f>
        <v/>
      </c>
      <c r="AH86" s="445">
        <f>AH63/AH78-1</f>
        <v/>
      </c>
      <c r="AI86" s="445">
        <f>AI63/AI78-1</f>
        <v/>
      </c>
      <c r="AJ86" s="445">
        <f>AJ63/AJ78-1</f>
        <v/>
      </c>
      <c r="AK86" s="445">
        <f>AK63/AK78-1</f>
        <v/>
      </c>
      <c r="AL86" s="445">
        <f>AL63/AL78-1</f>
        <v/>
      </c>
      <c r="AM86" s="445">
        <f>AM63/AM78-1</f>
        <v/>
      </c>
      <c r="AN86" s="445">
        <f>AN63/AN78-1</f>
        <v/>
      </c>
    </row>
    <row r="87" customFormat="1" s="43">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c r="AA87" s="32" t="n"/>
      <c r="AB87" s="32" t="n"/>
      <c r="AC87" s="32" t="n"/>
      <c r="AD87" s="32" t="n"/>
      <c r="AE87" s="32" t="n"/>
      <c r="AF87" s="32" t="n"/>
      <c r="AG87" s="32" t="n"/>
      <c r="AH87" s="32" t="n"/>
      <c r="AI87" s="32" t="n"/>
      <c r="AJ87" s="32" t="n"/>
      <c r="AK87" s="32" t="n"/>
      <c r="AL87" s="32" t="n"/>
      <c r="AM87" s="32" t="n"/>
      <c r="AN87" s="32" t="n"/>
    </row>
    <row r="88">
      <c r="A88" s="433" t="inlineStr">
        <is>
          <t>Updated 2014-18 PDP (Jul 2018)</t>
        </is>
      </c>
      <c r="B88" s="434" t="n"/>
      <c r="C88" s="434" t="n"/>
      <c r="D88" s="434" t="n"/>
      <c r="E88" s="434" t="n"/>
      <c r="F88" s="434" t="n"/>
      <c r="G88" s="434" t="n"/>
      <c r="H88" s="434" t="n"/>
      <c r="I88" s="434" t="n"/>
      <c r="J88" s="434" t="n"/>
      <c r="K88" s="434" t="n"/>
      <c r="L88" s="434" t="n"/>
      <c r="M88" s="434" t="n"/>
      <c r="N88" s="434" t="n"/>
      <c r="O88" s="434" t="n"/>
      <c r="P88" s="434" t="n"/>
      <c r="Q88" s="434" t="n"/>
      <c r="R88" s="434" t="n"/>
      <c r="S88" s="434" t="n"/>
      <c r="T88" s="434" t="n"/>
      <c r="U88" s="434" t="n"/>
      <c r="V88" s="434" t="n"/>
    </row>
    <row r="89">
      <c r="A89" s="435" t="inlineStr">
        <is>
          <t>https://www.google.com/url?sa=t&amp;rct=j&amp;q=&amp;esrc=s&amp;source=web&amp;cd=1&amp;ved=2ahUKEwi649Oeo-PjAhWHPXAKHcpyCBUQFjAAegQIABAC&amp;url=https%3A%2F%2Fwww.clpgroup.com%2Fen%2FMedia-Resources-site%2FCurrent%2520Releases%2F20180703_en.pdf&amp;usg=AOvVaw3JugD4oY5Ns32PMBU-Giat</t>
        </is>
      </c>
      <c r="B89" s="434" t="n"/>
      <c r="C89" s="434" t="n"/>
      <c r="D89" s="434" t="n"/>
      <c r="E89" s="434" t="n"/>
      <c r="F89" s="434" t="n"/>
      <c r="G89" s="434" t="n"/>
      <c r="H89" s="434" t="n"/>
      <c r="I89" s="434" t="n"/>
      <c r="J89" s="434" t="n"/>
      <c r="K89" s="434" t="n"/>
      <c r="L89" s="434" t="n"/>
      <c r="M89" s="434" t="n"/>
      <c r="N89" s="434" t="n"/>
      <c r="O89" s="434" t="n"/>
      <c r="P89" s="434" t="n"/>
      <c r="Q89" s="434" t="n"/>
      <c r="R89" s="434" t="n"/>
      <c r="S89" s="434" t="n"/>
      <c r="T89" s="434" t="n"/>
      <c r="U89" s="434" t="n"/>
      <c r="V89" s="434" t="n"/>
    </row>
    <row r="90">
      <c r="A90" s="435" t="n"/>
      <c r="B90" s="434" t="n"/>
      <c r="C90" s="434" t="n"/>
      <c r="D90" s="434" t="n"/>
      <c r="E90" s="434" t="n"/>
      <c r="F90" s="434" t="n"/>
      <c r="G90" s="434" t="n"/>
      <c r="H90" s="434" t="n"/>
      <c r="I90" s="434" t="n"/>
      <c r="J90" s="434" t="n"/>
      <c r="K90" s="434" t="n"/>
      <c r="L90" s="434" t="n"/>
      <c r="M90" s="434" t="n"/>
      <c r="N90" s="434" t="n"/>
      <c r="O90" s="434" t="n"/>
      <c r="P90" s="434" t="n"/>
      <c r="Q90" s="434" t="n"/>
      <c r="R90" s="434" t="n"/>
      <c r="S90" s="434" t="n"/>
      <c r="T90" s="439" t="inlineStr">
        <is>
          <t>2013-18</t>
        </is>
      </c>
      <c r="U90" s="439" t="inlineStr">
        <is>
          <t>2018-23</t>
        </is>
      </c>
      <c r="V90" s="434" t="inlineStr">
        <is>
          <t>2023-28</t>
        </is>
      </c>
    </row>
    <row r="91">
      <c r="A91" s="434" t="inlineStr">
        <is>
          <t>Gneration</t>
        </is>
      </c>
      <c r="B91" s="434" t="n"/>
      <c r="C91" s="434" t="n"/>
      <c r="D91" s="434" t="n"/>
      <c r="E91" s="434" t="n"/>
      <c r="F91" s="434" t="n"/>
      <c r="G91" s="434" t="n"/>
      <c r="H91" s="434" t="n"/>
      <c r="I91" s="434" t="n"/>
      <c r="J91" s="434" t="n"/>
      <c r="K91" s="434" t="n"/>
      <c r="L91" s="434" t="n"/>
      <c r="M91" s="434" t="n"/>
      <c r="N91" s="434" t="n"/>
      <c r="O91" s="434" t="n"/>
      <c r="P91" s="434" t="n"/>
      <c r="Q91" s="434" t="n"/>
      <c r="R91" s="434" t="n"/>
      <c r="S91" s="434" t="n"/>
      <c r="T91" s="434" t="n">
        <v>22562</v>
      </c>
      <c r="U91" s="434" t="n">
        <v>25429</v>
      </c>
      <c r="V91" s="434" t="n"/>
    </row>
    <row r="92">
      <c r="A92" s="434" t="inlineStr">
        <is>
          <t>T&amp;D</t>
        </is>
      </c>
      <c r="B92" s="434" t="n"/>
      <c r="C92" s="434" t="n"/>
      <c r="D92" s="434" t="n"/>
      <c r="E92" s="434" t="n"/>
      <c r="F92" s="434" t="n"/>
      <c r="G92" s="434" t="n"/>
      <c r="H92" s="434" t="n"/>
      <c r="I92" s="434" t="n"/>
      <c r="J92" s="434" t="n"/>
      <c r="K92" s="434" t="n"/>
      <c r="L92" s="434" t="n"/>
      <c r="M92" s="434" t="n"/>
      <c r="N92" s="434" t="n"/>
      <c r="O92" s="434" t="n"/>
      <c r="P92" s="434" t="n"/>
      <c r="Q92" s="434" t="n"/>
      <c r="R92" s="434" t="n"/>
      <c r="S92" s="434" t="n"/>
      <c r="T92" s="434" t="n">
        <v>10703</v>
      </c>
      <c r="U92" s="434">
        <f>26496+3152</f>
        <v/>
      </c>
      <c r="V92" s="434" t="n"/>
    </row>
    <row r="93">
      <c r="A93" s="434" t="inlineStr">
        <is>
          <t>Others</t>
        </is>
      </c>
      <c r="B93" s="434" t="n"/>
      <c r="C93" s="434" t="n"/>
      <c r="D93" s="434" t="n"/>
      <c r="E93" s="434" t="n"/>
      <c r="F93" s="434" t="n"/>
      <c r="G93" s="434" t="n"/>
      <c r="H93" s="434" t="n"/>
      <c r="I93" s="434" t="n"/>
      <c r="J93" s="434" t="n"/>
      <c r="K93" s="434" t="n"/>
      <c r="L93" s="434" t="n"/>
      <c r="M93" s="434" t="n"/>
      <c r="N93" s="434" t="n"/>
      <c r="O93" s="434" t="n"/>
      <c r="P93" s="434" t="n"/>
      <c r="Q93" s="434" t="n"/>
      <c r="R93" s="434" t="n"/>
      <c r="S93" s="434" t="n"/>
      <c r="T93" s="434" t="n">
        <v>836</v>
      </c>
      <c r="U93" s="434">
        <f>1018</f>
        <v/>
      </c>
      <c r="V93" s="434" t="n"/>
    </row>
    <row r="94">
      <c r="A94" s="433" t="inlineStr">
        <is>
          <t>Total</t>
        </is>
      </c>
      <c r="B94" s="433" t="n"/>
      <c r="C94" s="433" t="n"/>
      <c r="D94" s="433" t="n"/>
      <c r="E94" s="433" t="n"/>
      <c r="F94" s="433" t="n"/>
      <c r="G94" s="433" t="n"/>
      <c r="H94" s="433" t="n"/>
      <c r="I94" s="433" t="n"/>
      <c r="J94" s="433" t="n"/>
      <c r="K94" s="433" t="n"/>
      <c r="L94" s="433" t="n"/>
      <c r="M94" s="433" t="n"/>
      <c r="N94" s="433" t="n"/>
      <c r="O94" s="433" t="n"/>
      <c r="P94" s="433" t="n"/>
      <c r="Q94" s="433" t="n"/>
      <c r="R94" s="433" t="n"/>
      <c r="S94" s="433" t="n"/>
      <c r="T94" s="433">
        <f>SUM(T91:T93)</f>
        <v/>
      </c>
      <c r="U94" s="433">
        <f>SUM(U91:U93)</f>
        <v/>
      </c>
      <c r="V94" s="468" t="n">
        <v>52900</v>
      </c>
    </row>
    <row r="95">
      <c r="U95" s="446" t="n"/>
    </row>
    <row r="96">
      <c r="U96" s="446" t="n"/>
    </row>
    <row r="97">
      <c r="A97" s="159" t="inlineStr">
        <is>
          <t>LNG terminal</t>
        </is>
      </c>
    </row>
    <row r="99">
      <c r="A99" s="438" t="inlineStr">
        <is>
          <t>2004</t>
        </is>
      </c>
      <c r="T99" s="49" t="inlineStr">
        <is>
          <t>Start discussion - propose a landbased LNG terminal</t>
        </is>
      </c>
    </row>
    <row r="100">
      <c r="A100" s="438" t="inlineStr">
        <is>
          <t>2007</t>
        </is>
      </c>
      <c r="T100" s="49" t="inlineStr">
        <is>
          <t>Environmental Impact Assessment Report (EIA) and Environmental Permit (EP) are approved</t>
        </is>
      </c>
    </row>
    <row r="101">
      <c r="A101" s="438" t="inlineStr">
        <is>
          <t>2008</t>
        </is>
      </c>
      <c r="T101" s="49" t="inlineStr">
        <is>
          <t>Rejected by HK Government (US$10bn onshore plant)</t>
        </is>
      </c>
    </row>
    <row r="102">
      <c r="A102" s="49" t="inlineStr">
        <is>
          <t>On hold</t>
        </is>
      </c>
      <c r="T102" s="49" t="inlineStr">
        <is>
          <t>HK cooperated with mainland to facilitate the supply of natural gas from Turkmenistan, through Second West-to-East Pipeline</t>
        </is>
      </c>
    </row>
    <row r="103">
      <c r="A103" s="438" t="inlineStr">
        <is>
          <t>2016.05</t>
        </is>
      </c>
      <c r="T103" s="49" t="inlineStr">
        <is>
          <t xml:space="preserve">FSRU LNG terminal - LNG storage tanks, LNG regasification units, subsea pipeline </t>
        </is>
      </c>
    </row>
    <row r="104">
      <c r="T104" s="49" t="inlineStr">
        <is>
          <t>HK Offshore LNG Terminal: a FSRU and two subsea pipelines</t>
        </is>
      </c>
    </row>
    <row r="105">
      <c r="A105" s="438" t="inlineStr">
        <is>
          <t>2019</t>
        </is>
      </c>
      <c r="T105" s="49" t="inlineStr">
        <is>
          <t>Construction start</t>
        </is>
      </c>
    </row>
    <row r="106">
      <c r="A106" s="438" t="inlineStr">
        <is>
          <t>2020</t>
        </is>
      </c>
      <c r="T106" s="49" t="inlineStr">
        <is>
          <t>Start operation by end-2020</t>
        </is>
      </c>
    </row>
    <row r="107">
      <c r="T107" s="49" t="inlineStr">
        <is>
          <t>Already submit for government approval</t>
        </is>
      </c>
    </row>
    <row r="108">
      <c r="T108" s="49" t="inlineStr">
        <is>
          <t>3-5 mtpa</t>
        </is>
      </c>
      <c r="U108" s="49" t="inlineStr">
        <is>
          <t>capacity</t>
        </is>
      </c>
    </row>
    <row r="109">
      <c r="A109" s="49" t="inlineStr">
        <is>
          <t>Current source:</t>
        </is>
      </c>
    </row>
    <row r="110">
      <c r="A110" s="49" t="inlineStr">
        <is>
          <t>Yacheng 13-1 (CLP)</t>
        </is>
      </c>
    </row>
    <row r="111">
      <c r="A111" s="49" t="inlineStr">
        <is>
          <t>Turkmenistan (CLP)</t>
        </is>
      </c>
    </row>
    <row r="112">
      <c r="A112" s="49" t="inlineStr">
        <is>
          <t>Guangdong Dapeng LNG (HKEI)</t>
        </is>
      </c>
    </row>
    <row r="114">
      <c r="A114" s="49" t="inlineStr">
        <is>
          <t>CAPEX (HK$ million)</t>
        </is>
      </c>
      <c r="T114" s="49" t="n">
        <v>4000</v>
      </c>
    </row>
    <row r="115">
      <c r="A115" s="49" t="inlineStr">
        <is>
          <t>CLP's share</t>
        </is>
      </c>
      <c r="T115" s="169" t="n">
        <v>0.7</v>
      </c>
    </row>
    <row r="116">
      <c r="A116" s="49" t="inlineStr">
        <is>
          <t>CLP's CAPEX</t>
        </is>
      </c>
      <c r="T116" s="49">
        <f>T114*T115</f>
        <v/>
      </c>
      <c r="U116" s="49">
        <f>T116/5</f>
        <v/>
      </c>
    </row>
    <row r="117">
      <c r="A117" s="49" t="inlineStr">
        <is>
          <t>% of increase in HK SoC net fixed asset 2021</t>
        </is>
      </c>
      <c r="T117" s="667">
        <f>T116/AE4</f>
        <v/>
      </c>
    </row>
    <row r="118">
      <c r="A118" s="49" t="inlineStr">
        <is>
          <t>Permitted Return</t>
        </is>
      </c>
      <c r="T118" s="49">
        <f>T116*0.08</f>
        <v/>
      </c>
    </row>
    <row r="119">
      <c r="A119" s="49" t="inlineStr">
        <is>
          <t>% of 2021 HK SoC earnings</t>
        </is>
      </c>
      <c r="T119" s="667">
        <f>T118/SOC!AE46</f>
        <v/>
      </c>
    </row>
    <row r="120">
      <c r="A120" s="49" t="inlineStr">
        <is>
          <t>% of 2021 earnings</t>
        </is>
      </c>
      <c r="T120" s="667">
        <f>T118/Final!AE31</f>
        <v/>
      </c>
    </row>
  </sheetData>
  <hyperlinks>
    <hyperlink xmlns:r="http://schemas.openxmlformats.org/officeDocument/2006/relationships" ref="A89" r:id="rId1"/>
  </hyperlinks>
  <printOptions headings="1" gridLines="1" gridLinesSet="0"/>
  <pageMargins left="0.7480314960629921" right="0.7480314960629921" top="0.5118110236220472" bottom="0.7086614173228347" header="0.5118110236220472" footer="0.5118110236220472"/>
  <pageSetup orientation="landscape" paperSize="9" horizont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Y165"/>
  <sheetViews>
    <sheetView showOutlineSymbols="0" zoomScale="145" zoomScaleNormal="145" workbookViewId="0">
      <pane xSplit="16" ySplit="1" topLeftCell="AC2" activePane="bottomRight" state="frozen"/>
      <selection pane="topRight" activeCell="Q1" sqref="Q1"/>
      <selection pane="bottomLeft" activeCell="A2" sqref="A2"/>
      <selection pane="bottomRight" activeCell="AI9" sqref="AI9"/>
    </sheetView>
  </sheetViews>
  <sheetFormatPr baseColWidth="8" defaultColWidth="9.140625" defaultRowHeight="12.75" outlineLevelRow="1"/>
  <cols>
    <col width="28.140625" bestFit="1" customWidth="1" style="526" min="1" max="1"/>
    <col hidden="1" outlineLevel="1" width="9.140625" customWidth="1" style="526" min="2" max="16"/>
    <col hidden="1" collapsed="1" width="13" customWidth="1" style="526" min="17" max="17"/>
    <col hidden="1" width="13" customWidth="1" style="526" min="18" max="18"/>
    <col hidden="1" width="8.42578125" customWidth="1" style="526" min="19" max="28"/>
    <col width="8.42578125" customWidth="1" style="526" min="29" max="31"/>
    <col width="8.85546875" customWidth="1" style="526" min="32" max="40"/>
    <col width="9.140625" customWidth="1" style="526" min="41" max="16384"/>
  </cols>
  <sheetData>
    <row r="1" customFormat="1" s="43">
      <c r="A1" s="62" t="inlineStr">
        <is>
          <t>China</t>
        </is>
      </c>
      <c r="B1" s="677">
        <f>Final!B2</f>
        <v/>
      </c>
      <c r="C1" s="677">
        <f>Final!C2</f>
        <v/>
      </c>
      <c r="D1" s="677">
        <f>Final!D2</f>
        <v/>
      </c>
      <c r="E1" s="677">
        <f>Final!E2</f>
        <v/>
      </c>
      <c r="F1" s="677">
        <f>Final!F2</f>
        <v/>
      </c>
      <c r="G1" s="677">
        <f>Final!G2</f>
        <v/>
      </c>
      <c r="H1" s="677">
        <f>Final!H2</f>
        <v/>
      </c>
      <c r="I1" s="677">
        <f>Final!I2</f>
        <v/>
      </c>
      <c r="J1" s="677">
        <f>Final!J2</f>
        <v/>
      </c>
      <c r="K1" s="677">
        <f>Final!K2</f>
        <v/>
      </c>
      <c r="L1" s="677">
        <f>Final!L2</f>
        <v/>
      </c>
      <c r="M1" s="677">
        <f>Final!M2</f>
        <v/>
      </c>
      <c r="N1" s="677">
        <f>Final!N2</f>
        <v/>
      </c>
      <c r="O1" s="677">
        <f>Final!O2</f>
        <v/>
      </c>
      <c r="P1" s="677">
        <f>Final!P2</f>
        <v/>
      </c>
      <c r="Q1" s="677">
        <f>Final!Q2</f>
        <v/>
      </c>
      <c r="R1" s="677">
        <f>Final!R2</f>
        <v/>
      </c>
      <c r="S1" s="677">
        <f>Final!S2</f>
        <v/>
      </c>
      <c r="T1" s="677">
        <f>Final!T2</f>
        <v/>
      </c>
      <c r="U1" s="677">
        <f>Final!U2</f>
        <v/>
      </c>
      <c r="V1" s="677">
        <f>Final!V2</f>
        <v/>
      </c>
      <c r="W1" s="677">
        <f>Final!W2</f>
        <v/>
      </c>
      <c r="X1" s="677">
        <f>Final!X2</f>
        <v/>
      </c>
      <c r="Y1" s="677">
        <f>Final!Y2</f>
        <v/>
      </c>
      <c r="Z1" s="677">
        <f>Final!Z2</f>
        <v/>
      </c>
      <c r="AA1" s="677">
        <f>Final!AA2</f>
        <v/>
      </c>
      <c r="AB1" s="677">
        <f>Final!AB2</f>
        <v/>
      </c>
      <c r="AC1" s="677">
        <f>Final!AC2</f>
        <v/>
      </c>
      <c r="AD1" s="677">
        <f>Final!AD2</f>
        <v/>
      </c>
      <c r="AE1" s="677">
        <f>Final!AE2</f>
        <v/>
      </c>
      <c r="AF1" s="677">
        <f>Final!AF2</f>
        <v/>
      </c>
      <c r="AG1" s="677">
        <f>Final!AG2</f>
        <v/>
      </c>
      <c r="AH1" s="677">
        <f>Final!AH2</f>
        <v/>
      </c>
      <c r="AI1" s="677">
        <f>Final!AI2</f>
        <v/>
      </c>
      <c r="AJ1" s="677">
        <f>Final!AJ2</f>
        <v/>
      </c>
      <c r="AK1" s="677">
        <f>Final!AK2</f>
        <v/>
      </c>
      <c r="AL1" s="677">
        <f>Final!AL2</f>
        <v/>
      </c>
      <c r="AM1" s="677">
        <f>Final!AM2</f>
        <v/>
      </c>
      <c r="AN1" s="677">
        <f>Final!AN2</f>
        <v/>
      </c>
    </row>
    <row r="2" customFormat="1" s="43">
      <c r="A2" s="43" t="inlineStr">
        <is>
          <t>Rmb/HKD - Avg</t>
        </is>
      </c>
      <c r="B2" s="677" t="n"/>
      <c r="C2" s="677" t="n"/>
      <c r="D2" s="677" t="n"/>
      <c r="E2" s="677" t="n"/>
      <c r="F2" s="677" t="n"/>
      <c r="G2" s="677" t="n"/>
      <c r="H2" s="677" t="n"/>
      <c r="I2" s="677" t="n"/>
      <c r="J2" s="677" t="n"/>
      <c r="K2" s="677" t="n"/>
      <c r="L2" s="677" t="n"/>
      <c r="M2" s="677" t="n"/>
      <c r="N2" s="677" t="n"/>
      <c r="O2" s="678" t="n"/>
      <c r="P2" s="678" t="n"/>
      <c r="Q2" s="678" t="n"/>
      <c r="R2" s="678" t="n"/>
      <c r="S2" s="678" t="n"/>
      <c r="T2" s="678" t="n"/>
      <c r="U2" s="678" t="n"/>
      <c r="V2" s="678" t="n"/>
      <c r="W2" s="679" t="n">
        <v>1.2629</v>
      </c>
      <c r="X2" s="679" t="n">
        <v>1.2573</v>
      </c>
      <c r="Y2" s="679" t="n">
        <v>1.23208</v>
      </c>
      <c r="Z2" s="679" t="n">
        <v>1.16487</v>
      </c>
      <c r="AA2" s="679" t="n">
        <v>1.15711</v>
      </c>
      <c r="AB2" s="679" t="n">
        <v>1.18249</v>
      </c>
      <c r="AC2" s="679" t="n">
        <v>1.134591063421703</v>
      </c>
      <c r="AD2" s="679" t="n">
        <v>1.124498091603053</v>
      </c>
      <c r="AE2" s="679" t="n">
        <v>1.2046</v>
      </c>
      <c r="AF2" s="679" t="n">
        <v>1.1647</v>
      </c>
      <c r="AG2" s="680" t="n">
        <v>1.1074</v>
      </c>
      <c r="AH2" s="680" t="n">
        <v>1.08947009580308</v>
      </c>
      <c r="AI2" s="680" t="n">
        <v>1.07711</v>
      </c>
      <c r="AJ2" s="680" t="n">
        <v>1.107142857142857</v>
      </c>
      <c r="AK2" s="680">
        <f>AJ2</f>
        <v/>
      </c>
      <c r="AL2" s="680">
        <f>AK2</f>
        <v/>
      </c>
      <c r="AM2" s="680">
        <f>AL2</f>
        <v/>
      </c>
      <c r="AN2" s="680">
        <f>AM2</f>
        <v/>
      </c>
    </row>
    <row r="3" customFormat="1" s="43">
      <c r="A3" s="6" t="inlineStr">
        <is>
          <t>Financial Statement (HK$ m)</t>
        </is>
      </c>
      <c r="B3" s="85" t="n"/>
      <c r="C3" s="85" t="n"/>
      <c r="D3" s="85" t="n"/>
      <c r="E3" s="85" t="n"/>
      <c r="F3" s="85" t="n"/>
      <c r="G3" s="85" t="n"/>
      <c r="H3" s="85" t="n"/>
      <c r="I3" s="85" t="n"/>
      <c r="J3" s="85" t="n"/>
      <c r="K3" s="85" t="n"/>
      <c r="L3" s="85" t="n"/>
      <c r="M3" s="85" t="n"/>
      <c r="N3" s="85" t="n"/>
      <c r="O3" s="85" t="n"/>
      <c r="P3" s="85" t="n"/>
      <c r="Q3" s="85" t="n"/>
      <c r="R3" s="85" t="n"/>
      <c r="S3" s="85" t="n"/>
      <c r="T3" s="85" t="n"/>
      <c r="U3" s="85" t="n"/>
      <c r="V3" s="85" t="n"/>
      <c r="W3" s="85" t="n"/>
      <c r="X3" s="85" t="n"/>
      <c r="Y3" s="85" t="n"/>
      <c r="Z3" s="85" t="n"/>
      <c r="AA3" s="85" t="n"/>
      <c r="AB3" s="85" t="n"/>
      <c r="AC3" s="85" t="n"/>
      <c r="AD3" s="85" t="n"/>
      <c r="AE3" s="85" t="n"/>
      <c r="AF3" s="85" t="n"/>
      <c r="AG3" s="85" t="n"/>
      <c r="AH3" s="85" t="n"/>
      <c r="AI3" s="85" t="n"/>
      <c r="AJ3" s="85" t="n"/>
      <c r="AK3" s="85" t="n"/>
      <c r="AL3" s="85" t="n"/>
      <c r="AM3" s="85" t="n"/>
      <c r="AN3" s="85" t="n"/>
    </row>
    <row r="4">
      <c r="A4" s="62" t="inlineStr">
        <is>
          <t>Revenue</t>
        </is>
      </c>
      <c r="B4" s="597" t="n"/>
      <c r="C4" s="597" t="n"/>
      <c r="D4" s="597" t="n"/>
      <c r="E4" s="597" t="n"/>
      <c r="F4" s="597" t="n"/>
      <c r="G4" s="597" t="n"/>
      <c r="H4" s="597" t="n"/>
      <c r="I4" s="597" t="n">
        <v>357</v>
      </c>
      <c r="J4" s="597" t="n">
        <v>588</v>
      </c>
      <c r="K4" s="597" t="n">
        <v>706</v>
      </c>
      <c r="L4" s="597" t="n">
        <v>0</v>
      </c>
      <c r="M4" s="597" t="n">
        <v>0</v>
      </c>
      <c r="N4" s="597" t="n">
        <v>0</v>
      </c>
      <c r="O4" s="597" t="n">
        <v>17</v>
      </c>
      <c r="P4" s="597" t="n">
        <v>131</v>
      </c>
      <c r="Q4" s="597" t="n">
        <v>124</v>
      </c>
      <c r="R4" s="597" t="n">
        <v>169</v>
      </c>
      <c r="S4" s="597" t="n">
        <v>180</v>
      </c>
      <c r="T4" s="597" t="n">
        <v>305</v>
      </c>
      <c r="U4" s="597" t="n">
        <v>625</v>
      </c>
      <c r="V4" s="597" t="n">
        <v>943</v>
      </c>
      <c r="W4" s="597" t="n">
        <v>991</v>
      </c>
      <c r="X4" s="597" t="n">
        <v>909</v>
      </c>
      <c r="Y4" s="597" t="n">
        <v>937</v>
      </c>
      <c r="Z4" s="597" t="n">
        <v>1197</v>
      </c>
      <c r="AA4" s="597" t="n">
        <v>1305</v>
      </c>
      <c r="AB4" s="597" t="n">
        <v>1495</v>
      </c>
      <c r="AC4" s="597" t="n">
        <v>1674</v>
      </c>
      <c r="AD4" s="597" t="n">
        <v>1708</v>
      </c>
      <c r="AE4" s="597" t="n">
        <v>1800</v>
      </c>
      <c r="AF4" s="597" t="n">
        <v>1877</v>
      </c>
      <c r="AG4" s="597" t="n">
        <v>1846</v>
      </c>
      <c r="AH4" s="597" t="n">
        <v>1801</v>
      </c>
      <c r="AI4" s="613">
        <f>AI8-AI5-AI6-AI7</f>
        <v/>
      </c>
      <c r="AJ4" s="613">
        <f>AJ8-AJ5-AJ6-AJ7</f>
        <v/>
      </c>
      <c r="AK4" s="613">
        <f>AK8-AK5-AK6-AK7</f>
        <v/>
      </c>
      <c r="AL4" s="613">
        <f>AL8-AL5-AL6-AL7</f>
        <v/>
      </c>
      <c r="AM4" s="613">
        <f>AM8-AM5-AM6-AM7</f>
        <v/>
      </c>
      <c r="AN4" s="613">
        <f>AN8-AN5-AN6-AN7</f>
        <v/>
      </c>
    </row>
    <row r="5">
      <c r="A5" s="43" t="inlineStr">
        <is>
          <t>Cash costs</t>
        </is>
      </c>
      <c r="I5" s="526">
        <f>-72-I4-I9</f>
        <v/>
      </c>
      <c r="J5" s="526">
        <f>-48-J4-J9</f>
        <v/>
      </c>
      <c r="K5" s="526">
        <f>-69-K4-K9</f>
        <v/>
      </c>
      <c r="L5" s="526">
        <f>-118-L4-L9</f>
        <v/>
      </c>
      <c r="M5" s="526">
        <f>-145-M4-M9</f>
        <v/>
      </c>
      <c r="N5" s="526">
        <f>-181-N4-N9</f>
        <v/>
      </c>
      <c r="O5" s="526">
        <f>-132-O4-O9</f>
        <v/>
      </c>
      <c r="P5" s="526">
        <f>-70-P4-P9</f>
        <v/>
      </c>
      <c r="Q5" s="526">
        <f>-87-Q4-Q9</f>
        <v/>
      </c>
      <c r="R5" s="526">
        <f>282-R4-R9</f>
        <v/>
      </c>
      <c r="S5" s="526">
        <f>-100-S4-S9</f>
        <v/>
      </c>
      <c r="T5" s="526">
        <f>412-T4-T9</f>
        <v/>
      </c>
      <c r="U5" s="526">
        <f>147-U4-U9</f>
        <v/>
      </c>
      <c r="V5" s="526">
        <f>220-V4-V9</f>
        <v/>
      </c>
      <c r="W5" s="526">
        <f>620-W4</f>
        <v/>
      </c>
      <c r="X5" s="526">
        <f>501-X4</f>
        <v/>
      </c>
      <c r="Y5" s="526">
        <f>786-Y4</f>
        <v/>
      </c>
      <c r="Z5" s="526">
        <f>951-Z4</f>
        <v/>
      </c>
      <c r="AA5" s="526">
        <f>1212-AA4</f>
        <v/>
      </c>
      <c r="AB5" s="526">
        <f>1346-AB4</f>
        <v/>
      </c>
      <c r="AC5" s="526">
        <f>1405-AC4</f>
        <v/>
      </c>
      <c r="AD5" s="526">
        <f>1590-AD4</f>
        <v/>
      </c>
      <c r="AE5" s="526">
        <f>1539-AE4</f>
        <v/>
      </c>
      <c r="AF5" s="526">
        <f>1260-AF4</f>
        <v/>
      </c>
      <c r="AG5" s="526">
        <f>1369-AG4</f>
        <v/>
      </c>
      <c r="AH5" s="526">
        <f>1434-AH4</f>
        <v/>
      </c>
      <c r="AI5" s="564">
        <f>AH5</f>
        <v/>
      </c>
      <c r="AJ5" s="564">
        <f>AI5</f>
        <v/>
      </c>
      <c r="AK5" s="564">
        <f>AJ5</f>
        <v/>
      </c>
      <c r="AL5" s="564">
        <f>AK5</f>
        <v/>
      </c>
      <c r="AM5" s="564">
        <f>AL5</f>
        <v/>
      </c>
      <c r="AN5" s="564">
        <f>AM5</f>
        <v/>
      </c>
    </row>
    <row r="6">
      <c r="A6" s="43" t="inlineStr">
        <is>
          <t>Share of result - JV</t>
        </is>
      </c>
      <c r="I6" s="526" t="n">
        <v>780</v>
      </c>
      <c r="J6" s="526" t="n">
        <v>806</v>
      </c>
      <c r="K6" s="526" t="n">
        <v>1137</v>
      </c>
      <c r="L6" s="526" t="n">
        <v>1086</v>
      </c>
      <c r="M6" s="526" t="n">
        <v>1290</v>
      </c>
      <c r="N6" s="526" t="n">
        <v>1194</v>
      </c>
      <c r="O6" s="526" t="n">
        <v>1102</v>
      </c>
      <c r="P6" s="526" t="n">
        <v>1058</v>
      </c>
      <c r="Q6" s="526" t="n">
        <v>1112</v>
      </c>
      <c r="R6" s="526" t="n">
        <v>889</v>
      </c>
      <c r="S6" s="526" t="n">
        <v>1218</v>
      </c>
      <c r="T6" s="526" t="n">
        <v>816</v>
      </c>
      <c r="U6" s="526" t="n">
        <v>645</v>
      </c>
      <c r="V6" s="526" t="n">
        <v>898</v>
      </c>
      <c r="W6" s="526" t="n">
        <v>1188</v>
      </c>
      <c r="X6" s="526" t="n">
        <v>891</v>
      </c>
      <c r="Y6" s="526" t="n">
        <v>1031</v>
      </c>
      <c r="Z6" s="526" t="n">
        <v>461</v>
      </c>
      <c r="AA6" s="526" t="n">
        <v>339</v>
      </c>
      <c r="AB6" s="526" t="n">
        <v>354</v>
      </c>
      <c r="AC6" s="526" t="n">
        <v>558</v>
      </c>
      <c r="AD6" s="526" t="n">
        <v>493</v>
      </c>
      <c r="AE6" s="526" t="n">
        <v>-271</v>
      </c>
      <c r="AF6" s="526" t="n">
        <v>327</v>
      </c>
      <c r="AG6" s="526" t="n">
        <v>234</v>
      </c>
      <c r="AH6" s="526" t="n">
        <v>152</v>
      </c>
      <c r="AI6" s="564">
        <f>AI32-AH32+AH6</f>
        <v/>
      </c>
      <c r="AJ6" s="564">
        <f>AJ32-AI32+AI6</f>
        <v/>
      </c>
      <c r="AK6" s="564">
        <f>AK32-AJ32+AJ6</f>
        <v/>
      </c>
      <c r="AL6" s="564">
        <f>AL32-AK32+AK6</f>
        <v/>
      </c>
      <c r="AM6" s="564">
        <f>AM32-AL32+AL6</f>
        <v/>
      </c>
      <c r="AN6" s="564">
        <f>AN32-AM32+AM6</f>
        <v/>
      </c>
      <c r="AP6" s="526" t="inlineStr">
        <is>
          <t>CSEC Guohua (30%), Fangchenggang (70%), ShenGang Nuatural Gas pipeline (40%), Shandong Zhonghua Power (29.4%)</t>
        </is>
      </c>
    </row>
    <row r="7">
      <c r="A7" s="43" t="inlineStr">
        <is>
          <t>Share of result - Associates</t>
        </is>
      </c>
      <c r="J7" s="526" t="n">
        <v>0</v>
      </c>
      <c r="K7" s="526" t="n">
        <v>0</v>
      </c>
      <c r="L7" s="526" t="n">
        <v>0</v>
      </c>
      <c r="M7" s="526" t="n">
        <v>0</v>
      </c>
      <c r="N7" s="526" t="n">
        <v>0</v>
      </c>
      <c r="O7" s="526" t="n">
        <v>0</v>
      </c>
      <c r="P7" s="526" t="n">
        <v>0</v>
      </c>
      <c r="Q7" s="526" t="n">
        <v>0</v>
      </c>
      <c r="R7" s="526" t="n">
        <v>0</v>
      </c>
      <c r="S7" s="526" t="n">
        <v>94</v>
      </c>
      <c r="T7" s="526" t="n">
        <v>804</v>
      </c>
      <c r="U7" s="526" t="n">
        <v>639</v>
      </c>
      <c r="V7" s="526" t="n">
        <v>579</v>
      </c>
      <c r="W7" s="526" t="n">
        <v>612</v>
      </c>
      <c r="X7" s="526" t="n">
        <v>796</v>
      </c>
      <c r="Y7" s="526" t="n">
        <v>888</v>
      </c>
      <c r="Z7" s="526" t="n">
        <v>907</v>
      </c>
      <c r="AA7" s="526" t="n">
        <v>961</v>
      </c>
      <c r="AB7" s="526" t="n">
        <v>1863</v>
      </c>
      <c r="AC7" s="526" t="n">
        <v>1828</v>
      </c>
      <c r="AD7" s="526" t="n">
        <v>1725</v>
      </c>
      <c r="AE7" s="526" t="n">
        <v>2071</v>
      </c>
      <c r="AF7" s="526" t="n">
        <v>2135</v>
      </c>
      <c r="AG7" s="526" t="n">
        <v>2049</v>
      </c>
      <c r="AH7" s="526" t="n">
        <v>1810</v>
      </c>
      <c r="AI7" s="564">
        <f>AI29</f>
        <v/>
      </c>
      <c r="AJ7" s="564">
        <f>AJ29</f>
        <v/>
      </c>
      <c r="AK7" s="564">
        <f>AK29</f>
        <v/>
      </c>
      <c r="AL7" s="564">
        <f>AL29</f>
        <v/>
      </c>
      <c r="AM7" s="564">
        <f>AM29</f>
        <v/>
      </c>
      <c r="AN7" s="564">
        <f>AN29</f>
        <v/>
      </c>
      <c r="AP7" s="526" t="inlineStr">
        <is>
          <t>GNPJVC - Daya Bay (25%)</t>
        </is>
      </c>
    </row>
    <row r="8">
      <c r="A8" s="109" t="inlineStr">
        <is>
          <t>EBITDAF</t>
        </is>
      </c>
      <c r="B8" s="605">
        <f>SUM(B4:B7)</f>
        <v/>
      </c>
      <c r="C8" s="605">
        <f>SUM(C4:C7)</f>
        <v/>
      </c>
      <c r="D8" s="605">
        <f>SUM(D4:D7)</f>
        <v/>
      </c>
      <c r="E8" s="605">
        <f>SUM(E4:E7)</f>
        <v/>
      </c>
      <c r="F8" s="605">
        <f>SUM(F4:F7)</f>
        <v/>
      </c>
      <c r="G8" s="605">
        <f>SUM(G4:G7)</f>
        <v/>
      </c>
      <c r="H8" s="605">
        <f>SUM(H4:H7)</f>
        <v/>
      </c>
      <c r="I8" s="605">
        <f>SUM(I4:I7)</f>
        <v/>
      </c>
      <c r="J8" s="605">
        <f>SUM(J4:J7)</f>
        <v/>
      </c>
      <c r="K8" s="605">
        <f>SUM(K4:K7)</f>
        <v/>
      </c>
      <c r="L8" s="605">
        <f>SUM(L4:L7)</f>
        <v/>
      </c>
      <c r="M8" s="605">
        <f>SUM(M4:M7)</f>
        <v/>
      </c>
      <c r="N8" s="605">
        <f>SUM(N4:N7)</f>
        <v/>
      </c>
      <c r="O8" s="605">
        <f>SUM(O4:O7)</f>
        <v/>
      </c>
      <c r="P8" s="605">
        <f>SUM(P4:P7)</f>
        <v/>
      </c>
      <c r="Q8" s="605">
        <f>SUM(Q4:Q7)</f>
        <v/>
      </c>
      <c r="R8" s="605">
        <f>SUM(R4:R7)</f>
        <v/>
      </c>
      <c r="S8" s="605">
        <f>SUM(S4:S7)</f>
        <v/>
      </c>
      <c r="T8" s="605">
        <f>SUM(T4:T7)</f>
        <v/>
      </c>
      <c r="U8" s="605">
        <f>SUM(U4:U7)</f>
        <v/>
      </c>
      <c r="V8" s="605">
        <f>SUM(V4:V7)</f>
        <v/>
      </c>
      <c r="W8" s="605">
        <f>SUM(W4:W7)</f>
        <v/>
      </c>
      <c r="X8" s="605">
        <f>SUM(X4:X7)</f>
        <v/>
      </c>
      <c r="Y8" s="605">
        <f>SUM(Y4:Y7)</f>
        <v/>
      </c>
      <c r="Z8" s="605">
        <f>SUM(Z4:Z7)</f>
        <v/>
      </c>
      <c r="AA8" s="605">
        <f>SUM(AA4:AA7)</f>
        <v/>
      </c>
      <c r="AB8" s="605">
        <f>SUM(AB4:AB7)</f>
        <v/>
      </c>
      <c r="AC8" s="605">
        <f>SUM(AC4:AC7)</f>
        <v/>
      </c>
      <c r="AD8" s="605">
        <f>SUM(AD4:AD7)</f>
        <v/>
      </c>
      <c r="AE8" s="605">
        <f>SUM(AE4:AE7)</f>
        <v/>
      </c>
      <c r="AF8" s="605">
        <f>SUM(AF4:AF7)</f>
        <v/>
      </c>
      <c r="AG8" s="605">
        <f>SUM(AG4:AG7)</f>
        <v/>
      </c>
      <c r="AH8" s="605">
        <f>SUM(AH4:AH7)</f>
        <v/>
      </c>
      <c r="AI8" s="608">
        <f>AI12-AI9</f>
        <v/>
      </c>
      <c r="AJ8" s="608">
        <f>AJ12-AJ9</f>
        <v/>
      </c>
      <c r="AK8" s="608">
        <f>AK12-AK9</f>
        <v/>
      </c>
      <c r="AL8" s="608">
        <f>AL12-AL9</f>
        <v/>
      </c>
      <c r="AM8" s="608">
        <f>AM12-AM9</f>
        <v/>
      </c>
      <c r="AN8" s="608">
        <f>AN12-AN9</f>
        <v/>
      </c>
    </row>
    <row r="9">
      <c r="A9" s="43" t="inlineStr">
        <is>
          <t>D&amp;A</t>
        </is>
      </c>
      <c r="I9" s="526">
        <f>-26-4</f>
        <v/>
      </c>
      <c r="J9" s="526">
        <f>-4-32</f>
        <v/>
      </c>
      <c r="K9" s="526">
        <f>-5-46</f>
        <v/>
      </c>
      <c r="L9" s="526">
        <f>-49-2</f>
        <v/>
      </c>
      <c r="M9" s="526" t="n">
        <v>-2</v>
      </c>
      <c r="N9" s="526" t="n">
        <v>-2</v>
      </c>
      <c r="O9" s="526" t="n">
        <v>-7</v>
      </c>
      <c r="P9" s="526" t="n">
        <v>-36</v>
      </c>
      <c r="Q9" s="526" t="n">
        <v>-39</v>
      </c>
      <c r="R9" s="526" t="n">
        <v>-51</v>
      </c>
      <c r="S9" s="526" t="n">
        <v>-68</v>
      </c>
      <c r="T9" s="526" t="n">
        <v>-81</v>
      </c>
      <c r="U9" s="526" t="n">
        <v>-148</v>
      </c>
      <c r="V9" s="526" t="n">
        <v>-209</v>
      </c>
      <c r="W9" s="526" t="n">
        <v>-213</v>
      </c>
      <c r="X9" s="526" t="n">
        <v>-412</v>
      </c>
      <c r="Y9" s="526" t="n">
        <v>-517</v>
      </c>
      <c r="Z9" s="526" t="n">
        <v>-583</v>
      </c>
      <c r="AA9" s="526" t="n">
        <v>-638</v>
      </c>
      <c r="AB9" s="526" t="n">
        <v>-696</v>
      </c>
      <c r="AC9" s="526" t="n">
        <v>-735</v>
      </c>
      <c r="AD9" s="526" t="n">
        <v>-747</v>
      </c>
      <c r="AE9" s="526" t="n">
        <v>-807</v>
      </c>
      <c r="AF9" s="526" t="n">
        <v>-814</v>
      </c>
      <c r="AG9" s="526" t="n">
        <v>-825</v>
      </c>
      <c r="AH9" s="526" t="n">
        <v>-840</v>
      </c>
      <c r="AI9" s="564">
        <f>AI10+AI11</f>
        <v/>
      </c>
      <c r="AJ9" s="564">
        <f>AJ10+AJ11</f>
        <v/>
      </c>
      <c r="AK9" s="564">
        <f>AK10+AK11</f>
        <v/>
      </c>
      <c r="AL9" s="564">
        <f>AL10+AL11</f>
        <v/>
      </c>
      <c r="AM9" s="564">
        <f>AM10+AM11</f>
        <v/>
      </c>
      <c r="AN9" s="564">
        <f>AN10+AN11</f>
        <v/>
      </c>
    </row>
    <row r="10">
      <c r="A10" s="416" t="inlineStr">
        <is>
          <t>- Amortisation</t>
        </is>
      </c>
      <c r="Q10" s="526" t="n">
        <v>0</v>
      </c>
      <c r="R10" s="526" t="n">
        <v>0</v>
      </c>
      <c r="S10" s="526" t="n">
        <v>0</v>
      </c>
      <c r="T10" s="526" t="n">
        <v>0</v>
      </c>
      <c r="U10" s="526" t="n">
        <v>0</v>
      </c>
      <c r="V10" s="526" t="n">
        <v>0</v>
      </c>
      <c r="W10" s="526" t="n">
        <v>0</v>
      </c>
      <c r="X10" s="526" t="n">
        <v>-181</v>
      </c>
      <c r="Y10" s="526" t="n">
        <v>-272</v>
      </c>
      <c r="Z10" s="526" t="n">
        <v>-273</v>
      </c>
      <c r="AA10" s="526" t="n">
        <v>-274</v>
      </c>
      <c r="AB10" s="526" t="n">
        <v>-274</v>
      </c>
      <c r="AC10" s="526" t="n">
        <v>-276</v>
      </c>
      <c r="AD10" s="526" t="n">
        <v>-255</v>
      </c>
      <c r="AE10" s="526" t="n">
        <v>-276</v>
      </c>
      <c r="AF10" s="526" t="n">
        <v>-279</v>
      </c>
      <c r="AG10" s="526" t="n">
        <v>-280</v>
      </c>
      <c r="AH10" s="526" t="n">
        <v>-282</v>
      </c>
      <c r="AI10" s="564">
        <f>AH10</f>
        <v/>
      </c>
      <c r="AJ10" s="564">
        <f>AI10</f>
        <v/>
      </c>
      <c r="AK10" s="564">
        <f>AJ10</f>
        <v/>
      </c>
      <c r="AL10" s="564">
        <f>AK10</f>
        <v/>
      </c>
      <c r="AM10" s="564">
        <f>AL10</f>
        <v/>
      </c>
      <c r="AN10" s="564">
        <f>AM10</f>
        <v/>
      </c>
    </row>
    <row r="11">
      <c r="A11" s="416" t="inlineStr">
        <is>
          <t>- Depreciation</t>
        </is>
      </c>
      <c r="Q11" s="526">
        <f>Q9-Q10</f>
        <v/>
      </c>
      <c r="R11" s="526">
        <f>R9-R10</f>
        <v/>
      </c>
      <c r="S11" s="526">
        <f>S9-S10</f>
        <v/>
      </c>
      <c r="T11" s="526">
        <f>T9-T10</f>
        <v/>
      </c>
      <c r="U11" s="526">
        <f>U9-U10</f>
        <v/>
      </c>
      <c r="V11" s="526">
        <f>V9-V10</f>
        <v/>
      </c>
      <c r="W11" s="526">
        <f>W9-W10</f>
        <v/>
      </c>
      <c r="X11" s="526">
        <f>X9-X10</f>
        <v/>
      </c>
      <c r="Y11" s="526">
        <f>Y9-Y10</f>
        <v/>
      </c>
      <c r="Z11" s="526">
        <f>Z9-Z10</f>
        <v/>
      </c>
      <c r="AA11" s="526">
        <f>AA9-AA10</f>
        <v/>
      </c>
      <c r="AB11" s="526">
        <f>AB9-AB10</f>
        <v/>
      </c>
      <c r="AC11" s="526">
        <f>AC9-AC10</f>
        <v/>
      </c>
      <c r="AD11" s="526">
        <f>AD9-AD10</f>
        <v/>
      </c>
      <c r="AE11" s="526">
        <f>AE9-AE10</f>
        <v/>
      </c>
      <c r="AF11" s="526">
        <f>AF9-AF10</f>
        <v/>
      </c>
      <c r="AG11" s="526">
        <f>AG9-AG10</f>
        <v/>
      </c>
      <c r="AH11" s="526">
        <f>AH9-AH10</f>
        <v/>
      </c>
      <c r="AI11" s="564">
        <f>AI158</f>
        <v/>
      </c>
      <c r="AJ11" s="564">
        <f>AJ158</f>
        <v/>
      </c>
      <c r="AK11" s="564">
        <f>AK158</f>
        <v/>
      </c>
      <c r="AL11" s="564">
        <f>AL158</f>
        <v/>
      </c>
      <c r="AM11" s="564">
        <f>AM158</f>
        <v/>
      </c>
      <c r="AN11" s="564">
        <f>AN158</f>
        <v/>
      </c>
    </row>
    <row r="12">
      <c r="A12" s="109" t="inlineStr">
        <is>
          <t>EBITF (ACOI)</t>
        </is>
      </c>
      <c r="B12" s="605">
        <f>B8+B9</f>
        <v/>
      </c>
      <c r="C12" s="605">
        <f>C8+C9</f>
        <v/>
      </c>
      <c r="D12" s="605">
        <f>D8+D9</f>
        <v/>
      </c>
      <c r="E12" s="605">
        <f>E8+E9</f>
        <v/>
      </c>
      <c r="F12" s="605">
        <f>F8+F9</f>
        <v/>
      </c>
      <c r="G12" s="605">
        <f>G8+G9</f>
        <v/>
      </c>
      <c r="H12" s="605">
        <f>H8+H9</f>
        <v/>
      </c>
      <c r="I12" s="605">
        <f>I8+I9</f>
        <v/>
      </c>
      <c r="J12" s="605">
        <f>J8+J9</f>
        <v/>
      </c>
      <c r="K12" s="605">
        <f>K8+K9</f>
        <v/>
      </c>
      <c r="L12" s="605">
        <f>L8+L9</f>
        <v/>
      </c>
      <c r="M12" s="605">
        <f>M8+M9</f>
        <v/>
      </c>
      <c r="N12" s="605">
        <f>N8+N9</f>
        <v/>
      </c>
      <c r="O12" s="605">
        <f>O8+O9</f>
        <v/>
      </c>
      <c r="P12" s="605">
        <f>P8+P9</f>
        <v/>
      </c>
      <c r="Q12" s="605">
        <f>Q8+Q9</f>
        <v/>
      </c>
      <c r="R12" s="605">
        <f>R8+R9</f>
        <v/>
      </c>
      <c r="S12" s="605">
        <f>S8+S9</f>
        <v/>
      </c>
      <c r="T12" s="605">
        <f>T8+T9</f>
        <v/>
      </c>
      <c r="U12" s="605">
        <f>U8+U9</f>
        <v/>
      </c>
      <c r="V12" s="605">
        <f>V8+V9</f>
        <v/>
      </c>
      <c r="W12" s="605">
        <f>W8+W9</f>
        <v/>
      </c>
      <c r="X12" s="605">
        <f>X8+X9</f>
        <v/>
      </c>
      <c r="Y12" s="605">
        <f>Y8+Y9</f>
        <v/>
      </c>
      <c r="Z12" s="605">
        <f>Z8+Z9</f>
        <v/>
      </c>
      <c r="AA12" s="605">
        <f>AA8+AA9</f>
        <v/>
      </c>
      <c r="AB12" s="605">
        <f>AB8+AB9</f>
        <v/>
      </c>
      <c r="AC12" s="605">
        <f>AC8+AC9</f>
        <v/>
      </c>
      <c r="AD12" s="605">
        <f>AD8+AD9</f>
        <v/>
      </c>
      <c r="AE12" s="605">
        <f>AE8+AE9</f>
        <v/>
      </c>
      <c r="AF12" s="605">
        <f>AF8+AF9</f>
        <v/>
      </c>
      <c r="AG12" s="605">
        <f>AG8+AG9</f>
        <v/>
      </c>
      <c r="AH12" s="605">
        <f>AH15-AH13-AH14</f>
        <v/>
      </c>
      <c r="AI12" s="608">
        <f>AI15-AI13-AI14</f>
        <v/>
      </c>
      <c r="AJ12" s="608">
        <f>AJ15-AJ13-AJ14</f>
        <v/>
      </c>
      <c r="AK12" s="608">
        <f>AK15-AK13-AK14</f>
        <v/>
      </c>
      <c r="AL12" s="608">
        <f>AL15-AL13-AL14</f>
        <v/>
      </c>
      <c r="AM12" s="608">
        <f>AM15-AM13-AM14</f>
        <v/>
      </c>
      <c r="AN12" s="608">
        <f>AN15-AN13-AN14</f>
        <v/>
      </c>
    </row>
    <row r="13">
      <c r="A13" s="43" t="inlineStr">
        <is>
          <t>Fair value adjustment</t>
        </is>
      </c>
      <c r="R13" s="526" t="n">
        <v>0</v>
      </c>
      <c r="S13" s="526" t="n">
        <v>0</v>
      </c>
      <c r="T13" s="526" t="n">
        <v>0</v>
      </c>
      <c r="U13" s="526" t="n">
        <v>0</v>
      </c>
      <c r="V13" s="526" t="n">
        <v>0</v>
      </c>
      <c r="W13" s="526" t="n">
        <v>0</v>
      </c>
      <c r="X13" s="526" t="n">
        <v>0</v>
      </c>
      <c r="Y13" s="526" t="n">
        <v>0</v>
      </c>
      <c r="Z13" s="526" t="n">
        <v>0</v>
      </c>
      <c r="AA13" s="564" t="n">
        <v>0</v>
      </c>
      <c r="AB13" s="564" t="n">
        <v>0</v>
      </c>
      <c r="AC13" s="564" t="n">
        <v>0</v>
      </c>
      <c r="AD13" s="564" t="n">
        <v>0</v>
      </c>
      <c r="AE13" s="564" t="n">
        <v>0</v>
      </c>
      <c r="AF13" s="564" t="n">
        <v>0</v>
      </c>
      <c r="AG13" s="564" t="n">
        <v>0</v>
      </c>
      <c r="AH13" s="564" t="n">
        <v>0</v>
      </c>
      <c r="AI13" s="564" t="n">
        <v>0</v>
      </c>
      <c r="AJ13" s="564" t="n">
        <v>0</v>
      </c>
      <c r="AK13" s="564" t="n">
        <v>0</v>
      </c>
      <c r="AL13" s="564" t="n">
        <v>0</v>
      </c>
      <c r="AM13" s="564" t="n">
        <v>0</v>
      </c>
      <c r="AN13" s="564" t="n">
        <v>0</v>
      </c>
    </row>
    <row r="14">
      <c r="A14" s="43" t="inlineStr">
        <is>
          <t>Net financial costs</t>
        </is>
      </c>
      <c r="S14" s="526">
        <f>-35+5</f>
        <v/>
      </c>
      <c r="T14" s="526">
        <f>-49+1</f>
        <v/>
      </c>
      <c r="U14" s="526">
        <f>-135+4</f>
        <v/>
      </c>
      <c r="V14" s="526">
        <f>-213+5</f>
        <v/>
      </c>
      <c r="W14" s="526">
        <f>-205+4</f>
        <v/>
      </c>
      <c r="X14" s="526">
        <f>-211+9</f>
        <v/>
      </c>
      <c r="Y14" s="526">
        <f>-206+59</f>
        <v/>
      </c>
      <c r="Z14" s="526">
        <f>-200+44</f>
        <v/>
      </c>
      <c r="AA14" s="526">
        <f>-241+39</f>
        <v/>
      </c>
      <c r="AB14" s="526">
        <f>-269+34</f>
        <v/>
      </c>
      <c r="AC14" s="526">
        <f>-276+28</f>
        <v/>
      </c>
      <c r="AD14" s="526">
        <f>-255+18</f>
        <v/>
      </c>
      <c r="AE14" s="526">
        <f>-253+14</f>
        <v/>
      </c>
      <c r="AF14" s="526">
        <f>-245+9</f>
        <v/>
      </c>
      <c r="AG14" s="526">
        <f>-209+14</f>
        <v/>
      </c>
      <c r="AH14" s="526">
        <f>-180+14</f>
        <v/>
      </c>
      <c r="AI14" s="564">
        <f>-AI164*AH163</f>
        <v/>
      </c>
      <c r="AJ14" s="564">
        <f>-AJ164*AI163</f>
        <v/>
      </c>
      <c r="AK14" s="564">
        <f>-AK164*AJ163</f>
        <v/>
      </c>
      <c r="AL14" s="564">
        <f>-AL164*AK163</f>
        <v/>
      </c>
      <c r="AM14" s="564">
        <f>-AM164*AL163</f>
        <v/>
      </c>
      <c r="AN14" s="564">
        <f>-AN164*AM163</f>
        <v/>
      </c>
    </row>
    <row r="15">
      <c r="A15" s="109" t="inlineStr">
        <is>
          <t xml:space="preserve">PBT </t>
        </is>
      </c>
      <c r="B15" s="605">
        <f>B12+B13+B14</f>
        <v/>
      </c>
      <c r="C15" s="605">
        <f>C12+C13+C14</f>
        <v/>
      </c>
      <c r="D15" s="605">
        <f>D12+D13+D14</f>
        <v/>
      </c>
      <c r="E15" s="605">
        <f>E12+E13+E14</f>
        <v/>
      </c>
      <c r="F15" s="605">
        <f>F12+F13+F14</f>
        <v/>
      </c>
      <c r="G15" s="605">
        <f>G12+G13+G14</f>
        <v/>
      </c>
      <c r="H15" s="605">
        <f>H12+H13+H14</f>
        <v/>
      </c>
      <c r="I15" s="605">
        <f>I12+I13+I14</f>
        <v/>
      </c>
      <c r="J15" s="605">
        <f>J12+J13+J14</f>
        <v/>
      </c>
      <c r="K15" s="605">
        <f>K12+K13+K14</f>
        <v/>
      </c>
      <c r="L15" s="605">
        <f>L12+L13+L14</f>
        <v/>
      </c>
      <c r="M15" s="605">
        <f>M12+M13+M14</f>
        <v/>
      </c>
      <c r="N15" s="605">
        <f>N12+N13+N14</f>
        <v/>
      </c>
      <c r="O15" s="605">
        <f>O12+O13+O14</f>
        <v/>
      </c>
      <c r="P15" s="605">
        <f>P12+P13+P14</f>
        <v/>
      </c>
      <c r="Q15" s="605">
        <f>Q12+Q13+Q14</f>
        <v/>
      </c>
      <c r="R15" s="605">
        <f>R12+R13+R14</f>
        <v/>
      </c>
      <c r="S15" s="605">
        <f>S12+S13+S14</f>
        <v/>
      </c>
      <c r="T15" s="605">
        <f>T12+T13+T14</f>
        <v/>
      </c>
      <c r="U15" s="605">
        <f>U12+U13+U14</f>
        <v/>
      </c>
      <c r="V15" s="605">
        <f>V12+V13+V14</f>
        <v/>
      </c>
      <c r="W15" s="605">
        <f>W12+W13+W14</f>
        <v/>
      </c>
      <c r="X15" s="605">
        <f>X12+X13+X14</f>
        <v/>
      </c>
      <c r="Y15" s="605">
        <f>Y12+Y13+Y14</f>
        <v/>
      </c>
      <c r="Z15" s="605">
        <f>Z12+Z13+Z14</f>
        <v/>
      </c>
      <c r="AA15" s="605">
        <f>AA12+AA13+AA14</f>
        <v/>
      </c>
      <c r="AB15" s="605">
        <f>AB12+AB13+AB14</f>
        <v/>
      </c>
      <c r="AC15" s="605">
        <f>AC12+AC13+AC14</f>
        <v/>
      </c>
      <c r="AD15" s="605">
        <f>AD12+AD13+AD14</f>
        <v/>
      </c>
      <c r="AE15" s="605">
        <f>AE12+AE13+AE14</f>
        <v/>
      </c>
      <c r="AF15" s="605">
        <f>AF12+AF13+AF14</f>
        <v/>
      </c>
      <c r="AG15" s="605">
        <f>AG12+AG13+AG14</f>
        <v/>
      </c>
      <c r="AH15" s="605">
        <f>AH18-AH16-AH17</f>
        <v/>
      </c>
      <c r="AI15" s="608">
        <f>AI18-AI16-AI17</f>
        <v/>
      </c>
      <c r="AJ15" s="608">
        <f>AJ18-AJ16-AJ17</f>
        <v/>
      </c>
      <c r="AK15" s="608">
        <f>AK18-AK16-AK17</f>
        <v/>
      </c>
      <c r="AL15" s="608">
        <f>AL18-AL16-AL17</f>
        <v/>
      </c>
      <c r="AM15" s="608">
        <f>AM18-AM16-AM17</f>
        <v/>
      </c>
      <c r="AN15" s="608">
        <f>AN18-AN16-AN17</f>
        <v/>
      </c>
      <c r="AQ15" s="597" t="n"/>
    </row>
    <row r="16">
      <c r="A16" s="43" t="inlineStr">
        <is>
          <t>Taxation</t>
        </is>
      </c>
      <c r="S16" s="526" t="n">
        <v>-70</v>
      </c>
      <c r="T16" s="526" t="n">
        <v>-147</v>
      </c>
      <c r="U16" s="526" t="n">
        <v>-68</v>
      </c>
      <c r="V16" s="526" t="n">
        <v>-112</v>
      </c>
      <c r="W16" s="526" t="n">
        <v>-151</v>
      </c>
      <c r="X16" s="526" t="n">
        <v>-102</v>
      </c>
      <c r="Y16" s="526" t="n">
        <v>-147</v>
      </c>
      <c r="Z16" s="526" t="n">
        <v>-67</v>
      </c>
      <c r="AA16" s="526" t="n">
        <v>-151</v>
      </c>
      <c r="AB16" s="526" t="n">
        <v>-267</v>
      </c>
      <c r="AC16" s="526" t="n">
        <v>-305</v>
      </c>
      <c r="AD16" s="526" t="n">
        <v>-314</v>
      </c>
      <c r="AE16" s="526" t="n">
        <v>-329</v>
      </c>
      <c r="AF16" s="526" t="n">
        <v>-356</v>
      </c>
      <c r="AG16" s="526" t="n">
        <v>-379</v>
      </c>
      <c r="AH16" s="526" t="n">
        <v>-328</v>
      </c>
      <c r="AI16" s="564">
        <f>AH16/AH18*AI18</f>
        <v/>
      </c>
      <c r="AJ16" s="564">
        <f>AI16/AI18*AJ18</f>
        <v/>
      </c>
      <c r="AK16" s="564">
        <f>AJ16/AJ18*AK18</f>
        <v/>
      </c>
      <c r="AL16" s="564">
        <f>AK16/AK18*AL18</f>
        <v/>
      </c>
      <c r="AM16" s="564">
        <f>AL16/AL18*AM18</f>
        <v/>
      </c>
      <c r="AN16" s="564">
        <f>AM16/AM18*AN18</f>
        <v/>
      </c>
    </row>
    <row r="17">
      <c r="A17" s="43" t="inlineStr">
        <is>
          <t>Minority interest</t>
        </is>
      </c>
      <c r="S17" s="526" t="n">
        <v>7</v>
      </c>
      <c r="T17" s="526" t="n">
        <v>-3</v>
      </c>
      <c r="U17" s="526" t="n">
        <v>-1</v>
      </c>
      <c r="V17" s="526" t="n">
        <v>20</v>
      </c>
      <c r="W17" s="526" t="n">
        <v>-12</v>
      </c>
      <c r="X17" s="526" t="n">
        <v>-14</v>
      </c>
      <c r="Y17" s="526" t="n">
        <v>-9</v>
      </c>
      <c r="Z17" s="526" t="n">
        <v>-19</v>
      </c>
      <c r="AA17" s="526" t="n">
        <v>-13</v>
      </c>
      <c r="AB17" s="526" t="n">
        <v>-10</v>
      </c>
      <c r="AC17" s="526">
        <f>-15</f>
        <v/>
      </c>
      <c r="AD17" s="526" t="n">
        <v>-7</v>
      </c>
      <c r="AE17" s="526" t="n">
        <v>-3</v>
      </c>
      <c r="AF17" s="526" t="n">
        <v>-9</v>
      </c>
      <c r="AG17" s="526" t="n">
        <v>-8</v>
      </c>
      <c r="AH17" s="526" t="n">
        <v>-10</v>
      </c>
      <c r="AI17" s="564">
        <f>AH17</f>
        <v/>
      </c>
      <c r="AJ17" s="564">
        <f>AI17</f>
        <v/>
      </c>
      <c r="AK17" s="564">
        <f>AJ17</f>
        <v/>
      </c>
      <c r="AL17" s="564">
        <f>AK17</f>
        <v/>
      </c>
      <c r="AM17" s="564">
        <f>AL17</f>
        <v/>
      </c>
      <c r="AN17" s="564">
        <f>AM17</f>
        <v/>
      </c>
    </row>
    <row r="18">
      <c r="A18" s="109" t="inlineStr">
        <is>
          <t>Reported NP</t>
        </is>
      </c>
      <c r="B18" s="605">
        <f>B15+B16+B17</f>
        <v/>
      </c>
      <c r="C18" s="605">
        <f>C15+C16+C17</f>
        <v/>
      </c>
      <c r="D18" s="605">
        <f>D15+D16+D17</f>
        <v/>
      </c>
      <c r="E18" s="605">
        <f>E15+E16+E17</f>
        <v/>
      </c>
      <c r="F18" s="605">
        <f>F15+F16+F17</f>
        <v/>
      </c>
      <c r="G18" s="605">
        <f>G15+G16+G17</f>
        <v/>
      </c>
      <c r="H18" s="605">
        <f>H15+H16+H17</f>
        <v/>
      </c>
      <c r="I18" s="605">
        <f>I15+I16+I17</f>
        <v/>
      </c>
      <c r="J18" s="605">
        <f>J15+J16+J17</f>
        <v/>
      </c>
      <c r="K18" s="605">
        <f>K15+K16+K17</f>
        <v/>
      </c>
      <c r="L18" s="605">
        <f>L15+L16+L17</f>
        <v/>
      </c>
      <c r="M18" s="605">
        <f>M15+M16+M17</f>
        <v/>
      </c>
      <c r="N18" s="605">
        <f>N15+N16+N17</f>
        <v/>
      </c>
      <c r="O18" s="605">
        <f>O15+O16+O17</f>
        <v/>
      </c>
      <c r="P18" s="605">
        <f>P15+P16+P17</f>
        <v/>
      </c>
      <c r="Q18" s="605">
        <f>Q15+Q16+Q17</f>
        <v/>
      </c>
      <c r="R18" s="605">
        <f>R15+R16+R17</f>
        <v/>
      </c>
      <c r="S18" s="605">
        <f>S15+S16+S17</f>
        <v/>
      </c>
      <c r="T18" s="605">
        <f>T15+T16+T17</f>
        <v/>
      </c>
      <c r="U18" s="605">
        <f>U15+U16+U17</f>
        <v/>
      </c>
      <c r="V18" s="605">
        <f>V15+V16+V17</f>
        <v/>
      </c>
      <c r="W18" s="605">
        <f>W15+W16+W17</f>
        <v/>
      </c>
      <c r="X18" s="605">
        <f>X15+X16+X17</f>
        <v/>
      </c>
      <c r="Y18" s="605">
        <f>Y15+Y16+Y17</f>
        <v/>
      </c>
      <c r="Z18" s="605">
        <f>Z15+Z16+Z17</f>
        <v/>
      </c>
      <c r="AA18" s="605">
        <f>AA15+AA16+AA17</f>
        <v/>
      </c>
      <c r="AB18" s="605">
        <f>AB15+AB16+AB17</f>
        <v/>
      </c>
      <c r="AC18" s="605">
        <f>AC15+AC16+AC17</f>
        <v/>
      </c>
      <c r="AD18" s="605">
        <f>AD15+AD16+AD17</f>
        <v/>
      </c>
      <c r="AE18" s="605">
        <f>AE15+AE16+AE17</f>
        <v/>
      </c>
      <c r="AF18" s="605">
        <f>AF15+AF16+AF17</f>
        <v/>
      </c>
      <c r="AG18" s="605">
        <f>AG15+AG16+AG17</f>
        <v/>
      </c>
      <c r="AH18" s="605">
        <f>AH20-AH19</f>
        <v/>
      </c>
      <c r="AI18" s="608">
        <f>AI20-AI19</f>
        <v/>
      </c>
      <c r="AJ18" s="608">
        <f>AJ20-AJ19</f>
        <v/>
      </c>
      <c r="AK18" s="608">
        <f>AK20-AK19</f>
        <v/>
      </c>
      <c r="AL18" s="608">
        <f>AL20-AL19</f>
        <v/>
      </c>
      <c r="AM18" s="608">
        <f>AM20-AM19</f>
        <v/>
      </c>
      <c r="AN18" s="608">
        <f>AN20-AN19</f>
        <v/>
      </c>
    </row>
    <row r="19">
      <c r="A19" s="43" t="inlineStr">
        <is>
          <t>One-off items</t>
        </is>
      </c>
      <c r="S19" s="526" t="n">
        <v>0</v>
      </c>
      <c r="T19" s="526" t="n">
        <v>0</v>
      </c>
      <c r="U19" s="526" t="n">
        <v>0</v>
      </c>
      <c r="V19" s="526" t="n">
        <v>0</v>
      </c>
      <c r="W19" s="526" t="n">
        <v>-372</v>
      </c>
      <c r="X19" s="526" t="n">
        <v>-158</v>
      </c>
      <c r="Y19" s="526" t="n">
        <v>-243</v>
      </c>
      <c r="Z19" s="526" t="n">
        <v>-174</v>
      </c>
      <c r="AA19" s="526" t="n">
        <v>0</v>
      </c>
      <c r="AB19" s="526" t="n">
        <v>0</v>
      </c>
      <c r="AC19" s="564" t="n">
        <v>0</v>
      </c>
      <c r="AD19" s="564" t="n">
        <v>0</v>
      </c>
      <c r="AE19" s="564" t="n">
        <v>0</v>
      </c>
      <c r="AF19" s="526" t="n">
        <v>-185</v>
      </c>
      <c r="AG19" s="526" t="n">
        <v>-115</v>
      </c>
      <c r="AH19" s="526" t="n">
        <v>0</v>
      </c>
      <c r="AI19" s="564" t="n">
        <v>0</v>
      </c>
      <c r="AJ19" s="564" t="n">
        <v>0</v>
      </c>
      <c r="AK19" s="564" t="n">
        <v>0</v>
      </c>
      <c r="AL19" s="564" t="n">
        <v>0</v>
      </c>
      <c r="AM19" s="564" t="n">
        <v>0</v>
      </c>
      <c r="AN19" s="564" t="n">
        <v>0</v>
      </c>
    </row>
    <row r="20">
      <c r="A20" s="109" t="inlineStr">
        <is>
          <t>Recurring NP</t>
        </is>
      </c>
      <c r="B20" s="605">
        <f>B42</f>
        <v/>
      </c>
      <c r="C20" s="605">
        <f>C42</f>
        <v/>
      </c>
      <c r="D20" s="605">
        <f>D42</f>
        <v/>
      </c>
      <c r="E20" s="605">
        <f>E42</f>
        <v/>
      </c>
      <c r="F20" s="605">
        <f>F42</f>
        <v/>
      </c>
      <c r="G20" s="605">
        <f>G42</f>
        <v/>
      </c>
      <c r="H20" s="605">
        <f>H42</f>
        <v/>
      </c>
      <c r="I20" s="605">
        <f>I18+I19</f>
        <v/>
      </c>
      <c r="J20" s="605">
        <f>J18+J19</f>
        <v/>
      </c>
      <c r="K20" s="605">
        <f>K18+K19</f>
        <v/>
      </c>
      <c r="L20" s="605">
        <f>L18+L19</f>
        <v/>
      </c>
      <c r="M20" s="605">
        <f>M18+M19</f>
        <v/>
      </c>
      <c r="N20" s="605">
        <f>N18+N19</f>
        <v/>
      </c>
      <c r="O20" s="605">
        <f>O18+O19</f>
        <v/>
      </c>
      <c r="P20" s="605">
        <f>P18+P19</f>
        <v/>
      </c>
      <c r="Q20" s="605">
        <f>Q18+Q19</f>
        <v/>
      </c>
      <c r="R20" s="605">
        <f>R18+R19</f>
        <v/>
      </c>
      <c r="S20" s="605">
        <f>S18+S19</f>
        <v/>
      </c>
      <c r="T20" s="605">
        <f>T18+T19</f>
        <v/>
      </c>
      <c r="U20" s="605">
        <f>U18+U19</f>
        <v/>
      </c>
      <c r="V20" s="605">
        <f>V18+V19</f>
        <v/>
      </c>
      <c r="W20" s="605">
        <f>W18-W19</f>
        <v/>
      </c>
      <c r="X20" s="605">
        <f>X18-X19</f>
        <v/>
      </c>
      <c r="Y20" s="605">
        <f>Y18-Y19</f>
        <v/>
      </c>
      <c r="Z20" s="605">
        <f>Z18-Z19</f>
        <v/>
      </c>
      <c r="AA20" s="605">
        <f>AA18-AA19</f>
        <v/>
      </c>
      <c r="AB20" s="605">
        <f>AB18-AB19</f>
        <v/>
      </c>
      <c r="AC20" s="605">
        <f>AC18-AC19</f>
        <v/>
      </c>
      <c r="AD20" s="605">
        <f>AD18-AD19</f>
        <v/>
      </c>
      <c r="AE20" s="605">
        <f>AE18-AE19</f>
        <v/>
      </c>
      <c r="AF20" s="605">
        <f>AF18-AF19</f>
        <v/>
      </c>
      <c r="AG20" s="605">
        <f>AG18-AG19</f>
        <v/>
      </c>
      <c r="AH20" s="605">
        <f>AH42</f>
        <v/>
      </c>
      <c r="AI20" s="608">
        <f>AI42</f>
        <v/>
      </c>
      <c r="AJ20" s="608">
        <f>AJ42</f>
        <v/>
      </c>
      <c r="AK20" s="608">
        <f>AK42</f>
        <v/>
      </c>
      <c r="AL20" s="608">
        <f>AL42</f>
        <v/>
      </c>
      <c r="AM20" s="608">
        <f>AM42</f>
        <v/>
      </c>
      <c r="AN20" s="608">
        <f>AN42</f>
        <v/>
      </c>
      <c r="AP20" s="131" t="n"/>
      <c r="AQ20" s="131" t="n"/>
      <c r="AR20" s="131" t="n"/>
      <c r="AS20" s="131" t="n"/>
      <c r="AT20" s="131" t="n"/>
      <c r="AU20" s="131" t="n"/>
      <c r="AV20" s="131" t="n"/>
      <c r="AW20" s="131" t="n"/>
      <c r="AX20" s="131" t="n"/>
      <c r="AY20" s="131" t="n"/>
    </row>
    <row r="21">
      <c r="A21" s="43" t="inlineStr">
        <is>
          <t>YoY</t>
        </is>
      </c>
      <c r="B21" s="597" t="n"/>
      <c r="C21" s="597" t="n"/>
      <c r="D21" s="597" t="n"/>
      <c r="E21" s="597" t="n"/>
      <c r="F21" s="597" t="n"/>
      <c r="G21" s="597" t="n"/>
      <c r="H21" s="597" t="n"/>
      <c r="I21" s="597" t="n"/>
      <c r="J21" s="597" t="n"/>
      <c r="K21" s="597" t="n"/>
      <c r="L21" s="597" t="n"/>
      <c r="M21" s="131">
        <f>M20/L20-1</f>
        <v/>
      </c>
      <c r="N21" s="131">
        <f>N20/M20-1</f>
        <v/>
      </c>
      <c r="O21" s="131">
        <f>O20/N20-1</f>
        <v/>
      </c>
      <c r="P21" s="131">
        <f>P20/O20-1</f>
        <v/>
      </c>
      <c r="Q21" s="131">
        <f>Q20/P20-1</f>
        <v/>
      </c>
      <c r="R21" s="131">
        <f>R20/Q20-1</f>
        <v/>
      </c>
      <c r="S21" s="131">
        <f>S20/R20-1</f>
        <v/>
      </c>
      <c r="T21" s="131">
        <f>T20/S20-1</f>
        <v/>
      </c>
      <c r="U21" s="131">
        <f>U20/T20-1</f>
        <v/>
      </c>
      <c r="V21" s="131">
        <f>V20/U20-1</f>
        <v/>
      </c>
      <c r="W21" s="131">
        <f>W20/V20-1</f>
        <v/>
      </c>
      <c r="X21" s="131">
        <f>X20/W20-1</f>
        <v/>
      </c>
      <c r="Y21" s="131">
        <f>Y20/X20-1</f>
        <v/>
      </c>
      <c r="Z21" s="131">
        <f>Z20/Y20-1</f>
        <v/>
      </c>
      <c r="AA21" s="131">
        <f>AA20/Z20-1</f>
        <v/>
      </c>
      <c r="AB21" s="131">
        <f>AB20/AA20-1</f>
        <v/>
      </c>
      <c r="AC21" s="131">
        <f>AC20/AB20-1</f>
        <v/>
      </c>
      <c r="AD21" s="131">
        <f>AD20/AC20-1</f>
        <v/>
      </c>
      <c r="AE21" s="131">
        <f>AE20/AD20-1</f>
        <v/>
      </c>
      <c r="AF21" s="131">
        <f>AF20/AE20-1</f>
        <v/>
      </c>
      <c r="AG21" s="131">
        <f>AG20/AF20-1</f>
        <v/>
      </c>
      <c r="AH21" s="131">
        <f>AH20/AG20-1</f>
        <v/>
      </c>
      <c r="AI21" s="131">
        <f>AI20/AH20-1</f>
        <v/>
      </c>
      <c r="AJ21" s="131">
        <f>AJ20/AI20-1</f>
        <v/>
      </c>
      <c r="AK21" s="131">
        <f>AK20/AJ20-1</f>
        <v/>
      </c>
      <c r="AL21" s="131">
        <f>AL20/AK20-1</f>
        <v/>
      </c>
      <c r="AM21" s="131">
        <f>AM20/AL20-1</f>
        <v/>
      </c>
      <c r="AN21" s="131">
        <f>AN20/AM20-1</f>
        <v/>
      </c>
    </row>
    <row r="22">
      <c r="A22" s="43" t="n"/>
      <c r="Z22" s="679" t="n"/>
      <c r="AA22" s="679" t="n"/>
      <c r="AB22" s="131" t="n"/>
      <c r="AC22" s="131" t="n"/>
      <c r="AD22" s="131" t="n"/>
      <c r="AE22" s="131" t="n"/>
      <c r="AF22" s="131" t="n"/>
      <c r="AG22" s="131" t="n"/>
      <c r="AH22" s="131" t="n"/>
      <c r="AI22" s="131" t="n"/>
      <c r="AJ22" s="131" t="n"/>
      <c r="AK22" s="131" t="n"/>
      <c r="AL22" s="131" t="n"/>
      <c r="AM22" s="131" t="n"/>
      <c r="AN22" s="131" t="n"/>
    </row>
    <row r="23">
      <c r="A23" s="6" t="inlineStr">
        <is>
          <t>Performance by segment</t>
        </is>
      </c>
      <c r="B23" s="85" t="n"/>
      <c r="C23" s="85" t="n"/>
      <c r="D23" s="85" t="n"/>
      <c r="E23" s="85" t="n"/>
      <c r="F23" s="85" t="n"/>
      <c r="G23" s="85" t="n"/>
      <c r="H23" s="85" t="n"/>
      <c r="I23" s="85" t="n"/>
      <c r="J23" s="85" t="n"/>
      <c r="K23" s="85" t="n"/>
      <c r="L23" s="85" t="n"/>
      <c r="M23" s="85" t="n"/>
      <c r="N23" s="85" t="n"/>
      <c r="O23" s="85" t="n"/>
      <c r="P23" s="85" t="n"/>
      <c r="Q23" s="85" t="n"/>
      <c r="R23" s="85" t="n"/>
      <c r="S23" s="85" t="n"/>
      <c r="T23" s="85" t="n"/>
      <c r="U23" s="85" t="n"/>
      <c r="V23" s="85" t="n"/>
      <c r="W23" s="85" t="n"/>
      <c r="X23" s="85" t="n"/>
      <c r="Y23" s="85" t="n"/>
      <c r="Z23" s="85" t="n"/>
      <c r="AA23" s="85" t="n"/>
      <c r="AB23" s="85" t="n"/>
      <c r="AC23" s="85" t="n"/>
      <c r="AD23" s="85" t="n"/>
      <c r="AE23" s="85" t="n"/>
      <c r="AF23" s="85" t="n"/>
      <c r="AG23" s="85" t="n"/>
      <c r="AH23" s="85" t="n"/>
      <c r="AI23" s="85" t="n"/>
      <c r="AJ23" s="85" t="n"/>
      <c r="AK23" s="85" t="n"/>
      <c r="AL23" s="85" t="n"/>
      <c r="AM23" s="85" t="n"/>
      <c r="AN23" s="85" t="n"/>
    </row>
    <row r="24">
      <c r="A24" s="88" t="inlineStr">
        <is>
          <t>Recurring NP by segment</t>
        </is>
      </c>
      <c r="B24" s="643" t="n"/>
      <c r="C24" s="643" t="n"/>
      <c r="D24" s="643" t="n"/>
      <c r="E24" s="643" t="n"/>
      <c r="F24" s="643" t="n"/>
      <c r="G24" s="643" t="n"/>
      <c r="H24" s="643" t="n"/>
      <c r="I24" s="643" t="n"/>
      <c r="J24" s="643" t="n"/>
      <c r="K24" s="643" t="n"/>
      <c r="L24" s="643" t="n"/>
      <c r="M24" s="643" t="n"/>
      <c r="N24" s="643" t="n"/>
      <c r="O24" s="643" t="n"/>
      <c r="P24" s="643" t="n"/>
      <c r="Q24" s="643" t="n"/>
      <c r="R24" s="643" t="n"/>
      <c r="S24" s="643" t="n"/>
      <c r="T24" s="643" t="n"/>
      <c r="U24" s="643" t="n"/>
      <c r="V24" s="643" t="n"/>
      <c r="W24" s="643" t="n"/>
      <c r="X24" s="643" t="n"/>
      <c r="Y24" s="643" t="n"/>
      <c r="Z24" s="643" t="n"/>
      <c r="AA24" s="643" t="n"/>
      <c r="AB24" s="643" t="n"/>
      <c r="AC24" s="643" t="n"/>
      <c r="AD24" s="643" t="n"/>
      <c r="AE24" s="643" t="n"/>
      <c r="AF24" s="643" t="n"/>
      <c r="AG24" s="643" t="n"/>
      <c r="AH24" s="643" t="n"/>
      <c r="AI24" s="643" t="n"/>
      <c r="AJ24" s="643" t="n"/>
      <c r="AK24" s="643" t="n"/>
      <c r="AL24" s="643" t="n"/>
      <c r="AM24" s="643" t="n"/>
      <c r="AN24" s="643" t="n"/>
    </row>
    <row r="25">
      <c r="A25" s="597" t="inlineStr">
        <is>
          <t>Renewable</t>
        </is>
      </c>
      <c r="B25" s="597">
        <f>SUM(B26:B28)</f>
        <v/>
      </c>
      <c r="C25" s="597">
        <f>SUM(C26:C28)</f>
        <v/>
      </c>
      <c r="D25" s="597">
        <f>SUM(D26:D28)</f>
        <v/>
      </c>
      <c r="E25" s="597">
        <f>SUM(E26:E28)</f>
        <v/>
      </c>
      <c r="F25" s="597">
        <f>SUM(F26:F28)</f>
        <v/>
      </c>
      <c r="G25" s="597">
        <f>SUM(G26:G28)</f>
        <v/>
      </c>
      <c r="H25" s="597">
        <f>SUM(H26:H28)</f>
        <v/>
      </c>
      <c r="I25" s="597">
        <f>SUM(I26:I28)</f>
        <v/>
      </c>
      <c r="J25" s="597">
        <f>SUM(J26:J28)</f>
        <v/>
      </c>
      <c r="K25" s="597">
        <f>SUM(K26:K28)</f>
        <v/>
      </c>
      <c r="L25" s="597">
        <f>SUM(L26:L28)</f>
        <v/>
      </c>
      <c r="M25" s="597">
        <f>SUM(M26:M28)</f>
        <v/>
      </c>
      <c r="N25" s="597">
        <f>SUM(N26:N28)</f>
        <v/>
      </c>
      <c r="O25" s="597">
        <f>SUM(O26:O28)</f>
        <v/>
      </c>
      <c r="P25" s="597">
        <f>SUM(P26:P28)</f>
        <v/>
      </c>
      <c r="Q25" s="597">
        <f>SUM(Q26:Q28)</f>
        <v/>
      </c>
      <c r="R25" s="597">
        <f>SUM(R26:R28)</f>
        <v/>
      </c>
      <c r="S25" s="597">
        <f>SUM(S26:S28)</f>
        <v/>
      </c>
      <c r="T25" s="597">
        <f>SUM(T26:T28)</f>
        <v/>
      </c>
      <c r="U25" s="597">
        <f>SUM(U26:U28)</f>
        <v/>
      </c>
      <c r="V25" s="597">
        <f>SUM(V26:V28)</f>
        <v/>
      </c>
      <c r="W25" s="597">
        <f>SUM(W26:W28)</f>
        <v/>
      </c>
      <c r="X25" s="597">
        <f>SUM(X26:X28)</f>
        <v/>
      </c>
      <c r="Y25" s="597">
        <f>SUM(Y26:Y28)</f>
        <v/>
      </c>
      <c r="Z25" s="597">
        <f>SUM(Z26:Z28)</f>
        <v/>
      </c>
      <c r="AA25" s="597">
        <f>SUM(AA26:AA28)</f>
        <v/>
      </c>
      <c r="AB25" s="597">
        <f>SUM(AB26:AB28)</f>
        <v/>
      </c>
      <c r="AC25" s="597">
        <f>SUM(AC26:AC28)</f>
        <v/>
      </c>
      <c r="AD25" s="597">
        <f>SUM(AD26:AD28)</f>
        <v/>
      </c>
      <c r="AE25" s="597">
        <f>SUM(AE26:AE28)</f>
        <v/>
      </c>
      <c r="AF25" s="597">
        <f>SUM(AF26:AF28)</f>
        <v/>
      </c>
      <c r="AG25" s="597">
        <f>SUM(AG26:AG28)</f>
        <v/>
      </c>
      <c r="AH25" s="597">
        <f>SUM(AH26:AH28)</f>
        <v/>
      </c>
      <c r="AI25" s="597">
        <f>SUM(AI26:AI28)</f>
        <v/>
      </c>
      <c r="AJ25" s="597">
        <f>SUM(AJ26:AJ28)</f>
        <v/>
      </c>
      <c r="AK25" s="597">
        <f>SUM(AK26:AK28)</f>
        <v/>
      </c>
      <c r="AL25" s="597">
        <f>SUM(AL26:AL28)</f>
        <v/>
      </c>
      <c r="AM25" s="597">
        <f>SUM(AM26:AM28)</f>
        <v/>
      </c>
      <c r="AN25" s="597">
        <f>SUM(AN26:AN28)</f>
        <v/>
      </c>
      <c r="AR25" s="131" t="n"/>
    </row>
    <row r="26">
      <c r="A26" s="681" t="inlineStr">
        <is>
          <t>Wind</t>
        </is>
      </c>
      <c r="W26" s="526" t="n">
        <v>192</v>
      </c>
      <c r="X26" s="526" t="n">
        <v>144</v>
      </c>
      <c r="Y26" s="526" t="n">
        <v>151</v>
      </c>
      <c r="Z26" s="526" t="n">
        <v>202</v>
      </c>
      <c r="AA26" s="526" t="n">
        <v>245</v>
      </c>
      <c r="AB26" s="526" t="n">
        <v>314</v>
      </c>
      <c r="AC26" s="526" t="n">
        <v>270</v>
      </c>
      <c r="AD26" s="526" t="n">
        <v>306</v>
      </c>
      <c r="AE26" s="526" t="n">
        <v>305</v>
      </c>
      <c r="AF26" s="526" t="n">
        <v>313</v>
      </c>
      <c r="AG26" s="526" t="n">
        <v>308</v>
      </c>
      <c r="AH26" s="526" t="n">
        <v>312</v>
      </c>
      <c r="AI26" s="564">
        <f>AI66*AI79*AI$2</f>
        <v/>
      </c>
      <c r="AJ26" s="564">
        <f>AJ66*AJ79*AJ$2</f>
        <v/>
      </c>
      <c r="AK26" s="564">
        <f>AK66*AK79*AK$2</f>
        <v/>
      </c>
      <c r="AL26" s="564">
        <f>AL66*AL79*AL$2</f>
        <v/>
      </c>
      <c r="AM26" s="564">
        <f>AM66*AM79*AM$2</f>
        <v/>
      </c>
      <c r="AN26" s="564">
        <f>AN66*AN79*AN$2</f>
        <v/>
      </c>
      <c r="AO26" s="131">
        <f>AI26/AH26-1</f>
        <v/>
      </c>
      <c r="AP26" s="526" t="n">
        <v>161</v>
      </c>
      <c r="AQ26" s="526" t="n">
        <v>228</v>
      </c>
      <c r="AR26" s="131">
        <f>AP26/AQ26-1</f>
        <v/>
      </c>
    </row>
    <row r="27">
      <c r="A27" s="681" t="inlineStr">
        <is>
          <t>Hydro</t>
        </is>
      </c>
      <c r="W27" s="526" t="n">
        <v>129</v>
      </c>
      <c r="X27" s="526" t="n">
        <v>107</v>
      </c>
      <c r="Y27" s="526" t="n">
        <v>87</v>
      </c>
      <c r="Z27" s="526" t="n">
        <v>121</v>
      </c>
      <c r="AA27" s="526" t="n">
        <v>100</v>
      </c>
      <c r="AB27" s="526" t="n">
        <v>93</v>
      </c>
      <c r="AC27" s="526" t="n">
        <v>104</v>
      </c>
      <c r="AD27" s="526" t="n">
        <v>88</v>
      </c>
      <c r="AE27" s="526" t="n">
        <v>45</v>
      </c>
      <c r="AF27" s="526" t="n">
        <v>112</v>
      </c>
      <c r="AG27" s="526" t="n">
        <v>101</v>
      </c>
      <c r="AH27" s="526" t="n">
        <v>111</v>
      </c>
      <c r="AI27" s="564">
        <f>AI67*AI80*AI$2</f>
        <v/>
      </c>
      <c r="AJ27" s="564">
        <f>AJ67*AJ80*AJ$2</f>
        <v/>
      </c>
      <c r="AK27" s="564">
        <f>AK67*AK80*AK$2</f>
        <v/>
      </c>
      <c r="AL27" s="564">
        <f>AL67*AL80*AL$2</f>
        <v/>
      </c>
      <c r="AM27" s="564">
        <f>AM67*AM80*AM$2</f>
        <v/>
      </c>
      <c r="AN27" s="564">
        <f>AN67*AN80*AN$2</f>
        <v/>
      </c>
      <c r="AO27" s="131">
        <f>AI27/AH27-1</f>
        <v/>
      </c>
      <c r="AP27" s="526" t="n">
        <v>50</v>
      </c>
      <c r="AQ27" s="526" t="n">
        <v>36</v>
      </c>
      <c r="AR27" s="131">
        <f>AP27/AQ27-1</f>
        <v/>
      </c>
    </row>
    <row r="28">
      <c r="A28" s="681" t="inlineStr">
        <is>
          <t>Solar</t>
        </is>
      </c>
      <c r="W28" s="526" t="n">
        <v>85</v>
      </c>
      <c r="X28" s="526" t="n">
        <v>-7</v>
      </c>
      <c r="Y28" s="526" t="n">
        <v>79</v>
      </c>
      <c r="Z28" s="526" t="n">
        <v>81</v>
      </c>
      <c r="AA28" s="526" t="n">
        <v>96</v>
      </c>
      <c r="AB28" s="526" t="n">
        <v>123</v>
      </c>
      <c r="AC28" s="526" t="n">
        <v>173</v>
      </c>
      <c r="AD28" s="526" t="n">
        <v>171</v>
      </c>
      <c r="AE28" s="526" t="n">
        <v>195</v>
      </c>
      <c r="AF28" s="526" t="n">
        <v>185</v>
      </c>
      <c r="AG28" s="526" t="n">
        <v>194</v>
      </c>
      <c r="AH28" s="526" t="n">
        <v>148</v>
      </c>
      <c r="AI28" s="564">
        <f>AI68*AI81*AI$2</f>
        <v/>
      </c>
      <c r="AJ28" s="564">
        <f>AJ68*AJ81*AJ$2</f>
        <v/>
      </c>
      <c r="AK28" s="564">
        <f>AK68*AK81*AK$2</f>
        <v/>
      </c>
      <c r="AL28" s="564">
        <f>AL68*AL81*AL$2</f>
        <v/>
      </c>
      <c r="AM28" s="564">
        <f>AM68*AM81*AM$2</f>
        <v/>
      </c>
      <c r="AN28" s="564">
        <f>AN68*AN81*AN$2</f>
        <v/>
      </c>
      <c r="AO28" s="131">
        <f>AI28/AH28-1</f>
        <v/>
      </c>
      <c r="AP28" s="526" t="n">
        <v>84</v>
      </c>
      <c r="AQ28" s="526" t="n">
        <v>87</v>
      </c>
      <c r="AR28" s="131">
        <f>AP28/AQ28-1</f>
        <v/>
      </c>
    </row>
    <row r="29">
      <c r="A29" s="597" t="inlineStr">
        <is>
          <t>Nuclear</t>
        </is>
      </c>
      <c r="B29" s="597">
        <f>SUM(B30:B31)</f>
        <v/>
      </c>
      <c r="C29" s="597">
        <f>SUM(C30:C31)</f>
        <v/>
      </c>
      <c r="D29" s="597">
        <f>SUM(D30:D31)</f>
        <v/>
      </c>
      <c r="E29" s="597">
        <f>SUM(E30:E31)</f>
        <v/>
      </c>
      <c r="F29" s="597">
        <f>SUM(F30:F31)</f>
        <v/>
      </c>
      <c r="G29" s="597">
        <f>SUM(G30:G31)</f>
        <v/>
      </c>
      <c r="H29" s="597">
        <f>SUM(H30:H31)</f>
        <v/>
      </c>
      <c r="I29" s="597">
        <f>SUM(I30:I31)</f>
        <v/>
      </c>
      <c r="J29" s="597">
        <f>SUM(J30:J31)</f>
        <v/>
      </c>
      <c r="K29" s="597">
        <f>SUM(K30:K31)</f>
        <v/>
      </c>
      <c r="L29" s="597">
        <f>SUM(L30:L31)</f>
        <v/>
      </c>
      <c r="M29" s="597">
        <f>SUM(M30:M31)</f>
        <v/>
      </c>
      <c r="N29" s="597">
        <f>SUM(N30:N31)</f>
        <v/>
      </c>
      <c r="O29" s="597">
        <f>SUM(O30:O31)</f>
        <v/>
      </c>
      <c r="P29" s="597">
        <f>SUM(P30:P31)</f>
        <v/>
      </c>
      <c r="Q29" s="597">
        <f>SUM(Q30:Q31)</f>
        <v/>
      </c>
      <c r="R29" s="597">
        <f>SUM(R30:R31)</f>
        <v/>
      </c>
      <c r="S29" s="597">
        <f>SUM(S30:S31)</f>
        <v/>
      </c>
      <c r="T29" s="597">
        <f>SUM(T30:T31)</f>
        <v/>
      </c>
      <c r="U29" s="597">
        <f>SUM(U30:U31)</f>
        <v/>
      </c>
      <c r="V29" s="597">
        <f>SUM(V30:V31)</f>
        <v/>
      </c>
      <c r="W29" s="597">
        <f>SUM(W30:W31)</f>
        <v/>
      </c>
      <c r="X29" s="597">
        <f>SUM(X30:X31)</f>
        <v/>
      </c>
      <c r="Y29" s="597">
        <f>SUM(Y30:Y31)</f>
        <v/>
      </c>
      <c r="Z29" s="597">
        <f>SUM(Z30:Z31)</f>
        <v/>
      </c>
      <c r="AA29" s="597" t="n">
        <v>913</v>
      </c>
      <c r="AB29" s="597" t="n">
        <v>1720</v>
      </c>
      <c r="AC29" s="597" t="n">
        <v>1688</v>
      </c>
      <c r="AD29" s="597" t="n">
        <v>1594</v>
      </c>
      <c r="AE29" s="597" t="n">
        <v>1908</v>
      </c>
      <c r="AF29" s="597" t="n">
        <v>1965</v>
      </c>
      <c r="AG29" s="597" t="n">
        <v>1888</v>
      </c>
      <c r="AH29" s="597">
        <f>SUM(AH30:AH31)</f>
        <v/>
      </c>
      <c r="AI29" s="613">
        <f>SUM(AI30:AI31)</f>
        <v/>
      </c>
      <c r="AJ29" s="613">
        <f>SUM(AJ30:AJ31)</f>
        <v/>
      </c>
      <c r="AK29" s="613">
        <f>SUM(AK30:AK31)</f>
        <v/>
      </c>
      <c r="AL29" s="613">
        <f>SUM(AL30:AL31)</f>
        <v/>
      </c>
      <c r="AM29" s="613">
        <f>SUM(AM30:AM31)</f>
        <v/>
      </c>
      <c r="AN29" s="613">
        <f>SUM(AN30:AN31)</f>
        <v/>
      </c>
      <c r="AO29" s="131">
        <f>AI29/AH29-1</f>
        <v/>
      </c>
      <c r="AR29" s="131" t="n"/>
    </row>
    <row r="30">
      <c r="A30" s="681" t="inlineStr">
        <is>
          <t>Daya Bay</t>
        </is>
      </c>
      <c r="B30" s="526" t="n">
        <v>0</v>
      </c>
      <c r="C30" s="526" t="n">
        <v>0</v>
      </c>
      <c r="D30" s="526" t="n">
        <v>135</v>
      </c>
      <c r="E30" s="526" t="n">
        <v>218</v>
      </c>
      <c r="F30" s="526" t="n">
        <v>296</v>
      </c>
      <c r="G30" s="526" t="n">
        <v>350</v>
      </c>
      <c r="H30" s="526" t="n">
        <v>423</v>
      </c>
      <c r="I30" s="526" t="n">
        <v>578</v>
      </c>
      <c r="J30" s="526" t="n">
        <v>551</v>
      </c>
      <c r="K30" s="526" t="n">
        <v>700</v>
      </c>
      <c r="L30" s="526" t="n">
        <v>676</v>
      </c>
      <c r="M30" s="526" t="n">
        <v>696</v>
      </c>
      <c r="N30" s="526" t="n">
        <v>663</v>
      </c>
      <c r="O30" s="526" t="n">
        <v>698</v>
      </c>
      <c r="P30" s="526" t="n">
        <v>691</v>
      </c>
      <c r="Q30" s="526" t="n">
        <v>723</v>
      </c>
      <c r="R30" s="526" t="n">
        <v>830</v>
      </c>
      <c r="S30" s="526" t="n">
        <v>715</v>
      </c>
      <c r="T30" s="526" t="n">
        <v>804</v>
      </c>
      <c r="U30" s="526" t="n">
        <v>639</v>
      </c>
      <c r="V30" s="526" t="n">
        <v>579</v>
      </c>
      <c r="W30" s="526" t="n">
        <v>602</v>
      </c>
      <c r="X30" s="526" t="n">
        <v>774</v>
      </c>
      <c r="Y30" s="526" t="n">
        <v>844</v>
      </c>
      <c r="Z30" s="526" t="n">
        <v>863</v>
      </c>
      <c r="AA30" s="526">
        <f>AA29-AA31</f>
        <v/>
      </c>
      <c r="AB30" s="526">
        <f>AB29-AB31</f>
        <v/>
      </c>
      <c r="AC30" s="526">
        <f>AC29-AC31</f>
        <v/>
      </c>
      <c r="AD30" s="526" t="n">
        <v>933</v>
      </c>
      <c r="AE30" s="526" t="n">
        <v>963</v>
      </c>
      <c r="AF30" s="526" t="n">
        <v>970</v>
      </c>
      <c r="AG30" s="526" t="n">
        <v>943</v>
      </c>
      <c r="AH30" s="526" t="n">
        <v>911</v>
      </c>
      <c r="AI30" s="564">
        <f>AI70*AI83*AI$2</f>
        <v/>
      </c>
      <c r="AJ30" s="564">
        <f>AJ70*AJ83*AJ$2</f>
        <v/>
      </c>
      <c r="AK30" s="564">
        <f>AK70*AK83*AK$2</f>
        <v/>
      </c>
      <c r="AL30" s="564">
        <f>AL70*AL83*AL$2</f>
        <v/>
      </c>
      <c r="AM30" s="564">
        <f>AM70*AM83*AM$2</f>
        <v/>
      </c>
      <c r="AN30" s="564">
        <f>AN70*AN83*AN$2</f>
        <v/>
      </c>
      <c r="AO30" s="131">
        <f>AI30/AH30-1</f>
        <v/>
      </c>
      <c r="AP30" s="526" t="n">
        <v>433</v>
      </c>
      <c r="AQ30" s="526" t="n">
        <v>344</v>
      </c>
      <c r="AR30" s="131">
        <f>AP30/AQ30-1</f>
        <v/>
      </c>
    </row>
    <row r="31">
      <c r="A31" s="681" t="inlineStr">
        <is>
          <t>Yangjiang</t>
        </is>
      </c>
      <c r="W31" s="526" t="n">
        <v>0</v>
      </c>
      <c r="X31" s="526" t="n">
        <v>0</v>
      </c>
      <c r="Y31" s="526" t="n">
        <v>0</v>
      </c>
      <c r="Z31" s="526" t="n">
        <v>0</v>
      </c>
      <c r="AA31" s="526" t="n">
        <v>34</v>
      </c>
      <c r="AB31" s="526" t="n">
        <v>800</v>
      </c>
      <c r="AC31" s="526" t="n">
        <v>750</v>
      </c>
      <c r="AD31" s="526" t="n">
        <v>661</v>
      </c>
      <c r="AE31" s="526" t="n">
        <v>945</v>
      </c>
      <c r="AF31" s="526" t="n">
        <v>995</v>
      </c>
      <c r="AG31" s="526" t="n">
        <v>945</v>
      </c>
      <c r="AH31" s="526" t="n">
        <v>760</v>
      </c>
      <c r="AI31" s="564">
        <f>AI71*AI84*AI$2</f>
        <v/>
      </c>
      <c r="AJ31" s="564">
        <f>AJ71*AJ84*AJ$2</f>
        <v/>
      </c>
      <c r="AK31" s="564">
        <f>AK71*AK84*AK$2</f>
        <v/>
      </c>
      <c r="AL31" s="564">
        <f>AL71*AL84*AL$2</f>
        <v/>
      </c>
      <c r="AM31" s="564">
        <f>AM71*AM84*AM$2</f>
        <v/>
      </c>
      <c r="AN31" s="564">
        <f>AN71*AN84*AN$2</f>
        <v/>
      </c>
      <c r="AO31" s="131">
        <f>AI31/AH31-1</f>
        <v/>
      </c>
      <c r="AP31" s="526" t="n">
        <v>328</v>
      </c>
      <c r="AQ31" s="526" t="n">
        <v>492</v>
      </c>
      <c r="AR31" s="131">
        <f>AP31/AQ31-1</f>
        <v/>
      </c>
    </row>
    <row r="32">
      <c r="A32" s="597" t="inlineStr">
        <is>
          <t>Thermal</t>
        </is>
      </c>
      <c r="B32" s="597">
        <f>SUM(B33:B35)</f>
        <v/>
      </c>
      <c r="C32" s="597">
        <f>SUM(C33:C35)</f>
        <v/>
      </c>
      <c r="D32" s="597">
        <f>SUM(D33:D35)</f>
        <v/>
      </c>
      <c r="E32" s="597">
        <f>SUM(E33:E35)</f>
        <v/>
      </c>
      <c r="F32" s="597">
        <f>SUM(F33:F35)</f>
        <v/>
      </c>
      <c r="G32" s="597">
        <f>SUM(G33:G35)</f>
        <v/>
      </c>
      <c r="H32" s="597">
        <f>SUM(H33:H35)</f>
        <v/>
      </c>
      <c r="I32" s="597">
        <f>SUM(I33:I35)</f>
        <v/>
      </c>
      <c r="J32" s="597">
        <f>SUM(J33:J35)</f>
        <v/>
      </c>
      <c r="K32" s="597">
        <f>SUM(K33:K35)</f>
        <v/>
      </c>
      <c r="L32" s="597">
        <f>SUM(L33:L35)</f>
        <v/>
      </c>
      <c r="M32" s="597">
        <f>SUM(M33:M35)</f>
        <v/>
      </c>
      <c r="N32" s="597">
        <f>SUM(N33:N35)</f>
        <v/>
      </c>
      <c r="O32" s="597">
        <f>SUM(O33:O35)</f>
        <v/>
      </c>
      <c r="P32" s="597">
        <f>SUM(P33:P35)</f>
        <v/>
      </c>
      <c r="Q32" s="597">
        <f>SUM(Q33:Q35)</f>
        <v/>
      </c>
      <c r="R32" s="597">
        <f>SUM(R33:R35)</f>
        <v/>
      </c>
      <c r="S32" s="597">
        <f>SUM(S33:S35)</f>
        <v/>
      </c>
      <c r="T32" s="597">
        <f>SUM(T33:T35)</f>
        <v/>
      </c>
      <c r="U32" s="597">
        <f>SUM(U33:U35)</f>
        <v/>
      </c>
      <c r="V32" s="597">
        <f>SUM(V33:V35)</f>
        <v/>
      </c>
      <c r="W32" s="597">
        <f>SUM(W33:W35)</f>
        <v/>
      </c>
      <c r="X32" s="597">
        <f>SUM(X33:X35)</f>
        <v/>
      </c>
      <c r="Y32" s="597">
        <f>SUM(Y33:Y35)</f>
        <v/>
      </c>
      <c r="Z32" s="597">
        <f>SUM(Z33:Z35)</f>
        <v/>
      </c>
      <c r="AA32" s="597">
        <f>SUM(AA33:AA35)</f>
        <v/>
      </c>
      <c r="AB32" s="597">
        <f>SUM(AB33:AB35)</f>
        <v/>
      </c>
      <c r="AC32" s="597">
        <f>SUM(AC33:AC35)</f>
        <v/>
      </c>
      <c r="AD32" s="597" t="n">
        <v>203</v>
      </c>
      <c r="AE32" s="597" t="n">
        <v>-572</v>
      </c>
      <c r="AF32" s="597" t="n">
        <v>45</v>
      </c>
      <c r="AG32" s="597" t="n">
        <v>-11</v>
      </c>
      <c r="AH32" s="597" t="n">
        <v>5</v>
      </c>
      <c r="AI32" s="613">
        <f>SUM(AI33:AI35)</f>
        <v/>
      </c>
      <c r="AJ32" s="613">
        <f>SUM(AJ33:AJ35)</f>
        <v/>
      </c>
      <c r="AK32" s="613">
        <f>SUM(AK33:AK35)</f>
        <v/>
      </c>
      <c r="AL32" s="613">
        <f>SUM(AL33:AL35)</f>
        <v/>
      </c>
      <c r="AM32" s="613">
        <f>SUM(AM33:AM35)</f>
        <v/>
      </c>
      <c r="AN32" s="613">
        <f>SUM(AN33:AN35)</f>
        <v/>
      </c>
      <c r="AR32" s="131" t="n"/>
    </row>
    <row r="33">
      <c r="A33" s="681" t="inlineStr">
        <is>
          <t>Shandong (29.4%)</t>
        </is>
      </c>
      <c r="W33" s="526" t="n">
        <v>312</v>
      </c>
      <c r="X33" s="526" t="n">
        <v>426</v>
      </c>
      <c r="Y33" s="526" t="n">
        <v>558</v>
      </c>
      <c r="Z33" s="526" t="n">
        <v>250</v>
      </c>
      <c r="AA33" s="526" t="n">
        <v>58</v>
      </c>
      <c r="AB33" s="526" t="n">
        <v>13</v>
      </c>
      <c r="AC33" s="526" t="n">
        <v>-6</v>
      </c>
      <c r="AD33" s="526" t="n">
        <v>-7</v>
      </c>
      <c r="AE33" s="526" t="n">
        <v>-321</v>
      </c>
      <c r="AF33" s="526" t="n">
        <v>7</v>
      </c>
      <c r="AG33" s="526" t="n">
        <v>6</v>
      </c>
      <c r="AH33" s="526" t="n">
        <v>6</v>
      </c>
      <c r="AI33" s="564">
        <f>AI73*AI86*AI$2</f>
        <v/>
      </c>
      <c r="AJ33" s="564">
        <f>AJ73*AJ86*AJ$2</f>
        <v/>
      </c>
      <c r="AK33" s="564">
        <f>AK73*AK86*AK$2</f>
        <v/>
      </c>
      <c r="AL33" s="564">
        <f>AL73*AL86*AL$2</f>
        <v/>
      </c>
      <c r="AM33" s="564">
        <f>AM73*AM86*AM$2</f>
        <v/>
      </c>
      <c r="AN33" s="564">
        <f>AN73*AN86*AN$2</f>
        <v/>
      </c>
      <c r="AR33" s="131" t="n"/>
    </row>
    <row r="34">
      <c r="A34" s="681" t="inlineStr">
        <is>
          <t>Guohua (30%)</t>
        </is>
      </c>
      <c r="W34" s="526" t="n">
        <v>302</v>
      </c>
      <c r="X34" s="526" t="n">
        <v>0</v>
      </c>
      <c r="Y34" s="526" t="n">
        <v>316</v>
      </c>
      <c r="Z34" s="526" t="n">
        <v>170</v>
      </c>
      <c r="AA34" s="526" t="n">
        <v>67</v>
      </c>
      <c r="AB34" s="526" t="n">
        <v>15</v>
      </c>
      <c r="AC34" s="526" t="n">
        <v>33</v>
      </c>
      <c r="AD34" s="526" t="n">
        <v>-1</v>
      </c>
      <c r="AE34" s="526" t="n">
        <v>-149</v>
      </c>
      <c r="AF34" s="526" t="n">
        <v>98</v>
      </c>
      <c r="AG34" s="526" t="n">
        <v>-17</v>
      </c>
      <c r="AH34" s="526" t="n">
        <v>-1</v>
      </c>
      <c r="AI34" s="564">
        <f>AI74*AI87*AI$2</f>
        <v/>
      </c>
      <c r="AJ34" s="564">
        <f>AJ74*AJ87*AJ$2</f>
        <v/>
      </c>
      <c r="AK34" s="564">
        <f>AK74*AK87*AK$2</f>
        <v/>
      </c>
      <c r="AL34" s="564">
        <f>AL74*AL87*AL$2</f>
        <v/>
      </c>
      <c r="AM34" s="564">
        <f>AM74*AM87*AM$2</f>
        <v/>
      </c>
      <c r="AN34" s="564">
        <f>AN74*AN87*AN$2</f>
        <v/>
      </c>
      <c r="AP34" s="526" t="n">
        <v>870</v>
      </c>
      <c r="AQ34" s="526" t="n">
        <v>988</v>
      </c>
      <c r="AR34" s="131">
        <f>AP34/AQ34-1</f>
        <v/>
      </c>
    </row>
    <row r="35">
      <c r="A35" s="681" t="inlineStr">
        <is>
          <t>Fangchenggang (70%)</t>
        </is>
      </c>
      <c r="W35" s="526" t="n">
        <v>563</v>
      </c>
      <c r="X35" s="526" t="n">
        <v>293</v>
      </c>
      <c r="Y35" s="526" t="n">
        <v>67</v>
      </c>
      <c r="Z35" s="526" t="n">
        <v>9</v>
      </c>
      <c r="AA35" s="526" t="n">
        <v>-80</v>
      </c>
      <c r="AB35" s="526" t="n">
        <v>8</v>
      </c>
      <c r="AC35" s="526" t="n">
        <v>237</v>
      </c>
      <c r="AD35" s="526" t="n">
        <v>211</v>
      </c>
      <c r="AE35" s="526" t="n">
        <v>-102</v>
      </c>
      <c r="AF35" s="526" t="n">
        <v>-60</v>
      </c>
      <c r="AG35" s="526" t="n">
        <v>0</v>
      </c>
      <c r="AH35" s="526" t="n">
        <v>0</v>
      </c>
      <c r="AI35" s="564">
        <f>AI75*AI88*AI$2</f>
        <v/>
      </c>
      <c r="AJ35" s="564">
        <f>AJ75*AJ88*AJ$2</f>
        <v/>
      </c>
      <c r="AK35" s="564">
        <f>AK75*AK88*AK$2</f>
        <v/>
      </c>
      <c r="AL35" s="564">
        <f>AL75*AL88*AL$2</f>
        <v/>
      </c>
      <c r="AM35" s="564">
        <f>AM75*AM88*AM$2</f>
        <v/>
      </c>
      <c r="AN35" s="564">
        <f>AN75*AN88*AN$2</f>
        <v/>
      </c>
      <c r="AR35" s="131" t="n"/>
    </row>
    <row r="36">
      <c r="A36" s="526" t="inlineStr">
        <is>
          <t>OPEX</t>
        </is>
      </c>
      <c r="W36" s="526" t="n">
        <v>-70</v>
      </c>
      <c r="X36" s="526" t="n">
        <v>-80</v>
      </c>
      <c r="Y36" s="526" t="n">
        <v>-92</v>
      </c>
      <c r="Z36" s="526" t="n">
        <v>-120</v>
      </c>
      <c r="AA36" s="526">
        <f>-161-AA37-AA38</f>
        <v/>
      </c>
      <c r="AB36" s="526">
        <f>-123-AB37-AB38</f>
        <v/>
      </c>
      <c r="AC36" s="526">
        <f>-222-AC37-AC38</f>
        <v/>
      </c>
      <c r="AD36" s="526">
        <f>-129-AD37-AD38</f>
        <v/>
      </c>
      <c r="AE36" s="526">
        <f>-221-AE37-AE38</f>
        <v/>
      </c>
      <c r="AF36" s="526">
        <f>-343-AF37</f>
        <v/>
      </c>
      <c r="AG36" s="526">
        <f>-335-AG37</f>
        <v/>
      </c>
      <c r="AH36" s="526">
        <f>-332-AH37</f>
        <v/>
      </c>
      <c r="AI36" s="682">
        <f>AH36/AH2*AI2*1.03</f>
        <v/>
      </c>
      <c r="AJ36" s="682">
        <f>AI36/AI2*AJ2*1.03</f>
        <v/>
      </c>
      <c r="AK36" s="682">
        <f>AJ36/AJ2*AK2*1.03</f>
        <v/>
      </c>
      <c r="AL36" s="682">
        <f>AK36/AK2*AL2*1.03</f>
        <v/>
      </c>
      <c r="AM36" s="682">
        <f>AL36/AL2*AM2*1.03</f>
        <v/>
      </c>
      <c r="AN36" s="682">
        <f>AM36/AM2*AN2*1.03</f>
        <v/>
      </c>
      <c r="AR36" s="131" t="n"/>
    </row>
    <row r="37">
      <c r="A37" s="526" t="inlineStr">
        <is>
          <t>Development expenditure</t>
        </is>
      </c>
      <c r="W37" s="526" t="n">
        <v>-33</v>
      </c>
      <c r="X37" s="526" t="n">
        <v>-23</v>
      </c>
      <c r="Y37" s="526" t="n">
        <v>-9</v>
      </c>
      <c r="Z37" s="526" t="n">
        <v>-16</v>
      </c>
      <c r="AA37" s="564" t="n">
        <v>-16</v>
      </c>
      <c r="AB37" s="564">
        <f>AA37</f>
        <v/>
      </c>
      <c r="AC37" s="564">
        <f>AB37</f>
        <v/>
      </c>
      <c r="AD37" s="564">
        <f>AC37</f>
        <v/>
      </c>
      <c r="AE37" s="564">
        <f>AD37</f>
        <v/>
      </c>
      <c r="AF37" s="564">
        <f>AE37</f>
        <v/>
      </c>
      <c r="AG37" s="564">
        <f>AF37</f>
        <v/>
      </c>
      <c r="AH37" s="564">
        <f>AG37</f>
        <v/>
      </c>
      <c r="AI37" s="564">
        <f>AH37</f>
        <v/>
      </c>
      <c r="AJ37" s="564">
        <f>AI37</f>
        <v/>
      </c>
      <c r="AK37" s="564">
        <f>AJ37</f>
        <v/>
      </c>
      <c r="AL37" s="564">
        <f>AK37</f>
        <v/>
      </c>
      <c r="AM37" s="564">
        <f>AL37</f>
        <v/>
      </c>
      <c r="AN37" s="564">
        <f>AM37</f>
        <v/>
      </c>
      <c r="AR37" s="131" t="n"/>
    </row>
    <row r="38">
      <c r="A38" s="526" t="inlineStr">
        <is>
          <t>RMB exchange loss</t>
        </is>
      </c>
      <c r="W38" s="526">
        <f>24+25</f>
        <v/>
      </c>
      <c r="X38" s="526">
        <f>-29-26</f>
        <v/>
      </c>
      <c r="Y38" s="526" t="n">
        <v>-24</v>
      </c>
      <c r="Z38" s="526" t="n">
        <v>-39</v>
      </c>
      <c r="AA38" s="564" t="n">
        <v>-39</v>
      </c>
      <c r="AB38" s="564" t="n">
        <v>0</v>
      </c>
      <c r="AC38" s="564" t="n">
        <v>0</v>
      </c>
      <c r="AD38" s="564" t="n">
        <v>0</v>
      </c>
      <c r="AE38" s="564" t="n">
        <v>0</v>
      </c>
      <c r="AF38" s="564" t="n">
        <v>0</v>
      </c>
      <c r="AG38" s="564" t="n">
        <v>0</v>
      </c>
      <c r="AH38" s="564" t="n">
        <v>0</v>
      </c>
      <c r="AI38" s="564" t="n">
        <v>0</v>
      </c>
      <c r="AJ38" s="564" t="n">
        <v>0</v>
      </c>
      <c r="AK38" s="564" t="n">
        <v>0</v>
      </c>
      <c r="AL38" s="564" t="n">
        <v>0</v>
      </c>
      <c r="AM38" s="564" t="n">
        <v>0</v>
      </c>
      <c r="AN38" s="564" t="n">
        <v>0</v>
      </c>
      <c r="AR38" s="131" t="n"/>
    </row>
    <row r="39">
      <c r="A39" s="526" t="inlineStr">
        <is>
          <t>CLPe</t>
        </is>
      </c>
      <c r="W39" s="526" t="n">
        <v>0</v>
      </c>
      <c r="X39" s="526" t="n">
        <v>0</v>
      </c>
      <c r="Y39" s="526" t="n">
        <v>0</v>
      </c>
      <c r="Z39" s="526" t="n">
        <v>0</v>
      </c>
      <c r="AA39" s="526" t="n">
        <v>0</v>
      </c>
      <c r="AB39" s="526" t="n">
        <v>0</v>
      </c>
      <c r="AC39" s="526" t="n">
        <v>0</v>
      </c>
      <c r="AD39" s="526" t="n">
        <v>0</v>
      </c>
      <c r="AE39" s="526" t="n">
        <v>0</v>
      </c>
      <c r="AF39" s="526" t="n">
        <v>-48</v>
      </c>
      <c r="AG39" s="526" t="n">
        <v>-72</v>
      </c>
      <c r="AH39" s="526" t="n">
        <v>-64</v>
      </c>
      <c r="AI39" s="564" t="n">
        <v>0</v>
      </c>
      <c r="AJ39" s="564" t="n">
        <v>0</v>
      </c>
      <c r="AK39" s="564" t="n">
        <v>0</v>
      </c>
      <c r="AL39" s="564" t="n">
        <v>0</v>
      </c>
      <c r="AM39" s="564" t="n">
        <v>0</v>
      </c>
      <c r="AN39" s="564" t="n">
        <v>0</v>
      </c>
      <c r="AR39" s="131" t="n"/>
    </row>
    <row r="40">
      <c r="A40" s="605" t="inlineStr">
        <is>
          <t>Total recurring NP (excl. PSDC)</t>
        </is>
      </c>
      <c r="B40" s="605">
        <f>B25+B29+B32+B36+B37+B38</f>
        <v/>
      </c>
      <c r="C40" s="605">
        <f>C25+C29+C32+C36+C37+C38</f>
        <v/>
      </c>
      <c r="D40" s="605">
        <f>D25+D29+D32+D36+D37+D38</f>
        <v/>
      </c>
      <c r="E40" s="605">
        <f>E25+E29+E32+E36+E37+E38</f>
        <v/>
      </c>
      <c r="F40" s="605">
        <f>F25+F29+F32+F36+F37+F38</f>
        <v/>
      </c>
      <c r="G40" s="605">
        <f>G25+G29+G32+G36+G37+G38</f>
        <v/>
      </c>
      <c r="H40" s="605">
        <f>H25+H29+H32+H36+H37+H38</f>
        <v/>
      </c>
      <c r="I40" s="605">
        <f>I42-I41</f>
        <v/>
      </c>
      <c r="J40" s="605">
        <f>J42-J41</f>
        <v/>
      </c>
      <c r="K40" s="605">
        <f>K42-K41</f>
        <v/>
      </c>
      <c r="L40" s="605">
        <f>L42-L41</f>
        <v/>
      </c>
      <c r="M40" s="605">
        <f>M42-M41</f>
        <v/>
      </c>
      <c r="N40" s="605">
        <f>N42-N41</f>
        <v/>
      </c>
      <c r="O40" s="605">
        <f>O42-O41</f>
        <v/>
      </c>
      <c r="P40" s="605">
        <f>P42-P41</f>
        <v/>
      </c>
      <c r="Q40" s="605">
        <f>Q42-Q41</f>
        <v/>
      </c>
      <c r="R40" s="605">
        <f>R42-R41</f>
        <v/>
      </c>
      <c r="S40" s="605">
        <f>S42-S41</f>
        <v/>
      </c>
      <c r="T40" s="605">
        <f>T42-T41</f>
        <v/>
      </c>
      <c r="U40" s="605">
        <f>U42-U41</f>
        <v/>
      </c>
      <c r="V40" s="605">
        <f>V42-V41</f>
        <v/>
      </c>
      <c r="W40" s="605">
        <f>W25+W29+W32+W36+W37+W38</f>
        <v/>
      </c>
      <c r="X40" s="605">
        <f>X25+X29+X32+X36+X37+X38</f>
        <v/>
      </c>
      <c r="Y40" s="605">
        <f>Y25+Y29+Y32+Y36+Y37+Y38</f>
        <v/>
      </c>
      <c r="Z40" s="605">
        <f>Z25+Z29+Z32+Z36+Z37+Z38</f>
        <v/>
      </c>
      <c r="AA40" s="605">
        <f>AA25+AA29+AA32+AA36+AA37+AA38</f>
        <v/>
      </c>
      <c r="AB40" s="605">
        <f>AB25+AB29+AB32+AB36+AB37+AB38</f>
        <v/>
      </c>
      <c r="AC40" s="605">
        <f>AC25+AC29+AC32+AC36+AC37+AC38</f>
        <v/>
      </c>
      <c r="AD40" s="605">
        <f>AD25+AD29+AD32+AD36+AD37+AD38</f>
        <v/>
      </c>
      <c r="AE40" s="605">
        <f>AE25+AE29+AE32+AE36+AE37+AE38</f>
        <v/>
      </c>
      <c r="AF40" s="605">
        <f>AF25+AF29+AF32+AF36+AF37+AF39</f>
        <v/>
      </c>
      <c r="AG40" s="605">
        <f>AG25+AG29+AG32+AG36+AG37+AG39</f>
        <v/>
      </c>
      <c r="AH40" s="605">
        <f>AH25+AH29+AH32+AH36+AH37+AH39</f>
        <v/>
      </c>
      <c r="AI40" s="605">
        <f>AI25+AI29+AI32+AI36+AI37+AI39</f>
        <v/>
      </c>
      <c r="AJ40" s="605">
        <f>AJ25+AJ29+AJ32+AJ36+AJ37+AJ39</f>
        <v/>
      </c>
      <c r="AK40" s="605">
        <f>AK25+AK29+AK32+AK36+AK37+AK39</f>
        <v/>
      </c>
      <c r="AL40" s="605">
        <f>AL25+AL29+AL32+AL36+AL37+AL39</f>
        <v/>
      </c>
      <c r="AM40" s="605">
        <f>AM25+AM29+AM32+AM36+AM37+AM39</f>
        <v/>
      </c>
      <c r="AN40" s="605">
        <f>AN25+AN29+AN32+AN36+AN37+AN39</f>
        <v/>
      </c>
      <c r="AR40" s="131" t="n"/>
    </row>
    <row r="41">
      <c r="A41" s="526" t="inlineStr">
        <is>
          <t>NP from PSDC &amp; HK branch line</t>
        </is>
      </c>
      <c r="B41" s="526" t="n">
        <v>62</v>
      </c>
      <c r="C41" s="526" t="n">
        <v>67</v>
      </c>
      <c r="D41" s="526" t="n">
        <v>74</v>
      </c>
      <c r="E41" s="526" t="n">
        <v>90</v>
      </c>
      <c r="F41" s="526" t="n">
        <v>87</v>
      </c>
      <c r="G41" s="526" t="n">
        <v>84</v>
      </c>
      <c r="H41" s="526" t="n">
        <v>81</v>
      </c>
      <c r="I41" s="526" t="n">
        <v>88</v>
      </c>
      <c r="J41" s="526" t="n">
        <v>75</v>
      </c>
      <c r="K41" s="526" t="n">
        <v>72</v>
      </c>
      <c r="L41" s="526" t="n">
        <v>70</v>
      </c>
      <c r="M41" s="526" t="n">
        <v>67</v>
      </c>
      <c r="N41" s="526" t="n">
        <v>64</v>
      </c>
      <c r="O41" s="526" t="n">
        <v>62</v>
      </c>
      <c r="P41" s="526" t="n">
        <v>60</v>
      </c>
      <c r="Q41" s="526" t="n">
        <v>-11</v>
      </c>
      <c r="R41" s="526" t="n">
        <v>101</v>
      </c>
      <c r="S41" s="526" t="n">
        <v>33</v>
      </c>
      <c r="T41" s="526" t="n">
        <v>73</v>
      </c>
      <c r="U41" s="526" t="n">
        <v>76</v>
      </c>
      <c r="V41" s="526" t="n">
        <v>80</v>
      </c>
      <c r="W41" s="526">
        <f>W42-W40</f>
        <v/>
      </c>
      <c r="X41" s="526">
        <f>X42-X40</f>
        <v/>
      </c>
      <c r="Y41" s="526" t="n">
        <v>151</v>
      </c>
      <c r="Z41" s="526" t="n">
        <v>147</v>
      </c>
      <c r="AA41" s="526" t="n">
        <v>270</v>
      </c>
      <c r="AB41" s="526" t="n">
        <v>192</v>
      </c>
      <c r="AC41" s="526" t="n">
        <v>211</v>
      </c>
      <c r="AD41" s="526" t="n">
        <v>270</v>
      </c>
      <c r="AE41" s="526" t="n">
        <v>301</v>
      </c>
      <c r="AF41" s="526" t="n">
        <v>263</v>
      </c>
      <c r="AG41" s="526" t="n">
        <v>287</v>
      </c>
      <c r="AH41" s="526" t="n">
        <v>201</v>
      </c>
      <c r="AI41" s="564">
        <f>AH41</f>
        <v/>
      </c>
      <c r="AJ41" s="564">
        <f>AI41</f>
        <v/>
      </c>
      <c r="AK41" s="564">
        <f>AJ41</f>
        <v/>
      </c>
      <c r="AL41" s="564">
        <f>AK41</f>
        <v/>
      </c>
      <c r="AM41" s="564">
        <f>AL41</f>
        <v/>
      </c>
      <c r="AN41" s="564">
        <f>AM41</f>
        <v/>
      </c>
      <c r="AR41" s="131" t="n"/>
    </row>
    <row r="42">
      <c r="A42" s="605" t="inlineStr">
        <is>
          <t>Total recurring NP</t>
        </is>
      </c>
      <c r="B42" s="605">
        <f>B40+B41</f>
        <v/>
      </c>
      <c r="C42" s="605">
        <f>C40+C41</f>
        <v/>
      </c>
      <c r="D42" s="605">
        <f>D40+D41</f>
        <v/>
      </c>
      <c r="E42" s="605">
        <f>E40+E41</f>
        <v/>
      </c>
      <c r="F42" s="605">
        <f>F40+F41</f>
        <v/>
      </c>
      <c r="G42" s="605">
        <f>G40+G41</f>
        <v/>
      </c>
      <c r="H42" s="605">
        <f>H40+H41</f>
        <v/>
      </c>
      <c r="I42" s="605">
        <f>I20</f>
        <v/>
      </c>
      <c r="J42" s="605">
        <f>J20</f>
        <v/>
      </c>
      <c r="K42" s="605">
        <f>K20</f>
        <v/>
      </c>
      <c r="L42" s="605">
        <f>L20</f>
        <v/>
      </c>
      <c r="M42" s="605">
        <f>M20</f>
        <v/>
      </c>
      <c r="N42" s="605">
        <f>N20</f>
        <v/>
      </c>
      <c r="O42" s="605">
        <f>O20</f>
        <v/>
      </c>
      <c r="P42" s="605">
        <f>P20</f>
        <v/>
      </c>
      <c r="Q42" s="605">
        <f>Q20</f>
        <v/>
      </c>
      <c r="R42" s="605">
        <f>R20</f>
        <v/>
      </c>
      <c r="S42" s="605">
        <f>S20</f>
        <v/>
      </c>
      <c r="T42" s="605">
        <f>T20</f>
        <v/>
      </c>
      <c r="U42" s="605">
        <f>U20</f>
        <v/>
      </c>
      <c r="V42" s="605">
        <f>V20</f>
        <v/>
      </c>
      <c r="W42" s="605">
        <f>W20</f>
        <v/>
      </c>
      <c r="X42" s="605">
        <f>X20</f>
        <v/>
      </c>
      <c r="Y42" s="605">
        <f>Y40+Y41</f>
        <v/>
      </c>
      <c r="Z42" s="605">
        <f>Z40+Z41</f>
        <v/>
      </c>
      <c r="AA42" s="605">
        <f>AA40+AA41</f>
        <v/>
      </c>
      <c r="AB42" s="605">
        <f>AB40+AB41</f>
        <v/>
      </c>
      <c r="AC42" s="605">
        <f>AC40+AC41</f>
        <v/>
      </c>
      <c r="AD42" s="605">
        <f>AD40+AD41</f>
        <v/>
      </c>
      <c r="AE42" s="605">
        <f>AE40+AE41</f>
        <v/>
      </c>
      <c r="AF42" s="605">
        <f>AF40+AF41</f>
        <v/>
      </c>
      <c r="AG42" s="605">
        <f>AG40+AG41</f>
        <v/>
      </c>
      <c r="AH42" s="605">
        <f>AH40+AH41</f>
        <v/>
      </c>
      <c r="AI42" s="605">
        <f>AI40+AI41</f>
        <v/>
      </c>
      <c r="AJ42" s="605">
        <f>AJ40+AJ41</f>
        <v/>
      </c>
      <c r="AK42" s="605">
        <f>AK40+AK41</f>
        <v/>
      </c>
      <c r="AL42" s="605">
        <f>AL40+AL41</f>
        <v/>
      </c>
      <c r="AM42" s="605">
        <f>AM40+AM41</f>
        <v/>
      </c>
      <c r="AN42" s="605">
        <f>AN40+AN41</f>
        <v/>
      </c>
      <c r="AR42" s="131" t="n"/>
    </row>
    <row r="43">
      <c r="A43" s="526" t="inlineStr">
        <is>
          <t>YoY</t>
        </is>
      </c>
      <c r="B43" s="597" t="n"/>
      <c r="C43" s="597" t="n"/>
      <c r="D43" s="597" t="n"/>
      <c r="E43" s="597" t="n"/>
      <c r="F43" s="597" t="n"/>
      <c r="G43" s="597" t="n"/>
      <c r="H43" s="597" t="n"/>
      <c r="I43" s="597" t="n"/>
      <c r="J43" s="597" t="n"/>
      <c r="K43" s="597" t="n"/>
      <c r="L43" s="597" t="n"/>
      <c r="M43" s="597" t="n"/>
      <c r="N43" s="597" t="n"/>
      <c r="O43" s="597" t="n"/>
      <c r="P43" s="597" t="n"/>
      <c r="Q43" s="131" t="n"/>
      <c r="R43" s="131">
        <f>R42/Q42-1</f>
        <v/>
      </c>
      <c r="S43" s="131">
        <f>S42/R42-1</f>
        <v/>
      </c>
      <c r="T43" s="131">
        <f>T42/S42-1</f>
        <v/>
      </c>
      <c r="U43" s="131">
        <f>U42/T42-1</f>
        <v/>
      </c>
      <c r="V43" s="131">
        <f>V42/U42-1</f>
        <v/>
      </c>
      <c r="W43" s="131">
        <f>W42/V42-1</f>
        <v/>
      </c>
      <c r="X43" s="131">
        <f>X42/W42-1</f>
        <v/>
      </c>
      <c r="Y43" s="131">
        <f>Y42/X42-1</f>
        <v/>
      </c>
      <c r="Z43" s="131">
        <f>Z42/Y42-1</f>
        <v/>
      </c>
      <c r="AA43" s="131">
        <f>AA42/Z42-1</f>
        <v/>
      </c>
      <c r="AB43" s="131">
        <f>AB42/AA42-1</f>
        <v/>
      </c>
      <c r="AC43" s="131">
        <f>AC42/AB42-1</f>
        <v/>
      </c>
      <c r="AD43" s="131">
        <f>AD42/AC42-1</f>
        <v/>
      </c>
      <c r="AE43" s="131">
        <f>AE42/AD42-1</f>
        <v/>
      </c>
      <c r="AF43" s="131">
        <f>AF42/AE42-1</f>
        <v/>
      </c>
      <c r="AG43" s="131">
        <f>AG42/AF42-1</f>
        <v/>
      </c>
      <c r="AH43" s="131">
        <f>AH42/AG42-1</f>
        <v/>
      </c>
      <c r="AI43" s="131">
        <f>AI42/AH42-1</f>
        <v/>
      </c>
      <c r="AJ43" s="131">
        <f>AJ42/AI42-1</f>
        <v/>
      </c>
      <c r="AK43" s="131">
        <f>AK42/AJ42-1</f>
        <v/>
      </c>
      <c r="AL43" s="131">
        <f>AL42/AK42-1</f>
        <v/>
      </c>
      <c r="AM43" s="131">
        <f>AM42/AL42-1</f>
        <v/>
      </c>
      <c r="AN43" s="131">
        <f>AN42/AM42-1</f>
        <v/>
      </c>
      <c r="AR43" s="131" t="n"/>
    </row>
    <row r="44">
      <c r="AR44" s="131" t="n"/>
    </row>
    <row r="45" hidden="1" outlineLevel="1">
      <c r="A45" s="88" t="inlineStr">
        <is>
          <t>Earnings by segment (HK$ m)</t>
        </is>
      </c>
      <c r="B45" s="643" t="n"/>
      <c r="C45" s="643" t="n"/>
      <c r="D45" s="643" t="n"/>
      <c r="E45" s="643" t="n"/>
      <c r="F45" s="643" t="n"/>
      <c r="G45" s="643" t="n"/>
      <c r="H45" s="643" t="n"/>
      <c r="I45" s="643" t="n"/>
      <c r="J45" s="643" t="n"/>
      <c r="K45" s="643" t="n"/>
      <c r="L45" s="643" t="n"/>
      <c r="M45" s="643" t="n"/>
      <c r="N45" s="643" t="n"/>
      <c r="O45" s="643" t="n"/>
      <c r="P45" s="643" t="n"/>
      <c r="Q45" s="643" t="n"/>
      <c r="R45" s="643" t="n"/>
      <c r="S45" s="643" t="n"/>
      <c r="T45" s="643" t="n"/>
      <c r="U45" s="643" t="n"/>
      <c r="V45" s="643" t="n"/>
      <c r="W45" s="643" t="n"/>
      <c r="X45" s="643" t="n"/>
      <c r="Y45" s="643" t="n"/>
      <c r="Z45" s="643" t="n"/>
      <c r="AA45" s="643" t="n"/>
      <c r="AB45" s="643" t="n"/>
      <c r="AC45" s="643" t="n"/>
      <c r="AD45" s="643" t="n"/>
      <c r="AE45" s="643" t="n"/>
      <c r="AF45" s="643" t="n"/>
      <c r="AG45" s="643" t="n"/>
      <c r="AH45" s="643" t="n"/>
      <c r="AI45" s="643" t="n"/>
      <c r="AJ45" s="643" t="n"/>
      <c r="AK45" s="643" t="n"/>
      <c r="AL45" s="643" t="n"/>
      <c r="AM45" s="643" t="n"/>
      <c r="AN45" s="643" t="n"/>
      <c r="AR45" s="131" t="n"/>
    </row>
    <row r="46" hidden="1" outlineLevel="1">
      <c r="A46" s="597" t="inlineStr">
        <is>
          <t>Renewable</t>
        </is>
      </c>
      <c r="B46" s="597">
        <f>SUM(B47:B49)</f>
        <v/>
      </c>
      <c r="C46" s="597">
        <f>SUM(C47:C49)</f>
        <v/>
      </c>
      <c r="D46" s="597">
        <f>SUM(D47:D49)</f>
        <v/>
      </c>
      <c r="E46" s="597">
        <f>SUM(E47:E49)</f>
        <v/>
      </c>
      <c r="F46" s="597">
        <f>SUM(F47:F49)</f>
        <v/>
      </c>
      <c r="G46" s="597">
        <f>SUM(G47:G49)</f>
        <v/>
      </c>
      <c r="H46" s="597">
        <f>SUM(H47:H49)</f>
        <v/>
      </c>
      <c r="I46" s="597">
        <f>SUM(I47:I49)</f>
        <v/>
      </c>
      <c r="J46" s="597">
        <f>SUM(J47:J49)</f>
        <v/>
      </c>
      <c r="K46" s="597">
        <f>SUM(K47:K49)</f>
        <v/>
      </c>
      <c r="L46" s="597">
        <f>SUM(L47:L49)</f>
        <v/>
      </c>
      <c r="M46" s="597">
        <f>SUM(M47:M49)</f>
        <v/>
      </c>
      <c r="N46" s="597">
        <f>SUM(N47:N49)</f>
        <v/>
      </c>
      <c r="O46" s="597">
        <f>SUM(O47:O49)</f>
        <v/>
      </c>
      <c r="P46" s="597">
        <f>SUM(P47:P49)</f>
        <v/>
      </c>
      <c r="Q46" s="597">
        <f>SUM(Q47:Q49)</f>
        <v/>
      </c>
      <c r="R46" s="597">
        <f>SUM(R47:R49)</f>
        <v/>
      </c>
      <c r="S46" s="597">
        <f>SUM(S47:S49)</f>
        <v/>
      </c>
      <c r="T46" s="597">
        <f>SUM(T47:T49)</f>
        <v/>
      </c>
      <c r="U46" s="597">
        <f>SUM(U47:U49)</f>
        <v/>
      </c>
      <c r="V46" s="597">
        <f>SUM(V47:V49)</f>
        <v/>
      </c>
      <c r="W46" s="597">
        <f>SUM(W47:W49)</f>
        <v/>
      </c>
      <c r="X46" s="597">
        <f>SUM(X47:X49)</f>
        <v/>
      </c>
      <c r="Y46" s="597">
        <f>SUM(Y47:Y49)</f>
        <v/>
      </c>
      <c r="Z46" s="597">
        <f>SUM(Z47:Z49)</f>
        <v/>
      </c>
      <c r="AA46" s="597">
        <f>SUM(AA47:AA49)</f>
        <v/>
      </c>
      <c r="AR46" s="131" t="n"/>
    </row>
    <row r="47" hidden="1" outlineLevel="1">
      <c r="A47" s="681" t="inlineStr">
        <is>
          <t>Wind</t>
        </is>
      </c>
      <c r="W47" s="526" t="n">
        <v>192</v>
      </c>
      <c r="X47" s="526" t="n">
        <v>144</v>
      </c>
      <c r="Y47" s="526" t="n">
        <v>151</v>
      </c>
      <c r="Z47" s="526" t="n">
        <v>202</v>
      </c>
      <c r="AR47" s="131" t="n"/>
    </row>
    <row r="48" hidden="1" outlineLevel="1">
      <c r="A48" s="681" t="inlineStr">
        <is>
          <t>Hydro</t>
        </is>
      </c>
      <c r="W48" s="526" t="n">
        <v>129</v>
      </c>
      <c r="X48" s="526" t="n">
        <v>107</v>
      </c>
      <c r="Y48" s="526" t="n">
        <v>87</v>
      </c>
      <c r="Z48" s="526" t="n">
        <v>121</v>
      </c>
      <c r="AR48" s="131" t="n"/>
    </row>
    <row r="49" hidden="1" outlineLevel="1">
      <c r="A49" s="681" t="inlineStr">
        <is>
          <t>Solar</t>
        </is>
      </c>
      <c r="W49" s="526" t="n">
        <v>85</v>
      </c>
      <c r="X49" s="526" t="n">
        <v>-7</v>
      </c>
      <c r="Y49" s="526" t="n">
        <v>79</v>
      </c>
      <c r="Z49" s="526" t="n">
        <v>81</v>
      </c>
      <c r="AR49" s="131" t="n"/>
    </row>
    <row r="50" hidden="1" outlineLevel="1">
      <c r="A50" s="597" t="inlineStr">
        <is>
          <t>Nuclear</t>
        </is>
      </c>
      <c r="B50" s="597">
        <f>SUM(B51:B52)</f>
        <v/>
      </c>
      <c r="C50" s="597">
        <f>SUM(C51:C52)</f>
        <v/>
      </c>
      <c r="D50" s="597">
        <f>SUM(D51:D52)</f>
        <v/>
      </c>
      <c r="E50" s="597">
        <f>SUM(E51:E52)</f>
        <v/>
      </c>
      <c r="F50" s="597">
        <f>SUM(F51:F52)</f>
        <v/>
      </c>
      <c r="G50" s="597">
        <f>SUM(G51:G52)</f>
        <v/>
      </c>
      <c r="H50" s="597">
        <f>SUM(H51:H52)</f>
        <v/>
      </c>
      <c r="I50" s="597">
        <f>SUM(I51:I52)</f>
        <v/>
      </c>
      <c r="J50" s="597">
        <f>SUM(J51:J52)</f>
        <v/>
      </c>
      <c r="K50" s="597">
        <f>SUM(K51:K52)</f>
        <v/>
      </c>
      <c r="L50" s="597">
        <f>SUM(L51:L52)</f>
        <v/>
      </c>
      <c r="M50" s="597">
        <f>SUM(M51:M52)</f>
        <v/>
      </c>
      <c r="N50" s="597">
        <f>SUM(N51:N52)</f>
        <v/>
      </c>
      <c r="O50" s="597">
        <f>SUM(O51:O52)</f>
        <v/>
      </c>
      <c r="P50" s="597">
        <f>SUM(P51:P52)</f>
        <v/>
      </c>
      <c r="Q50" s="597">
        <f>SUM(Q51:Q52)</f>
        <v/>
      </c>
      <c r="R50" s="597">
        <f>SUM(R51:R52)</f>
        <v/>
      </c>
      <c r="S50" s="597">
        <f>SUM(S51:S52)</f>
        <v/>
      </c>
      <c r="T50" s="597">
        <f>SUM(T51:T52)</f>
        <v/>
      </c>
      <c r="U50" s="597">
        <f>SUM(U51:U52)</f>
        <v/>
      </c>
      <c r="V50" s="597">
        <f>SUM(V51:V52)</f>
        <v/>
      </c>
      <c r="W50" s="597">
        <f>SUM(W51:W52)</f>
        <v/>
      </c>
      <c r="X50" s="597">
        <f>SUM(X51:X52)</f>
        <v/>
      </c>
      <c r="Y50" s="597">
        <f>SUM(Y51:Y52)</f>
        <v/>
      </c>
      <c r="Z50" s="597">
        <f>SUM(Z51:Z52)</f>
        <v/>
      </c>
      <c r="AR50" s="131" t="n"/>
    </row>
    <row r="51" hidden="1" outlineLevel="1">
      <c r="A51" s="681" t="inlineStr">
        <is>
          <t>Daya Bay</t>
        </is>
      </c>
      <c r="W51" s="526" t="n">
        <v>602</v>
      </c>
      <c r="X51" s="526" t="n">
        <v>774</v>
      </c>
      <c r="Y51" s="526" t="n">
        <v>844</v>
      </c>
      <c r="Z51" s="526" t="n">
        <v>863</v>
      </c>
      <c r="AR51" s="131" t="n"/>
    </row>
    <row r="52" hidden="1" outlineLevel="1">
      <c r="A52" s="681" t="inlineStr">
        <is>
          <t>Yangjiang</t>
        </is>
      </c>
      <c r="W52" s="526" t="n">
        <v>0</v>
      </c>
      <c r="X52" s="526" t="n">
        <v>0</v>
      </c>
      <c r="Y52" s="526" t="n">
        <v>0</v>
      </c>
      <c r="Z52" s="526" t="n">
        <v>0</v>
      </c>
      <c r="AR52" s="131" t="n"/>
    </row>
    <row r="53" hidden="1" outlineLevel="1">
      <c r="A53" s="597" t="inlineStr">
        <is>
          <t>Thermal</t>
        </is>
      </c>
      <c r="B53" s="597">
        <f>SUM(B54:B56)</f>
        <v/>
      </c>
      <c r="C53" s="597">
        <f>SUM(C54:C56)</f>
        <v/>
      </c>
      <c r="D53" s="597">
        <f>SUM(D54:D56)</f>
        <v/>
      </c>
      <c r="E53" s="597">
        <f>SUM(E54:E56)</f>
        <v/>
      </c>
      <c r="F53" s="597">
        <f>SUM(F54:F56)</f>
        <v/>
      </c>
      <c r="G53" s="597">
        <f>SUM(G54:G56)</f>
        <v/>
      </c>
      <c r="H53" s="597">
        <f>SUM(H54:H56)</f>
        <v/>
      </c>
      <c r="I53" s="597">
        <f>SUM(I54:I56)</f>
        <v/>
      </c>
      <c r="J53" s="597">
        <f>SUM(J54:J56)</f>
        <v/>
      </c>
      <c r="K53" s="597">
        <f>SUM(K54:K56)</f>
        <v/>
      </c>
      <c r="L53" s="597">
        <f>SUM(L54:L56)</f>
        <v/>
      </c>
      <c r="M53" s="597">
        <f>SUM(M54:M56)</f>
        <v/>
      </c>
      <c r="N53" s="597">
        <f>SUM(N54:N56)</f>
        <v/>
      </c>
      <c r="O53" s="597">
        <f>SUM(O54:O56)</f>
        <v/>
      </c>
      <c r="P53" s="597">
        <f>SUM(P54:P56)</f>
        <v/>
      </c>
      <c r="Q53" s="597">
        <f>SUM(Q54:Q56)</f>
        <v/>
      </c>
      <c r="R53" s="597">
        <f>SUM(R54:R56)</f>
        <v/>
      </c>
      <c r="S53" s="597">
        <f>SUM(S54:S56)</f>
        <v/>
      </c>
      <c r="T53" s="597">
        <f>SUM(T54:T56)</f>
        <v/>
      </c>
      <c r="U53" s="597">
        <f>SUM(U54:U56)</f>
        <v/>
      </c>
      <c r="V53" s="597">
        <f>SUM(V54:V56)</f>
        <v/>
      </c>
      <c r="W53" s="597">
        <f>SUM(W54:W56)</f>
        <v/>
      </c>
      <c r="X53" s="597">
        <f>SUM(X54:X56)</f>
        <v/>
      </c>
      <c r="Y53" s="597">
        <f>SUM(Y54:Y56)</f>
        <v/>
      </c>
      <c r="Z53" s="597">
        <f>SUM(Z54:Z56)</f>
        <v/>
      </c>
      <c r="AR53" s="131" t="n"/>
    </row>
    <row r="54" hidden="1" outlineLevel="1">
      <c r="A54" s="681" t="inlineStr">
        <is>
          <t>Shandong</t>
        </is>
      </c>
      <c r="W54" s="526" t="n">
        <v>312</v>
      </c>
      <c r="X54" s="526" t="n">
        <v>426</v>
      </c>
      <c r="Y54" s="526" t="n">
        <v>558</v>
      </c>
      <c r="Z54" s="526" t="n">
        <v>250</v>
      </c>
      <c r="AR54" s="131" t="n"/>
    </row>
    <row r="55" hidden="1" outlineLevel="1">
      <c r="A55" s="681" t="inlineStr">
        <is>
          <t>Guohua</t>
        </is>
      </c>
      <c r="W55" s="526" t="n">
        <v>302</v>
      </c>
      <c r="X55" s="526" t="n">
        <v>0</v>
      </c>
      <c r="Y55" s="526" t="n">
        <v>316</v>
      </c>
      <c r="Z55" s="526" t="n">
        <v>170</v>
      </c>
      <c r="AR55" s="131" t="n"/>
    </row>
    <row r="56" hidden="1" outlineLevel="1">
      <c r="A56" s="681" t="inlineStr">
        <is>
          <t>Fangchenggang</t>
        </is>
      </c>
      <c r="W56" s="526" t="n">
        <v>563</v>
      </c>
      <c r="X56" s="526" t="n">
        <v>293</v>
      </c>
      <c r="Y56" s="526" t="n">
        <v>67</v>
      </c>
      <c r="Z56" s="526" t="n">
        <v>9</v>
      </c>
      <c r="AR56" s="131" t="n"/>
    </row>
    <row r="57" hidden="1" outlineLevel="1">
      <c r="A57" s="526" t="inlineStr">
        <is>
          <t>OPEX</t>
        </is>
      </c>
      <c r="W57" s="526" t="n">
        <v>-70</v>
      </c>
      <c r="X57" s="526" t="n">
        <v>-80</v>
      </c>
      <c r="Y57" s="526" t="n">
        <v>-92</v>
      </c>
      <c r="Z57" s="526" t="n">
        <v>-120</v>
      </c>
      <c r="AR57" s="131" t="n"/>
    </row>
    <row r="58" hidden="1" outlineLevel="1">
      <c r="A58" s="526" t="inlineStr">
        <is>
          <t>Development expenditure</t>
        </is>
      </c>
      <c r="W58" s="526" t="n">
        <v>-33</v>
      </c>
      <c r="X58" s="526" t="n">
        <v>-23</v>
      </c>
      <c r="Y58" s="526" t="n">
        <v>-9</v>
      </c>
      <c r="Z58" s="526" t="n">
        <v>-16</v>
      </c>
      <c r="AR58" s="131" t="n"/>
    </row>
    <row r="59" hidden="1" outlineLevel="1">
      <c r="A59" s="526" t="inlineStr">
        <is>
          <t>RMB exchange loss</t>
        </is>
      </c>
      <c r="W59" s="526">
        <f>24+25</f>
        <v/>
      </c>
      <c r="X59" s="526">
        <f>-29-26</f>
        <v/>
      </c>
      <c r="Y59" s="526" t="n">
        <v>-24</v>
      </c>
      <c r="Z59" s="526" t="n">
        <v>-39</v>
      </c>
      <c r="AR59" s="131" t="n"/>
    </row>
    <row r="60" hidden="1" outlineLevel="1">
      <c r="A60" s="605" t="inlineStr">
        <is>
          <t>Total NP (excl. PSDC)</t>
        </is>
      </c>
      <c r="B60" s="605" t="n"/>
      <c r="C60" s="605" t="n"/>
      <c r="D60" s="605" t="n"/>
      <c r="E60" s="605" t="n"/>
      <c r="F60" s="605" t="n"/>
      <c r="G60" s="605" t="n"/>
      <c r="H60" s="605" t="n"/>
      <c r="I60" s="605" t="n"/>
      <c r="J60" s="605" t="n"/>
      <c r="K60" s="605" t="n"/>
      <c r="L60" s="605" t="n"/>
      <c r="M60" s="605" t="n"/>
      <c r="N60" s="605" t="n"/>
      <c r="O60" s="605" t="n"/>
      <c r="P60" s="605" t="n"/>
      <c r="Q60" s="605" t="n"/>
      <c r="R60" s="605" t="n"/>
      <c r="S60" s="605" t="n"/>
      <c r="T60" s="605" t="n"/>
      <c r="U60" s="605" t="n"/>
      <c r="V60" s="605" t="n"/>
      <c r="W60" s="605">
        <f>W46+W50+W53+W57+W58+W59</f>
        <v/>
      </c>
      <c r="X60" s="605">
        <f>X46+X50+X53+X57+X58+X59</f>
        <v/>
      </c>
      <c r="Y60" s="605">
        <f>Y46+Y50+Y53+Y57+Y58+Y59</f>
        <v/>
      </c>
      <c r="Z60" s="605">
        <f>Z46+Z50+Z53+Z57+Z58+Z59</f>
        <v/>
      </c>
      <c r="AA60" s="605" t="n"/>
      <c r="AB60" s="605" t="n"/>
      <c r="AC60" s="605" t="n"/>
      <c r="AD60" s="605" t="n"/>
      <c r="AE60" s="605" t="n"/>
      <c r="AF60" s="605" t="n"/>
      <c r="AG60" s="605" t="n"/>
      <c r="AH60" s="605" t="n"/>
      <c r="AI60" s="605" t="n"/>
      <c r="AJ60" s="605" t="n"/>
      <c r="AK60" s="605" t="n"/>
      <c r="AL60" s="605" t="n"/>
      <c r="AM60" s="605" t="n"/>
      <c r="AN60" s="605" t="n"/>
      <c r="AR60" s="131" t="n"/>
    </row>
    <row r="61" hidden="1" outlineLevel="1">
      <c r="A61" s="526" t="inlineStr">
        <is>
          <t>NP from PSDC &amp; HK branch line</t>
        </is>
      </c>
      <c r="W61" s="526">
        <f>W62-W60</f>
        <v/>
      </c>
      <c r="X61" s="526" t="n">
        <v>30</v>
      </c>
      <c r="Y61" s="526" t="n">
        <v>151</v>
      </c>
      <c r="Z61" s="526" t="n">
        <v>147</v>
      </c>
      <c r="AR61" s="131" t="n"/>
    </row>
    <row r="62" hidden="1" outlineLevel="1">
      <c r="A62" s="605" t="inlineStr">
        <is>
          <t>Total NP</t>
        </is>
      </c>
      <c r="B62" s="605" t="n"/>
      <c r="C62" s="605" t="n"/>
      <c r="D62" s="605" t="n"/>
      <c r="E62" s="605" t="n"/>
      <c r="F62" s="605" t="n"/>
      <c r="G62" s="605" t="n"/>
      <c r="H62" s="605" t="n"/>
      <c r="I62" s="605" t="n"/>
      <c r="J62" s="605" t="n"/>
      <c r="K62" s="605" t="n"/>
      <c r="L62" s="605" t="n"/>
      <c r="M62" s="605" t="n"/>
      <c r="N62" s="605" t="n"/>
      <c r="O62" s="605" t="n"/>
      <c r="P62" s="605" t="n"/>
      <c r="Q62" s="605" t="n"/>
      <c r="R62" s="605" t="n"/>
      <c r="S62" s="605" t="n"/>
      <c r="T62" s="605" t="n"/>
      <c r="U62" s="605" t="n"/>
      <c r="V62" s="605" t="n"/>
      <c r="W62" s="605">
        <f>W20</f>
        <v/>
      </c>
      <c r="X62" s="605">
        <f>X60+X61</f>
        <v/>
      </c>
      <c r="Y62" s="605">
        <f>Y60+Y61</f>
        <v/>
      </c>
      <c r="Z62" s="605">
        <f>Z60+Z61</f>
        <v/>
      </c>
      <c r="AA62" s="605" t="n"/>
      <c r="AB62" s="605" t="n"/>
      <c r="AC62" s="605" t="n"/>
      <c r="AD62" s="605" t="n"/>
      <c r="AE62" s="605" t="n"/>
      <c r="AF62" s="605" t="n"/>
      <c r="AG62" s="605" t="n"/>
      <c r="AH62" s="605" t="n"/>
      <c r="AI62" s="605" t="n"/>
      <c r="AJ62" s="605" t="n"/>
      <c r="AK62" s="605" t="n"/>
      <c r="AL62" s="605" t="n"/>
      <c r="AM62" s="605" t="n"/>
      <c r="AN62" s="605" t="n"/>
      <c r="AR62" s="131" t="n"/>
    </row>
    <row r="63" hidden="1" outlineLevel="1">
      <c r="AR63" s="131" t="n"/>
    </row>
    <row r="64" collapsed="1">
      <c r="A64" s="88" t="inlineStr">
        <is>
          <t>Attributable capacity by segments</t>
        </is>
      </c>
      <c r="B64" s="643" t="n"/>
      <c r="C64" s="643" t="n"/>
      <c r="D64" s="643" t="n"/>
      <c r="E64" s="643" t="n"/>
      <c r="F64" s="643" t="n"/>
      <c r="G64" s="643" t="n"/>
      <c r="H64" s="643" t="n"/>
      <c r="I64" s="643" t="n"/>
      <c r="J64" s="643" t="n"/>
      <c r="K64" s="643" t="n"/>
      <c r="L64" s="643" t="n"/>
      <c r="M64" s="643" t="n"/>
      <c r="N64" s="643" t="n"/>
      <c r="O64" s="643" t="n"/>
      <c r="P64" s="643" t="n"/>
      <c r="Q64" s="643" t="n"/>
      <c r="R64" s="643" t="n"/>
      <c r="S64" s="643" t="n"/>
      <c r="T64" s="643" t="n"/>
      <c r="U64" s="643" t="n"/>
      <c r="V64" s="643" t="n"/>
      <c r="W64" s="643" t="n"/>
      <c r="X64" s="643" t="n"/>
      <c r="Y64" s="643" t="n"/>
      <c r="Z64" s="643" t="n"/>
      <c r="AA64" s="643" t="n"/>
      <c r="AB64" s="643" t="n"/>
      <c r="AC64" s="643" t="n"/>
      <c r="AD64" s="643" t="n"/>
      <c r="AE64" s="643" t="n"/>
      <c r="AF64" s="643" t="n"/>
      <c r="AG64" s="643" t="n"/>
      <c r="AH64" s="643" t="n"/>
      <c r="AI64" s="643" t="n"/>
      <c r="AJ64" s="643" t="n"/>
      <c r="AK64" s="643" t="n"/>
      <c r="AL64" s="643" t="n"/>
      <c r="AM64" s="643" t="n"/>
      <c r="AN64" s="643" t="n"/>
      <c r="AR64" s="131" t="n"/>
    </row>
    <row r="65">
      <c r="A65" s="597" t="inlineStr">
        <is>
          <t>Renewable</t>
        </is>
      </c>
      <c r="B65" s="597">
        <f>SUM(B66:B68)</f>
        <v/>
      </c>
      <c r="C65" s="597">
        <f>SUM(C66:C68)</f>
        <v/>
      </c>
      <c r="D65" s="597">
        <f>SUM(D66:D68)</f>
        <v/>
      </c>
      <c r="E65" s="597">
        <f>SUM(E66:E68)</f>
        <v/>
      </c>
      <c r="F65" s="597">
        <f>SUM(F66:F68)</f>
        <v/>
      </c>
      <c r="G65" s="597">
        <f>SUM(G66:G68)</f>
        <v/>
      </c>
      <c r="H65" s="597">
        <f>SUM(H66:H68)</f>
        <v/>
      </c>
      <c r="I65" s="597">
        <f>SUM(I66:I68)</f>
        <v/>
      </c>
      <c r="J65" s="597">
        <f>SUM(J66:J68)</f>
        <v/>
      </c>
      <c r="K65" s="597">
        <f>SUM(K66:K68)</f>
        <v/>
      </c>
      <c r="L65" s="597">
        <f>SUM(L66:L68)</f>
        <v/>
      </c>
      <c r="M65" s="597">
        <f>SUM(M66:M68)</f>
        <v/>
      </c>
      <c r="N65" s="597">
        <f>SUM(N66:N68)</f>
        <v/>
      </c>
      <c r="O65" s="597">
        <f>SUM(O66:O68)</f>
        <v/>
      </c>
      <c r="P65" s="597">
        <f>SUM(P66:P68)</f>
        <v/>
      </c>
      <c r="Q65" s="597">
        <f>SUM(Q66:Q68)</f>
        <v/>
      </c>
      <c r="R65" s="597">
        <f>SUM(R66:R68)</f>
        <v/>
      </c>
      <c r="S65" s="597">
        <f>SUM(S66:S68)</f>
        <v/>
      </c>
      <c r="T65" s="597">
        <f>SUM(T66:T68)</f>
        <v/>
      </c>
      <c r="U65" s="597">
        <f>SUM(U66:U68)</f>
        <v/>
      </c>
      <c r="V65" s="597">
        <f>SUM(V66:V68)</f>
        <v/>
      </c>
      <c r="W65" s="597">
        <f>SUM(W66:W68)</f>
        <v/>
      </c>
      <c r="X65" s="597">
        <f>SUM(X66:X68)</f>
        <v/>
      </c>
      <c r="Y65" s="597">
        <f>SUM(Y66:Y68)</f>
        <v/>
      </c>
      <c r="Z65" s="597">
        <f>SUM(Z66:Z68)</f>
        <v/>
      </c>
      <c r="AA65" s="597">
        <f>SUM(AA66:AA68)</f>
        <v/>
      </c>
      <c r="AB65" s="597">
        <f>SUM(AB66:AB68)</f>
        <v/>
      </c>
      <c r="AC65" s="597">
        <f>SUM(AC66:AC68)</f>
        <v/>
      </c>
      <c r="AD65" s="597">
        <f>SUM(AD66:AD68)</f>
        <v/>
      </c>
      <c r="AE65" s="597">
        <f>SUM(AE66:AE68)</f>
        <v/>
      </c>
      <c r="AF65" s="597">
        <f>SUM(AF66:AF68)</f>
        <v/>
      </c>
      <c r="AG65" s="597">
        <f>SUM(AG66:AG68)</f>
        <v/>
      </c>
      <c r="AH65" s="597">
        <f>SUM(AH66:AH68)</f>
        <v/>
      </c>
      <c r="AI65" s="597">
        <f>SUM(AI66:AI68)</f>
        <v/>
      </c>
      <c r="AJ65" s="597">
        <f>SUM(AJ66:AJ68)</f>
        <v/>
      </c>
      <c r="AK65" s="597">
        <f>SUM(AK66:AK68)</f>
        <v/>
      </c>
      <c r="AL65" s="597">
        <f>SUM(AL66:AL68)</f>
        <v/>
      </c>
      <c r="AM65" s="597">
        <f>SUM(AM66:AM68)</f>
        <v/>
      </c>
      <c r="AN65" s="597">
        <f>SUM(AN66:AN68)</f>
        <v/>
      </c>
      <c r="AR65" s="131" t="n"/>
    </row>
    <row r="66">
      <c r="A66" s="681" t="inlineStr">
        <is>
          <t>Wind</t>
        </is>
      </c>
      <c r="Q66" s="526">
        <f>Q132+Q134</f>
        <v/>
      </c>
      <c r="R66" s="526">
        <f>R132+R134</f>
        <v/>
      </c>
      <c r="S66" s="526">
        <f>S132+S134</f>
        <v/>
      </c>
      <c r="T66" s="526">
        <f>T132+T134</f>
        <v/>
      </c>
      <c r="U66" s="526">
        <f>U132+U134</f>
        <v/>
      </c>
      <c r="V66" s="526">
        <f>V132+V134</f>
        <v/>
      </c>
      <c r="W66" s="526">
        <f>W132+W134</f>
        <v/>
      </c>
      <c r="X66" s="526">
        <f>X132+X134</f>
        <v/>
      </c>
      <c r="Y66" s="526">
        <f>Y132+Y134</f>
        <v/>
      </c>
      <c r="Z66" s="526">
        <f>Z132+Z134</f>
        <v/>
      </c>
      <c r="AA66" s="526">
        <f>AA132+AA134</f>
        <v/>
      </c>
      <c r="AB66" s="526">
        <f>AB132+AB134</f>
        <v/>
      </c>
      <c r="AC66" s="526">
        <f>AC132+AC134</f>
        <v/>
      </c>
      <c r="AD66" s="526">
        <f>AD132+AD134</f>
        <v/>
      </c>
      <c r="AE66" s="526">
        <f>AE132+AE134</f>
        <v/>
      </c>
      <c r="AF66" s="526">
        <f>AF132+AF134</f>
        <v/>
      </c>
      <c r="AG66" s="526">
        <f>AG132+AG134</f>
        <v/>
      </c>
      <c r="AH66" s="526">
        <f>AH132+AH134</f>
        <v/>
      </c>
      <c r="AI66" s="526">
        <f>AI132+AI134</f>
        <v/>
      </c>
      <c r="AJ66" s="526">
        <f>AJ132+AJ134</f>
        <v/>
      </c>
      <c r="AK66" s="526">
        <f>AK132+AK134</f>
        <v/>
      </c>
      <c r="AL66" s="526">
        <f>AL132+AL134</f>
        <v/>
      </c>
      <c r="AM66" s="526">
        <f>AM132+AM134</f>
        <v/>
      </c>
      <c r="AN66" s="526">
        <f>AN132+AN134</f>
        <v/>
      </c>
      <c r="AR66" s="131" t="n"/>
    </row>
    <row r="67">
      <c r="A67" s="681" t="inlineStr">
        <is>
          <t>Hydro</t>
        </is>
      </c>
      <c r="Q67" s="526">
        <f>Q131</f>
        <v/>
      </c>
      <c r="R67" s="526">
        <f>R131</f>
        <v/>
      </c>
      <c r="S67" s="526">
        <f>S131</f>
        <v/>
      </c>
      <c r="T67" s="526">
        <f>T131</f>
        <v/>
      </c>
      <c r="U67" s="526">
        <f>U131</f>
        <v/>
      </c>
      <c r="V67" s="526">
        <f>V131</f>
        <v/>
      </c>
      <c r="W67" s="526">
        <f>W131</f>
        <v/>
      </c>
      <c r="X67" s="526">
        <f>X131</f>
        <v/>
      </c>
      <c r="Y67" s="526">
        <f>Y131</f>
        <v/>
      </c>
      <c r="Z67" s="526">
        <f>Z131</f>
        <v/>
      </c>
      <c r="AA67" s="526">
        <f>AA131</f>
        <v/>
      </c>
      <c r="AB67" s="526">
        <f>AB131</f>
        <v/>
      </c>
      <c r="AC67" s="526">
        <f>AC131</f>
        <v/>
      </c>
      <c r="AD67" s="526">
        <f>AD131</f>
        <v/>
      </c>
      <c r="AE67" s="526">
        <f>AE131</f>
        <v/>
      </c>
      <c r="AF67" s="526">
        <f>AF131</f>
        <v/>
      </c>
      <c r="AG67" s="526">
        <f>AG131</f>
        <v/>
      </c>
      <c r="AH67" s="526">
        <f>AH131</f>
        <v/>
      </c>
      <c r="AI67" s="526">
        <f>AI131</f>
        <v/>
      </c>
      <c r="AJ67" s="526">
        <f>AJ131</f>
        <v/>
      </c>
      <c r="AK67" s="526">
        <f>AK131</f>
        <v/>
      </c>
      <c r="AL67" s="526">
        <f>AL131</f>
        <v/>
      </c>
      <c r="AM67" s="526">
        <f>AM131</f>
        <v/>
      </c>
      <c r="AN67" s="526">
        <f>AN131</f>
        <v/>
      </c>
      <c r="AR67" s="131" t="n"/>
    </row>
    <row r="68">
      <c r="A68" s="681" t="inlineStr">
        <is>
          <t>Solar</t>
        </is>
      </c>
      <c r="Q68" s="526">
        <f>Q135</f>
        <v/>
      </c>
      <c r="R68" s="526">
        <f>R135</f>
        <v/>
      </c>
      <c r="S68" s="526">
        <f>S135</f>
        <v/>
      </c>
      <c r="T68" s="526">
        <f>T135</f>
        <v/>
      </c>
      <c r="U68" s="526">
        <f>U135</f>
        <v/>
      </c>
      <c r="V68" s="526">
        <f>V135</f>
        <v/>
      </c>
      <c r="W68" s="526">
        <f>W135</f>
        <v/>
      </c>
      <c r="X68" s="526">
        <f>X135</f>
        <v/>
      </c>
      <c r="Y68" s="526">
        <f>Y135</f>
        <v/>
      </c>
      <c r="Z68" s="526">
        <f>Z135</f>
        <v/>
      </c>
      <c r="AA68" s="526">
        <f>AA135</f>
        <v/>
      </c>
      <c r="AB68" s="526">
        <f>AB135</f>
        <v/>
      </c>
      <c r="AC68" s="526">
        <f>AC135</f>
        <v/>
      </c>
      <c r="AD68" s="526">
        <f>AD135</f>
        <v/>
      </c>
      <c r="AE68" s="526">
        <f>AE135</f>
        <v/>
      </c>
      <c r="AF68" s="526">
        <f>AF135</f>
        <v/>
      </c>
      <c r="AG68" s="526">
        <f>AG135</f>
        <v/>
      </c>
      <c r="AH68" s="526">
        <f>AH135</f>
        <v/>
      </c>
      <c r="AI68" s="526">
        <f>AI135</f>
        <v/>
      </c>
      <c r="AJ68" s="526">
        <f>AJ135</f>
        <v/>
      </c>
      <c r="AK68" s="526">
        <f>AK135</f>
        <v/>
      </c>
      <c r="AL68" s="526">
        <f>AL135</f>
        <v/>
      </c>
      <c r="AM68" s="526">
        <f>AM135</f>
        <v/>
      </c>
      <c r="AN68" s="526">
        <f>AN135</f>
        <v/>
      </c>
      <c r="AO68" s="678" t="n"/>
      <c r="AP68" s="678" t="n"/>
      <c r="AQ68" s="678" t="n"/>
      <c r="AR68" s="678" t="n"/>
      <c r="AS68" s="678" t="n"/>
      <c r="AT68" s="678" t="n"/>
      <c r="AU68" s="678">
        <f>AC28/AC68</f>
        <v/>
      </c>
    </row>
    <row r="69">
      <c r="A69" s="597" t="inlineStr">
        <is>
          <t>Nuclear</t>
        </is>
      </c>
      <c r="B69" s="597">
        <f>SUM(B70:B71)</f>
        <v/>
      </c>
      <c r="C69" s="597">
        <f>SUM(C70:C71)</f>
        <v/>
      </c>
      <c r="D69" s="597">
        <f>SUM(D70:D71)</f>
        <v/>
      </c>
      <c r="E69" s="597">
        <f>SUM(E70:E71)</f>
        <v/>
      </c>
      <c r="F69" s="597">
        <f>SUM(F70:F71)</f>
        <v/>
      </c>
      <c r="G69" s="597">
        <f>SUM(G70:G71)</f>
        <v/>
      </c>
      <c r="H69" s="597">
        <f>SUM(H70:H71)</f>
        <v/>
      </c>
      <c r="I69" s="597">
        <f>SUM(I70:I71)</f>
        <v/>
      </c>
      <c r="J69" s="597">
        <f>SUM(J70:J71)</f>
        <v/>
      </c>
      <c r="K69" s="597">
        <f>SUM(K70:K71)</f>
        <v/>
      </c>
      <c r="L69" s="597">
        <f>SUM(L70:L71)</f>
        <v/>
      </c>
      <c r="M69" s="597">
        <f>SUM(M70:M71)</f>
        <v/>
      </c>
      <c r="N69" s="597">
        <f>SUM(N70:N71)</f>
        <v/>
      </c>
      <c r="O69" s="597">
        <f>SUM(O70:O71)</f>
        <v/>
      </c>
      <c r="P69" s="597">
        <f>SUM(P70:P71)</f>
        <v/>
      </c>
      <c r="Q69" s="597">
        <f>SUM(Q70:Q71)</f>
        <v/>
      </c>
      <c r="R69" s="597">
        <f>SUM(R70:R71)</f>
        <v/>
      </c>
      <c r="S69" s="597">
        <f>SUM(S70:S71)</f>
        <v/>
      </c>
      <c r="T69" s="597">
        <f>SUM(T70:T71)</f>
        <v/>
      </c>
      <c r="U69" s="597">
        <f>SUM(U70:U71)</f>
        <v/>
      </c>
      <c r="V69" s="597">
        <f>SUM(V70:V71)</f>
        <v/>
      </c>
      <c r="W69" s="597">
        <f>SUM(W70:W71)</f>
        <v/>
      </c>
      <c r="X69" s="597">
        <f>SUM(X70:X71)</f>
        <v/>
      </c>
      <c r="Y69" s="597">
        <f>SUM(Y70:Y71)</f>
        <v/>
      </c>
      <c r="Z69" s="597">
        <f>SUM(Z70:Z71)</f>
        <v/>
      </c>
      <c r="AA69" s="597">
        <f>SUM(AA70:AA71)</f>
        <v/>
      </c>
      <c r="AB69" s="597">
        <f>SUM(AB70:AB71)</f>
        <v/>
      </c>
      <c r="AC69" s="597">
        <f>SUM(AC70:AC71)</f>
        <v/>
      </c>
      <c r="AD69" s="597">
        <f>SUM(AD70:AD71)</f>
        <v/>
      </c>
      <c r="AE69" s="597">
        <f>SUM(AE70:AE71)</f>
        <v/>
      </c>
      <c r="AF69" s="597">
        <f>SUM(AF70:AF71)</f>
        <v/>
      </c>
      <c r="AG69" s="597">
        <f>SUM(AG70:AG71)</f>
        <v/>
      </c>
      <c r="AH69" s="597">
        <f>SUM(AH70:AH71)</f>
        <v/>
      </c>
      <c r="AI69" s="597">
        <f>SUM(AI70:AI71)</f>
        <v/>
      </c>
      <c r="AJ69" s="597">
        <f>SUM(AJ70:AJ71)</f>
        <v/>
      </c>
      <c r="AK69" s="597">
        <f>SUM(AK70:AK71)</f>
        <v/>
      </c>
      <c r="AL69" s="597">
        <f>SUM(AL70:AL71)</f>
        <v/>
      </c>
      <c r="AM69" s="597">
        <f>SUM(AM70:AM71)</f>
        <v/>
      </c>
      <c r="AN69" s="597">
        <f>SUM(AN70:AN71)</f>
        <v/>
      </c>
      <c r="AR69" s="131" t="n"/>
    </row>
    <row r="70">
      <c r="A70" s="681" t="inlineStr">
        <is>
          <t>Daya Bay</t>
        </is>
      </c>
      <c r="P70" s="526">
        <f>P125</f>
        <v/>
      </c>
      <c r="Q70" s="526">
        <f>Q125</f>
        <v/>
      </c>
      <c r="R70" s="526">
        <f>R125</f>
        <v/>
      </c>
      <c r="S70" s="526">
        <f>S125</f>
        <v/>
      </c>
      <c r="T70" s="526">
        <f>T125</f>
        <v/>
      </c>
      <c r="U70" s="526">
        <f>U125</f>
        <v/>
      </c>
      <c r="V70" s="526">
        <f>V125</f>
        <v/>
      </c>
      <c r="W70" s="526">
        <f>W125</f>
        <v/>
      </c>
      <c r="X70" s="526">
        <f>X125</f>
        <v/>
      </c>
      <c r="Y70" s="526">
        <f>Y125</f>
        <v/>
      </c>
      <c r="Z70" s="526">
        <f>Z125</f>
        <v/>
      </c>
      <c r="AA70" s="526">
        <f>AA125</f>
        <v/>
      </c>
      <c r="AB70" s="526">
        <f>AB125</f>
        <v/>
      </c>
      <c r="AC70" s="526">
        <f>AC125</f>
        <v/>
      </c>
      <c r="AD70" s="526">
        <f>AD125</f>
        <v/>
      </c>
      <c r="AE70" s="526">
        <f>AE125</f>
        <v/>
      </c>
      <c r="AF70" s="526">
        <f>AF125</f>
        <v/>
      </c>
      <c r="AG70" s="526">
        <f>AG125</f>
        <v/>
      </c>
      <c r="AH70" s="526">
        <f>AH125</f>
        <v/>
      </c>
      <c r="AI70" s="526">
        <f>AI125</f>
        <v/>
      </c>
      <c r="AJ70" s="526">
        <f>AJ125</f>
        <v/>
      </c>
      <c r="AK70" s="526">
        <f>AK125</f>
        <v/>
      </c>
      <c r="AL70" s="526">
        <f>AL125</f>
        <v/>
      </c>
      <c r="AM70" s="526">
        <f>AM125</f>
        <v/>
      </c>
      <c r="AN70" s="526">
        <f>AN125</f>
        <v/>
      </c>
      <c r="AR70" s="131" t="n"/>
    </row>
    <row r="71">
      <c r="A71" s="681" t="inlineStr">
        <is>
          <t>Yangjiang</t>
        </is>
      </c>
      <c r="Q71" s="526" t="n">
        <v>0</v>
      </c>
      <c r="R71" s="526" t="n">
        <v>0</v>
      </c>
      <c r="S71" s="526" t="n">
        <v>0</v>
      </c>
      <c r="T71" s="526" t="n">
        <v>0</v>
      </c>
      <c r="U71" s="526" t="n">
        <v>0</v>
      </c>
      <c r="V71" s="526" t="n">
        <v>0</v>
      </c>
      <c r="W71" s="526" t="n">
        <v>0</v>
      </c>
      <c r="X71" s="526" t="n">
        <v>0</v>
      </c>
      <c r="Y71" s="526" t="n">
        <v>0</v>
      </c>
      <c r="Z71" s="526">
        <f>Z136</f>
        <v/>
      </c>
      <c r="AA71" s="526">
        <f>AA136</f>
        <v/>
      </c>
      <c r="AB71" s="526">
        <f>AB136</f>
        <v/>
      </c>
      <c r="AC71" s="526">
        <f>AC136</f>
        <v/>
      </c>
      <c r="AD71" s="526">
        <f>AD136</f>
        <v/>
      </c>
      <c r="AE71" s="526">
        <f>AE136</f>
        <v/>
      </c>
      <c r="AF71" s="526">
        <f>AF136</f>
        <v/>
      </c>
      <c r="AG71" s="526">
        <f>AG136</f>
        <v/>
      </c>
      <c r="AH71" s="526">
        <f>AH136</f>
        <v/>
      </c>
      <c r="AI71" s="526">
        <f>AI136</f>
        <v/>
      </c>
      <c r="AJ71" s="526">
        <f>AJ136</f>
        <v/>
      </c>
      <c r="AK71" s="526">
        <f>AK136</f>
        <v/>
      </c>
      <c r="AL71" s="526">
        <f>AL136</f>
        <v/>
      </c>
      <c r="AM71" s="526">
        <f>AM136</f>
        <v/>
      </c>
      <c r="AN71" s="526">
        <f>AN136</f>
        <v/>
      </c>
      <c r="AR71" s="131" t="n"/>
    </row>
    <row r="72">
      <c r="A72" s="597" t="inlineStr">
        <is>
          <t>Thermal</t>
        </is>
      </c>
      <c r="B72" s="597">
        <f>SUM(B73:B75)</f>
        <v/>
      </c>
      <c r="C72" s="597">
        <f>SUM(C73:C75)</f>
        <v/>
      </c>
      <c r="D72" s="597">
        <f>SUM(D73:D75)</f>
        <v/>
      </c>
      <c r="E72" s="597">
        <f>SUM(E73:E75)</f>
        <v/>
      </c>
      <c r="F72" s="597">
        <f>SUM(F73:F75)</f>
        <v/>
      </c>
      <c r="G72" s="597">
        <f>SUM(G73:G75)</f>
        <v/>
      </c>
      <c r="H72" s="597">
        <f>SUM(H73:H75)</f>
        <v/>
      </c>
      <c r="I72" s="597">
        <f>SUM(I73:I75)</f>
        <v/>
      </c>
      <c r="J72" s="597">
        <f>SUM(J73:J75)</f>
        <v/>
      </c>
      <c r="K72" s="597">
        <f>SUM(K73:K75)</f>
        <v/>
      </c>
      <c r="L72" s="597">
        <f>SUM(L73:L75)</f>
        <v/>
      </c>
      <c r="M72" s="597">
        <f>SUM(M73:M75)</f>
        <v/>
      </c>
      <c r="N72" s="597">
        <f>SUM(N73:N75)</f>
        <v/>
      </c>
      <c r="O72" s="597">
        <f>SUM(O73:O75)</f>
        <v/>
      </c>
      <c r="P72" s="597">
        <f>SUM(P73:P75)</f>
        <v/>
      </c>
      <c r="Q72" s="597">
        <f>SUM(Q73:Q75)</f>
        <v/>
      </c>
      <c r="R72" s="597">
        <f>SUM(R73:R75)</f>
        <v/>
      </c>
      <c r="S72" s="597">
        <f>SUM(S73:S75)</f>
        <v/>
      </c>
      <c r="T72" s="597">
        <f>SUM(T73:T75)</f>
        <v/>
      </c>
      <c r="U72" s="597">
        <f>SUM(U73:U75)</f>
        <v/>
      </c>
      <c r="V72" s="597">
        <f>SUM(V73:V75)</f>
        <v/>
      </c>
      <c r="W72" s="597">
        <f>SUM(W73:W75)</f>
        <v/>
      </c>
      <c r="X72" s="597">
        <f>SUM(X73:X75)</f>
        <v/>
      </c>
      <c r="Y72" s="597">
        <f>SUM(Y73:Y75)</f>
        <v/>
      </c>
      <c r="Z72" s="597">
        <f>SUM(Z73:Z75)</f>
        <v/>
      </c>
      <c r="AA72" s="597">
        <f>SUM(AA73:AA75)</f>
        <v/>
      </c>
      <c r="AB72" s="597">
        <f>SUM(AB73:AB75)</f>
        <v/>
      </c>
      <c r="AC72" s="597">
        <f>SUM(AC73:AC75)</f>
        <v/>
      </c>
      <c r="AD72" s="597">
        <f>SUM(AD73:AD75)</f>
        <v/>
      </c>
      <c r="AE72" s="597">
        <f>SUM(AE73:AE75)</f>
        <v/>
      </c>
      <c r="AF72" s="597">
        <f>SUM(AF73:AF75)</f>
        <v/>
      </c>
      <c r="AG72" s="597">
        <f>SUM(AG73:AG75)</f>
        <v/>
      </c>
      <c r="AH72" s="597">
        <f>SUM(AH73:AH75)</f>
        <v/>
      </c>
      <c r="AI72" s="597">
        <f>SUM(AI73:AI75)</f>
        <v/>
      </c>
      <c r="AJ72" s="597">
        <f>SUM(AJ73:AJ75)</f>
        <v/>
      </c>
      <c r="AK72" s="597">
        <f>SUM(AK73:AK75)</f>
        <v/>
      </c>
      <c r="AL72" s="597">
        <f>SUM(AL73:AL75)</f>
        <v/>
      </c>
      <c r="AM72" s="597">
        <f>SUM(AM73:AM75)</f>
        <v/>
      </c>
      <c r="AN72" s="597">
        <f>SUM(AN73:AN75)</f>
        <v/>
      </c>
      <c r="AR72" s="131" t="n"/>
    </row>
    <row r="73">
      <c r="A73" s="681" t="inlineStr">
        <is>
          <t>Shandong</t>
        </is>
      </c>
      <c r="Q73" s="526">
        <f>Q128</f>
        <v/>
      </c>
      <c r="R73" s="526">
        <f>R128</f>
        <v/>
      </c>
      <c r="S73" s="526">
        <f>S128</f>
        <v/>
      </c>
      <c r="T73" s="526">
        <f>T128</f>
        <v/>
      </c>
      <c r="U73" s="526">
        <f>U128</f>
        <v/>
      </c>
      <c r="V73" s="526">
        <f>V128</f>
        <v/>
      </c>
      <c r="W73" s="526">
        <f>W128</f>
        <v/>
      </c>
      <c r="X73" s="526">
        <f>X128</f>
        <v/>
      </c>
      <c r="Y73" s="526">
        <f>Y128</f>
        <v/>
      </c>
      <c r="Z73" s="526">
        <f>Z128</f>
        <v/>
      </c>
      <c r="AA73" s="526">
        <f>AA128</f>
        <v/>
      </c>
      <c r="AB73" s="526">
        <f>AB128</f>
        <v/>
      </c>
      <c r="AC73" s="526">
        <f>AC128</f>
        <v/>
      </c>
      <c r="AD73" s="526">
        <f>AD128</f>
        <v/>
      </c>
      <c r="AE73" s="526">
        <f>AE128</f>
        <v/>
      </c>
      <c r="AF73" s="526">
        <f>AF128</f>
        <v/>
      </c>
      <c r="AG73" s="526">
        <f>AG128</f>
        <v/>
      </c>
      <c r="AH73" s="526" t="n">
        <v>0</v>
      </c>
      <c r="AI73" s="526">
        <f>AH73</f>
        <v/>
      </c>
      <c r="AJ73" s="526">
        <f>AI73</f>
        <v/>
      </c>
      <c r="AK73" s="526">
        <f>AJ73</f>
        <v/>
      </c>
      <c r="AL73" s="526">
        <f>AK73</f>
        <v/>
      </c>
      <c r="AM73" s="526">
        <f>AL73</f>
        <v/>
      </c>
      <c r="AN73" s="526">
        <f>AM73</f>
        <v/>
      </c>
      <c r="AR73" s="131" t="n"/>
    </row>
    <row r="74">
      <c r="A74" s="681" t="inlineStr">
        <is>
          <t>Guohua</t>
        </is>
      </c>
      <c r="Q74" s="526">
        <f>Q129</f>
        <v/>
      </c>
      <c r="R74" s="526">
        <f>R129</f>
        <v/>
      </c>
      <c r="S74" s="526">
        <f>S129</f>
        <v/>
      </c>
      <c r="T74" s="526">
        <f>T129</f>
        <v/>
      </c>
      <c r="U74" s="526">
        <f>U129</f>
        <v/>
      </c>
      <c r="V74" s="526">
        <f>V129</f>
        <v/>
      </c>
      <c r="W74" s="526">
        <f>W129</f>
        <v/>
      </c>
      <c r="X74" s="526">
        <f>X129</f>
        <v/>
      </c>
      <c r="Y74" s="526">
        <f>Y129</f>
        <v/>
      </c>
      <c r="Z74" s="526">
        <f>Z129</f>
        <v/>
      </c>
      <c r="AA74" s="526">
        <f>AA129</f>
        <v/>
      </c>
      <c r="AB74" s="526">
        <f>AB129</f>
        <v/>
      </c>
      <c r="AC74" s="526">
        <f>AC129</f>
        <v/>
      </c>
      <c r="AD74" s="526">
        <f>AD129</f>
        <v/>
      </c>
      <c r="AE74" s="526">
        <f>AE129</f>
        <v/>
      </c>
      <c r="AF74" s="526">
        <f>AF129</f>
        <v/>
      </c>
      <c r="AG74" s="526">
        <f>AG129</f>
        <v/>
      </c>
      <c r="AH74" s="526">
        <f>AH129</f>
        <v/>
      </c>
      <c r="AI74" s="526">
        <f>AI129</f>
        <v/>
      </c>
      <c r="AJ74" s="526">
        <f>AJ129</f>
        <v/>
      </c>
      <c r="AK74" s="526">
        <f>AK129</f>
        <v/>
      </c>
      <c r="AL74" s="526">
        <f>AL129</f>
        <v/>
      </c>
      <c r="AM74" s="526">
        <f>AM129</f>
        <v/>
      </c>
      <c r="AN74" s="526">
        <f>AN129</f>
        <v/>
      </c>
      <c r="AR74" s="131" t="n"/>
    </row>
    <row r="75">
      <c r="A75" s="681" t="inlineStr">
        <is>
          <t>Fangchenggang</t>
        </is>
      </c>
      <c r="Q75" s="526">
        <f>Q127</f>
        <v/>
      </c>
      <c r="R75" s="526">
        <f>R127</f>
        <v/>
      </c>
      <c r="S75" s="526">
        <f>S127</f>
        <v/>
      </c>
      <c r="T75" s="526">
        <f>T127</f>
        <v/>
      </c>
      <c r="U75" s="526">
        <f>U127</f>
        <v/>
      </c>
      <c r="V75" s="526">
        <f>V127</f>
        <v/>
      </c>
      <c r="W75" s="526">
        <f>W127</f>
        <v/>
      </c>
      <c r="X75" s="526">
        <f>X127</f>
        <v/>
      </c>
      <c r="Y75" s="526">
        <f>Y127</f>
        <v/>
      </c>
      <c r="Z75" s="526">
        <f>Z127</f>
        <v/>
      </c>
      <c r="AA75" s="526">
        <f>AA127</f>
        <v/>
      </c>
      <c r="AB75" s="526">
        <f>AB127</f>
        <v/>
      </c>
      <c r="AC75" s="526">
        <f>AC127</f>
        <v/>
      </c>
      <c r="AD75" s="526">
        <f>AD127</f>
        <v/>
      </c>
      <c r="AE75" s="526">
        <f>AE127</f>
        <v/>
      </c>
      <c r="AF75" s="526">
        <f>AF127</f>
        <v/>
      </c>
      <c r="AG75" s="526">
        <f>AG127</f>
        <v/>
      </c>
      <c r="AH75" s="526">
        <f>AH127</f>
        <v/>
      </c>
      <c r="AI75" s="526">
        <f>AI127</f>
        <v/>
      </c>
      <c r="AJ75" s="526">
        <f>AJ127</f>
        <v/>
      </c>
      <c r="AK75" s="526">
        <f>AK127</f>
        <v/>
      </c>
      <c r="AL75" s="526">
        <f>AL127</f>
        <v/>
      </c>
      <c r="AM75" s="526">
        <f>AM127</f>
        <v/>
      </c>
      <c r="AN75" s="526">
        <f>AN127</f>
        <v/>
      </c>
      <c r="AR75" s="131" t="n"/>
    </row>
    <row r="76">
      <c r="A76" s="681" t="n"/>
      <c r="AR76" s="131" t="n"/>
    </row>
    <row r="77">
      <c r="A77" s="88" t="inlineStr">
        <is>
          <t>Unit EBIT (Rmb m/MW)</t>
        </is>
      </c>
      <c r="B77" s="643" t="n"/>
      <c r="C77" s="643" t="n"/>
      <c r="D77" s="643" t="n"/>
      <c r="E77" s="643" t="n"/>
      <c r="F77" s="643" t="n"/>
      <c r="G77" s="643" t="n"/>
      <c r="H77" s="643" t="n"/>
      <c r="I77" s="643" t="n"/>
      <c r="J77" s="643" t="n"/>
      <c r="K77" s="643" t="n"/>
      <c r="L77" s="643" t="n"/>
      <c r="M77" s="643" t="n"/>
      <c r="N77" s="643" t="n"/>
      <c r="O77" s="643" t="n"/>
      <c r="P77" s="643" t="n"/>
      <c r="Q77" s="643" t="n"/>
      <c r="R77" s="643" t="n"/>
      <c r="S77" s="643" t="n"/>
      <c r="T77" s="643" t="n"/>
      <c r="U77" s="643" t="n"/>
      <c r="V77" s="643" t="n"/>
      <c r="W77" s="643" t="n"/>
      <c r="X77" s="643" t="n"/>
      <c r="Y77" s="643" t="n"/>
      <c r="Z77" s="643" t="n"/>
      <c r="AA77" s="643" t="n"/>
      <c r="AB77" s="643" t="n"/>
      <c r="AC77" s="643" t="n"/>
      <c r="AD77" s="643" t="n"/>
      <c r="AE77" s="643" t="n"/>
      <c r="AF77" s="643" t="n"/>
      <c r="AG77" s="643" t="n"/>
      <c r="AH77" s="643" t="n"/>
      <c r="AI77" s="643" t="n"/>
      <c r="AJ77" s="643" t="n"/>
      <c r="AK77" s="643" t="n"/>
      <c r="AL77" s="643" t="n"/>
      <c r="AM77" s="643" t="n"/>
      <c r="AN77" s="643" t="n"/>
      <c r="AR77" s="131" t="n"/>
    </row>
    <row r="78">
      <c r="A78" s="597" t="inlineStr">
        <is>
          <t>Renewable</t>
        </is>
      </c>
      <c r="B78" s="597">
        <f>SUM(B79:B81)</f>
        <v/>
      </c>
      <c r="C78" s="597">
        <f>SUM(C79:C81)</f>
        <v/>
      </c>
      <c r="D78" s="597">
        <f>SUM(D79:D81)</f>
        <v/>
      </c>
      <c r="E78" s="597">
        <f>SUM(E79:E81)</f>
        <v/>
      </c>
      <c r="F78" s="597">
        <f>SUM(F79:F81)</f>
        <v/>
      </c>
      <c r="G78" s="597">
        <f>SUM(G79:G81)</f>
        <v/>
      </c>
      <c r="H78" s="597">
        <f>SUM(H79:H81)</f>
        <v/>
      </c>
      <c r="I78" s="597">
        <f>SUM(I79:I81)</f>
        <v/>
      </c>
      <c r="J78" s="597">
        <f>SUM(J79:J81)</f>
        <v/>
      </c>
      <c r="K78" s="597">
        <f>SUM(K79:K81)</f>
        <v/>
      </c>
      <c r="L78" s="597">
        <f>SUM(L79:L81)</f>
        <v/>
      </c>
      <c r="M78" s="597">
        <f>SUM(M79:M81)</f>
        <v/>
      </c>
      <c r="N78" s="597">
        <f>SUM(N79:N81)</f>
        <v/>
      </c>
      <c r="O78" s="597">
        <f>SUM(O79:O81)</f>
        <v/>
      </c>
      <c r="P78" s="597">
        <f>SUM(P79:P81)</f>
        <v/>
      </c>
      <c r="Q78" s="597" t="n"/>
      <c r="R78" s="597" t="n"/>
      <c r="S78" s="597" t="n"/>
      <c r="T78" s="597" t="n"/>
      <c r="U78" s="597" t="n"/>
      <c r="V78" s="597" t="n"/>
      <c r="W78" s="597" t="n"/>
      <c r="X78" s="597" t="n"/>
      <c r="Y78" s="597" t="n"/>
      <c r="Z78" s="597" t="n"/>
      <c r="AR78" s="131" t="n"/>
    </row>
    <row r="79">
      <c r="A79" s="681" t="inlineStr">
        <is>
          <t>Wind</t>
        </is>
      </c>
      <c r="W79" s="683">
        <f>W26/W66/W$2</f>
        <v/>
      </c>
      <c r="X79" s="683">
        <f>X26/X66/X$2</f>
        <v/>
      </c>
      <c r="Y79" s="683">
        <f>Y26/Y66/Y$2</f>
        <v/>
      </c>
      <c r="Z79" s="683">
        <f>Z26/Z66/Z$2</f>
        <v/>
      </c>
      <c r="AA79" s="683">
        <f>AA26/AA66/AA$2</f>
        <v/>
      </c>
      <c r="AB79" s="683">
        <f>AB26/AB66/AB$2</f>
        <v/>
      </c>
      <c r="AC79" s="683">
        <f>AC26/AC66/AC$2</f>
        <v/>
      </c>
      <c r="AD79" s="683">
        <f>AD26/AD66/AD$2</f>
        <v/>
      </c>
      <c r="AE79" s="683">
        <f>AE26/AE66/AE$2</f>
        <v/>
      </c>
      <c r="AF79" s="683">
        <f>AF26/AF66/AF$2</f>
        <v/>
      </c>
      <c r="AG79" s="683">
        <f>AG26/AG66/AG$2</f>
        <v/>
      </c>
      <c r="AH79" s="683">
        <f>AH26/AH66/AH$2</f>
        <v/>
      </c>
      <c r="AI79" s="684">
        <f>AH79*0.6</f>
        <v/>
      </c>
      <c r="AJ79" s="684">
        <f>AI79</f>
        <v/>
      </c>
      <c r="AK79" s="684">
        <f>AJ79</f>
        <v/>
      </c>
      <c r="AL79" s="684">
        <f>AK79</f>
        <v/>
      </c>
      <c r="AM79" s="684">
        <f>AL79</f>
        <v/>
      </c>
      <c r="AN79" s="684">
        <f>AM79</f>
        <v/>
      </c>
      <c r="AR79" s="131" t="n"/>
    </row>
    <row r="80">
      <c r="A80" s="681" t="inlineStr">
        <is>
          <t>Hydro</t>
        </is>
      </c>
      <c r="W80" s="683">
        <f>W27/W67/W$2</f>
        <v/>
      </c>
      <c r="X80" s="683">
        <f>X27/X67/X$2</f>
        <v/>
      </c>
      <c r="Y80" s="683">
        <f>Y27/Y67/Y$2</f>
        <v/>
      </c>
      <c r="Z80" s="683">
        <f>Z27/Z67/Z$2</f>
        <v/>
      </c>
      <c r="AA80" s="683">
        <f>AA27/AA67/AA$2</f>
        <v/>
      </c>
      <c r="AB80" s="683">
        <f>AB27/AB67/AB$2</f>
        <v/>
      </c>
      <c r="AC80" s="683">
        <f>AC27/AC67/AC$2</f>
        <v/>
      </c>
      <c r="AD80" s="683">
        <f>AD27/AD67/AD$2</f>
        <v/>
      </c>
      <c r="AE80" s="683">
        <f>AE27/AE67/AE$2</f>
        <v/>
      </c>
      <c r="AF80" s="683">
        <f>AF27/AF67/AF$2</f>
        <v/>
      </c>
      <c r="AG80" s="683">
        <f>AG27/AG67/AG$2</f>
        <v/>
      </c>
      <c r="AH80" s="683">
        <f>AH27/AH67/AH$2</f>
        <v/>
      </c>
      <c r="AI80" s="684">
        <f>AH80*1.1</f>
        <v/>
      </c>
      <c r="AJ80" s="684">
        <f>AI80</f>
        <v/>
      </c>
      <c r="AK80" s="684">
        <f>AJ80</f>
        <v/>
      </c>
      <c r="AL80" s="684">
        <f>AK80</f>
        <v/>
      </c>
      <c r="AM80" s="684">
        <f>AL80</f>
        <v/>
      </c>
      <c r="AN80" s="684">
        <f>AM80</f>
        <v/>
      </c>
      <c r="AR80" s="131" t="n"/>
    </row>
    <row r="81">
      <c r="A81" s="681" t="inlineStr">
        <is>
          <t>Solar</t>
        </is>
      </c>
      <c r="W81" s="683">
        <f>W28/W68/W$2</f>
        <v/>
      </c>
      <c r="X81" s="683">
        <f>X28/X68/X$2</f>
        <v/>
      </c>
      <c r="Y81" s="683">
        <f>Y28/Y68/Y$2</f>
        <v/>
      </c>
      <c r="Z81" s="683">
        <f>Z28/Z68/Z$2</f>
        <v/>
      </c>
      <c r="AA81" s="683">
        <f>AA28/AA68/AA$2</f>
        <v/>
      </c>
      <c r="AB81" s="683">
        <f>AB28/AB68/AB$2</f>
        <v/>
      </c>
      <c r="AC81" s="683">
        <f>AC28/AC68/AC$2</f>
        <v/>
      </c>
      <c r="AD81" s="683">
        <f>AD28/AD68/AD$2</f>
        <v/>
      </c>
      <c r="AE81" s="683">
        <f>AE28/AE68/AE$2</f>
        <v/>
      </c>
      <c r="AF81" s="683">
        <f>AF28/AF68/AF$2</f>
        <v/>
      </c>
      <c r="AG81" s="683">
        <f>AG28/AG68/AG$2</f>
        <v/>
      </c>
      <c r="AH81" s="683">
        <f>AH28/AH68/AH$2</f>
        <v/>
      </c>
      <c r="AI81" s="684">
        <f>AH81*0.65</f>
        <v/>
      </c>
      <c r="AJ81" s="684">
        <f>AI81</f>
        <v/>
      </c>
      <c r="AK81" s="684">
        <f>AJ81</f>
        <v/>
      </c>
      <c r="AL81" s="684">
        <f>AK81</f>
        <v/>
      </c>
      <c r="AM81" s="684">
        <f>AL81</f>
        <v/>
      </c>
      <c r="AN81" s="684">
        <f>AM81</f>
        <v/>
      </c>
      <c r="AR81" s="131" t="n"/>
    </row>
    <row r="82">
      <c r="A82" s="597" t="inlineStr">
        <is>
          <t>Nuclear</t>
        </is>
      </c>
      <c r="B82" s="597">
        <f>SUM(B83:B84)</f>
        <v/>
      </c>
      <c r="C82" s="597">
        <f>SUM(C83:C84)</f>
        <v/>
      </c>
      <c r="D82" s="597">
        <f>SUM(D83:D84)</f>
        <v/>
      </c>
      <c r="E82" s="597">
        <f>SUM(E83:E84)</f>
        <v/>
      </c>
      <c r="F82" s="597">
        <f>SUM(F83:F84)</f>
        <v/>
      </c>
      <c r="G82" s="597">
        <f>SUM(G83:G84)</f>
        <v/>
      </c>
      <c r="H82" s="597">
        <f>SUM(H83:H84)</f>
        <v/>
      </c>
      <c r="I82" s="597">
        <f>SUM(I83:I84)</f>
        <v/>
      </c>
      <c r="J82" s="597">
        <f>SUM(J83:J84)</f>
        <v/>
      </c>
      <c r="K82" s="597">
        <f>SUM(K83:K84)</f>
        <v/>
      </c>
      <c r="L82" s="597">
        <f>SUM(L83:L84)</f>
        <v/>
      </c>
      <c r="M82" s="597">
        <f>SUM(M83:M84)</f>
        <v/>
      </c>
      <c r="N82" s="597">
        <f>SUM(N83:N84)</f>
        <v/>
      </c>
      <c r="O82" s="597">
        <f>SUM(O83:O84)</f>
        <v/>
      </c>
      <c r="P82" s="597">
        <f>SUM(P83:P84)</f>
        <v/>
      </c>
      <c r="Q82" s="597" t="n"/>
      <c r="R82" s="597" t="n"/>
      <c r="S82" s="597" t="n"/>
      <c r="T82" s="597" t="n"/>
      <c r="U82" s="597" t="n"/>
      <c r="V82" s="597" t="n"/>
      <c r="W82" s="597" t="n"/>
      <c r="X82" s="597" t="n"/>
      <c r="Y82" s="597" t="n"/>
      <c r="Z82" s="597" t="n"/>
      <c r="AA82" s="597" t="n"/>
      <c r="AB82" s="597" t="n"/>
      <c r="AH82" s="131" t="n"/>
      <c r="AR82" s="131" t="n"/>
    </row>
    <row r="83">
      <c r="A83" s="681" t="inlineStr">
        <is>
          <t>Daya Bay</t>
        </is>
      </c>
      <c r="W83" s="683">
        <f>W30/W70/W$2</f>
        <v/>
      </c>
      <c r="X83" s="683">
        <f>X30/X70/X$2</f>
        <v/>
      </c>
      <c r="Y83" s="683">
        <f>Y30/Y70/Y$2</f>
        <v/>
      </c>
      <c r="Z83" s="683">
        <f>Z30/Z70/Z$2</f>
        <v/>
      </c>
      <c r="AA83" s="683">
        <f>AA30/AA70/AA$2</f>
        <v/>
      </c>
      <c r="AB83" s="683">
        <f>AB30/AB70/AB$2</f>
        <v/>
      </c>
      <c r="AC83" s="683">
        <f>AC30/AC70/AC$2</f>
        <v/>
      </c>
      <c r="AD83" s="683">
        <f>AD30/AD70/AD$2</f>
        <v/>
      </c>
      <c r="AE83" s="683">
        <f>AE30/AE70/AE$2</f>
        <v/>
      </c>
      <c r="AF83" s="683">
        <f>AF30/AF70/AF$2</f>
        <v/>
      </c>
      <c r="AG83" s="683">
        <f>AG30/AG70/AG$2</f>
        <v/>
      </c>
      <c r="AH83" s="683">
        <f>AH30/AH70/AH$2</f>
        <v/>
      </c>
      <c r="AI83" s="684">
        <f>AH83</f>
        <v/>
      </c>
      <c r="AJ83" s="684">
        <f>AI83</f>
        <v/>
      </c>
      <c r="AK83" s="684">
        <f>AJ83</f>
        <v/>
      </c>
      <c r="AL83" s="684">
        <f>AK83</f>
        <v/>
      </c>
      <c r="AM83" s="684">
        <f>AL83</f>
        <v/>
      </c>
      <c r="AN83" s="684">
        <f>AM83</f>
        <v/>
      </c>
      <c r="AR83" s="131" t="n"/>
    </row>
    <row r="84">
      <c r="A84" s="681" t="inlineStr">
        <is>
          <t>Yangjiang</t>
        </is>
      </c>
      <c r="W84" s="683" t="n"/>
      <c r="X84" s="683" t="n"/>
      <c r="Y84" s="683" t="n"/>
      <c r="Z84" s="683" t="n"/>
      <c r="AA84" s="683">
        <f>AA31/AA71/AA$2*12</f>
        <v/>
      </c>
      <c r="AB84" s="683">
        <f>AB31/AB71/AB$2</f>
        <v/>
      </c>
      <c r="AC84" s="683">
        <f>AC31/AC71/AC$2</f>
        <v/>
      </c>
      <c r="AD84" s="683">
        <f>AD31/AD71/AD$2</f>
        <v/>
      </c>
      <c r="AE84" s="683">
        <f>AE31/AE71/AE$2</f>
        <v/>
      </c>
      <c r="AF84" s="683">
        <f>AF31/AF71/AF$2</f>
        <v/>
      </c>
      <c r="AG84" s="683">
        <f>AG31/AG71/AG$2</f>
        <v/>
      </c>
      <c r="AH84" s="683">
        <f>AH31/AH71/AH$2</f>
        <v/>
      </c>
      <c r="AI84" s="684">
        <f>AH84*0.8</f>
        <v/>
      </c>
      <c r="AJ84" s="684">
        <f>AI84</f>
        <v/>
      </c>
      <c r="AK84" s="684">
        <f>AJ84</f>
        <v/>
      </c>
      <c r="AL84" s="684">
        <f>AK84</f>
        <v/>
      </c>
      <c r="AM84" s="684">
        <f>AL84</f>
        <v/>
      </c>
      <c r="AN84" s="684">
        <f>AM84</f>
        <v/>
      </c>
      <c r="AR84" s="131" t="n"/>
    </row>
    <row r="85">
      <c r="A85" s="597" t="inlineStr">
        <is>
          <t>Thermal</t>
        </is>
      </c>
      <c r="B85" s="597">
        <f>SUM(B86:B88)</f>
        <v/>
      </c>
      <c r="C85" s="597">
        <f>SUM(C86:C88)</f>
        <v/>
      </c>
      <c r="D85" s="597">
        <f>SUM(D86:D88)</f>
        <v/>
      </c>
      <c r="E85" s="597">
        <f>SUM(E86:E88)</f>
        <v/>
      </c>
      <c r="F85" s="597">
        <f>SUM(F86:F88)</f>
        <v/>
      </c>
      <c r="G85" s="597">
        <f>SUM(G86:G88)</f>
        <v/>
      </c>
      <c r="H85" s="597">
        <f>SUM(H86:H88)</f>
        <v/>
      </c>
      <c r="I85" s="597">
        <f>SUM(I86:I88)</f>
        <v/>
      </c>
      <c r="J85" s="597">
        <f>SUM(J86:J88)</f>
        <v/>
      </c>
      <c r="K85" s="597">
        <f>SUM(K86:K88)</f>
        <v/>
      </c>
      <c r="L85" s="597">
        <f>SUM(L86:L88)</f>
        <v/>
      </c>
      <c r="M85" s="597">
        <f>SUM(M86:M88)</f>
        <v/>
      </c>
      <c r="N85" s="597">
        <f>SUM(N86:N88)</f>
        <v/>
      </c>
      <c r="O85" s="597">
        <f>SUM(O86:O88)</f>
        <v/>
      </c>
      <c r="P85" s="597">
        <f>SUM(P86:P88)</f>
        <v/>
      </c>
      <c r="Q85" s="597" t="n"/>
      <c r="R85" s="597" t="n"/>
      <c r="S85" s="597" t="n"/>
      <c r="T85" s="597" t="n"/>
      <c r="U85" s="597" t="n"/>
      <c r="V85" s="597" t="n"/>
      <c r="W85" s="597" t="n"/>
      <c r="X85" s="597" t="n"/>
      <c r="Y85" s="597" t="n"/>
      <c r="Z85" s="597" t="n"/>
      <c r="AA85" s="597" t="n"/>
      <c r="AB85" s="597" t="n"/>
      <c r="AR85" s="131" t="n"/>
    </row>
    <row r="86">
      <c r="A86" s="681" t="inlineStr">
        <is>
          <t>Shandong</t>
        </is>
      </c>
      <c r="W86" s="683">
        <f>W33/W73/W$2</f>
        <v/>
      </c>
      <c r="X86" s="683">
        <f>X33/X73/X$2</f>
        <v/>
      </c>
      <c r="Y86" s="683">
        <f>Y33/Y73/Y$2</f>
        <v/>
      </c>
      <c r="Z86" s="683">
        <f>Z33/Z73/Z$2</f>
        <v/>
      </c>
      <c r="AA86" s="683">
        <f>AA33/AA73/AA$2</f>
        <v/>
      </c>
      <c r="AB86" s="683">
        <f>AB33/AB73/AB$2</f>
        <v/>
      </c>
      <c r="AC86" s="683">
        <f>AC33/AC73/AC$2</f>
        <v/>
      </c>
      <c r="AD86" s="683">
        <f>AD33/AD73/AD$2</f>
        <v/>
      </c>
      <c r="AE86" s="683">
        <f>AE33/AE73/AE$2</f>
        <v/>
      </c>
      <c r="AF86" s="683">
        <f>AF33/AF73/AF$2</f>
        <v/>
      </c>
      <c r="AG86" s="683">
        <f>AG33/AG73/AG$2</f>
        <v/>
      </c>
      <c r="AH86" s="683" t="n">
        <v>0</v>
      </c>
      <c r="AI86" s="684">
        <f>AH86</f>
        <v/>
      </c>
      <c r="AJ86" s="684">
        <f>AI86</f>
        <v/>
      </c>
      <c r="AK86" s="684">
        <f>AJ86</f>
        <v/>
      </c>
      <c r="AL86" s="684">
        <f>AK86</f>
        <v/>
      </c>
      <c r="AM86" s="684">
        <f>AL86</f>
        <v/>
      </c>
      <c r="AN86" s="684">
        <f>AM86</f>
        <v/>
      </c>
      <c r="AQ86" s="679" t="n"/>
      <c r="AR86" s="131" t="n"/>
    </row>
    <row r="87">
      <c r="A87" s="681" t="inlineStr">
        <is>
          <t>Guohua</t>
        </is>
      </c>
      <c r="W87" s="683">
        <f>W34/W74/W$2</f>
        <v/>
      </c>
      <c r="X87" s="683">
        <f>X34/X74/X$2</f>
        <v/>
      </c>
      <c r="Y87" s="683">
        <f>Y34/Y74/Y$2</f>
        <v/>
      </c>
      <c r="Z87" s="683">
        <f>Z34/Z74/Z$2</f>
        <v/>
      </c>
      <c r="AA87" s="683">
        <f>AA34/AA74/AA$2</f>
        <v/>
      </c>
      <c r="AB87" s="683">
        <f>AB34/AB74/AB$2</f>
        <v/>
      </c>
      <c r="AC87" s="683">
        <f>AC34/AC74/AC$2</f>
        <v/>
      </c>
      <c r="AD87" s="683">
        <f>AD34/AD74/AD$2</f>
        <v/>
      </c>
      <c r="AE87" s="683">
        <f>AE34/AE74/AE$2</f>
        <v/>
      </c>
      <c r="AF87" s="683">
        <f>AF34/AF74/AF$2</f>
        <v/>
      </c>
      <c r="AG87" s="683">
        <f>AG34/AG74/AG$2</f>
        <v/>
      </c>
      <c r="AH87" s="683">
        <f>AH34/AH74/AH$2</f>
        <v/>
      </c>
      <c r="AI87" s="684">
        <f>AH87</f>
        <v/>
      </c>
      <c r="AJ87" s="684">
        <f>AI87</f>
        <v/>
      </c>
      <c r="AK87" s="684">
        <f>AJ87</f>
        <v/>
      </c>
      <c r="AL87" s="684">
        <f>AK87</f>
        <v/>
      </c>
      <c r="AM87" s="684">
        <f>AL87</f>
        <v/>
      </c>
      <c r="AN87" s="684">
        <f>AM87</f>
        <v/>
      </c>
      <c r="AR87" s="131" t="n"/>
    </row>
    <row r="88">
      <c r="A88" s="681" t="inlineStr">
        <is>
          <t>Fangchenggang</t>
        </is>
      </c>
      <c r="W88" s="683">
        <f>W35/W75/W$2</f>
        <v/>
      </c>
      <c r="X88" s="683">
        <f>X35/X75/X$2</f>
        <v/>
      </c>
      <c r="Y88" s="683">
        <f>Y35/Y75/Y$2</f>
        <v/>
      </c>
      <c r="Z88" s="683">
        <f>Z35/Y75/Z$2</f>
        <v/>
      </c>
      <c r="AA88" s="683">
        <f>AA35/Z75/AA$2</f>
        <v/>
      </c>
      <c r="AB88" s="683">
        <f>AB35/AA75/AB$2</f>
        <v/>
      </c>
      <c r="AC88" s="683">
        <f>AC35/AB75/AC$2</f>
        <v/>
      </c>
      <c r="AD88" s="683">
        <f>AD35/AC75/AD$2</f>
        <v/>
      </c>
      <c r="AE88" s="683">
        <f>AE35/AD75/AE$2</f>
        <v/>
      </c>
      <c r="AF88" s="683">
        <f>AF35/AE75/AF$2</f>
        <v/>
      </c>
      <c r="AG88" s="683" t="n">
        <v>0</v>
      </c>
      <c r="AH88" s="683" t="n">
        <v>0</v>
      </c>
      <c r="AI88" s="684">
        <f>AH88</f>
        <v/>
      </c>
      <c r="AJ88" s="684">
        <f>AI88</f>
        <v/>
      </c>
      <c r="AK88" s="684">
        <f>AJ88</f>
        <v/>
      </c>
      <c r="AL88" s="684">
        <f>AK88</f>
        <v/>
      </c>
      <c r="AM88" s="684">
        <f>AL88</f>
        <v/>
      </c>
      <c r="AN88" s="684">
        <f>AM88</f>
        <v/>
      </c>
      <c r="AR88" s="131" t="n"/>
    </row>
    <row r="89">
      <c r="A89" s="681" t="n"/>
      <c r="AR89" s="131" t="n"/>
    </row>
    <row r="90">
      <c r="A90" s="6" t="inlineStr">
        <is>
          <t>Key drivers</t>
        </is>
      </c>
      <c r="B90" s="85" t="n"/>
      <c r="C90" s="85" t="n"/>
      <c r="D90" s="85" t="n"/>
      <c r="E90" s="85" t="n"/>
      <c r="F90" s="85" t="n"/>
      <c r="G90" s="85" t="n"/>
      <c r="H90" s="85" t="n"/>
      <c r="I90" s="85" t="n"/>
      <c r="J90" s="85" t="n"/>
      <c r="K90" s="85" t="n"/>
      <c r="L90" s="85" t="n"/>
      <c r="M90" s="85" t="n"/>
      <c r="N90" s="85" t="n"/>
      <c r="O90" s="85" t="n"/>
      <c r="P90" s="85" t="n"/>
      <c r="Q90" s="85" t="n"/>
      <c r="R90" s="85" t="n"/>
      <c r="S90" s="85" t="n"/>
      <c r="T90" s="85" t="n"/>
      <c r="U90" s="85" t="n"/>
      <c r="V90" s="85" t="n"/>
      <c r="W90" s="85" t="n"/>
      <c r="X90" s="85" t="n"/>
      <c r="Y90" s="85" t="n"/>
      <c r="Z90" s="85" t="n"/>
      <c r="AA90" s="85" t="n"/>
      <c r="AB90" s="85" t="n"/>
      <c r="AC90" s="85" t="n"/>
      <c r="AD90" s="85" t="n"/>
      <c r="AE90" s="85" t="n"/>
      <c r="AF90" s="85" t="n"/>
      <c r="AG90" s="85" t="n"/>
      <c r="AH90" s="85" t="n"/>
      <c r="AI90" s="85" t="n"/>
      <c r="AJ90" s="85" t="n"/>
      <c r="AK90" s="85" t="n"/>
      <c r="AL90" s="85" t="n"/>
      <c r="AM90" s="85" t="n"/>
      <c r="AN90" s="85" t="n"/>
      <c r="AR90" s="131" t="n"/>
    </row>
    <row r="91" hidden="1" outlineLevel="1">
      <c r="A91" s="88" t="inlineStr">
        <is>
          <t>Consolidated Capacity (MW)</t>
        </is>
      </c>
      <c r="B91" s="643" t="n"/>
      <c r="C91" s="643" t="n"/>
      <c r="D91" s="643" t="n"/>
      <c r="E91" s="643" t="n"/>
      <c r="F91" s="643" t="n"/>
      <c r="G91" s="643" t="n"/>
      <c r="H91" s="643" t="n"/>
      <c r="I91" s="643" t="n"/>
      <c r="J91" s="643" t="n"/>
      <c r="K91" s="643" t="n"/>
      <c r="L91" s="643" t="n"/>
      <c r="M91" s="643" t="n"/>
      <c r="N91" s="643" t="n"/>
      <c r="O91" s="643" t="n"/>
      <c r="P91" s="643" t="n"/>
      <c r="Q91" s="643" t="n"/>
      <c r="R91" s="643" t="n"/>
      <c r="S91" s="643" t="n"/>
      <c r="T91" s="643" t="n"/>
      <c r="U91" s="643" t="n"/>
      <c r="V91" s="643" t="n"/>
      <c r="W91" s="643" t="n"/>
      <c r="X91" s="643" t="n"/>
      <c r="Y91" s="643" t="n"/>
      <c r="Z91" s="643" t="n"/>
      <c r="AA91" s="643" t="n"/>
      <c r="AB91" s="643" t="n"/>
      <c r="AC91" s="643" t="n"/>
      <c r="AD91" s="643" t="n"/>
      <c r="AE91" s="643" t="n"/>
      <c r="AF91" s="643" t="n"/>
      <c r="AG91" s="643" t="n"/>
      <c r="AH91" s="643" t="n"/>
      <c r="AI91" s="643" t="n"/>
      <c r="AJ91" s="643" t="n"/>
      <c r="AK91" s="643" t="n"/>
      <c r="AL91" s="643" t="n"/>
      <c r="AM91" s="643" t="n"/>
      <c r="AN91" s="643" t="n"/>
      <c r="AR91" s="131" t="n"/>
    </row>
    <row r="92" hidden="1" outlineLevel="1">
      <c r="A92" s="62" t="inlineStr">
        <is>
          <t>Operational capacity</t>
        </is>
      </c>
      <c r="B92" s="43" t="n"/>
      <c r="C92" s="43" t="n"/>
      <c r="D92" s="43" t="n"/>
      <c r="E92" s="43" t="n"/>
      <c r="F92" s="43" t="n"/>
      <c r="G92" s="43" t="n"/>
      <c r="H92" s="43" t="n"/>
      <c r="I92" s="43" t="n"/>
      <c r="AR92" s="131" t="n"/>
    </row>
    <row r="93" hidden="1" outlineLevel="1">
      <c r="A93" s="111" t="inlineStr">
        <is>
          <t>Daya Bay (n)</t>
        </is>
      </c>
      <c r="B93" s="43" t="n"/>
      <c r="C93" s="43" t="n"/>
      <c r="D93" s="43" t="n"/>
      <c r="E93" s="43" t="n"/>
      <c r="F93" s="43" t="n"/>
      <c r="G93" s="43" t="n"/>
      <c r="H93" s="43" t="n"/>
      <c r="I93" s="43" t="n"/>
      <c r="Q93" s="526" t="n">
        <v>1968</v>
      </c>
      <c r="R93" s="526" t="n">
        <v>1968</v>
      </c>
      <c r="S93" s="526" t="n">
        <v>1968</v>
      </c>
      <c r="T93" s="526" t="n">
        <v>1968</v>
      </c>
      <c r="U93" s="526" t="n">
        <v>1968</v>
      </c>
      <c r="V93" s="526" t="n">
        <v>1968</v>
      </c>
      <c r="W93" s="526" t="n">
        <v>1968</v>
      </c>
      <c r="X93" s="526" t="n">
        <v>1968</v>
      </c>
      <c r="Y93" s="526" t="n">
        <v>1968</v>
      </c>
      <c r="Z93" s="526" t="n">
        <v>1968</v>
      </c>
      <c r="AA93" s="526" t="n">
        <v>1968</v>
      </c>
      <c r="AR93" s="131" t="n"/>
    </row>
    <row r="94" hidden="1" outlineLevel="1">
      <c r="A94" s="111" t="inlineStr">
        <is>
          <t>Pumped Storage (h)</t>
        </is>
      </c>
      <c r="B94" s="43" t="n"/>
      <c r="C94" s="43" t="n"/>
      <c r="D94" s="43" t="n"/>
      <c r="E94" s="43" t="n"/>
      <c r="F94" s="43" t="n"/>
      <c r="G94" s="43" t="n"/>
      <c r="H94" s="43" t="n"/>
      <c r="I94" s="43" t="n"/>
      <c r="Q94" s="526" t="n">
        <v>1200</v>
      </c>
      <c r="R94" s="526" t="n">
        <v>1200</v>
      </c>
      <c r="S94" s="526" t="n">
        <v>1200</v>
      </c>
      <c r="T94" s="526" t="n">
        <v>1200</v>
      </c>
      <c r="U94" s="526" t="n">
        <v>1200</v>
      </c>
      <c r="V94" s="526" t="n">
        <v>1200</v>
      </c>
      <c r="W94" s="526" t="n">
        <v>1200</v>
      </c>
      <c r="X94" s="526" t="n">
        <v>1200</v>
      </c>
      <c r="Y94" s="526" t="n">
        <v>1200</v>
      </c>
      <c r="Z94" s="526" t="n">
        <v>1200</v>
      </c>
      <c r="AA94" s="526" t="n">
        <v>1200</v>
      </c>
      <c r="AR94" s="131" t="n"/>
    </row>
    <row r="95" hidden="1" outlineLevel="1">
      <c r="A95" s="111" t="inlineStr">
        <is>
          <t>Fangchenggang (c)</t>
        </is>
      </c>
      <c r="B95" s="43" t="n"/>
      <c r="C95" s="43" t="n"/>
      <c r="D95" s="43" t="n"/>
      <c r="E95" s="43" t="n"/>
      <c r="F95" s="43" t="n"/>
      <c r="G95" s="43" t="n"/>
      <c r="H95" s="43" t="n"/>
      <c r="I95" s="43" t="n"/>
      <c r="Q95" s="526" t="n">
        <v>1200</v>
      </c>
      <c r="R95" s="526" t="n">
        <v>1260</v>
      </c>
      <c r="S95" s="526" t="n">
        <v>1260</v>
      </c>
      <c r="T95" s="526" t="n">
        <v>1260</v>
      </c>
      <c r="U95" s="526" t="n">
        <v>1260</v>
      </c>
      <c r="V95" s="526" t="n">
        <v>1260</v>
      </c>
      <c r="W95" s="526" t="n">
        <v>1260</v>
      </c>
      <c r="X95" s="526" t="n">
        <v>1260</v>
      </c>
      <c r="Y95" s="526" t="n">
        <v>1260</v>
      </c>
      <c r="Z95" s="526" t="n">
        <v>2580</v>
      </c>
      <c r="AA95" s="526" t="n">
        <v>2580</v>
      </c>
      <c r="AR95" s="131" t="n"/>
    </row>
    <row r="96" hidden="1" outlineLevel="1">
      <c r="A96" s="111" t="inlineStr">
        <is>
          <t>Shandong SZPC (c)</t>
        </is>
      </c>
      <c r="B96" s="43" t="n"/>
      <c r="C96" s="43" t="n"/>
      <c r="D96" s="43" t="n"/>
      <c r="E96" s="43" t="n"/>
      <c r="F96" s="43" t="n"/>
      <c r="G96" s="43" t="n"/>
      <c r="H96" s="43" t="n"/>
      <c r="I96" s="43" t="n"/>
      <c r="Q96" s="526" t="n">
        <v>3000</v>
      </c>
      <c r="R96" s="526" t="n">
        <v>3060</v>
      </c>
      <c r="S96" s="526" t="n">
        <v>3060</v>
      </c>
      <c r="T96" s="526" t="n">
        <v>3060</v>
      </c>
      <c r="U96" s="526" t="n">
        <v>3060</v>
      </c>
      <c r="V96" s="526" t="n">
        <v>3060</v>
      </c>
      <c r="W96" s="526" t="n">
        <v>3060</v>
      </c>
      <c r="X96" s="526" t="n">
        <v>3060</v>
      </c>
      <c r="Y96" s="526" t="n">
        <v>3060</v>
      </c>
      <c r="Z96" s="526" t="n">
        <v>3060</v>
      </c>
      <c r="AA96" s="526" t="n">
        <v>3060</v>
      </c>
      <c r="AR96" s="131" t="n"/>
    </row>
    <row r="97" hidden="1" outlineLevel="1">
      <c r="A97" s="111" t="inlineStr">
        <is>
          <t>Guohua &amp; Shenmu (c)</t>
        </is>
      </c>
      <c r="B97" s="43" t="n"/>
      <c r="C97" s="43" t="n"/>
      <c r="D97" s="43" t="n"/>
      <c r="E97" s="43" t="n"/>
      <c r="F97" s="43" t="n"/>
      <c r="G97" s="43" t="n"/>
      <c r="H97" s="43" t="n"/>
      <c r="I97" s="43" t="n"/>
      <c r="Q97" s="526" t="n">
        <v>2300</v>
      </c>
      <c r="R97" s="526" t="n">
        <v>5830</v>
      </c>
      <c r="S97" s="526" t="n">
        <v>5870</v>
      </c>
      <c r="T97" s="526" t="n">
        <v>7870</v>
      </c>
      <c r="U97" s="526" t="n">
        <v>7870</v>
      </c>
      <c r="V97" s="526" t="n">
        <v>7870</v>
      </c>
      <c r="W97" s="526" t="n">
        <v>7870</v>
      </c>
      <c r="X97" s="526" t="n">
        <v>7900</v>
      </c>
      <c r="Y97" s="526" t="n">
        <v>7660</v>
      </c>
      <c r="Z97" s="526" t="n">
        <v>7660</v>
      </c>
      <c r="AA97" s="526" t="n">
        <v>7690</v>
      </c>
      <c r="AR97" s="131" t="n"/>
    </row>
    <row r="98" hidden="1" outlineLevel="1">
      <c r="A98" s="111" t="inlineStr">
        <is>
          <t>Anshun II (c)</t>
        </is>
      </c>
      <c r="B98" s="43" t="n"/>
      <c r="C98" s="43" t="n"/>
      <c r="D98" s="43" t="n"/>
      <c r="E98" s="43" t="n"/>
      <c r="F98" s="43" t="n"/>
      <c r="G98" s="43" t="n"/>
      <c r="H98" s="43" t="n"/>
      <c r="I98" s="43" t="n"/>
      <c r="Q98" s="526" t="n">
        <v>600</v>
      </c>
      <c r="R98" s="526" t="n">
        <v>600</v>
      </c>
      <c r="S98" s="526" t="n">
        <v>600</v>
      </c>
      <c r="T98" s="526" t="n">
        <v>0</v>
      </c>
      <c r="U98" s="526" t="n">
        <v>0</v>
      </c>
      <c r="V98" s="526" t="n">
        <v>0</v>
      </c>
      <c r="W98" s="526" t="n">
        <v>0</v>
      </c>
      <c r="X98" s="526" t="n">
        <v>0</v>
      </c>
      <c r="Y98" s="526" t="n">
        <v>0</v>
      </c>
      <c r="Z98" s="526" t="n">
        <v>0</v>
      </c>
      <c r="AA98" s="526" t="n">
        <v>0</v>
      </c>
      <c r="AR98" s="131" t="n"/>
    </row>
    <row r="99" hidden="1" outlineLevel="1">
      <c r="A99" s="111" t="inlineStr">
        <is>
          <t>Hydro projects (h)</t>
        </is>
      </c>
      <c r="B99" s="43" t="n"/>
      <c r="C99" s="43" t="n"/>
      <c r="D99" s="43" t="n"/>
      <c r="E99" s="43" t="n"/>
      <c r="F99" s="43" t="n"/>
      <c r="G99" s="43" t="n"/>
      <c r="H99" s="43" t="n"/>
      <c r="I99" s="43" t="n"/>
      <c r="Q99" s="526" t="n">
        <v>106</v>
      </c>
      <c r="R99" s="526" t="n">
        <v>125</v>
      </c>
      <c r="S99" s="526" t="n">
        <v>175</v>
      </c>
      <c r="T99" s="526" t="n">
        <v>175</v>
      </c>
      <c r="U99" s="526" t="n">
        <v>505</v>
      </c>
      <c r="V99" s="526" t="n">
        <v>505</v>
      </c>
      <c r="W99" s="526" t="n">
        <v>505</v>
      </c>
      <c r="X99" s="526" t="n">
        <v>508</v>
      </c>
      <c r="Y99" s="526" t="n">
        <v>509</v>
      </c>
      <c r="Z99" s="526" t="n">
        <v>509</v>
      </c>
      <c r="AA99" s="526" t="n">
        <v>509</v>
      </c>
      <c r="AR99" s="131" t="n"/>
    </row>
    <row r="100" hidden="1" outlineLevel="1">
      <c r="A100" s="111" t="inlineStr">
        <is>
          <t>Wind projects (w)</t>
        </is>
      </c>
      <c r="B100" s="43" t="n"/>
      <c r="C100" s="43" t="n"/>
      <c r="D100" s="43" t="n"/>
      <c r="E100" s="43" t="n"/>
      <c r="F100" s="43" t="n"/>
      <c r="G100" s="43" t="n"/>
      <c r="H100" s="43" t="n"/>
      <c r="I100" s="43" t="n"/>
      <c r="Q100" s="526" t="n">
        <v>141</v>
      </c>
      <c r="R100" s="526" t="n">
        <v>329</v>
      </c>
      <c r="S100" s="526" t="n">
        <v>626</v>
      </c>
      <c r="T100" s="526" t="n">
        <v>889</v>
      </c>
      <c r="U100" s="526" t="n">
        <v>989</v>
      </c>
      <c r="V100" s="526" t="n">
        <v>1036</v>
      </c>
      <c r="W100" s="526" t="n">
        <v>1084</v>
      </c>
      <c r="X100" s="526" t="n">
        <v>1133</v>
      </c>
      <c r="Y100" s="526" t="n">
        <v>1133</v>
      </c>
      <c r="Z100" s="526" t="n">
        <v>1331</v>
      </c>
      <c r="AA100" s="526" t="n">
        <v>1354</v>
      </c>
      <c r="AR100" s="131" t="n"/>
    </row>
    <row r="101" hidden="1" outlineLevel="1">
      <c r="A101" s="111" t="inlineStr">
        <is>
          <t>Boxing Biomass</t>
        </is>
      </c>
      <c r="B101" s="43" t="n"/>
      <c r="C101" s="43" t="n"/>
      <c r="D101" s="43" t="n"/>
      <c r="E101" s="43" t="n"/>
      <c r="F101" s="43" t="n"/>
      <c r="G101" s="43" t="n"/>
      <c r="H101" s="43" t="n"/>
      <c r="I101" s="43" t="n"/>
      <c r="Q101" s="526" t="n">
        <v>0</v>
      </c>
      <c r="R101" s="526" t="n">
        <v>14</v>
      </c>
      <c r="S101" s="526" t="n">
        <v>14</v>
      </c>
      <c r="T101" s="526" t="n">
        <v>15</v>
      </c>
      <c r="U101" s="526" t="n">
        <v>15</v>
      </c>
      <c r="V101" s="526" t="n">
        <v>15</v>
      </c>
      <c r="W101" s="526" t="n">
        <v>0</v>
      </c>
      <c r="X101" s="526" t="n">
        <v>0</v>
      </c>
      <c r="Y101" s="526" t="n">
        <v>0</v>
      </c>
      <c r="Z101" s="526" t="n">
        <v>0</v>
      </c>
      <c r="AA101" s="526" t="n">
        <v>0</v>
      </c>
      <c r="AR101" s="131" t="n"/>
    </row>
    <row r="102" hidden="1" outlineLevel="1">
      <c r="A102" s="111" t="inlineStr">
        <is>
          <t>CGN Wind (w)</t>
        </is>
      </c>
      <c r="B102" s="43" t="n"/>
      <c r="C102" s="43" t="n"/>
      <c r="D102" s="43" t="n"/>
      <c r="E102" s="43" t="n"/>
      <c r="F102" s="43" t="n"/>
      <c r="G102" s="43" t="n"/>
      <c r="H102" s="43" t="n"/>
      <c r="I102" s="43" t="n"/>
      <c r="Q102" s="526" t="n">
        <v>0</v>
      </c>
      <c r="R102" s="526" t="n">
        <v>0</v>
      </c>
      <c r="S102" s="526" t="n">
        <v>0</v>
      </c>
      <c r="T102" s="526" t="n">
        <v>1342</v>
      </c>
      <c r="U102" s="526" t="n">
        <v>1969</v>
      </c>
      <c r="V102" s="526" t="n">
        <v>2001</v>
      </c>
      <c r="W102" s="526" t="n">
        <v>1794</v>
      </c>
      <c r="X102" s="526" t="n">
        <v>1794</v>
      </c>
      <c r="Y102" s="526" t="n">
        <v>1794</v>
      </c>
      <c r="Z102" s="526" t="n">
        <v>1993</v>
      </c>
      <c r="AA102" s="526" t="n">
        <v>0</v>
      </c>
      <c r="AR102" s="131" t="n"/>
    </row>
    <row r="103" hidden="1" outlineLevel="1">
      <c r="A103" s="111" t="inlineStr">
        <is>
          <t>Solar projects</t>
        </is>
      </c>
      <c r="B103" s="43" t="n"/>
      <c r="C103" s="43" t="n"/>
      <c r="D103" s="43" t="n"/>
      <c r="E103" s="43" t="n"/>
      <c r="F103" s="43" t="n"/>
      <c r="G103" s="43" t="n"/>
      <c r="H103" s="43" t="n"/>
      <c r="I103" s="43" t="n"/>
      <c r="W103" s="526" t="n">
        <v>85</v>
      </c>
      <c r="X103" s="526">
        <f>85+42</f>
        <v/>
      </c>
      <c r="Y103" s="526" t="n">
        <v>262</v>
      </c>
      <c r="Z103" s="526" t="n">
        <v>262</v>
      </c>
      <c r="AA103" s="526" t="n">
        <v>275</v>
      </c>
      <c r="AR103" s="131" t="n"/>
    </row>
    <row r="104" hidden="1" outlineLevel="1">
      <c r="A104" s="111" t="inlineStr">
        <is>
          <t>Yangjiang  (n)</t>
        </is>
      </c>
      <c r="B104" s="43" t="n"/>
      <c r="C104" s="43" t="n"/>
      <c r="D104" s="43" t="n"/>
      <c r="E104" s="43" t="n"/>
      <c r="F104" s="43" t="n"/>
      <c r="G104" s="43" t="n"/>
      <c r="H104" s="43" t="n"/>
      <c r="I104" s="43" t="n"/>
      <c r="Z104" s="526" t="n">
        <v>0</v>
      </c>
      <c r="AA104" s="526" t="n">
        <v>4344</v>
      </c>
      <c r="AR104" s="131" t="n"/>
    </row>
    <row r="105" hidden="1" outlineLevel="1">
      <c r="A105" s="111" t="n"/>
      <c r="B105" s="43" t="n"/>
      <c r="C105" s="43" t="n"/>
      <c r="D105" s="43" t="n"/>
      <c r="E105" s="43" t="n"/>
      <c r="F105" s="43" t="n"/>
      <c r="G105" s="43" t="n"/>
      <c r="H105" s="43" t="n"/>
      <c r="I105" s="43" t="n"/>
      <c r="AR105" s="131" t="n"/>
    </row>
    <row r="106" hidden="1" outlineLevel="1">
      <c r="A106" s="109" t="inlineStr">
        <is>
          <t>Total operational capacity</t>
        </is>
      </c>
      <c r="B106" s="109" t="n"/>
      <c r="C106" s="109" t="n"/>
      <c r="D106" s="109" t="n"/>
      <c r="E106" s="109" t="n"/>
      <c r="F106" s="109" t="n"/>
      <c r="G106" s="109" t="n"/>
      <c r="H106" s="109" t="n"/>
      <c r="I106" s="109" t="n"/>
      <c r="J106" s="605" t="n"/>
      <c r="K106" s="605" t="n"/>
      <c r="L106" s="605" t="n"/>
      <c r="M106" s="605" t="n"/>
      <c r="N106" s="605" t="n"/>
      <c r="O106" s="605" t="n"/>
      <c r="P106" s="605" t="n"/>
      <c r="Q106" s="605">
        <f>SUM(Q93:Q105)</f>
        <v/>
      </c>
      <c r="R106" s="605">
        <f>SUM(R93:R105)</f>
        <v/>
      </c>
      <c r="S106" s="605">
        <f>SUM(S93:S105)</f>
        <v/>
      </c>
      <c r="T106" s="605">
        <f>SUM(T93:T105)</f>
        <v/>
      </c>
      <c r="U106" s="605">
        <f>SUM(U93:U105)</f>
        <v/>
      </c>
      <c r="V106" s="605">
        <f>SUM(V93:V105)</f>
        <v/>
      </c>
      <c r="W106" s="605">
        <f>SUM(W93:W105)</f>
        <v/>
      </c>
      <c r="X106" s="605">
        <f>SUM(X93:X105)</f>
        <v/>
      </c>
      <c r="Y106" s="605">
        <f>SUM(Y93:Y105)</f>
        <v/>
      </c>
      <c r="Z106" s="605">
        <f>SUM(Z93:Z105)</f>
        <v/>
      </c>
      <c r="AA106" s="605">
        <f>SUM(AA93:AA105)</f>
        <v/>
      </c>
      <c r="AB106" s="605">
        <f>SUM(AB93:AB105)</f>
        <v/>
      </c>
      <c r="AC106" s="605">
        <f>SUM(AC93:AC105)</f>
        <v/>
      </c>
      <c r="AD106" s="605">
        <f>SUM(AD93:AD105)</f>
        <v/>
      </c>
      <c r="AE106" s="605">
        <f>SUM(AE93:AE105)</f>
        <v/>
      </c>
      <c r="AF106" s="605">
        <f>SUM(AF93:AF105)</f>
        <v/>
      </c>
      <c r="AG106" s="605">
        <f>SUM(AG93:AG105)</f>
        <v/>
      </c>
      <c r="AH106" s="605">
        <f>SUM(AH93:AH105)</f>
        <v/>
      </c>
      <c r="AI106" s="605">
        <f>SUM(AI93:AI105)</f>
        <v/>
      </c>
      <c r="AJ106" s="605">
        <f>SUM(AJ93:AJ105)</f>
        <v/>
      </c>
      <c r="AK106" s="605">
        <f>SUM(AK93:AK105)</f>
        <v/>
      </c>
      <c r="AL106" s="605">
        <f>SUM(AL93:AL105)</f>
        <v/>
      </c>
      <c r="AM106" s="605">
        <f>SUM(AM93:AM105)</f>
        <v/>
      </c>
      <c r="AN106" s="605">
        <f>SUM(AN93:AN105)</f>
        <v/>
      </c>
      <c r="AR106" s="131" t="n"/>
    </row>
    <row r="107" hidden="1" outlineLevel="1">
      <c r="A107" s="43" t="n"/>
      <c r="B107" s="43" t="n"/>
      <c r="C107" s="43" t="n"/>
      <c r="D107" s="43" t="n"/>
      <c r="E107" s="43" t="n"/>
      <c r="F107" s="43" t="n"/>
      <c r="G107" s="43" t="n"/>
      <c r="H107" s="43" t="n"/>
      <c r="I107" s="43" t="n"/>
      <c r="AR107" s="131" t="n"/>
    </row>
    <row r="108" hidden="1" outlineLevel="1">
      <c r="A108" s="62" t="inlineStr">
        <is>
          <t>Construction capacity</t>
        </is>
      </c>
      <c r="B108" s="43" t="n"/>
      <c r="C108" s="43" t="n"/>
      <c r="D108" s="43" t="n"/>
      <c r="E108" s="43" t="n"/>
      <c r="F108" s="43" t="n"/>
      <c r="G108" s="43" t="n"/>
      <c r="H108" s="43" t="n"/>
      <c r="I108" s="43" t="n"/>
      <c r="AR108" s="131" t="n"/>
    </row>
    <row r="109" hidden="1" outlineLevel="1">
      <c r="A109" s="111" t="inlineStr">
        <is>
          <t>Jiangbian (h)</t>
        </is>
      </c>
      <c r="B109" s="43" t="n"/>
      <c r="C109" s="43" t="n"/>
      <c r="D109" s="43" t="n"/>
      <c r="E109" s="43" t="n"/>
      <c r="F109" s="43" t="n"/>
      <c r="G109" s="43" t="n"/>
      <c r="H109" s="43" t="n"/>
      <c r="I109" s="43" t="n"/>
      <c r="Q109" s="526" t="n">
        <v>330</v>
      </c>
      <c r="R109" s="526" t="n">
        <v>330</v>
      </c>
      <c r="S109" s="526" t="n">
        <v>330</v>
      </c>
      <c r="T109" s="526" t="n">
        <v>330</v>
      </c>
      <c r="AR109" s="131" t="n"/>
    </row>
    <row r="110" hidden="1" outlineLevel="1">
      <c r="A110" s="111" t="inlineStr">
        <is>
          <t>Boxing Biomass</t>
        </is>
      </c>
      <c r="B110" s="43" t="n"/>
      <c r="C110" s="43" t="n"/>
      <c r="D110" s="43" t="n"/>
      <c r="E110" s="43" t="n"/>
      <c r="F110" s="43" t="n"/>
      <c r="G110" s="43" t="n"/>
      <c r="H110" s="43" t="n"/>
      <c r="I110" s="43" t="n"/>
      <c r="Q110" s="526" t="n">
        <v>14</v>
      </c>
      <c r="R110" s="526" t="n">
        <v>0</v>
      </c>
      <c r="S110" s="526" t="n">
        <v>0</v>
      </c>
      <c r="T110" s="526" t="n">
        <v>0</v>
      </c>
      <c r="AR110" s="131" t="n"/>
    </row>
    <row r="111" hidden="1" outlineLevel="1">
      <c r="A111" s="111" t="inlineStr">
        <is>
          <t>Wind project (w)</t>
        </is>
      </c>
      <c r="B111" s="43" t="n"/>
      <c r="C111" s="43" t="n"/>
      <c r="D111" s="43" t="n"/>
      <c r="E111" s="43" t="n"/>
      <c r="F111" s="43" t="n"/>
      <c r="G111" s="43" t="n"/>
      <c r="H111" s="43" t="n"/>
      <c r="I111" s="43" t="n"/>
      <c r="Q111" s="526" t="n">
        <v>469</v>
      </c>
      <c r="R111" s="526" t="n">
        <v>421</v>
      </c>
      <c r="S111" s="526" t="n">
        <v>362</v>
      </c>
      <c r="T111" s="526" t="n">
        <v>195</v>
      </c>
      <c r="U111" s="526" t="n">
        <v>146</v>
      </c>
      <c r="V111" s="526" t="n">
        <v>98</v>
      </c>
      <c r="W111" s="526" t="n">
        <v>99</v>
      </c>
      <c r="X111" s="526" t="n">
        <v>50</v>
      </c>
      <c r="Y111" s="526" t="n">
        <v>346</v>
      </c>
      <c r="Z111" s="526" t="n">
        <v>198</v>
      </c>
      <c r="AA111" s="526" t="n">
        <v>149</v>
      </c>
      <c r="AR111" s="131" t="n"/>
    </row>
    <row r="112" hidden="1" outlineLevel="1">
      <c r="A112" s="111" t="inlineStr">
        <is>
          <t>Suizhong II (c)</t>
        </is>
      </c>
      <c r="Q112" s="526" t="n">
        <v>0</v>
      </c>
      <c r="R112" s="526" t="n">
        <v>2000</v>
      </c>
      <c r="S112" s="526" t="n">
        <v>2000</v>
      </c>
      <c r="T112" s="526" t="n">
        <v>0</v>
      </c>
      <c r="AR112" s="131" t="n"/>
    </row>
    <row r="113" hidden="1" outlineLevel="1">
      <c r="A113" s="111" t="inlineStr">
        <is>
          <t>Dali Yang'er (h)</t>
        </is>
      </c>
      <c r="Q113" s="526" t="n">
        <v>0</v>
      </c>
      <c r="R113" s="526" t="n">
        <v>50</v>
      </c>
      <c r="S113" s="526" t="n">
        <v>0</v>
      </c>
      <c r="T113" s="526" t="n">
        <v>0</v>
      </c>
      <c r="AR113" s="131" t="n"/>
    </row>
    <row r="114" hidden="1" outlineLevel="1">
      <c r="A114" s="111" t="inlineStr">
        <is>
          <t>CGN Wind (w)</t>
        </is>
      </c>
      <c r="Q114" s="526" t="n">
        <v>0</v>
      </c>
      <c r="R114" s="526" t="n">
        <v>0</v>
      </c>
      <c r="S114" s="526" t="n">
        <v>0</v>
      </c>
      <c r="T114" s="526" t="n">
        <v>801</v>
      </c>
      <c r="U114" s="526" t="n">
        <v>173</v>
      </c>
      <c r="Y114" s="526" t="n">
        <v>399</v>
      </c>
      <c r="Z114" s="526" t="n">
        <v>200</v>
      </c>
      <c r="AA114" s="526" t="n">
        <v>0</v>
      </c>
      <c r="AR114" s="131" t="n"/>
    </row>
    <row r="115" hidden="1" outlineLevel="1">
      <c r="A115" s="111" t="inlineStr">
        <is>
          <t>Solar projects (s)</t>
        </is>
      </c>
      <c r="W115" s="526" t="n">
        <v>42</v>
      </c>
      <c r="X115" s="526" t="n">
        <v>50</v>
      </c>
      <c r="Y115" s="526" t="n">
        <v>0</v>
      </c>
      <c r="Z115" s="526" t="n">
        <v>13</v>
      </c>
      <c r="AA115" s="526" t="n">
        <v>17</v>
      </c>
      <c r="AR115" s="131" t="n"/>
    </row>
    <row r="116" hidden="1" outlineLevel="1">
      <c r="A116" s="111" t="inlineStr">
        <is>
          <t>Fangchenggang II (c)</t>
        </is>
      </c>
      <c r="X116" s="526" t="n">
        <v>1320</v>
      </c>
      <c r="Y116" s="526" t="n">
        <v>1320</v>
      </c>
      <c r="Z116" s="526" t="n">
        <v>0</v>
      </c>
      <c r="AR116" s="131" t="n"/>
    </row>
    <row r="117" hidden="1" outlineLevel="1">
      <c r="A117" s="111" t="inlineStr">
        <is>
          <t>Yangjiang  (n)</t>
        </is>
      </c>
      <c r="AA117" s="526" t="n">
        <v>2172</v>
      </c>
      <c r="AR117" s="131" t="n"/>
    </row>
    <row r="118" hidden="1" outlineLevel="1">
      <c r="A118" s="111" t="n"/>
      <c r="AR118" s="131" t="n"/>
    </row>
    <row r="119" hidden="1" outlineLevel="1">
      <c r="A119" s="109" t="inlineStr">
        <is>
          <t>Total construction capacity</t>
        </is>
      </c>
      <c r="B119" s="605" t="n"/>
      <c r="C119" s="605" t="n"/>
      <c r="D119" s="605" t="n"/>
      <c r="E119" s="605" t="n"/>
      <c r="F119" s="605" t="n"/>
      <c r="G119" s="605" t="n"/>
      <c r="H119" s="605" t="n"/>
      <c r="I119" s="605" t="n"/>
      <c r="J119" s="605" t="n"/>
      <c r="K119" s="605" t="n"/>
      <c r="L119" s="605" t="n"/>
      <c r="M119" s="605" t="n"/>
      <c r="N119" s="605" t="n"/>
      <c r="O119" s="605" t="n"/>
      <c r="P119" s="605" t="n"/>
      <c r="Q119" s="605">
        <f>SUM(Q109:Q118)</f>
        <v/>
      </c>
      <c r="R119" s="605">
        <f>SUM(R109:R118)</f>
        <v/>
      </c>
      <c r="S119" s="605">
        <f>SUM(S109:S118)</f>
        <v/>
      </c>
      <c r="T119" s="605">
        <f>SUM(T109:T118)</f>
        <v/>
      </c>
      <c r="U119" s="605">
        <f>SUM(U109:U118)</f>
        <v/>
      </c>
      <c r="V119" s="605">
        <f>SUM(V109:V118)</f>
        <v/>
      </c>
      <c r="W119" s="605">
        <f>SUM(W109:W118)</f>
        <v/>
      </c>
      <c r="X119" s="605">
        <f>SUM(X109:X118)</f>
        <v/>
      </c>
      <c r="Y119" s="605">
        <f>SUM(Y109:Y118)</f>
        <v/>
      </c>
      <c r="Z119" s="605">
        <f>SUM(Z109:Z118)</f>
        <v/>
      </c>
      <c r="AA119" s="605">
        <f>SUM(AA109:AA118)</f>
        <v/>
      </c>
      <c r="AB119" s="605">
        <f>SUM(AB109:AB118)</f>
        <v/>
      </c>
      <c r="AC119" s="605">
        <f>SUM(AC109:AC118)</f>
        <v/>
      </c>
      <c r="AD119" s="605">
        <f>SUM(AD109:AD118)</f>
        <v/>
      </c>
      <c r="AE119" s="605">
        <f>SUM(AE109:AE118)</f>
        <v/>
      </c>
      <c r="AF119" s="605">
        <f>SUM(AF109:AF118)</f>
        <v/>
      </c>
      <c r="AG119" s="605">
        <f>SUM(AG109:AG118)</f>
        <v/>
      </c>
      <c r="AH119" s="605">
        <f>SUM(AH109:AH118)</f>
        <v/>
      </c>
      <c r="AI119" s="605">
        <f>SUM(AI109:AI118)</f>
        <v/>
      </c>
      <c r="AJ119" s="605">
        <f>SUM(AJ109:AJ118)</f>
        <v/>
      </c>
      <c r="AK119" s="605">
        <f>SUM(AK109:AK118)</f>
        <v/>
      </c>
      <c r="AL119" s="605">
        <f>SUM(AL109:AL118)</f>
        <v/>
      </c>
      <c r="AM119" s="605">
        <f>SUM(AM109:AM118)</f>
        <v/>
      </c>
      <c r="AN119" s="605">
        <f>SUM(AN109:AN118)</f>
        <v/>
      </c>
      <c r="AR119" s="131" t="n"/>
    </row>
    <row r="120" hidden="1" outlineLevel="1">
      <c r="A120" s="43" t="n"/>
      <c r="B120" s="43" t="n"/>
      <c r="C120" s="43" t="n"/>
      <c r="D120" s="43" t="n"/>
      <c r="E120" s="43" t="n"/>
      <c r="F120" s="43" t="n"/>
      <c r="G120" s="43" t="n"/>
      <c r="H120" s="43" t="n"/>
      <c r="I120" s="43" t="n"/>
      <c r="AR120" s="131" t="n"/>
    </row>
    <row r="121" hidden="1" outlineLevel="1">
      <c r="A121" s="109" t="inlineStr">
        <is>
          <t>Total Capacity</t>
        </is>
      </c>
      <c r="B121" s="605" t="n"/>
      <c r="C121" s="605" t="n"/>
      <c r="D121" s="605" t="n"/>
      <c r="E121" s="605" t="n"/>
      <c r="F121" s="605" t="n"/>
      <c r="G121" s="605" t="n"/>
      <c r="H121" s="605" t="n"/>
      <c r="I121" s="605" t="n"/>
      <c r="J121" s="605" t="n"/>
      <c r="K121" s="605" t="n"/>
      <c r="L121" s="605" t="n"/>
      <c r="M121" s="605" t="n"/>
      <c r="N121" s="605" t="n"/>
      <c r="O121" s="605" t="n"/>
      <c r="P121" s="605" t="n"/>
      <c r="Q121" s="605">
        <f>Q106+Q119</f>
        <v/>
      </c>
      <c r="R121" s="605">
        <f>R106+R119</f>
        <v/>
      </c>
      <c r="S121" s="605">
        <f>S106+S119</f>
        <v/>
      </c>
      <c r="T121" s="605">
        <f>T106+T119</f>
        <v/>
      </c>
      <c r="U121" s="605">
        <f>U106+U119</f>
        <v/>
      </c>
      <c r="V121" s="605">
        <f>V106+V119</f>
        <v/>
      </c>
      <c r="W121" s="605">
        <f>W106+W119</f>
        <v/>
      </c>
      <c r="X121" s="605">
        <f>X106+X119</f>
        <v/>
      </c>
      <c r="Y121" s="605">
        <f>Y106+Y119</f>
        <v/>
      </c>
      <c r="Z121" s="605">
        <f>Z106+Z119</f>
        <v/>
      </c>
      <c r="AA121" s="605">
        <f>AA106+AA119</f>
        <v/>
      </c>
      <c r="AB121" s="605">
        <f>AB106+AB119</f>
        <v/>
      </c>
      <c r="AC121" s="605">
        <f>AC106+AC119</f>
        <v/>
      </c>
      <c r="AD121" s="605">
        <f>AD106+AD119</f>
        <v/>
      </c>
      <c r="AE121" s="605">
        <f>AE106+AE119</f>
        <v/>
      </c>
      <c r="AF121" s="605">
        <f>AF106+AF119</f>
        <v/>
      </c>
      <c r="AG121" s="605">
        <f>AG106+AG119</f>
        <v/>
      </c>
      <c r="AH121" s="605">
        <f>AH106+AH119</f>
        <v/>
      </c>
      <c r="AI121" s="605">
        <f>AI106+AI119</f>
        <v/>
      </c>
      <c r="AJ121" s="605">
        <f>AJ106+AJ119</f>
        <v/>
      </c>
      <c r="AK121" s="605">
        <f>AK106+AK119</f>
        <v/>
      </c>
      <c r="AL121" s="605">
        <f>AL106+AL119</f>
        <v/>
      </c>
      <c r="AM121" s="605">
        <f>AM106+AM119</f>
        <v/>
      </c>
      <c r="AN121" s="605">
        <f>AN106+AN119</f>
        <v/>
      </c>
      <c r="AR121" s="131" t="n"/>
    </row>
    <row r="122" hidden="1" outlineLevel="1">
      <c r="A122" s="43" t="n"/>
      <c r="B122" s="43" t="n"/>
      <c r="C122" s="43" t="n"/>
      <c r="D122" s="43" t="n"/>
      <c r="E122" s="43" t="n"/>
      <c r="F122" s="43" t="n"/>
      <c r="G122" s="43" t="n"/>
      <c r="H122" s="43" t="n"/>
      <c r="I122" s="43" t="n"/>
      <c r="AR122" s="131" t="n"/>
    </row>
    <row r="123" collapsed="1">
      <c r="A123" s="88" t="inlineStr">
        <is>
          <t>Attributable Capacity (MW)</t>
        </is>
      </c>
      <c r="B123" s="643" t="n"/>
      <c r="C123" s="643" t="n"/>
      <c r="D123" s="643" t="n"/>
      <c r="E123" s="643" t="n"/>
      <c r="F123" s="643" t="n"/>
      <c r="G123" s="643" t="n"/>
      <c r="H123" s="643" t="n"/>
      <c r="I123" s="643" t="n"/>
      <c r="J123" s="643" t="n"/>
      <c r="K123" s="643" t="n"/>
      <c r="L123" s="643" t="n"/>
      <c r="M123" s="643" t="n"/>
      <c r="N123" s="643" t="n"/>
      <c r="O123" s="643" t="n"/>
      <c r="P123" s="643" t="n"/>
      <c r="Q123" s="643" t="n"/>
      <c r="R123" s="643" t="n"/>
      <c r="S123" s="643" t="n"/>
      <c r="T123" s="643" t="n"/>
      <c r="U123" s="643" t="n"/>
      <c r="V123" s="643" t="n"/>
      <c r="W123" s="643" t="n"/>
      <c r="X123" s="643" t="n"/>
      <c r="Y123" s="643" t="n"/>
      <c r="Z123" s="643" t="n"/>
      <c r="AA123" s="643" t="n"/>
      <c r="AB123" s="643" t="n"/>
      <c r="AC123" s="643" t="n"/>
      <c r="AD123" s="643" t="n"/>
      <c r="AE123" s="643" t="n"/>
      <c r="AF123" s="643" t="n"/>
      <c r="AG123" s="643" t="n"/>
      <c r="AH123" s="643" t="n"/>
      <c r="AI123" s="643" t="n"/>
      <c r="AJ123" s="643" t="n"/>
      <c r="AK123" s="643" t="n"/>
      <c r="AL123" s="643" t="n"/>
      <c r="AM123" s="643" t="n"/>
      <c r="AN123" s="643" t="n"/>
      <c r="AR123" s="131" t="n"/>
    </row>
    <row r="124">
      <c r="A124" s="62" t="inlineStr">
        <is>
          <t>Operational capacity</t>
        </is>
      </c>
      <c r="B124" s="43" t="n"/>
      <c r="C124" s="43" t="n"/>
      <c r="D124" s="43" t="n"/>
      <c r="E124" s="43" t="n"/>
      <c r="F124" s="43" t="n"/>
      <c r="G124" s="43" t="n"/>
      <c r="H124" s="43" t="n"/>
      <c r="I124" s="43" t="n"/>
      <c r="AR124" s="131" t="n"/>
    </row>
    <row r="125">
      <c r="A125" s="111">
        <f>A93</f>
        <v/>
      </c>
      <c r="B125" s="610" t="inlineStr">
        <is>
          <t>Associate</t>
        </is>
      </c>
      <c r="C125" s="154" t="n">
        <v>0.25</v>
      </c>
      <c r="D125" s="43" t="n"/>
      <c r="E125" s="43" t="n"/>
      <c r="F125" s="43" t="n"/>
      <c r="G125" s="43" t="n"/>
      <c r="H125" s="43" t="n"/>
      <c r="I125" s="43" t="n"/>
      <c r="P125" s="526" t="n">
        <v>1380</v>
      </c>
      <c r="Q125" s="526" t="n">
        <v>1380</v>
      </c>
      <c r="R125" s="526" t="n">
        <v>1380</v>
      </c>
      <c r="S125" s="526" t="n">
        <v>1380</v>
      </c>
      <c r="T125" s="526" t="n">
        <v>1380</v>
      </c>
      <c r="U125" s="526" t="n">
        <v>1380</v>
      </c>
      <c r="V125" s="526" t="n">
        <v>1380</v>
      </c>
      <c r="W125" s="526" t="n">
        <v>1380</v>
      </c>
      <c r="X125" s="526" t="n">
        <v>1380</v>
      </c>
      <c r="Y125" s="526" t="n">
        <v>1380</v>
      </c>
      <c r="Z125" s="526" t="n">
        <v>1380</v>
      </c>
      <c r="AA125" s="526" t="n">
        <v>1380</v>
      </c>
      <c r="AB125" s="526" t="n">
        <v>1577</v>
      </c>
      <c r="AC125" s="526" t="n">
        <v>1577</v>
      </c>
      <c r="AD125" s="526" t="n">
        <v>1577</v>
      </c>
      <c r="AE125" s="526" t="n">
        <v>1577</v>
      </c>
      <c r="AF125" s="526" t="n">
        <v>1577</v>
      </c>
      <c r="AG125" s="526" t="n">
        <v>1577</v>
      </c>
      <c r="AH125" s="526" t="n">
        <v>1577</v>
      </c>
      <c r="AI125" s="564">
        <f>AH125</f>
        <v/>
      </c>
      <c r="AJ125" s="564">
        <f>AI125</f>
        <v/>
      </c>
      <c r="AK125" s="564">
        <f>AJ125</f>
        <v/>
      </c>
      <c r="AL125" s="564">
        <f>AK125</f>
        <v/>
      </c>
      <c r="AM125" s="564">
        <f>AL125</f>
        <v/>
      </c>
      <c r="AN125" s="564">
        <f>AM125</f>
        <v/>
      </c>
      <c r="AR125" s="131" t="n"/>
    </row>
    <row r="126">
      <c r="A126" s="111">
        <f>A94</f>
        <v/>
      </c>
      <c r="B126" s="610" t="inlineStr">
        <is>
          <t>Consolidated</t>
        </is>
      </c>
      <c r="C126" s="154" t="n">
        <v>1</v>
      </c>
      <c r="D126" s="43" t="n"/>
      <c r="E126" s="43" t="n"/>
      <c r="F126" s="43" t="n"/>
      <c r="G126" s="43" t="n"/>
      <c r="H126" s="43" t="n"/>
      <c r="I126" s="43" t="n"/>
      <c r="Q126" s="526" t="n">
        <v>600</v>
      </c>
      <c r="R126" s="526" t="n">
        <v>600</v>
      </c>
      <c r="S126" s="526" t="n">
        <v>600</v>
      </c>
      <c r="T126" s="526" t="n">
        <v>600</v>
      </c>
      <c r="U126" s="526" t="n">
        <v>600</v>
      </c>
      <c r="V126" s="526" t="n">
        <v>600</v>
      </c>
      <c r="W126" s="526" t="n">
        <v>600</v>
      </c>
      <c r="X126" s="526" t="n">
        <v>600</v>
      </c>
      <c r="Y126" s="526" t="n">
        <v>600</v>
      </c>
      <c r="Z126" s="526" t="n">
        <v>600</v>
      </c>
      <c r="AA126" s="526" t="n">
        <v>600</v>
      </c>
      <c r="AB126" s="526" t="n">
        <v>600</v>
      </c>
      <c r="AC126" s="526" t="n">
        <v>600</v>
      </c>
      <c r="AD126" s="526" t="n">
        <v>600</v>
      </c>
      <c r="AE126" s="526" t="n">
        <v>600</v>
      </c>
      <c r="AF126" s="526" t="n">
        <v>600</v>
      </c>
      <c r="AG126" s="526" t="n">
        <v>600</v>
      </c>
      <c r="AH126" s="526">
        <f>AG126</f>
        <v/>
      </c>
      <c r="AI126" s="564">
        <f>AH126</f>
        <v/>
      </c>
      <c r="AJ126" s="564">
        <f>AI126</f>
        <v/>
      </c>
      <c r="AK126" s="564">
        <f>AJ126</f>
        <v/>
      </c>
      <c r="AL126" s="564">
        <f>AK126</f>
        <v/>
      </c>
      <c r="AM126" s="564">
        <f>AL126</f>
        <v/>
      </c>
      <c r="AN126" s="564">
        <f>AM126</f>
        <v/>
      </c>
      <c r="AR126" s="131" t="n"/>
    </row>
    <row r="127">
      <c r="A127" s="111">
        <f>A95</f>
        <v/>
      </c>
      <c r="B127" s="610" t="inlineStr">
        <is>
          <t>JV</t>
        </is>
      </c>
      <c r="C127" s="154" t="n">
        <v>0.7</v>
      </c>
      <c r="D127" s="43" t="n"/>
      <c r="E127" s="43" t="n"/>
      <c r="F127" s="43" t="n"/>
      <c r="G127" s="43" t="n"/>
      <c r="H127" s="43" t="n"/>
      <c r="I127" s="43" t="n"/>
      <c r="Q127" s="526" t="n">
        <v>840</v>
      </c>
      <c r="R127" s="526" t="n">
        <v>882</v>
      </c>
      <c r="S127" s="526" t="n">
        <v>882</v>
      </c>
      <c r="T127" s="526" t="n">
        <v>882</v>
      </c>
      <c r="U127" s="526" t="n">
        <v>882</v>
      </c>
      <c r="V127" s="526" t="n">
        <v>882</v>
      </c>
      <c r="W127" s="526" t="n">
        <v>882</v>
      </c>
      <c r="X127" s="526" t="n">
        <v>882</v>
      </c>
      <c r="Y127" s="526" t="n">
        <v>882</v>
      </c>
      <c r="Z127" s="526" t="n">
        <v>1806</v>
      </c>
      <c r="AA127" s="526" t="n">
        <v>1806</v>
      </c>
      <c r="AB127" s="526" t="n">
        <v>1806</v>
      </c>
      <c r="AC127" s="526" t="n">
        <v>1806</v>
      </c>
      <c r="AD127" s="526" t="n">
        <v>1806</v>
      </c>
      <c r="AE127" s="526" t="n">
        <v>1806</v>
      </c>
      <c r="AF127" s="526" t="n">
        <v>0</v>
      </c>
      <c r="AG127" s="526" t="n">
        <v>0</v>
      </c>
      <c r="AH127" s="526">
        <f>AG127</f>
        <v/>
      </c>
      <c r="AI127" s="564">
        <f>AH127</f>
        <v/>
      </c>
      <c r="AJ127" s="564">
        <f>AI127</f>
        <v/>
      </c>
      <c r="AK127" s="564">
        <f>AJ127</f>
        <v/>
      </c>
      <c r="AL127" s="564">
        <f>AK127</f>
        <v/>
      </c>
      <c r="AM127" s="564">
        <f>AL127</f>
        <v/>
      </c>
      <c r="AN127" s="564">
        <f>AM127</f>
        <v/>
      </c>
      <c r="AR127" s="131" t="n"/>
    </row>
    <row r="128">
      <c r="A128" s="111">
        <f>A96</f>
        <v/>
      </c>
      <c r="B128" s="610" t="inlineStr">
        <is>
          <t>JV</t>
        </is>
      </c>
      <c r="C128" s="154" t="n">
        <v>0.294</v>
      </c>
      <c r="D128" s="43" t="n"/>
      <c r="E128" s="43" t="n"/>
      <c r="F128" s="43" t="n"/>
      <c r="G128" s="43" t="n"/>
      <c r="H128" s="43" t="n"/>
      <c r="I128" s="43" t="n"/>
      <c r="Q128" s="526" t="n">
        <v>882</v>
      </c>
      <c r="R128" s="526" t="n">
        <v>900</v>
      </c>
      <c r="S128" s="526" t="n">
        <v>900</v>
      </c>
      <c r="T128" s="526" t="n">
        <v>900</v>
      </c>
      <c r="U128" s="526" t="n">
        <v>900</v>
      </c>
      <c r="V128" s="526" t="n">
        <v>900</v>
      </c>
      <c r="W128" s="526" t="n">
        <v>900</v>
      </c>
      <c r="X128" s="526" t="n">
        <v>900</v>
      </c>
      <c r="Y128" s="526" t="n">
        <v>900</v>
      </c>
      <c r="Z128" s="526" t="n">
        <v>900</v>
      </c>
      <c r="AA128" s="526" t="n">
        <v>900</v>
      </c>
      <c r="AB128" s="526" t="n">
        <v>900</v>
      </c>
      <c r="AC128" s="526" t="n">
        <v>900</v>
      </c>
      <c r="AD128" s="526" t="n">
        <v>900</v>
      </c>
      <c r="AE128" s="526" t="n">
        <v>900</v>
      </c>
      <c r="AF128" s="526" t="n">
        <v>529</v>
      </c>
      <c r="AG128" s="526" t="n">
        <v>529</v>
      </c>
      <c r="AH128" s="526" t="n">
        <v>0</v>
      </c>
      <c r="AI128" s="564">
        <f>AH128</f>
        <v/>
      </c>
      <c r="AJ128" s="564">
        <f>AI128</f>
        <v/>
      </c>
      <c r="AK128" s="564">
        <f>AJ128</f>
        <v/>
      </c>
      <c r="AL128" s="564">
        <f>AK128</f>
        <v/>
      </c>
      <c r="AM128" s="564">
        <f>AL128</f>
        <v/>
      </c>
      <c r="AN128" s="564">
        <f>AM128</f>
        <v/>
      </c>
      <c r="AR128" s="131" t="n"/>
    </row>
    <row r="129">
      <c r="A129" s="111">
        <f>A97</f>
        <v/>
      </c>
      <c r="B129" s="610" t="inlineStr">
        <is>
          <t>JV</t>
        </is>
      </c>
      <c r="C129" s="610" t="inlineStr">
        <is>
          <t>Guohua - 30%, Shenmu - 49%</t>
        </is>
      </c>
      <c r="D129" s="43" t="n"/>
      <c r="E129" s="43" t="n"/>
      <c r="F129" s="43" t="n"/>
      <c r="G129" s="43" t="n"/>
      <c r="H129" s="43" t="n"/>
      <c r="I129" s="43" t="n"/>
      <c r="Q129" s="526" t="n">
        <v>801</v>
      </c>
      <c r="R129" s="526" t="n">
        <v>1130</v>
      </c>
      <c r="S129" s="526" t="n">
        <v>1141</v>
      </c>
      <c r="T129" s="526" t="n">
        <v>1441</v>
      </c>
      <c r="U129" s="526" t="n">
        <v>1441</v>
      </c>
      <c r="V129" s="526" t="n">
        <v>1440</v>
      </c>
      <c r="W129" s="526" t="n">
        <v>1441</v>
      </c>
      <c r="X129" s="526" t="n">
        <v>1446</v>
      </c>
      <c r="Y129" s="526" t="n">
        <v>1350</v>
      </c>
      <c r="Z129" s="526" t="n">
        <v>1350</v>
      </c>
      <c r="AA129" s="526" t="n">
        <v>1355</v>
      </c>
      <c r="AB129" s="526" t="n">
        <v>1248</v>
      </c>
      <c r="AC129" s="526" t="n">
        <v>1248</v>
      </c>
      <c r="AD129" s="526" t="n">
        <v>1248</v>
      </c>
      <c r="AE129" s="526" t="n">
        <v>1248</v>
      </c>
      <c r="AF129" s="526">
        <f>AE129</f>
        <v/>
      </c>
      <c r="AG129" s="526">
        <f>AF129</f>
        <v/>
      </c>
      <c r="AH129" s="526">
        <f>AG129</f>
        <v/>
      </c>
      <c r="AI129" s="564">
        <f>AH129</f>
        <v/>
      </c>
      <c r="AJ129" s="564">
        <f>AI129</f>
        <v/>
      </c>
      <c r="AK129" s="564">
        <f>AJ129</f>
        <v/>
      </c>
      <c r="AL129" s="564">
        <f>AK129</f>
        <v/>
      </c>
      <c r="AM129" s="564">
        <f>AL129</f>
        <v/>
      </c>
      <c r="AN129" s="564">
        <f>AM129</f>
        <v/>
      </c>
      <c r="AR129" s="131" t="n"/>
    </row>
    <row r="130">
      <c r="A130" s="111">
        <f>A98</f>
        <v/>
      </c>
      <c r="B130" s="610" t="n"/>
      <c r="C130" s="610" t="n"/>
      <c r="D130" s="43" t="n"/>
      <c r="E130" s="43" t="n"/>
      <c r="F130" s="43" t="n"/>
      <c r="G130" s="43" t="n"/>
      <c r="H130" s="43" t="n"/>
      <c r="I130" s="43" t="n"/>
      <c r="Q130" s="526" t="n">
        <v>420</v>
      </c>
      <c r="R130" s="526" t="n">
        <v>420</v>
      </c>
      <c r="S130" s="526" t="n">
        <v>420</v>
      </c>
      <c r="T130" s="526" t="n">
        <v>0</v>
      </c>
      <c r="U130" s="526" t="n">
        <v>0</v>
      </c>
      <c r="V130" s="526" t="n">
        <v>0</v>
      </c>
      <c r="W130" s="526" t="n">
        <v>0</v>
      </c>
      <c r="X130" s="526" t="n">
        <v>0</v>
      </c>
      <c r="Y130" s="526" t="n">
        <v>0</v>
      </c>
      <c r="Z130" s="526" t="n">
        <v>0</v>
      </c>
      <c r="AA130" s="526" t="n">
        <v>0</v>
      </c>
      <c r="AB130" s="526" t="n">
        <v>0</v>
      </c>
      <c r="AC130" s="526">
        <f>AB130</f>
        <v/>
      </c>
      <c r="AD130" s="526">
        <f>AC130</f>
        <v/>
      </c>
      <c r="AE130" s="526">
        <f>AD130</f>
        <v/>
      </c>
      <c r="AF130" s="526">
        <f>AE130</f>
        <v/>
      </c>
      <c r="AG130" s="526">
        <f>AF130</f>
        <v/>
      </c>
      <c r="AH130" s="526">
        <f>AG130</f>
        <v/>
      </c>
      <c r="AI130" s="564">
        <f>AH130</f>
        <v/>
      </c>
      <c r="AJ130" s="564">
        <f>AI130</f>
        <v/>
      </c>
      <c r="AK130" s="564">
        <f>AJ130</f>
        <v/>
      </c>
      <c r="AL130" s="564">
        <f>AK130</f>
        <v/>
      </c>
      <c r="AM130" s="564">
        <f>AL130</f>
        <v/>
      </c>
      <c r="AN130" s="564">
        <f>AM130</f>
        <v/>
      </c>
      <c r="AR130" s="131" t="n"/>
    </row>
    <row r="131">
      <c r="A131" s="111">
        <f>A99</f>
        <v/>
      </c>
      <c r="B131" s="610" t="inlineStr">
        <is>
          <t>Consolidated</t>
        </is>
      </c>
      <c r="C131" s="610" t="inlineStr">
        <is>
          <t>PSDC, Dali Yang_er, Jiangbian (100%); Huaiji (84.9%)</t>
        </is>
      </c>
      <c r="D131" s="43" t="n"/>
      <c r="E131" s="43" t="n"/>
      <c r="F131" s="43" t="n"/>
      <c r="G131" s="43" t="n"/>
      <c r="H131" s="43" t="n"/>
      <c r="I131" s="43" t="n"/>
      <c r="Q131" s="526" t="n">
        <v>90</v>
      </c>
      <c r="R131" s="526" t="n">
        <v>106</v>
      </c>
      <c r="S131" s="526" t="n">
        <v>156</v>
      </c>
      <c r="T131" s="526" t="n">
        <v>156</v>
      </c>
      <c r="U131" s="526" t="n">
        <v>486</v>
      </c>
      <c r="V131" s="526" t="n">
        <v>486</v>
      </c>
      <c r="W131" s="526" t="n">
        <v>486</v>
      </c>
      <c r="X131" s="526" t="n">
        <v>489</v>
      </c>
      <c r="Y131" s="526" t="n">
        <v>489</v>
      </c>
      <c r="Z131" s="526" t="n">
        <v>489</v>
      </c>
      <c r="AA131" s="526" t="n">
        <v>489</v>
      </c>
      <c r="AB131" s="526" t="n">
        <v>489</v>
      </c>
      <c r="AC131" s="526" t="n">
        <v>489</v>
      </c>
      <c r="AD131" s="526" t="n">
        <v>489</v>
      </c>
      <c r="AE131" s="526" t="n">
        <v>489</v>
      </c>
      <c r="AF131" s="526">
        <f>AE131</f>
        <v/>
      </c>
      <c r="AG131" s="526">
        <f>AF131</f>
        <v/>
      </c>
      <c r="AH131" s="526">
        <f>AG131</f>
        <v/>
      </c>
      <c r="AI131" s="564">
        <f>AH131</f>
        <v/>
      </c>
      <c r="AJ131" s="564">
        <f>AI131</f>
        <v/>
      </c>
      <c r="AK131" s="564">
        <f>AJ131</f>
        <v/>
      </c>
      <c r="AL131" s="564">
        <f>AK131</f>
        <v/>
      </c>
      <c r="AM131" s="564">
        <f>AL131</f>
        <v/>
      </c>
      <c r="AN131" s="564">
        <f>AM131</f>
        <v/>
      </c>
      <c r="AR131" s="131" t="n"/>
    </row>
    <row r="132">
      <c r="A132" s="111">
        <f>A100</f>
        <v/>
      </c>
      <c r="B132" s="610" t="inlineStr">
        <is>
          <t>Consolidated</t>
        </is>
      </c>
      <c r="C132" s="610" t="n"/>
      <c r="D132" s="43" t="n"/>
      <c r="E132" s="43" t="n"/>
      <c r="F132" s="43" t="n"/>
      <c r="G132" s="43" t="n"/>
      <c r="H132" s="43" t="n"/>
      <c r="I132" s="43" t="n"/>
      <c r="Q132" s="526" t="n">
        <v>44</v>
      </c>
      <c r="R132" s="526" t="n">
        <v>108</v>
      </c>
      <c r="S132" s="526" t="n">
        <v>276</v>
      </c>
      <c r="T132" s="526" t="n">
        <v>415</v>
      </c>
      <c r="U132" s="526" t="n">
        <v>488</v>
      </c>
      <c r="V132" s="526" t="n">
        <v>537</v>
      </c>
      <c r="W132" s="526" t="n">
        <v>550</v>
      </c>
      <c r="X132" s="526" t="n">
        <v>600</v>
      </c>
      <c r="Y132" s="526" t="n">
        <v>600</v>
      </c>
      <c r="Z132" s="526" t="n">
        <v>798</v>
      </c>
      <c r="AA132" s="526" t="n">
        <v>835</v>
      </c>
      <c r="AB132" s="526" t="n">
        <v>835</v>
      </c>
      <c r="AC132" s="526" t="n">
        <v>885</v>
      </c>
      <c r="AD132" s="526" t="n">
        <v>935</v>
      </c>
      <c r="AE132" s="526" t="n">
        <v>910</v>
      </c>
      <c r="AF132" s="526" t="n">
        <v>1010</v>
      </c>
      <c r="AG132" s="526" t="n">
        <v>1059</v>
      </c>
      <c r="AH132" s="526">
        <f>11+4+99+22+24+49.5+49.5+100+24+24+49.5+49.5+24+17+49.5+49.5+50+24+24+48+24+24+24+9+22+24+24+14+49.5+50+5+5+10</f>
        <v/>
      </c>
      <c r="AI132" s="564">
        <f>AH132+150</f>
        <v/>
      </c>
      <c r="AJ132" s="564">
        <f>AI132</f>
        <v/>
      </c>
      <c r="AK132" s="564">
        <f>AJ132</f>
        <v/>
      </c>
      <c r="AL132" s="564">
        <f>AK132</f>
        <v/>
      </c>
      <c r="AM132" s="564">
        <f>AL132</f>
        <v/>
      </c>
      <c r="AN132" s="564">
        <f>AM132</f>
        <v/>
      </c>
      <c r="AR132" s="131" t="n"/>
    </row>
    <row r="133">
      <c r="A133" s="111">
        <f>A101</f>
        <v/>
      </c>
      <c r="B133" s="610" t="n"/>
      <c r="C133" s="610" t="n"/>
      <c r="D133" s="43" t="n"/>
      <c r="E133" s="43" t="n"/>
      <c r="F133" s="43" t="n"/>
      <c r="G133" s="43" t="n"/>
      <c r="H133" s="43" t="n"/>
      <c r="I133" s="43" t="n"/>
      <c r="Q133" s="526" t="n">
        <v>0</v>
      </c>
      <c r="R133" s="526" t="n">
        <v>11</v>
      </c>
      <c r="S133" s="526" t="n">
        <v>11</v>
      </c>
      <c r="T133" s="526" t="n">
        <v>12</v>
      </c>
      <c r="U133" s="526" t="n">
        <v>12</v>
      </c>
      <c r="V133" s="526" t="n">
        <v>12</v>
      </c>
      <c r="W133" s="526" t="n">
        <v>0</v>
      </c>
      <c r="X133" s="526" t="n">
        <v>0</v>
      </c>
      <c r="Y133" s="526" t="n">
        <v>0</v>
      </c>
      <c r="Z133" s="526" t="n">
        <v>0</v>
      </c>
      <c r="AA133" s="526" t="n">
        <v>0</v>
      </c>
      <c r="AB133" s="526">
        <f>AA133</f>
        <v/>
      </c>
      <c r="AC133" s="526">
        <f>AB133</f>
        <v/>
      </c>
      <c r="AD133" s="526">
        <f>AC133</f>
        <v/>
      </c>
      <c r="AE133" s="526">
        <f>AD133</f>
        <v/>
      </c>
      <c r="AF133" s="526">
        <f>AE133</f>
        <v/>
      </c>
      <c r="AG133" s="526">
        <f>AF133</f>
        <v/>
      </c>
      <c r="AH133" s="526">
        <f>AG133</f>
        <v/>
      </c>
      <c r="AI133" s="564">
        <f>AH133</f>
        <v/>
      </c>
      <c r="AJ133" s="564">
        <f>AI133</f>
        <v/>
      </c>
      <c r="AK133" s="564">
        <f>AJ133</f>
        <v/>
      </c>
      <c r="AL133" s="564">
        <f>AK133</f>
        <v/>
      </c>
      <c r="AM133" s="564">
        <f>AL133</f>
        <v/>
      </c>
      <c r="AN133" s="564">
        <f>AM133</f>
        <v/>
      </c>
      <c r="AR133" s="131" t="n"/>
    </row>
    <row r="134">
      <c r="A134" s="111">
        <f>A102</f>
        <v/>
      </c>
      <c r="B134" s="610" t="inlineStr">
        <is>
          <t>JV</t>
        </is>
      </c>
      <c r="C134" s="154" t="n">
        <v>0.1575</v>
      </c>
      <c r="D134" s="43" t="n"/>
      <c r="E134" s="43" t="n"/>
      <c r="F134" s="43" t="n"/>
      <c r="G134" s="43" t="n"/>
      <c r="H134" s="43" t="n"/>
      <c r="I134" s="43" t="n"/>
      <c r="Q134" s="526" t="n">
        <v>0</v>
      </c>
      <c r="R134" s="526" t="n">
        <v>0</v>
      </c>
      <c r="S134" s="526" t="n">
        <v>0</v>
      </c>
      <c r="T134" s="526" t="n">
        <v>335</v>
      </c>
      <c r="U134" s="526" t="n">
        <v>518</v>
      </c>
      <c r="V134" s="526" t="n">
        <v>524</v>
      </c>
      <c r="W134" s="526" t="n">
        <v>251</v>
      </c>
      <c r="X134" s="526" t="n">
        <v>251</v>
      </c>
      <c r="Y134" s="526" t="n">
        <v>251</v>
      </c>
      <c r="Z134" s="526" t="n">
        <v>282</v>
      </c>
      <c r="AA134" s="526" t="n">
        <v>0</v>
      </c>
      <c r="AB134" s="526">
        <f>AA134</f>
        <v/>
      </c>
      <c r="AC134" s="526">
        <f>AB134</f>
        <v/>
      </c>
      <c r="AD134" s="526">
        <f>AC134</f>
        <v/>
      </c>
      <c r="AE134" s="526">
        <f>AD134</f>
        <v/>
      </c>
      <c r="AF134" s="526">
        <f>AE134</f>
        <v/>
      </c>
      <c r="AG134" s="526">
        <f>AF134</f>
        <v/>
      </c>
      <c r="AH134" s="526">
        <f>AG134</f>
        <v/>
      </c>
      <c r="AI134" s="564">
        <f>AH134</f>
        <v/>
      </c>
      <c r="AJ134" s="564">
        <f>AI134</f>
        <v/>
      </c>
      <c r="AK134" s="564">
        <f>AJ134</f>
        <v/>
      </c>
      <c r="AL134" s="564">
        <f>AK134</f>
        <v/>
      </c>
      <c r="AM134" s="564">
        <f>AL134</f>
        <v/>
      </c>
      <c r="AN134" s="564">
        <f>AM134</f>
        <v/>
      </c>
      <c r="AR134" s="131" t="n"/>
    </row>
    <row r="135">
      <c r="A135" s="111">
        <f>A103</f>
        <v/>
      </c>
      <c r="B135" s="610" t="inlineStr">
        <is>
          <t>Consolidated</t>
        </is>
      </c>
      <c r="C135" s="610" t="n"/>
      <c r="D135" s="43" t="n"/>
      <c r="E135" s="43" t="n"/>
      <c r="F135" s="43" t="n"/>
      <c r="G135" s="43" t="n"/>
      <c r="H135" s="43" t="n"/>
      <c r="I135" s="43" t="n"/>
      <c r="W135" s="526" t="n">
        <v>43</v>
      </c>
      <c r="X135" s="526">
        <f>43+42</f>
        <v/>
      </c>
      <c r="Y135" s="526" t="n">
        <v>175</v>
      </c>
      <c r="Z135" s="526" t="n">
        <v>221</v>
      </c>
      <c r="AA135" s="526" t="n">
        <v>234</v>
      </c>
      <c r="AB135" s="526" t="n">
        <v>292</v>
      </c>
      <c r="AC135" s="526" t="n">
        <v>328</v>
      </c>
      <c r="AD135" s="526" t="n">
        <v>328</v>
      </c>
      <c r="AE135" s="526" t="n">
        <v>328</v>
      </c>
      <c r="AF135" s="526" t="n">
        <v>328</v>
      </c>
      <c r="AG135" s="526" t="n">
        <v>402</v>
      </c>
      <c r="AH135" s="526">
        <f>85+36.1+12.8+93.4+74+17+42+42+10+8+9</f>
        <v/>
      </c>
      <c r="AI135" s="564">
        <f>AH135+AH147+96+90</f>
        <v/>
      </c>
      <c r="AJ135" s="564">
        <f>AI135+AI147</f>
        <v/>
      </c>
      <c r="AK135" s="564">
        <f>AJ135+AJ147</f>
        <v/>
      </c>
      <c r="AL135" s="564">
        <f>AK135+AK147</f>
        <v/>
      </c>
      <c r="AM135" s="564">
        <f>AL135+AL147</f>
        <v/>
      </c>
      <c r="AN135" s="564">
        <f>AM135+AM147</f>
        <v/>
      </c>
      <c r="AR135" s="131" t="n"/>
    </row>
    <row r="136">
      <c r="A136" s="111">
        <f>A104</f>
        <v/>
      </c>
      <c r="B136" s="155" t="inlineStr">
        <is>
          <t>Associate</t>
        </is>
      </c>
      <c r="C136" s="155" t="n"/>
      <c r="D136" s="43" t="n"/>
      <c r="E136" s="43" t="n"/>
      <c r="F136" s="43" t="n"/>
      <c r="G136" s="43" t="n"/>
      <c r="H136" s="43" t="n"/>
      <c r="I136" s="43" t="n"/>
      <c r="Z136" s="526" t="n">
        <v>0</v>
      </c>
      <c r="AA136" s="526" t="n">
        <v>738</v>
      </c>
      <c r="AB136" s="526" t="n">
        <v>923</v>
      </c>
      <c r="AC136" s="526" t="n">
        <v>1108</v>
      </c>
      <c r="AD136" s="526" t="n">
        <v>1108</v>
      </c>
      <c r="AE136" s="526" t="n">
        <v>1108</v>
      </c>
      <c r="AF136" s="526" t="n">
        <v>1108</v>
      </c>
      <c r="AG136" s="526" t="n">
        <v>1108</v>
      </c>
      <c r="AH136" s="526" t="n">
        <v>1108</v>
      </c>
      <c r="AI136" s="564">
        <f>AH136</f>
        <v/>
      </c>
      <c r="AJ136" s="564">
        <f>AI136</f>
        <v/>
      </c>
      <c r="AK136" s="564">
        <f>AJ136</f>
        <v/>
      </c>
      <c r="AL136" s="564">
        <f>AK136</f>
        <v/>
      </c>
      <c r="AM136" s="564">
        <f>AL136</f>
        <v/>
      </c>
      <c r="AN136" s="564">
        <f>AM136</f>
        <v/>
      </c>
      <c r="AR136" s="131" t="n"/>
    </row>
    <row r="137">
      <c r="A137" s="111" t="n"/>
      <c r="B137" s="43" t="n"/>
      <c r="C137" s="43" t="n"/>
      <c r="D137" s="43" t="n"/>
      <c r="E137" s="43" t="n"/>
      <c r="F137" s="43" t="n"/>
      <c r="G137" s="43" t="n"/>
      <c r="H137" s="43" t="n"/>
      <c r="I137" s="43" t="n"/>
      <c r="AB137" s="564" t="n"/>
      <c r="AC137" s="564" t="n"/>
      <c r="AD137" s="564" t="n"/>
      <c r="AE137" s="564" t="n"/>
      <c r="AG137" s="564" t="n"/>
      <c r="AH137" s="564" t="n"/>
      <c r="AI137" s="564" t="n"/>
      <c r="AJ137" s="564" t="n"/>
      <c r="AK137" s="564" t="n"/>
      <c r="AL137" s="564" t="n"/>
      <c r="AM137" s="564" t="n"/>
      <c r="AN137" s="564" t="n"/>
      <c r="AR137" s="131" t="n"/>
    </row>
    <row r="138">
      <c r="A138" s="109" t="inlineStr">
        <is>
          <t>Total operational capacity</t>
        </is>
      </c>
      <c r="B138" s="109" t="n"/>
      <c r="C138" s="109" t="n"/>
      <c r="D138" s="109" t="n"/>
      <c r="E138" s="109" t="n"/>
      <c r="F138" s="109" t="n"/>
      <c r="G138" s="109" t="n"/>
      <c r="H138" s="109" t="n"/>
      <c r="I138" s="109" t="n"/>
      <c r="J138" s="605" t="n"/>
      <c r="K138" s="605" t="n"/>
      <c r="L138" s="605" t="n"/>
      <c r="M138" s="605" t="n"/>
      <c r="N138" s="605" t="n"/>
      <c r="O138" s="605" t="n"/>
      <c r="P138" s="605" t="n"/>
      <c r="Q138" s="605">
        <f>SUM(Q125:Q137)</f>
        <v/>
      </c>
      <c r="R138" s="605">
        <f>SUM(R125:R137)</f>
        <v/>
      </c>
      <c r="S138" s="605">
        <f>SUM(S125:S137)</f>
        <v/>
      </c>
      <c r="T138" s="605">
        <f>SUM(T125:T137)</f>
        <v/>
      </c>
      <c r="U138" s="605">
        <f>SUM(U125:U137)</f>
        <v/>
      </c>
      <c r="V138" s="605">
        <f>SUM(V125:V137)</f>
        <v/>
      </c>
      <c r="W138" s="605">
        <f>SUM(W125:W137)</f>
        <v/>
      </c>
      <c r="X138" s="605">
        <f>SUM(X125:X137)</f>
        <v/>
      </c>
      <c r="Y138" s="605">
        <f>SUM(Y125:Y137)</f>
        <v/>
      </c>
      <c r="Z138" s="605">
        <f>SUM(Z125:Z137)</f>
        <v/>
      </c>
      <c r="AA138" s="605">
        <f>SUM(AA125:AA137)</f>
        <v/>
      </c>
      <c r="AB138" s="605">
        <f>SUM(AB125:AB137)</f>
        <v/>
      </c>
      <c r="AC138" s="605">
        <f>SUM(AC125:AC137)</f>
        <v/>
      </c>
      <c r="AD138" s="605">
        <f>SUM(AD125:AD137)</f>
        <v/>
      </c>
      <c r="AE138" s="605">
        <f>SUM(AE125:AE137)</f>
        <v/>
      </c>
      <c r="AF138" s="605">
        <f>SUM(AF125:AF137)</f>
        <v/>
      </c>
      <c r="AG138" s="605">
        <f>SUM(AG125:AG137)</f>
        <v/>
      </c>
      <c r="AH138" s="605">
        <f>SUM(AH125:AH137)</f>
        <v/>
      </c>
      <c r="AI138" s="605">
        <f>SUM(AI125:AI137)</f>
        <v/>
      </c>
      <c r="AJ138" s="605">
        <f>SUM(AJ125:AJ137)</f>
        <v/>
      </c>
      <c r="AK138" s="605">
        <f>SUM(AK125:AK137)</f>
        <v/>
      </c>
      <c r="AL138" s="605">
        <f>SUM(AL125:AL137)</f>
        <v/>
      </c>
      <c r="AM138" s="605">
        <f>SUM(AM125:AM137)</f>
        <v/>
      </c>
      <c r="AN138" s="605">
        <f>SUM(AN125:AN137)</f>
        <v/>
      </c>
      <c r="AR138" s="131" t="n"/>
    </row>
    <row r="139">
      <c r="A139" s="43" t="n"/>
      <c r="B139" s="43" t="n"/>
      <c r="C139" s="43" t="n"/>
      <c r="D139" s="43" t="n"/>
      <c r="E139" s="43" t="n"/>
      <c r="F139" s="43" t="n"/>
      <c r="G139" s="43" t="n"/>
      <c r="H139" s="43" t="n"/>
      <c r="I139" s="43" t="n"/>
    </row>
    <row r="140" hidden="1" outlineLevel="1">
      <c r="A140" s="62" t="inlineStr">
        <is>
          <t>Construction capacity</t>
        </is>
      </c>
      <c r="B140" s="43" t="n"/>
      <c r="C140" s="43" t="n"/>
      <c r="D140" s="43" t="n"/>
      <c r="E140" s="43" t="n"/>
      <c r="F140" s="43" t="n"/>
      <c r="G140" s="43" t="n"/>
      <c r="H140" s="43" t="n"/>
      <c r="I140" s="43" t="n"/>
    </row>
    <row r="141" hidden="1" outlineLevel="1">
      <c r="A141" s="111">
        <f>A109</f>
        <v/>
      </c>
      <c r="B141" s="43" t="n"/>
      <c r="C141" s="43" t="n"/>
      <c r="D141" s="43" t="n"/>
      <c r="E141" s="43" t="n"/>
      <c r="F141" s="43" t="n"/>
      <c r="G141" s="43" t="n"/>
      <c r="H141" s="43" t="n"/>
      <c r="I141" s="43" t="n"/>
      <c r="Q141" s="526" t="n">
        <v>215</v>
      </c>
      <c r="R141" s="526" t="n">
        <v>215</v>
      </c>
      <c r="S141" s="526" t="n">
        <v>215</v>
      </c>
      <c r="T141" s="526" t="n">
        <v>330</v>
      </c>
    </row>
    <row r="142" hidden="1" outlineLevel="1">
      <c r="A142" s="111">
        <f>A110</f>
        <v/>
      </c>
      <c r="B142" s="43" t="n"/>
      <c r="C142" s="43" t="n"/>
      <c r="D142" s="43" t="n"/>
      <c r="E142" s="43" t="n"/>
      <c r="F142" s="43" t="n"/>
      <c r="G142" s="43" t="n"/>
      <c r="H142" s="43" t="n"/>
      <c r="I142" s="43" t="n"/>
      <c r="Q142" s="526" t="n">
        <v>11</v>
      </c>
      <c r="R142" s="526" t="n">
        <v>0</v>
      </c>
      <c r="S142" s="526" t="n">
        <v>0</v>
      </c>
      <c r="T142" s="526" t="n">
        <v>0</v>
      </c>
    </row>
    <row r="143" hidden="1" outlineLevel="1">
      <c r="A143" s="111">
        <f>A111</f>
        <v/>
      </c>
      <c r="B143" s="43" t="n"/>
      <c r="C143" s="43" t="n"/>
      <c r="D143" s="43" t="n"/>
      <c r="E143" s="43" t="n"/>
      <c r="F143" s="43" t="n"/>
      <c r="G143" s="43" t="n"/>
      <c r="H143" s="43" t="n"/>
      <c r="I143" s="43" t="n"/>
      <c r="Q143" s="526" t="n">
        <v>142</v>
      </c>
      <c r="R143" s="526" t="n">
        <v>130</v>
      </c>
      <c r="S143" s="526" t="n">
        <v>187</v>
      </c>
      <c r="T143" s="526" t="n">
        <v>110</v>
      </c>
      <c r="U143" s="526" t="n">
        <v>87</v>
      </c>
      <c r="V143" s="526" t="n">
        <v>38</v>
      </c>
      <c r="W143" s="526" t="n">
        <v>74</v>
      </c>
      <c r="X143" s="526" t="n">
        <v>24</v>
      </c>
      <c r="Y143" s="526" t="n">
        <v>346</v>
      </c>
      <c r="Z143" s="526" t="n">
        <v>198</v>
      </c>
      <c r="AA143" s="526" t="n">
        <v>149</v>
      </c>
      <c r="AB143" s="526" t="n">
        <v>100</v>
      </c>
      <c r="AC143" s="564" t="n">
        <v>0</v>
      </c>
      <c r="AD143" s="564" t="n">
        <v>0</v>
      </c>
      <c r="AE143" s="564" t="n">
        <v>0</v>
      </c>
      <c r="AF143" s="564" t="n">
        <v>0</v>
      </c>
      <c r="AG143" s="564" t="n">
        <v>0</v>
      </c>
      <c r="AH143" s="564" t="n">
        <v>0</v>
      </c>
      <c r="AI143" s="564" t="n">
        <v>0</v>
      </c>
      <c r="AJ143" s="564" t="n">
        <v>0</v>
      </c>
      <c r="AK143" s="564" t="n">
        <v>0</v>
      </c>
      <c r="AL143" s="564" t="n">
        <v>0</v>
      </c>
      <c r="AM143" s="564" t="n">
        <v>0</v>
      </c>
      <c r="AN143" s="564" t="n">
        <v>0</v>
      </c>
      <c r="AO143" s="564" t="n"/>
    </row>
    <row r="144" hidden="1" outlineLevel="1">
      <c r="A144" s="111">
        <f>A112</f>
        <v/>
      </c>
      <c r="Q144" s="526" t="n">
        <v>0</v>
      </c>
      <c r="R144" s="526" t="n">
        <v>300</v>
      </c>
      <c r="S144" s="526" t="n">
        <v>300</v>
      </c>
      <c r="T144" s="526" t="n">
        <v>0</v>
      </c>
    </row>
    <row r="145" hidden="1" outlineLevel="1">
      <c r="A145" s="111">
        <f>A113</f>
        <v/>
      </c>
      <c r="Q145" s="526" t="n">
        <v>0</v>
      </c>
      <c r="R145" s="526" t="n">
        <v>50</v>
      </c>
      <c r="S145" s="526" t="n">
        <v>0</v>
      </c>
      <c r="T145" s="526" t="n">
        <v>0</v>
      </c>
    </row>
    <row r="146" hidden="1" outlineLevel="1">
      <c r="A146" s="111">
        <f>A114</f>
        <v/>
      </c>
      <c r="T146" s="526" t="n">
        <v>226</v>
      </c>
      <c r="U146" s="526" t="n">
        <v>51</v>
      </c>
      <c r="W146" s="526" t="n">
        <v>42</v>
      </c>
      <c r="Y146" s="526" t="n">
        <v>63</v>
      </c>
      <c r="Z146" s="526" t="n">
        <v>32</v>
      </c>
      <c r="AA146" s="564" t="n"/>
      <c r="AB146" s="564" t="n">
        <v>0</v>
      </c>
      <c r="AC146" s="564" t="n">
        <v>0</v>
      </c>
      <c r="AD146" s="564" t="n">
        <v>0</v>
      </c>
      <c r="AE146" s="564" t="n">
        <v>0</v>
      </c>
      <c r="AF146" s="564" t="n">
        <v>0</v>
      </c>
      <c r="AG146" s="564" t="n">
        <v>0</v>
      </c>
      <c r="AH146" s="564" t="n">
        <v>0</v>
      </c>
      <c r="AI146" s="564" t="n">
        <v>0</v>
      </c>
      <c r="AJ146" s="564" t="n">
        <v>0</v>
      </c>
      <c r="AK146" s="564" t="n">
        <v>0</v>
      </c>
      <c r="AL146" s="564" t="n">
        <v>0</v>
      </c>
      <c r="AM146" s="564" t="n">
        <v>0</v>
      </c>
      <c r="AN146" s="564" t="n">
        <v>0</v>
      </c>
    </row>
    <row r="147" hidden="1" outlineLevel="1">
      <c r="A147" s="111">
        <f>A115</f>
        <v/>
      </c>
      <c r="X147" s="526" t="n">
        <v>48</v>
      </c>
      <c r="Z147" s="526" t="n">
        <v>13</v>
      </c>
      <c r="AA147" s="526" t="n">
        <v>17</v>
      </c>
      <c r="AB147" s="564" t="n">
        <v>0</v>
      </c>
      <c r="AC147" s="564" t="n">
        <v>0</v>
      </c>
      <c r="AD147" s="564" t="n">
        <v>0</v>
      </c>
      <c r="AE147" s="564" t="n">
        <v>0</v>
      </c>
      <c r="AF147" s="564" t="n">
        <v>0</v>
      </c>
      <c r="AG147" s="564" t="n">
        <v>0</v>
      </c>
      <c r="AH147" s="564" t="n">
        <v>0</v>
      </c>
      <c r="AI147" s="564" t="n">
        <v>0</v>
      </c>
      <c r="AJ147" s="564" t="n">
        <v>0</v>
      </c>
      <c r="AK147" s="564" t="n">
        <v>0</v>
      </c>
      <c r="AL147" s="564" t="n">
        <v>0</v>
      </c>
      <c r="AM147" s="564" t="n">
        <v>0</v>
      </c>
      <c r="AN147" s="564" t="n">
        <v>0</v>
      </c>
    </row>
    <row r="148" hidden="1" outlineLevel="1">
      <c r="A148" s="111">
        <f>A116</f>
        <v/>
      </c>
      <c r="X148" s="526" t="n">
        <v>924</v>
      </c>
      <c r="Y148" s="526" t="n">
        <v>924</v>
      </c>
    </row>
    <row r="149" hidden="1" outlineLevel="1">
      <c r="A149" s="111">
        <f>A117</f>
        <v/>
      </c>
      <c r="Z149" s="564">
        <f>1086*3*0.17</f>
        <v/>
      </c>
      <c r="AA149" s="526" t="n">
        <v>369</v>
      </c>
      <c r="AB149" s="526" t="n">
        <v>185</v>
      </c>
      <c r="AC149" s="564" t="n">
        <v>0</v>
      </c>
      <c r="AD149" s="564">
        <f>AC149</f>
        <v/>
      </c>
      <c r="AE149" s="564">
        <f>AD149</f>
        <v/>
      </c>
      <c r="AF149" s="564">
        <f>AE149</f>
        <v/>
      </c>
      <c r="AG149" s="564">
        <f>AF149</f>
        <v/>
      </c>
      <c r="AH149" s="564">
        <f>AG149</f>
        <v/>
      </c>
      <c r="AI149" s="564">
        <f>AH149</f>
        <v/>
      </c>
      <c r="AJ149" s="564">
        <f>AI149</f>
        <v/>
      </c>
      <c r="AK149" s="564">
        <f>AJ149</f>
        <v/>
      </c>
      <c r="AL149" s="564">
        <f>AK149</f>
        <v/>
      </c>
      <c r="AM149" s="564">
        <f>AL149</f>
        <v/>
      </c>
      <c r="AN149" s="564">
        <f>AM149</f>
        <v/>
      </c>
    </row>
    <row r="150" hidden="1" outlineLevel="1">
      <c r="A150" s="111" t="n"/>
    </row>
    <row r="151" hidden="1" outlineLevel="1">
      <c r="A151" s="109" t="inlineStr">
        <is>
          <t>Total construction capacity</t>
        </is>
      </c>
      <c r="B151" s="605" t="n"/>
      <c r="C151" s="605" t="n"/>
      <c r="D151" s="605" t="n"/>
      <c r="E151" s="605" t="n"/>
      <c r="F151" s="605" t="n"/>
      <c r="G151" s="605" t="n"/>
      <c r="H151" s="605" t="n"/>
      <c r="I151" s="605" t="n"/>
      <c r="J151" s="605" t="n"/>
      <c r="K151" s="605" t="n"/>
      <c r="L151" s="605" t="n"/>
      <c r="M151" s="605" t="n"/>
      <c r="N151" s="605" t="n"/>
      <c r="O151" s="605" t="n"/>
      <c r="P151" s="605" t="n"/>
      <c r="Q151" s="605">
        <f>SUM(Q141:Q150)</f>
        <v/>
      </c>
      <c r="R151" s="605">
        <f>SUM(R141:R150)</f>
        <v/>
      </c>
      <c r="S151" s="605">
        <f>SUM(S141:S150)</f>
        <v/>
      </c>
      <c r="T151" s="605">
        <f>SUM(T141:T150)</f>
        <v/>
      </c>
      <c r="U151" s="605">
        <f>SUM(U141:U150)</f>
        <v/>
      </c>
      <c r="V151" s="605">
        <f>SUM(V141:V150)</f>
        <v/>
      </c>
      <c r="W151" s="605">
        <f>SUM(W141:W150)</f>
        <v/>
      </c>
      <c r="X151" s="605">
        <f>SUM(X141:X150)</f>
        <v/>
      </c>
      <c r="Y151" s="605">
        <f>SUM(Y141:Y150)</f>
        <v/>
      </c>
      <c r="Z151" s="605">
        <f>SUM(Z141:Z150)</f>
        <v/>
      </c>
      <c r="AA151" s="605">
        <f>SUM(AA141:AA150)</f>
        <v/>
      </c>
      <c r="AB151" s="605">
        <f>SUM(AB141:AB150)</f>
        <v/>
      </c>
      <c r="AC151" s="605">
        <f>SUM(AC141:AC150)</f>
        <v/>
      </c>
      <c r="AD151" s="605">
        <f>SUM(AD141:AD150)</f>
        <v/>
      </c>
      <c r="AE151" s="605">
        <f>SUM(AE141:AE150)</f>
        <v/>
      </c>
      <c r="AF151" s="605">
        <f>SUM(AF141:AF150)</f>
        <v/>
      </c>
      <c r="AG151" s="605">
        <f>SUM(AG141:AG150)</f>
        <v/>
      </c>
      <c r="AH151" s="605">
        <f>SUM(AH141:AH150)</f>
        <v/>
      </c>
      <c r="AI151" s="605">
        <f>SUM(AI141:AI150)</f>
        <v/>
      </c>
      <c r="AJ151" s="605">
        <f>SUM(AJ141:AJ150)</f>
        <v/>
      </c>
      <c r="AK151" s="605">
        <f>SUM(AK141:AK150)</f>
        <v/>
      </c>
      <c r="AL151" s="605">
        <f>SUM(AL141:AL150)</f>
        <v/>
      </c>
      <c r="AM151" s="605">
        <f>SUM(AM141:AM150)</f>
        <v/>
      </c>
      <c r="AN151" s="605">
        <f>SUM(AN141:AN150)</f>
        <v/>
      </c>
    </row>
    <row r="152" hidden="1" outlineLevel="1">
      <c r="A152" s="43" t="n"/>
      <c r="B152" s="43" t="n"/>
      <c r="C152" s="43" t="n"/>
      <c r="D152" s="43" t="n"/>
      <c r="E152" s="43" t="n"/>
      <c r="F152" s="43" t="n"/>
      <c r="G152" s="43" t="n"/>
      <c r="H152" s="43" t="n"/>
      <c r="I152" s="43" t="n"/>
    </row>
    <row r="153" hidden="1" outlineLevel="1">
      <c r="A153" s="109" t="inlineStr">
        <is>
          <t>Total Capacity</t>
        </is>
      </c>
      <c r="B153" s="605" t="n"/>
      <c r="C153" s="605" t="n"/>
      <c r="D153" s="605" t="n"/>
      <c r="E153" s="605" t="n"/>
      <c r="F153" s="605" t="n"/>
      <c r="G153" s="605" t="n"/>
      <c r="H153" s="605" t="n"/>
      <c r="I153" s="605" t="n"/>
      <c r="J153" s="605" t="n"/>
      <c r="K153" s="605" t="n"/>
      <c r="L153" s="605" t="n"/>
      <c r="M153" s="605" t="n"/>
      <c r="N153" s="605" t="n"/>
      <c r="O153" s="605" t="n"/>
      <c r="P153" s="605" t="n"/>
      <c r="Q153" s="605">
        <f>Q138+Q151</f>
        <v/>
      </c>
      <c r="R153" s="605">
        <f>R138+R151</f>
        <v/>
      </c>
      <c r="S153" s="605">
        <f>S138+S151</f>
        <v/>
      </c>
      <c r="T153" s="605">
        <f>T138+T151</f>
        <v/>
      </c>
      <c r="U153" s="605">
        <f>U138+U151</f>
        <v/>
      </c>
      <c r="V153" s="605">
        <f>V138+V151</f>
        <v/>
      </c>
      <c r="W153" s="605">
        <f>W138+W151</f>
        <v/>
      </c>
      <c r="X153" s="605">
        <f>X138+X151</f>
        <v/>
      </c>
      <c r="Y153" s="605">
        <f>Y138+Y151</f>
        <v/>
      </c>
      <c r="Z153" s="605">
        <f>Z138+Z151</f>
        <v/>
      </c>
      <c r="AA153" s="605">
        <f>AA138+AA151</f>
        <v/>
      </c>
      <c r="AB153" s="605">
        <f>AB138+AB151</f>
        <v/>
      </c>
      <c r="AC153" s="605">
        <f>AC138+AC151</f>
        <v/>
      </c>
      <c r="AD153" s="605">
        <f>AD138+AD151</f>
        <v/>
      </c>
      <c r="AE153" s="605">
        <f>AE138+AE151</f>
        <v/>
      </c>
      <c r="AF153" s="605">
        <f>AF138+AF151</f>
        <v/>
      </c>
      <c r="AG153" s="605">
        <f>AG138+AG151</f>
        <v/>
      </c>
      <c r="AH153" s="605">
        <f>AH138+AH151</f>
        <v/>
      </c>
      <c r="AI153" s="605">
        <f>AI138+AI151</f>
        <v/>
      </c>
      <c r="AJ153" s="605">
        <f>AJ138+AJ151</f>
        <v/>
      </c>
      <c r="AK153" s="605">
        <f>AK138+AK151</f>
        <v/>
      </c>
      <c r="AL153" s="605">
        <f>AL138+AL151</f>
        <v/>
      </c>
      <c r="AM153" s="605">
        <f>AM138+AM151</f>
        <v/>
      </c>
      <c r="AN153" s="605">
        <f>AN138+AN151</f>
        <v/>
      </c>
    </row>
    <row r="154" collapsed="1">
      <c r="A154" s="43" t="n"/>
      <c r="B154" s="43" t="n"/>
      <c r="C154" s="43" t="n"/>
      <c r="D154" s="43" t="n"/>
      <c r="E154" s="43" t="n"/>
      <c r="F154" s="43" t="n"/>
      <c r="G154" s="43" t="n"/>
      <c r="H154" s="43" t="n"/>
      <c r="I154" s="43" t="n"/>
    </row>
    <row r="156">
      <c r="A156" s="88" t="inlineStr">
        <is>
          <t>PPE</t>
        </is>
      </c>
      <c r="B156" s="643" t="n"/>
      <c r="C156" s="643" t="n"/>
      <c r="D156" s="643" t="n"/>
      <c r="E156" s="643" t="n"/>
      <c r="F156" s="643" t="n"/>
      <c r="G156" s="643" t="n"/>
      <c r="H156" s="643" t="n"/>
      <c r="I156" s="643" t="n"/>
      <c r="J156" s="643" t="n"/>
      <c r="K156" s="643" t="n"/>
      <c r="L156" s="643" t="n"/>
      <c r="M156" s="643" t="n"/>
      <c r="N156" s="643" t="n"/>
      <c r="O156" s="643" t="n"/>
      <c r="P156" s="643" t="n"/>
      <c r="Q156" s="643" t="n"/>
      <c r="R156" s="643" t="n"/>
      <c r="S156" s="643" t="n"/>
      <c r="T156" s="643" t="n"/>
      <c r="U156" s="643" t="n"/>
      <c r="V156" s="643" t="n"/>
      <c r="W156" s="643" t="n"/>
      <c r="X156" s="643" t="n"/>
      <c r="Y156" s="643" t="n"/>
      <c r="Z156" s="643" t="n"/>
      <c r="AA156" s="643" t="n"/>
      <c r="AB156" s="643" t="n"/>
      <c r="AC156" s="643" t="n"/>
      <c r="AD156" s="643" t="n"/>
      <c r="AE156" s="643" t="n"/>
      <c r="AF156" s="643" t="n"/>
      <c r="AG156" s="643" t="n"/>
      <c r="AH156" s="643" t="n"/>
      <c r="AI156" s="643" t="n"/>
      <c r="AJ156" s="643" t="n"/>
      <c r="AK156" s="643" t="n"/>
      <c r="AL156" s="643" t="n"/>
      <c r="AM156" s="643" t="n"/>
      <c r="AN156" s="643" t="n"/>
    </row>
    <row r="157">
      <c r="A157" s="526" t="inlineStr">
        <is>
          <t>Net fixed assets</t>
        </is>
      </c>
      <c r="Q157" s="526" t="n">
        <v>858</v>
      </c>
      <c r="R157" s="526" t="n">
        <v>1588</v>
      </c>
      <c r="S157" s="526" t="n">
        <v>1730</v>
      </c>
      <c r="T157" s="526" t="n">
        <v>3907</v>
      </c>
      <c r="U157" s="526" t="n">
        <v>5199</v>
      </c>
      <c r="V157" s="526" t="n">
        <v>5001</v>
      </c>
      <c r="W157" s="526" t="n">
        <v>5405</v>
      </c>
      <c r="X157" s="526" t="n">
        <v>5364</v>
      </c>
      <c r="Y157" s="526" t="n">
        <v>6576</v>
      </c>
      <c r="Z157" s="526" t="n">
        <v>7679</v>
      </c>
      <c r="AA157" s="526" t="n">
        <v>8522</v>
      </c>
      <c r="AB157" s="526" t="n">
        <v>8997</v>
      </c>
      <c r="AC157" s="526" t="n">
        <v>9021</v>
      </c>
      <c r="AD157" s="526" t="n">
        <v>9375</v>
      </c>
      <c r="AE157" s="526" t="n">
        <v>9960</v>
      </c>
      <c r="AF157" s="526" t="n">
        <v>9158</v>
      </c>
      <c r="AG157" s="526" t="n">
        <v>9107</v>
      </c>
      <c r="AH157" s="526" t="n">
        <v>10547</v>
      </c>
      <c r="AI157" s="564">
        <f>AH157+AI160+AI158</f>
        <v/>
      </c>
      <c r="AJ157" s="564">
        <f>AI157+AJ160+AJ158</f>
        <v/>
      </c>
      <c r="AK157" s="564">
        <f>AJ157+AK160+AK158</f>
        <v/>
      </c>
      <c r="AL157" s="564">
        <f>AK157+AL160+AL158</f>
        <v/>
      </c>
      <c r="AM157" s="564">
        <f>AL157+AM160+AM158</f>
        <v/>
      </c>
      <c r="AN157" s="564">
        <f>AM157+AN160+AN158</f>
        <v/>
      </c>
    </row>
    <row r="158">
      <c r="A158" s="526" t="inlineStr">
        <is>
          <t>Depreciation</t>
        </is>
      </c>
      <c r="Q158" s="526">
        <f>Q11</f>
        <v/>
      </c>
      <c r="R158" s="526">
        <f>R11</f>
        <v/>
      </c>
      <c r="S158" s="526">
        <f>S11</f>
        <v/>
      </c>
      <c r="T158" s="526">
        <f>T11</f>
        <v/>
      </c>
      <c r="U158" s="526">
        <f>U11</f>
        <v/>
      </c>
      <c r="V158" s="526">
        <f>V11</f>
        <v/>
      </c>
      <c r="W158" s="526">
        <f>W11</f>
        <v/>
      </c>
      <c r="X158" s="526">
        <f>X11</f>
        <v/>
      </c>
      <c r="Y158" s="526">
        <f>Y11</f>
        <v/>
      </c>
      <c r="Z158" s="526">
        <f>Z11</f>
        <v/>
      </c>
      <c r="AA158" s="526">
        <f>AA11</f>
        <v/>
      </c>
      <c r="AB158" s="526">
        <f>AB11</f>
        <v/>
      </c>
      <c r="AC158" s="526">
        <f>AC11</f>
        <v/>
      </c>
      <c r="AD158" s="526">
        <f>AD11</f>
        <v/>
      </c>
      <c r="AE158" s="526">
        <f>AE11</f>
        <v/>
      </c>
      <c r="AF158" s="526">
        <f>AF11</f>
        <v/>
      </c>
      <c r="AG158" s="526">
        <f>AG11</f>
        <v/>
      </c>
      <c r="AH158" s="526">
        <f>AH11</f>
        <v/>
      </c>
      <c r="AI158" s="564">
        <f>-AH157*AI159</f>
        <v/>
      </c>
      <c r="AJ158" s="564">
        <f>-AI157*AJ159</f>
        <v/>
      </c>
      <c r="AK158" s="564">
        <f>-AJ157*AK159</f>
        <v/>
      </c>
      <c r="AL158" s="564">
        <f>-AK157*AL159</f>
        <v/>
      </c>
      <c r="AM158" s="564">
        <f>-AL157*AM159</f>
        <v/>
      </c>
      <c r="AN158" s="564">
        <f>-AM157*AN159</f>
        <v/>
      </c>
    </row>
    <row r="159">
      <c r="A159" s="111" t="inlineStr">
        <is>
          <t>Depreciation rate</t>
        </is>
      </c>
      <c r="R159" s="131">
        <f>-R158/AVERAGE(Q157:R157)</f>
        <v/>
      </c>
      <c r="S159" s="131">
        <f>-S158/AVERAGE(R157:S157)</f>
        <v/>
      </c>
      <c r="T159" s="131">
        <f>-T158/AVERAGE(S157:T157)</f>
        <v/>
      </c>
      <c r="U159" s="131">
        <f>-U158/AVERAGE(T157:U157)</f>
        <v/>
      </c>
      <c r="V159" s="131">
        <f>-V158/AVERAGE(U157:V157)</f>
        <v/>
      </c>
      <c r="W159" s="131">
        <f>-W158/AVERAGE(V157:W157)</f>
        <v/>
      </c>
      <c r="X159" s="131">
        <f>-X158/AVERAGE(W157:X157)</f>
        <v/>
      </c>
      <c r="Y159" s="131">
        <f>-Y158/AVERAGE(X157:Y157)</f>
        <v/>
      </c>
      <c r="Z159" s="131">
        <f>-Z158/AVERAGE(Y157:Z157)</f>
        <v/>
      </c>
      <c r="AA159" s="131">
        <f>-AA158/AVERAGE(Z157:AA157)</f>
        <v/>
      </c>
      <c r="AB159" s="131">
        <f>-AB158/AVERAGE(AA157:AB157)</f>
        <v/>
      </c>
      <c r="AC159" s="131">
        <f>-AC158/AVERAGE(AB157:AC157)</f>
        <v/>
      </c>
      <c r="AD159" s="131">
        <f>-AD158/AVERAGE(AC157:AD157)</f>
        <v/>
      </c>
      <c r="AE159" s="131">
        <f>-AE158/AVERAGE(AD157:AE157)</f>
        <v/>
      </c>
      <c r="AF159" s="131">
        <f>-AF158/AVERAGE(AE157:AF157)</f>
        <v/>
      </c>
      <c r="AG159" s="131">
        <f>-AG158/AVERAGE(AF157:AG157)</f>
        <v/>
      </c>
      <c r="AH159" s="131">
        <f>-AH158/AVERAGE(AG157:AH157)</f>
        <v/>
      </c>
      <c r="AI159" s="230">
        <f>AH159</f>
        <v/>
      </c>
      <c r="AJ159" s="230">
        <f>AI159</f>
        <v/>
      </c>
      <c r="AK159" s="230">
        <f>AJ159</f>
        <v/>
      </c>
      <c r="AL159" s="230">
        <f>AK159</f>
        <v/>
      </c>
      <c r="AM159" s="230">
        <f>AL159</f>
        <v/>
      </c>
      <c r="AN159" s="230">
        <f>AM159</f>
        <v/>
      </c>
    </row>
    <row r="160">
      <c r="A160" s="43" t="inlineStr">
        <is>
          <t>CAPEX</t>
        </is>
      </c>
      <c r="M160" s="526" t="n">
        <v>2</v>
      </c>
      <c r="N160" s="526" t="n">
        <v>7</v>
      </c>
      <c r="O160" s="526" t="n">
        <v>2</v>
      </c>
      <c r="P160" s="526" t="n">
        <v>31</v>
      </c>
      <c r="Q160" s="526" t="n">
        <v>189</v>
      </c>
      <c r="R160" s="526" t="n">
        <v>258</v>
      </c>
      <c r="S160" s="526" t="n">
        <v>239</v>
      </c>
      <c r="T160" s="526" t="n">
        <v>965</v>
      </c>
      <c r="U160" s="526" t="n">
        <v>1268</v>
      </c>
      <c r="V160" s="526" t="n">
        <v>100</v>
      </c>
      <c r="W160" s="526" t="n">
        <v>483</v>
      </c>
      <c r="X160" s="526" t="n">
        <v>537</v>
      </c>
      <c r="Y160" s="526" t="n">
        <v>1648</v>
      </c>
      <c r="Z160" s="526" t="n">
        <v>918</v>
      </c>
      <c r="AA160" s="526" t="n">
        <v>630</v>
      </c>
      <c r="AB160" s="526" t="n">
        <v>525</v>
      </c>
      <c r="AC160" s="526" t="n">
        <v>345</v>
      </c>
      <c r="AD160" s="526" t="n">
        <v>238</v>
      </c>
      <c r="AE160" s="526" t="n">
        <v>826</v>
      </c>
      <c r="AF160" s="526" t="n">
        <v>588</v>
      </c>
      <c r="AG160" s="526" t="n">
        <v>759</v>
      </c>
      <c r="AH160" s="526" t="n">
        <v>2355</v>
      </c>
      <c r="AI160" s="564">
        <f>AH160*0.8</f>
        <v/>
      </c>
      <c r="AJ160" s="564">
        <f>AI160*0.8</f>
        <v/>
      </c>
      <c r="AK160" s="564">
        <f>AJ160*0.8</f>
        <v/>
      </c>
      <c r="AL160" s="564">
        <f>AK160*0.8</f>
        <v/>
      </c>
      <c r="AM160" s="564">
        <f>AL160</f>
        <v/>
      </c>
      <c r="AN160" s="564">
        <f>AM160</f>
        <v/>
      </c>
    </row>
    <row r="162">
      <c r="A162" s="88" t="inlineStr">
        <is>
          <t>Debt</t>
        </is>
      </c>
      <c r="B162" s="643" t="n"/>
      <c r="C162" s="643" t="n"/>
      <c r="D162" s="643" t="n"/>
      <c r="E162" s="643" t="n"/>
      <c r="F162" s="643" t="n"/>
      <c r="G162" s="643" t="n"/>
      <c r="H162" s="643" t="n"/>
      <c r="I162" s="643" t="n"/>
      <c r="J162" s="643" t="n"/>
      <c r="K162" s="643" t="n"/>
      <c r="L162" s="643" t="n"/>
      <c r="M162" s="643" t="n"/>
      <c r="N162" s="643" t="n"/>
      <c r="O162" s="643" t="n"/>
      <c r="P162" s="643" t="n"/>
      <c r="Q162" s="643" t="n"/>
      <c r="R162" s="643" t="n"/>
      <c r="S162" s="643" t="n"/>
      <c r="T162" s="643" t="n"/>
      <c r="U162" s="643" t="n"/>
      <c r="V162" s="643" t="n"/>
      <c r="W162" s="643" t="n"/>
      <c r="X162" s="643" t="n"/>
      <c r="Y162" s="643" t="n"/>
      <c r="Z162" s="643" t="n"/>
      <c r="AA162" s="643" t="n"/>
      <c r="AB162" s="643" t="n"/>
      <c r="AC162" s="643" t="n"/>
      <c r="AD162" s="643" t="n"/>
      <c r="AE162" s="643" t="n"/>
      <c r="AF162" s="643" t="n"/>
      <c r="AG162" s="643" t="n"/>
      <c r="AH162" s="643" t="n"/>
      <c r="AI162" s="643" t="n"/>
      <c r="AJ162" s="643" t="n"/>
      <c r="AK162" s="643" t="n"/>
      <c r="AL162" s="643" t="n"/>
      <c r="AM162" s="643" t="n"/>
      <c r="AN162" s="643" t="n"/>
    </row>
    <row r="163">
      <c r="A163" s="43" t="inlineStr">
        <is>
          <t>Total Debt</t>
        </is>
      </c>
      <c r="L163" s="526" t="n">
        <v>0</v>
      </c>
      <c r="M163" s="526" t="n">
        <v>0</v>
      </c>
      <c r="N163" s="526" t="n">
        <v>0</v>
      </c>
      <c r="O163" s="526" t="n">
        <v>228</v>
      </c>
      <c r="P163" s="526" t="n">
        <v>253</v>
      </c>
      <c r="Q163" s="526" t="n">
        <v>340</v>
      </c>
      <c r="R163" s="526" t="n">
        <v>824</v>
      </c>
      <c r="S163" s="526" t="n">
        <v>784</v>
      </c>
      <c r="T163" s="526" t="n">
        <v>2288</v>
      </c>
      <c r="U163" s="526" t="n">
        <v>3271</v>
      </c>
      <c r="V163" s="526" t="n">
        <v>3367</v>
      </c>
      <c r="W163" s="526" t="n">
        <v>3457</v>
      </c>
      <c r="X163" s="526" t="n">
        <v>3516</v>
      </c>
      <c r="Y163" s="526" t="n">
        <v>4402</v>
      </c>
      <c r="Z163" s="526" t="n">
        <v>4973</v>
      </c>
      <c r="AA163" s="526" t="n">
        <v>5573</v>
      </c>
      <c r="AB163" s="526" t="n">
        <v>6080</v>
      </c>
      <c r="AC163" s="526" t="n">
        <v>5777</v>
      </c>
      <c r="AD163" s="526" t="n">
        <v>5769</v>
      </c>
      <c r="AE163" s="526" t="n">
        <v>5856</v>
      </c>
      <c r="AF163" s="526" t="n">
        <v>5531</v>
      </c>
      <c r="AG163" s="526" t="n">
        <v>5025</v>
      </c>
      <c r="AH163" s="526" t="n">
        <v>5572</v>
      </c>
      <c r="AI163" s="564">
        <f>AH163/AH2*AI2</f>
        <v/>
      </c>
      <c r="AJ163" s="564">
        <f>AI163/AI2*AJ2</f>
        <v/>
      </c>
      <c r="AK163" s="564">
        <f>AJ163/AJ2*AK2</f>
        <v/>
      </c>
      <c r="AL163" s="564">
        <f>AK163/AK2*AL2</f>
        <v/>
      </c>
      <c r="AM163" s="564">
        <f>AL163/AL2*AM2</f>
        <v/>
      </c>
      <c r="AN163" s="564">
        <f>AM163/AM2*AN2</f>
        <v/>
      </c>
    </row>
    <row r="164">
      <c r="A164" s="43" t="inlineStr">
        <is>
          <t>Interest expense rate</t>
        </is>
      </c>
      <c r="S164" s="131">
        <f>-S14/AVERAGE(R163:S163)</f>
        <v/>
      </c>
      <c r="T164" s="131">
        <f>-T14/AVERAGE(S163:T163)</f>
        <v/>
      </c>
      <c r="U164" s="131">
        <f>-U14/AVERAGE(T163:U163)</f>
        <v/>
      </c>
      <c r="V164" s="131">
        <f>-V14/AVERAGE(U163:V163)</f>
        <v/>
      </c>
      <c r="W164" s="131">
        <f>-W14/AVERAGE(V163:W163)</f>
        <v/>
      </c>
      <c r="X164" s="131">
        <f>-X14/AVERAGE(W163:X163)</f>
        <v/>
      </c>
      <c r="Y164" s="131">
        <f>-Y14/AVERAGE(X163:Y163)</f>
        <v/>
      </c>
      <c r="Z164" s="131">
        <f>-Z14/AVERAGE(Y163:Z163)</f>
        <v/>
      </c>
      <c r="AA164" s="131">
        <f>-AA14/AVERAGE(Z163:AA163)</f>
        <v/>
      </c>
      <c r="AB164" s="131">
        <f>-AB14/AVERAGE(AA163:AB163)</f>
        <v/>
      </c>
      <c r="AC164" s="131">
        <f>-AC14/AVERAGE(AB163:AC163)</f>
        <v/>
      </c>
      <c r="AD164" s="131">
        <f>-AD14/AVERAGE(AC163:AD163)</f>
        <v/>
      </c>
      <c r="AE164" s="131">
        <f>-AE14/AVERAGE(AD163:AE163)</f>
        <v/>
      </c>
      <c r="AF164" s="131">
        <f>-AF14/AVERAGE(AE163:AF163)</f>
        <v/>
      </c>
      <c r="AG164" s="131">
        <f>-AG14/AVERAGE(AF163:AG163)</f>
        <v/>
      </c>
      <c r="AH164" s="131">
        <f>-AH14/AVERAGE(AG163:AH163)</f>
        <v/>
      </c>
      <c r="AI164" s="230">
        <f>AH164-0.4%</f>
        <v/>
      </c>
      <c r="AJ164" s="230">
        <f>AI164</f>
        <v/>
      </c>
      <c r="AK164" s="230">
        <f>AJ164</f>
        <v/>
      </c>
      <c r="AL164" s="230">
        <f>AK164</f>
        <v/>
      </c>
      <c r="AM164" s="230">
        <f>AL164</f>
        <v/>
      </c>
      <c r="AN164" s="230">
        <f>AM164</f>
        <v/>
      </c>
    </row>
    <row r="165">
      <c r="A165" s="43" t="n"/>
    </row>
  </sheetData>
  <pageMargins left="0.7" right="0.7" top="0.75" bottom="0.75" header="0.3" footer="0.3"/>
  <pageSetup orientation="portrait" paperSize="9"/>
  <legacyDrawing xmlns:r="http://schemas.openxmlformats.org/officeDocument/2006/relationships" r:id="anysvml"/>
</worksheet>
</file>

<file path=xl/worksheets/sheet10.xml><?xml version="1.0" encoding="utf-8"?>
<worksheet xmlns="http://schemas.openxmlformats.org/spreadsheetml/2006/main">
  <sheetPr codeName="Sheet13">
    <outlinePr summaryBelow="1" summaryRight="1"/>
    <pageSetUpPr fitToPage="1"/>
  </sheetPr>
  <dimension ref="A1:BD110"/>
  <sheetViews>
    <sheetView showOutlineSymbols="0" zoomScale="130" zoomScaleNormal="130" workbookViewId="0">
      <pane xSplit="20" ySplit="1" topLeftCell="AC69" activePane="bottomRight" state="frozen"/>
      <selection pane="topRight" activeCell="U1" sqref="U1"/>
      <selection pane="bottomLeft" activeCell="A2" sqref="A2"/>
      <selection pane="bottomRight" activeCell="AI91" sqref="AI91"/>
    </sheetView>
  </sheetViews>
  <sheetFormatPr baseColWidth="8" defaultColWidth="9.140625" defaultRowHeight="12.75"/>
  <cols>
    <col width="39.42578125" customWidth="1" style="43" min="1" max="1"/>
    <col hidden="1" outlineLevel="1" width="9.140625" customWidth="1" style="43" min="2" max="11"/>
    <col hidden="1" outlineLevel="1" width="10.85546875" customWidth="1" style="43" min="12" max="12"/>
    <col hidden="1" outlineLevel="1" collapsed="1" width="9.140625" customWidth="1" style="43" min="13" max="13"/>
    <col hidden="1" outlineLevel="1" width="9.140625" customWidth="1" style="43" min="14" max="16"/>
    <col hidden="1" outlineLevel="1" width="10" customWidth="1" style="43" min="17" max="17"/>
    <col hidden="1" outlineLevel="1" width="10.140625" customWidth="1" style="43" min="18" max="18"/>
    <col hidden="1" outlineLevel="1" width="9.7109375" customWidth="1" style="43" min="19" max="19"/>
    <col hidden="1" outlineLevel="1" width="9" customWidth="1" style="43" min="20" max="20"/>
    <col hidden="1" collapsed="1" width="9" customWidth="1" style="43" min="21" max="21"/>
    <col hidden="1" width="9" customWidth="1" style="43" min="22" max="28"/>
    <col width="9" customWidth="1" style="43" min="29" max="40"/>
    <col width="10.140625" customWidth="1" style="43" min="41" max="42"/>
    <col width="26.140625" bestFit="1" customWidth="1" style="43" min="43" max="43"/>
    <col width="9.140625" customWidth="1" style="43" min="44" max="46"/>
    <col width="8.5703125" customWidth="1" style="43" min="47" max="47"/>
    <col width="9.140625" customWidth="1" style="43" min="48" max="16384"/>
  </cols>
  <sheetData>
    <row r="1">
      <c r="A1" s="62" t="inlineStr">
        <is>
          <t>Energy Australia</t>
        </is>
      </c>
      <c r="B1" s="677">
        <f>Final!B2</f>
        <v/>
      </c>
      <c r="C1" s="677">
        <f>Final!C2</f>
        <v/>
      </c>
      <c r="D1" s="677">
        <f>Final!D2</f>
        <v/>
      </c>
      <c r="E1" s="677">
        <f>Final!E2</f>
        <v/>
      </c>
      <c r="F1" s="677">
        <f>Final!F2</f>
        <v/>
      </c>
      <c r="G1" s="677">
        <f>Final!G2</f>
        <v/>
      </c>
      <c r="H1" s="677">
        <f>Final!H2</f>
        <v/>
      </c>
      <c r="I1" s="677">
        <f>Final!I2</f>
        <v/>
      </c>
      <c r="J1" s="677">
        <f>Final!J2</f>
        <v/>
      </c>
      <c r="K1" s="677">
        <f>Final!K2</f>
        <v/>
      </c>
      <c r="L1" s="677">
        <f>Final!L2</f>
        <v/>
      </c>
      <c r="M1" s="677">
        <f>Final!M2</f>
        <v/>
      </c>
      <c r="N1" s="677">
        <f>Final!N2</f>
        <v/>
      </c>
      <c r="O1" s="677">
        <f>Final!O2</f>
        <v/>
      </c>
      <c r="P1" s="677">
        <f>Final!P2</f>
        <v/>
      </c>
      <c r="Q1" s="677">
        <f>Final!Q2</f>
        <v/>
      </c>
      <c r="R1" s="677">
        <f>Final!R2</f>
        <v/>
      </c>
      <c r="S1" s="677">
        <f>Final!S2</f>
        <v/>
      </c>
      <c r="T1" s="677">
        <f>Final!T2</f>
        <v/>
      </c>
      <c r="U1" s="677">
        <f>Final!U2</f>
        <v/>
      </c>
      <c r="V1" s="677">
        <f>Final!V2</f>
        <v/>
      </c>
      <c r="W1" s="677">
        <f>Final!W2</f>
        <v/>
      </c>
      <c r="X1" s="677">
        <f>Final!X2</f>
        <v/>
      </c>
      <c r="Y1" s="677">
        <f>Final!Y2</f>
        <v/>
      </c>
      <c r="Z1" s="677">
        <f>Final!Z2</f>
        <v/>
      </c>
      <c r="AA1" s="677">
        <f>Final!AA2</f>
        <v/>
      </c>
      <c r="AB1" s="677">
        <f>Final!AB2</f>
        <v/>
      </c>
      <c r="AC1" s="677">
        <f>Final!AC2</f>
        <v/>
      </c>
      <c r="AD1" s="677">
        <f>Final!AD2</f>
        <v/>
      </c>
      <c r="AE1" s="677">
        <f>Final!AE2</f>
        <v/>
      </c>
      <c r="AF1" s="677">
        <f>Final!AF2</f>
        <v/>
      </c>
      <c r="AG1" s="677">
        <f>Final!AG2</f>
        <v/>
      </c>
      <c r="AH1" s="677">
        <f>Final!AH2</f>
        <v/>
      </c>
      <c r="AI1" s="677">
        <f>Final!AI2</f>
        <v/>
      </c>
      <c r="AJ1" s="677">
        <f>Final!AJ2</f>
        <v/>
      </c>
      <c r="AK1" s="677">
        <f>Final!AK2</f>
        <v/>
      </c>
      <c r="AL1" s="677">
        <f>Final!AL2</f>
        <v/>
      </c>
      <c r="AM1" s="677">
        <f>Final!AM2</f>
        <v/>
      </c>
      <c r="AN1" s="677">
        <f>Final!AN2</f>
        <v/>
      </c>
      <c r="AR1" s="677" t="n">
        <v>2010</v>
      </c>
      <c r="AS1" s="677" t="n">
        <v>2011</v>
      </c>
      <c r="AT1" s="677" t="n">
        <v>2012</v>
      </c>
      <c r="AU1" s="677" t="n">
        <v>2013</v>
      </c>
      <c r="AV1" s="677" t="n">
        <v>2014</v>
      </c>
      <c r="AW1" s="677" t="n">
        <v>2015</v>
      </c>
      <c r="AX1" s="677" t="n">
        <v>2016</v>
      </c>
      <c r="AY1" s="677" t="inlineStr">
        <is>
          <t>2017E</t>
        </is>
      </c>
      <c r="AZ1" s="677" t="inlineStr">
        <is>
          <t>2018E</t>
        </is>
      </c>
      <c r="BA1" s="677" t="inlineStr">
        <is>
          <t>2019E</t>
        </is>
      </c>
      <c r="BB1" s="677" t="inlineStr">
        <is>
          <t>2020E</t>
        </is>
      </c>
      <c r="BC1" s="677" t="inlineStr">
        <is>
          <t>2021E</t>
        </is>
      </c>
      <c r="BD1" s="677" t="inlineStr">
        <is>
          <t>2022E</t>
        </is>
      </c>
    </row>
    <row r="2">
      <c r="A2" s="43" t="inlineStr">
        <is>
          <t>HKD/AUD</t>
        </is>
      </c>
      <c r="B2" s="32" t="n"/>
      <c r="C2" s="32" t="n"/>
      <c r="D2" s="32" t="n"/>
      <c r="E2" s="32" t="n"/>
      <c r="F2" s="32" t="n"/>
      <c r="G2" s="32" t="n"/>
      <c r="H2" s="32" t="n"/>
      <c r="I2" s="628" t="n">
        <v>5.005919034535911</v>
      </c>
      <c r="J2" s="628" t="n">
        <v>4.516600597436418</v>
      </c>
      <c r="K2" s="628" t="n">
        <v>4.033031828566897</v>
      </c>
      <c r="L2" s="628" t="n">
        <v>4.237691698752836</v>
      </c>
      <c r="M2" s="628" t="n">
        <v>5.054704225306583</v>
      </c>
      <c r="N2" s="628" t="n">
        <v>5.728325589908454</v>
      </c>
      <c r="O2" s="628" t="n">
        <v>5.928710592059787</v>
      </c>
      <c r="P2" s="628" t="n">
        <v>5.850147133662838</v>
      </c>
      <c r="Q2" s="628" t="n">
        <v>6.528470169568187</v>
      </c>
      <c r="R2" s="628" t="n">
        <v>6.506346511489935</v>
      </c>
      <c r="S2" s="628" t="n">
        <v>6.051188320364147</v>
      </c>
      <c r="T2" s="628">
        <f>0.9204*7.7689</f>
        <v/>
      </c>
      <c r="U2" s="628" t="n">
        <v>8.039206026261621</v>
      </c>
      <c r="V2" s="628" t="n">
        <v>8.035114999171117</v>
      </c>
      <c r="W2" s="628" t="n">
        <v>7.4429</v>
      </c>
      <c r="X2" s="628" t="n">
        <v>6.9735</v>
      </c>
      <c r="Y2" s="628" t="n">
        <v>5.789727126805778</v>
      </c>
      <c r="Z2" s="628" t="n">
        <v>5.7615</v>
      </c>
      <c r="AA2" s="628" t="n">
        <v>5.9958</v>
      </c>
      <c r="AB2" s="628" t="n">
        <v>5.8376</v>
      </c>
      <c r="AC2" s="628" t="n">
        <v>5.448286667000204</v>
      </c>
      <c r="AD2" s="628" t="n">
        <v>5.362175</v>
      </c>
      <c r="AE2" s="628" t="n">
        <v>5.8392</v>
      </c>
      <c r="AF2" s="628">
        <f>1/0.1842</f>
        <v/>
      </c>
      <c r="AG2" s="628">
        <f>1/0.1924</f>
        <v/>
      </c>
      <c r="AH2" s="628">
        <f>1/0.1943</f>
        <v/>
      </c>
      <c r="AI2" s="685" t="n">
        <v>5.1462</v>
      </c>
      <c r="AJ2" s="685">
        <f>0.67*7.8</f>
        <v/>
      </c>
      <c r="AK2" s="685">
        <f>AJ2</f>
        <v/>
      </c>
      <c r="AL2" s="685">
        <f>AK2</f>
        <v/>
      </c>
      <c r="AM2" s="685">
        <f>AL2</f>
        <v/>
      </c>
      <c r="AN2" s="685">
        <f>AM2</f>
        <v/>
      </c>
    </row>
    <row r="3">
      <c r="AQ3" s="43" t="inlineStr">
        <is>
          <t>EBITDAF (recurring)</t>
        </is>
      </c>
      <c r="AR3" s="526">
        <f>T11</f>
        <v/>
      </c>
      <c r="AS3" s="526">
        <f>U11</f>
        <v/>
      </c>
      <c r="AT3" s="526">
        <f>V11</f>
        <v/>
      </c>
      <c r="AU3" s="526">
        <f>W11</f>
        <v/>
      </c>
      <c r="AV3" s="526">
        <f>X11</f>
        <v/>
      </c>
      <c r="AW3" s="526">
        <f>Y11</f>
        <v/>
      </c>
      <c r="AX3" s="526">
        <f>Z11</f>
        <v/>
      </c>
      <c r="AY3" s="526">
        <f>AA11</f>
        <v/>
      </c>
      <c r="AZ3" s="526">
        <f>AB11</f>
        <v/>
      </c>
      <c r="BA3" s="526">
        <f>AC11</f>
        <v/>
      </c>
      <c r="BB3" s="526">
        <f>AD11</f>
        <v/>
      </c>
      <c r="BC3" s="526">
        <f>AE11</f>
        <v/>
      </c>
      <c r="BD3" s="526">
        <f>AF11</f>
        <v/>
      </c>
    </row>
    <row r="4" customFormat="1" s="43">
      <c r="A4" s="6" t="inlineStr">
        <is>
          <t>Financial Statements</t>
        </is>
      </c>
      <c r="B4" s="85" t="n"/>
      <c r="C4" s="85" t="n"/>
      <c r="D4" s="85" t="n"/>
      <c r="E4" s="85" t="n"/>
      <c r="F4" s="85" t="n"/>
      <c r="G4" s="85" t="n"/>
      <c r="H4" s="85" t="n"/>
      <c r="I4" s="85" t="n"/>
      <c r="J4" s="85" t="n"/>
      <c r="K4" s="85" t="n"/>
      <c r="L4" s="85" t="n"/>
      <c r="M4" s="85" t="n"/>
      <c r="N4" s="85" t="n"/>
      <c r="O4" s="85" t="n"/>
      <c r="P4" s="85" t="n"/>
      <c r="Q4" s="85" t="n"/>
      <c r="R4" s="85" t="n"/>
      <c r="S4" s="85" t="n"/>
      <c r="T4" s="85" t="n"/>
      <c r="U4" s="85" t="n"/>
      <c r="V4" s="85" t="n"/>
      <c r="W4" s="85" t="n"/>
      <c r="X4" s="85" t="n"/>
      <c r="Y4" s="85" t="n"/>
      <c r="Z4" s="85" t="n"/>
      <c r="AA4" s="85" t="n"/>
      <c r="AB4" s="85" t="n"/>
      <c r="AC4" s="85" t="n"/>
      <c r="AD4" s="85" t="n"/>
      <c r="AE4" s="85" t="n"/>
      <c r="AF4" s="85" t="n"/>
      <c r="AG4" s="85" t="n"/>
      <c r="AH4" s="85" t="n"/>
      <c r="AI4" s="85" t="n"/>
      <c r="AJ4" s="85" t="n"/>
      <c r="AK4" s="85" t="n"/>
      <c r="AL4" s="85" t="n"/>
      <c r="AM4" s="85" t="n"/>
      <c r="AN4" s="85" t="n"/>
      <c r="AQ4" s="111" t="inlineStr">
        <is>
          <t>D&amp;A</t>
        </is>
      </c>
      <c r="AR4" s="207">
        <f>T13</f>
        <v/>
      </c>
      <c r="AS4" s="207">
        <f>U13</f>
        <v/>
      </c>
      <c r="AT4" s="207">
        <f>V13</f>
        <v/>
      </c>
      <c r="AU4" s="207">
        <f>W13</f>
        <v/>
      </c>
      <c r="AV4" s="207">
        <f>X13</f>
        <v/>
      </c>
      <c r="AW4" s="207">
        <f>Y13</f>
        <v/>
      </c>
      <c r="AX4" s="207">
        <f>Z13</f>
        <v/>
      </c>
      <c r="AY4" s="207">
        <f>AA13</f>
        <v/>
      </c>
      <c r="AZ4" s="207">
        <f>AB13</f>
        <v/>
      </c>
      <c r="BA4" s="207">
        <f>AC13</f>
        <v/>
      </c>
      <c r="BB4" s="207">
        <f>AD13</f>
        <v/>
      </c>
      <c r="BC4" s="207">
        <f>AE13</f>
        <v/>
      </c>
      <c r="BD4" s="207">
        <f>AF13</f>
        <v/>
      </c>
    </row>
    <row r="5" customFormat="1" s="62">
      <c r="A5" s="62" t="inlineStr">
        <is>
          <t>Revenue</t>
        </is>
      </c>
      <c r="B5" s="62" t="n"/>
      <c r="C5" s="62" t="n"/>
      <c r="D5" s="62" t="n"/>
      <c r="E5" s="62" t="n"/>
      <c r="F5" s="62" t="n"/>
      <c r="G5" s="62" t="n"/>
      <c r="H5" s="62" t="n"/>
      <c r="I5" s="62" t="n"/>
      <c r="J5" s="62" t="n"/>
      <c r="K5" s="62" t="n"/>
      <c r="L5" s="62" t="n"/>
      <c r="M5" s="62" t="n"/>
      <c r="N5" s="560" t="n">
        <v>2000</v>
      </c>
      <c r="O5" s="560" t="n">
        <v>8045</v>
      </c>
      <c r="P5" s="560" t="n">
        <v>13770</v>
      </c>
      <c r="Q5" s="560" t="n">
        <v>18018</v>
      </c>
      <c r="R5" s="560" t="n">
        <v>19432</v>
      </c>
      <c r="S5" s="560" t="n">
        <v>19166</v>
      </c>
      <c r="T5" s="560" t="n">
        <v>25182</v>
      </c>
      <c r="U5" s="560" t="n">
        <v>56325</v>
      </c>
      <c r="V5" s="597" t="n">
        <v>66843</v>
      </c>
      <c r="W5" s="560" t="n">
        <v>64976</v>
      </c>
      <c r="X5" s="560" t="n">
        <v>50895</v>
      </c>
      <c r="Y5" s="560" t="n">
        <v>35707</v>
      </c>
      <c r="Z5" s="560" t="n">
        <v>36441</v>
      </c>
      <c r="AA5" s="597" t="n">
        <v>45895</v>
      </c>
      <c r="AB5" s="597" t="n">
        <v>43013</v>
      </c>
      <c r="AC5" s="597" t="n">
        <v>38752</v>
      </c>
      <c r="AD5" s="597" t="n">
        <v>32357</v>
      </c>
      <c r="AE5" s="597" t="n">
        <v>32271</v>
      </c>
      <c r="AF5" s="597" t="n">
        <v>41839</v>
      </c>
      <c r="AG5" s="597" t="n">
        <v>33190</v>
      </c>
      <c r="AH5" s="597" t="n">
        <v>37097</v>
      </c>
      <c r="AI5" s="613">
        <f>AI11-AI8-AI9-AI10</f>
        <v/>
      </c>
      <c r="AJ5" s="613">
        <f>AJ11-AJ8-AJ9-AJ10</f>
        <v/>
      </c>
      <c r="AK5" s="613">
        <f>AK11-AK8-AK9-AK10</f>
        <v/>
      </c>
      <c r="AL5" s="613">
        <f>AL11-AL8-AL9-AL10</f>
        <v/>
      </c>
      <c r="AM5" s="613">
        <f>AM11-AM8-AM9-AM10</f>
        <v/>
      </c>
      <c r="AN5" s="613">
        <f>AN11-AN8-AN9-AN10</f>
        <v/>
      </c>
      <c r="AQ5" s="109" t="inlineStr">
        <is>
          <t>EBITF (recurring)</t>
        </is>
      </c>
      <c r="AR5" s="110">
        <f>T16</f>
        <v/>
      </c>
      <c r="AS5" s="110">
        <f>U16</f>
        <v/>
      </c>
      <c r="AT5" s="110">
        <f>V16</f>
        <v/>
      </c>
      <c r="AU5" s="110">
        <f>W16</f>
        <v/>
      </c>
      <c r="AV5" s="110">
        <f>X16</f>
        <v/>
      </c>
      <c r="AW5" s="110">
        <f>Y16</f>
        <v/>
      </c>
      <c r="AX5" s="110">
        <f>Z16</f>
        <v/>
      </c>
      <c r="AY5" s="110">
        <f>AA16</f>
        <v/>
      </c>
      <c r="AZ5" s="110">
        <f>AB16</f>
        <v/>
      </c>
      <c r="BA5" s="110">
        <f>AC16</f>
        <v/>
      </c>
      <c r="BB5" s="110">
        <f>AD16</f>
        <v/>
      </c>
      <c r="BC5" s="110">
        <f>AE16</f>
        <v/>
      </c>
      <c r="BD5" s="110">
        <f>AF16</f>
        <v/>
      </c>
    </row>
    <row r="6" customFormat="1" s="62">
      <c r="A6" s="111" t="inlineStr">
        <is>
          <t>Customer (Retail)</t>
        </is>
      </c>
      <c r="B6" s="62" t="n"/>
      <c r="C6" s="62" t="n"/>
      <c r="D6" s="62" t="n"/>
      <c r="E6" s="62" t="n"/>
      <c r="F6" s="62" t="n"/>
      <c r="G6" s="62" t="n"/>
      <c r="H6" s="62" t="n"/>
      <c r="I6" s="62" t="n"/>
      <c r="J6" s="62" t="n"/>
      <c r="K6" s="62" t="n"/>
      <c r="L6" s="62" t="n"/>
      <c r="M6" s="62" t="n"/>
      <c r="N6" s="560" t="n"/>
      <c r="O6" s="560" t="n"/>
      <c r="P6" s="560" t="n"/>
      <c r="Q6" s="560" t="n"/>
      <c r="R6" s="560" t="n"/>
      <c r="S6" s="560" t="n"/>
      <c r="T6" s="560" t="n"/>
      <c r="U6" s="560" t="n"/>
      <c r="V6" s="597" t="n"/>
      <c r="W6" s="512">
        <f>W42+W50</f>
        <v/>
      </c>
      <c r="X6" s="512">
        <f>X42+X50</f>
        <v/>
      </c>
      <c r="Y6" s="512">
        <f>Y42+Y50</f>
        <v/>
      </c>
      <c r="Z6" s="512">
        <f>Z42+Z50</f>
        <v/>
      </c>
      <c r="AA6" s="512">
        <f>AA42+AA50</f>
        <v/>
      </c>
      <c r="AB6" s="512">
        <f>AB42+AB50</f>
        <v/>
      </c>
      <c r="AC6" s="512">
        <f>AC42+AC50</f>
        <v/>
      </c>
      <c r="AD6" s="512">
        <f>AD42+AD50</f>
        <v/>
      </c>
      <c r="AE6" s="512">
        <f>AE42+AE50</f>
        <v/>
      </c>
      <c r="AF6" s="512">
        <f>AF42+AF50</f>
        <v/>
      </c>
      <c r="AG6" s="512">
        <f>AG42+AG50</f>
        <v/>
      </c>
      <c r="AH6" s="512">
        <f>AH42+AH50</f>
        <v/>
      </c>
      <c r="AI6" s="512">
        <f>AI42+AI50</f>
        <v/>
      </c>
      <c r="AJ6" s="512">
        <f>AJ42+AJ50</f>
        <v/>
      </c>
      <c r="AK6" s="512">
        <f>AK42+AK50</f>
        <v/>
      </c>
      <c r="AL6" s="512">
        <f>AL42+AL50</f>
        <v/>
      </c>
      <c r="AM6" s="512">
        <f>AM42+AM50</f>
        <v/>
      </c>
      <c r="AN6" s="512">
        <f>AN42+AN50</f>
        <v/>
      </c>
      <c r="AQ6" s="111" t="inlineStr">
        <is>
          <t>Fair value adjustment</t>
        </is>
      </c>
      <c r="AR6" s="526">
        <f>T22</f>
        <v/>
      </c>
      <c r="AS6" s="526">
        <f>U22</f>
        <v/>
      </c>
      <c r="AT6" s="526">
        <f>V22</f>
        <v/>
      </c>
      <c r="AU6" s="526">
        <f>W22</f>
        <v/>
      </c>
      <c r="AV6" s="526">
        <f>X22</f>
        <v/>
      </c>
      <c r="AW6" s="526">
        <f>Y22</f>
        <v/>
      </c>
      <c r="AX6" s="526">
        <f>Z22</f>
        <v/>
      </c>
      <c r="AY6" s="526">
        <f>AA22</f>
        <v/>
      </c>
      <c r="AZ6" s="526">
        <f>AB22</f>
        <v/>
      </c>
      <c r="BA6" s="526">
        <f>AC22</f>
        <v/>
      </c>
      <c r="BB6" s="526">
        <f>AD22</f>
        <v/>
      </c>
      <c r="BC6" s="526">
        <f>AE22</f>
        <v/>
      </c>
      <c r="BD6" s="526">
        <f>AF22</f>
        <v/>
      </c>
    </row>
    <row r="7" customFormat="1" s="62">
      <c r="A7" s="111" t="inlineStr">
        <is>
          <t>Energy (Wholesale)</t>
        </is>
      </c>
      <c r="B7" s="62" t="n"/>
      <c r="C7" s="62" t="n"/>
      <c r="D7" s="62" t="n"/>
      <c r="E7" s="62" t="n"/>
      <c r="F7" s="62" t="n"/>
      <c r="G7" s="62" t="n"/>
      <c r="H7" s="62" t="n"/>
      <c r="I7" s="62" t="n"/>
      <c r="J7" s="62" t="n"/>
      <c r="K7" s="62" t="n"/>
      <c r="L7" s="62" t="n"/>
      <c r="M7" s="62" t="n"/>
      <c r="N7" s="560" t="n"/>
      <c r="O7" s="560" t="n"/>
      <c r="P7" s="560" t="n"/>
      <c r="Q7" s="560" t="n"/>
      <c r="R7" s="560" t="n"/>
      <c r="S7" s="560" t="n"/>
      <c r="T7" s="512" t="n"/>
      <c r="U7" s="512" t="n"/>
      <c r="V7" s="512" t="n"/>
      <c r="W7" s="512">
        <f>W5-W6</f>
        <v/>
      </c>
      <c r="X7" s="512">
        <f>X5-X6</f>
        <v/>
      </c>
      <c r="Y7" s="512">
        <f>Y5-Y6</f>
        <v/>
      </c>
      <c r="Z7" s="512">
        <f>Z5-Z6</f>
        <v/>
      </c>
      <c r="AA7" s="512">
        <f>AA5-AA6</f>
        <v/>
      </c>
      <c r="AB7" s="512">
        <f>AB5-AB6</f>
        <v/>
      </c>
      <c r="AC7" s="512">
        <f>AC5-AC6</f>
        <v/>
      </c>
      <c r="AD7" s="512">
        <f>AD5-AD6</f>
        <v/>
      </c>
      <c r="AE7" s="512">
        <f>AE5-AE6</f>
        <v/>
      </c>
      <c r="AF7" s="512">
        <f>AF5-AF6</f>
        <v/>
      </c>
      <c r="AG7" s="512">
        <f>AG5-AG6</f>
        <v/>
      </c>
      <c r="AH7" s="512">
        <f>AH5-AH6</f>
        <v/>
      </c>
      <c r="AI7" s="613" t="n"/>
      <c r="AJ7" s="613" t="n"/>
      <c r="AK7" s="613" t="n"/>
      <c r="AL7" s="613" t="n"/>
      <c r="AM7" s="613" t="n"/>
      <c r="AN7" s="613" t="n"/>
      <c r="AQ7" s="109" t="inlineStr">
        <is>
          <t>EBIT recurring</t>
        </is>
      </c>
      <c r="AR7" s="605">
        <f>T23</f>
        <v/>
      </c>
      <c r="AS7" s="605">
        <f>U23</f>
        <v/>
      </c>
      <c r="AT7" s="605">
        <f>V23</f>
        <v/>
      </c>
      <c r="AU7" s="605">
        <f>W23</f>
        <v/>
      </c>
      <c r="AV7" s="605">
        <f>X23</f>
        <v/>
      </c>
      <c r="AW7" s="605">
        <f>Y23</f>
        <v/>
      </c>
      <c r="AX7" s="605">
        <f>Z23</f>
        <v/>
      </c>
      <c r="AY7" s="605">
        <f>AA23</f>
        <v/>
      </c>
      <c r="AZ7" s="605">
        <f>AB23</f>
        <v/>
      </c>
      <c r="BA7" s="605">
        <f>AC23</f>
        <v/>
      </c>
      <c r="BB7" s="605">
        <f>AD23</f>
        <v/>
      </c>
      <c r="BC7" s="605">
        <f>AE23</f>
        <v/>
      </c>
      <c r="BD7" s="605">
        <f>AF23</f>
        <v/>
      </c>
    </row>
    <row r="8" customFormat="1" s="43">
      <c r="A8" s="43" t="inlineStr">
        <is>
          <t>Opex</t>
        </is>
      </c>
      <c r="B8" s="43" t="n"/>
      <c r="C8" s="43" t="n"/>
      <c r="D8" s="43" t="n"/>
      <c r="E8" s="43" t="n"/>
      <c r="F8" s="43" t="n"/>
      <c r="G8" s="43" t="n"/>
      <c r="H8" s="43" t="n"/>
      <c r="I8" s="43" t="n"/>
      <c r="J8" s="43" t="n"/>
      <c r="K8" s="43" t="n"/>
      <c r="L8" s="43" t="n"/>
      <c r="M8" s="43" t="n"/>
      <c r="N8" s="512" t="n"/>
      <c r="O8" s="512" t="n"/>
      <c r="P8" s="512" t="n"/>
      <c r="Q8" s="512" t="n"/>
      <c r="R8" s="512" t="n"/>
      <c r="S8" s="512" t="n"/>
      <c r="T8" s="512">
        <f>T11-T5-T9-T10</f>
        <v/>
      </c>
      <c r="U8" s="512">
        <f>U11-U5-U9-U10</f>
        <v/>
      </c>
      <c r="V8" s="512">
        <f>V11-V5-V9-V10</f>
        <v/>
      </c>
      <c r="W8" s="512">
        <f>W11-W5-W9-W10</f>
        <v/>
      </c>
      <c r="X8" s="512">
        <f>X11-X5-X9-X10</f>
        <v/>
      </c>
      <c r="Y8" s="512">
        <f>Y11-Y5-Y9-Y10</f>
        <v/>
      </c>
      <c r="Z8" s="512">
        <f>Z11-Z5-Z9-Z10</f>
        <v/>
      </c>
      <c r="AA8" s="512">
        <f>AA11-AA5-AA9-AA10</f>
        <v/>
      </c>
      <c r="AB8" s="512">
        <f>AB11-AB5-AB9-AB10</f>
        <v/>
      </c>
      <c r="AC8" s="512">
        <f>AC11-AC5-AC9-AC10</f>
        <v/>
      </c>
      <c r="AD8" s="512">
        <f>AD11-AD5-AD9-AD10</f>
        <v/>
      </c>
      <c r="AE8" s="512">
        <f>AE11-AE5-AE9-AE10</f>
        <v/>
      </c>
      <c r="AF8" s="512">
        <f>AF11-AF5-AF9-AF10</f>
        <v/>
      </c>
      <c r="AG8" s="512">
        <f>AG11-AG5-AG9-AG10</f>
        <v/>
      </c>
      <c r="AH8" s="512">
        <f>AH11-AH5-AH9-AH10</f>
        <v/>
      </c>
      <c r="AI8" s="564">
        <f>AH8</f>
        <v/>
      </c>
      <c r="AJ8" s="564">
        <f>AI8</f>
        <v/>
      </c>
      <c r="AK8" s="564">
        <f>AJ8</f>
        <v/>
      </c>
      <c r="AL8" s="564">
        <f>AK8</f>
        <v/>
      </c>
      <c r="AM8" s="564">
        <f>AL8</f>
        <v/>
      </c>
      <c r="AN8" s="564">
        <f>AM8</f>
        <v/>
      </c>
      <c r="AQ8" s="111" t="inlineStr">
        <is>
          <t>Net financial costs</t>
        </is>
      </c>
      <c r="AR8" s="526">
        <f>T24</f>
        <v/>
      </c>
      <c r="AS8" s="526">
        <f>U24</f>
        <v/>
      </c>
      <c r="AT8" s="526">
        <f>V24</f>
        <v/>
      </c>
      <c r="AU8" s="526">
        <f>W24</f>
        <v/>
      </c>
      <c r="AV8" s="526">
        <f>X24</f>
        <v/>
      </c>
      <c r="AW8" s="526">
        <f>Y24</f>
        <v/>
      </c>
      <c r="AX8" s="526">
        <f>Z24</f>
        <v/>
      </c>
      <c r="AY8" s="526">
        <f>AA24</f>
        <v/>
      </c>
      <c r="AZ8" s="526">
        <f>AB24</f>
        <v/>
      </c>
      <c r="BA8" s="526">
        <f>AC24</f>
        <v/>
      </c>
      <c r="BB8" s="526">
        <f>AD24</f>
        <v/>
      </c>
      <c r="BC8" s="526">
        <f>AE24</f>
        <v/>
      </c>
      <c r="BD8" s="526">
        <f>AF24</f>
        <v/>
      </c>
    </row>
    <row r="9" customFormat="1" s="43">
      <c r="A9" s="43" t="inlineStr">
        <is>
          <t>Share of result - JV</t>
        </is>
      </c>
      <c r="B9" s="43" t="n"/>
      <c r="C9" s="43" t="n"/>
      <c r="D9" s="43" t="n"/>
      <c r="E9" s="43" t="n"/>
      <c r="F9" s="43" t="n"/>
      <c r="G9" s="43" t="n"/>
      <c r="H9" s="43" t="n"/>
      <c r="I9" s="43" t="n"/>
      <c r="J9" s="43" t="n"/>
      <c r="K9" s="43" t="n"/>
      <c r="L9" s="43" t="n"/>
      <c r="M9" s="43" t="n"/>
      <c r="N9" s="512" t="n">
        <v>0</v>
      </c>
      <c r="O9" s="512" t="n">
        <v>16</v>
      </c>
      <c r="P9" s="512" t="n">
        <v>24</v>
      </c>
      <c r="Q9" s="512" t="n">
        <v>27</v>
      </c>
      <c r="R9" s="512" t="n">
        <v>21</v>
      </c>
      <c r="S9" s="512" t="n">
        <v>-40</v>
      </c>
      <c r="T9" s="512" t="n">
        <v>-287</v>
      </c>
      <c r="U9" s="512" t="n">
        <v>11</v>
      </c>
      <c r="V9" s="512" t="n">
        <v>-8</v>
      </c>
      <c r="W9" s="512" t="n">
        <v>-14</v>
      </c>
      <c r="X9" s="512" t="n">
        <v>-61</v>
      </c>
      <c r="Y9" s="512" t="n">
        <v>3</v>
      </c>
      <c r="Z9" s="512" t="n">
        <v>5</v>
      </c>
      <c r="AA9" s="526" t="n">
        <v>16</v>
      </c>
      <c r="AB9" s="526" t="n">
        <v>15</v>
      </c>
      <c r="AC9" s="526" t="n">
        <v>16</v>
      </c>
      <c r="AD9" s="526" t="n">
        <v>-76</v>
      </c>
      <c r="AE9" s="526" t="n">
        <v>0</v>
      </c>
      <c r="AF9" s="564">
        <f>AE9</f>
        <v/>
      </c>
      <c r="AG9" s="564">
        <f>AF9</f>
        <v/>
      </c>
      <c r="AH9" s="564">
        <f>AG9</f>
        <v/>
      </c>
      <c r="AI9" s="564">
        <f>AH9</f>
        <v/>
      </c>
      <c r="AJ9" s="564">
        <f>AI9</f>
        <v/>
      </c>
      <c r="AK9" s="564">
        <f>AJ9</f>
        <v/>
      </c>
      <c r="AL9" s="564">
        <f>AK9</f>
        <v/>
      </c>
      <c r="AM9" s="564">
        <f>AL9</f>
        <v/>
      </c>
      <c r="AN9" s="564">
        <f>AM9</f>
        <v/>
      </c>
      <c r="AQ9" s="111" t="inlineStr">
        <is>
          <t>Income tax</t>
        </is>
      </c>
      <c r="AR9" s="207">
        <f>T27</f>
        <v/>
      </c>
      <c r="AS9" s="207">
        <f>U27</f>
        <v/>
      </c>
      <c r="AT9" s="207">
        <f>V27</f>
        <v/>
      </c>
      <c r="AU9" s="207">
        <f>W27</f>
        <v/>
      </c>
      <c r="AV9" s="207">
        <f>X27</f>
        <v/>
      </c>
      <c r="AW9" s="207">
        <f>Y27</f>
        <v/>
      </c>
      <c r="AX9" s="207">
        <f>Z27</f>
        <v/>
      </c>
      <c r="AY9" s="207">
        <f>AA27</f>
        <v/>
      </c>
      <c r="AZ9" s="207">
        <f>AB27</f>
        <v/>
      </c>
      <c r="BA9" s="207">
        <f>AC27</f>
        <v/>
      </c>
      <c r="BB9" s="207">
        <f>AD27</f>
        <v/>
      </c>
      <c r="BC9" s="207">
        <f>AE27</f>
        <v/>
      </c>
      <c r="BD9" s="207">
        <f>AF27</f>
        <v/>
      </c>
    </row>
    <row r="10" customFormat="1" s="43">
      <c r="A10" s="43" t="inlineStr">
        <is>
          <t>Share of result - Associates</t>
        </is>
      </c>
      <c r="B10" s="43" t="n"/>
      <c r="C10" s="43" t="n"/>
      <c r="D10" s="43" t="n"/>
      <c r="E10" s="43" t="n"/>
      <c r="F10" s="43" t="n"/>
      <c r="G10" s="43" t="n"/>
      <c r="H10" s="43" t="n"/>
      <c r="I10" s="43" t="n"/>
      <c r="J10" s="43" t="n"/>
      <c r="K10" s="43" t="n"/>
      <c r="L10" s="43" t="n"/>
      <c r="M10" s="43" t="n"/>
      <c r="N10" s="512" t="n"/>
      <c r="O10" s="512" t="n"/>
      <c r="P10" s="512" t="n">
        <v>2</v>
      </c>
      <c r="Q10" s="512" t="n">
        <v>1</v>
      </c>
      <c r="R10" s="512" t="n">
        <v>-27</v>
      </c>
      <c r="S10" s="512" t="n">
        <v>-354</v>
      </c>
      <c r="T10" s="512" t="n">
        <v>9</v>
      </c>
      <c r="U10" s="512" t="n">
        <v>42</v>
      </c>
      <c r="V10" s="512" t="n">
        <v>0</v>
      </c>
      <c r="W10" s="512" t="n">
        <v>0</v>
      </c>
      <c r="X10" s="512" t="n">
        <v>0</v>
      </c>
      <c r="Y10" s="512" t="n">
        <v>0</v>
      </c>
      <c r="Z10" s="512" t="n">
        <v>-3</v>
      </c>
      <c r="AA10" s="526" t="n">
        <v>-11</v>
      </c>
      <c r="AB10" s="526" t="n">
        <v>-45</v>
      </c>
      <c r="AC10" s="526" t="n">
        <v>0</v>
      </c>
      <c r="AD10" s="526">
        <f>AC10</f>
        <v/>
      </c>
      <c r="AE10" s="564">
        <f>AD10</f>
        <v/>
      </c>
      <c r="AF10" s="564">
        <f>AE10</f>
        <v/>
      </c>
      <c r="AG10" s="564">
        <f>AF10</f>
        <v/>
      </c>
      <c r="AH10" s="564">
        <f>AG10</f>
        <v/>
      </c>
      <c r="AI10" s="564">
        <f>AH10</f>
        <v/>
      </c>
      <c r="AJ10" s="564">
        <f>AI10</f>
        <v/>
      </c>
      <c r="AK10" s="564">
        <f>AJ10</f>
        <v/>
      </c>
      <c r="AL10" s="564">
        <f>AK10</f>
        <v/>
      </c>
      <c r="AM10" s="564">
        <f>AL10</f>
        <v/>
      </c>
      <c r="AN10" s="564">
        <f>AM10</f>
        <v/>
      </c>
      <c r="AQ10" s="109" t="inlineStr">
        <is>
          <t>Recurring NP</t>
        </is>
      </c>
      <c r="AR10" s="605">
        <f>T29</f>
        <v/>
      </c>
      <c r="AS10" s="605">
        <f>U29</f>
        <v/>
      </c>
      <c r="AT10" s="605">
        <f>V29</f>
        <v/>
      </c>
      <c r="AU10" s="605">
        <f>W29</f>
        <v/>
      </c>
      <c r="AV10" s="605">
        <f>X29</f>
        <v/>
      </c>
      <c r="AW10" s="605">
        <f>Y29</f>
        <v/>
      </c>
      <c r="AX10" s="605">
        <f>Z29</f>
        <v/>
      </c>
      <c r="AY10" s="605">
        <f>AA29</f>
        <v/>
      </c>
      <c r="AZ10" s="605">
        <f>AB29</f>
        <v/>
      </c>
      <c r="BA10" s="605">
        <f>AC29</f>
        <v/>
      </c>
      <c r="BB10" s="605">
        <f>AD29</f>
        <v/>
      </c>
      <c r="BC10" s="605">
        <f>AE29</f>
        <v/>
      </c>
      <c r="BD10" s="605">
        <f>AF29</f>
        <v/>
      </c>
    </row>
    <row r="11" customFormat="1" s="43">
      <c r="A11" s="109" t="inlineStr">
        <is>
          <t>EBITDAF (recurring)</t>
        </is>
      </c>
      <c r="B11" s="109" t="n"/>
      <c r="C11" s="109" t="n"/>
      <c r="D11" s="109" t="n"/>
      <c r="E11" s="109" t="n"/>
      <c r="F11" s="109" t="n"/>
      <c r="G11" s="109" t="n"/>
      <c r="H11" s="109" t="n"/>
      <c r="I11" s="109" t="n"/>
      <c r="J11" s="109" t="n"/>
      <c r="K11" s="109" t="n"/>
      <c r="L11" s="109" t="n"/>
      <c r="M11" s="109" t="n"/>
      <c r="N11" s="605" t="n"/>
      <c r="O11" s="605" t="n"/>
      <c r="P11" s="605" t="n"/>
      <c r="Q11" s="605" t="n"/>
      <c r="R11" s="605" t="n"/>
      <c r="S11" s="605" t="n"/>
      <c r="T11" s="605">
        <f>4447-33</f>
        <v/>
      </c>
      <c r="U11" s="605" t="n">
        <v>8542</v>
      </c>
      <c r="V11" s="605" t="n">
        <v>7062</v>
      </c>
      <c r="W11" s="605" t="n">
        <v>4279</v>
      </c>
      <c r="X11" s="605" t="n">
        <v>3878</v>
      </c>
      <c r="Y11" s="605" t="n">
        <v>3607</v>
      </c>
      <c r="Z11" s="605" t="n">
        <v>3756</v>
      </c>
      <c r="AA11" s="605" t="n">
        <v>5421</v>
      </c>
      <c r="AB11" s="605" t="n">
        <v>6566</v>
      </c>
      <c r="AC11" s="605">
        <f>4231</f>
        <v/>
      </c>
      <c r="AD11" s="605" t="n">
        <v>4041</v>
      </c>
      <c r="AE11" s="605" t="n">
        <v>2792</v>
      </c>
      <c r="AF11" s="605" t="n">
        <v>-695</v>
      </c>
      <c r="AG11" s="605" t="n">
        <v>2307</v>
      </c>
      <c r="AH11" s="605" t="n">
        <v>3774</v>
      </c>
      <c r="AI11" s="608">
        <f>AI16-AI13</f>
        <v/>
      </c>
      <c r="AJ11" s="608">
        <f>AJ16-AJ13</f>
        <v/>
      </c>
      <c r="AK11" s="608">
        <f>AK16-AK13</f>
        <v/>
      </c>
      <c r="AL11" s="608">
        <f>AL16-AL13</f>
        <v/>
      </c>
      <c r="AM11" s="608">
        <f>AM16-AM13</f>
        <v/>
      </c>
      <c r="AN11" s="608">
        <f>AN16-AN13</f>
        <v/>
      </c>
      <c r="AQ11" s="43" t="n"/>
    </row>
    <row r="12" customFormat="1" s="43">
      <c r="A12" s="214" t="inlineStr">
        <is>
          <t>EBITDAF margin</t>
        </is>
      </c>
      <c r="B12" s="62" t="n"/>
      <c r="C12" s="62" t="n"/>
      <c r="D12" s="62" t="n"/>
      <c r="E12" s="62" t="n"/>
      <c r="F12" s="62" t="n"/>
      <c r="G12" s="62" t="n"/>
      <c r="H12" s="62" t="n"/>
      <c r="I12" s="62" t="n"/>
      <c r="J12" s="62" t="n"/>
      <c r="K12" s="62" t="n"/>
      <c r="L12" s="62" t="n"/>
      <c r="M12" s="62" t="n"/>
      <c r="N12" s="597" t="n"/>
      <c r="O12" s="597" t="n"/>
      <c r="P12" s="597" t="n"/>
      <c r="Q12" s="597" t="n"/>
      <c r="R12" s="597" t="n"/>
      <c r="S12" s="597" t="n"/>
      <c r="T12" s="114">
        <f>T11/T5</f>
        <v/>
      </c>
      <c r="U12" s="114">
        <f>U11/U5</f>
        <v/>
      </c>
      <c r="V12" s="114">
        <f>V11/V5</f>
        <v/>
      </c>
      <c r="W12" s="114">
        <f>W11/W5</f>
        <v/>
      </c>
      <c r="X12" s="114">
        <f>X11/X5</f>
        <v/>
      </c>
      <c r="Y12" s="114">
        <f>Y11/Y5</f>
        <v/>
      </c>
      <c r="Z12" s="114">
        <f>Z11/Z5</f>
        <v/>
      </c>
      <c r="AA12" s="114">
        <f>AA11/AA5</f>
        <v/>
      </c>
      <c r="AB12" s="114">
        <f>AB11/AB5</f>
        <v/>
      </c>
      <c r="AC12" s="114">
        <f>AC11/AC5</f>
        <v/>
      </c>
      <c r="AD12" s="114">
        <f>AD11/AD5</f>
        <v/>
      </c>
      <c r="AE12" s="114">
        <f>AE11/AE5</f>
        <v/>
      </c>
      <c r="AF12" s="114">
        <f>AF11/AF5</f>
        <v/>
      </c>
      <c r="AG12" s="114">
        <f>AG11/AG5</f>
        <v/>
      </c>
      <c r="AH12" s="114">
        <f>AH11/AH5</f>
        <v/>
      </c>
      <c r="AI12" s="114">
        <f>AI11/AI5</f>
        <v/>
      </c>
      <c r="AJ12" s="114">
        <f>AJ11/AJ5</f>
        <v/>
      </c>
      <c r="AK12" s="114">
        <f>AK11/AK5</f>
        <v/>
      </c>
      <c r="AL12" s="114">
        <f>AL11/AL5</f>
        <v/>
      </c>
      <c r="AM12" s="114">
        <f>AM11/AM5</f>
        <v/>
      </c>
      <c r="AN12" s="114">
        <f>AN11/AN5</f>
        <v/>
      </c>
    </row>
    <row r="13">
      <c r="A13" s="43" t="inlineStr">
        <is>
          <t>Depreciation and amortisation</t>
        </is>
      </c>
      <c r="M13" s="526" t="n">
        <v>-375</v>
      </c>
      <c r="N13" s="526" t="n">
        <v>-650</v>
      </c>
      <c r="O13" s="526" t="n">
        <v>-663</v>
      </c>
      <c r="P13" s="526" t="n">
        <v>-874</v>
      </c>
      <c r="Q13" s="526" t="n">
        <v>-969</v>
      </c>
      <c r="R13" s="526" t="n">
        <v>-1047</v>
      </c>
      <c r="S13" s="526" t="n">
        <v>-1132</v>
      </c>
      <c r="T13" s="116" t="n">
        <v>-1493</v>
      </c>
      <c r="U13" s="526" t="n">
        <v>-2205</v>
      </c>
      <c r="V13" s="526" t="n">
        <v>-2448</v>
      </c>
      <c r="W13" s="526" t="n">
        <v>-2531</v>
      </c>
      <c r="X13" s="526" t="n">
        <v>-1877</v>
      </c>
      <c r="Y13" s="526" t="n">
        <v>-1454</v>
      </c>
      <c r="Z13" s="526" t="n">
        <v>-1320</v>
      </c>
      <c r="AA13" s="526" t="n">
        <v>-1335</v>
      </c>
      <c r="AB13" s="526" t="n">
        <v>-1681</v>
      </c>
      <c r="AC13" s="526" t="n">
        <v>-1900</v>
      </c>
      <c r="AD13" s="526" t="n">
        <v>-2000</v>
      </c>
      <c r="AE13" s="526" t="n">
        <v>-2327</v>
      </c>
      <c r="AF13" s="526" t="n">
        <v>-2368</v>
      </c>
      <c r="AG13" s="526" t="n">
        <v>-2281</v>
      </c>
      <c r="AH13" s="526" t="n">
        <v>-2658</v>
      </c>
      <c r="AI13" s="564">
        <f>AI14+AI15</f>
        <v/>
      </c>
      <c r="AJ13" s="564">
        <f>AJ14+AJ15</f>
        <v/>
      </c>
      <c r="AK13" s="564">
        <f>AK14+AK15</f>
        <v/>
      </c>
      <c r="AL13" s="564">
        <f>AL14+AL15</f>
        <v/>
      </c>
      <c r="AM13" s="564">
        <f>AM14+AM15</f>
        <v/>
      </c>
      <c r="AN13" s="564">
        <f>AN14+AN15</f>
        <v/>
      </c>
      <c r="AO13" s="526" t="n"/>
    </row>
    <row r="14" customFormat="1" s="43">
      <c r="A14" s="416" t="inlineStr">
        <is>
          <t>- Amortisatin</t>
        </is>
      </c>
      <c r="B14" s="43" t="n"/>
      <c r="C14" s="43" t="n"/>
      <c r="D14" s="43" t="n"/>
      <c r="E14" s="43" t="n"/>
      <c r="F14" s="43" t="n"/>
      <c r="G14" s="43" t="n"/>
      <c r="H14" s="43" t="n"/>
      <c r="I14" s="43" t="n"/>
      <c r="J14" s="43" t="n"/>
      <c r="K14" s="43" t="n"/>
      <c r="L14" s="43" t="n"/>
      <c r="M14" s="526" t="n"/>
      <c r="N14" s="526" t="n"/>
      <c r="O14" s="526" t="n">
        <v>-66</v>
      </c>
      <c r="P14" s="526" t="n">
        <v>-165</v>
      </c>
      <c r="Q14" s="526" t="n">
        <v>-198</v>
      </c>
      <c r="R14" s="526" t="n">
        <v>-222</v>
      </c>
      <c r="S14" s="526" t="n">
        <v>-225</v>
      </c>
      <c r="T14" s="116" t="n">
        <v>-253</v>
      </c>
      <c r="U14" s="116" t="n">
        <v>-496</v>
      </c>
      <c r="V14" s="116" t="n">
        <v>-553</v>
      </c>
      <c r="W14" s="116" t="n">
        <v>-892</v>
      </c>
      <c r="X14" s="116" t="n">
        <v>-755</v>
      </c>
      <c r="Y14" s="116" t="n">
        <v>-468</v>
      </c>
      <c r="Z14" s="116" t="n">
        <v>-489</v>
      </c>
      <c r="AA14" s="116" t="n">
        <v>-404</v>
      </c>
      <c r="AB14" s="116" t="n">
        <v>-675</v>
      </c>
      <c r="AC14" s="512" t="n">
        <v>-732</v>
      </c>
      <c r="AD14" s="526" t="n">
        <v>-652</v>
      </c>
      <c r="AE14" s="526" t="n">
        <v>-544</v>
      </c>
      <c r="AF14" s="526" t="n">
        <v>-425</v>
      </c>
      <c r="AG14" s="526" t="n">
        <v>-425</v>
      </c>
      <c r="AH14" s="526" t="n">
        <v>-425</v>
      </c>
      <c r="AI14" s="564">
        <f>AH14</f>
        <v/>
      </c>
      <c r="AJ14" s="564">
        <f>AI14</f>
        <v/>
      </c>
      <c r="AK14" s="564">
        <f>AJ14</f>
        <v/>
      </c>
      <c r="AL14" s="564">
        <f>AK14</f>
        <v/>
      </c>
      <c r="AM14" s="564">
        <f>AL14</f>
        <v/>
      </c>
      <c r="AN14" s="564">
        <f>AM14</f>
        <v/>
      </c>
      <c r="AO14" s="43" t="n"/>
      <c r="AP14" s="43" t="n"/>
      <c r="AQ14" s="117" t="inlineStr">
        <is>
          <t>Sensitivity analysis</t>
        </is>
      </c>
    </row>
    <row r="15" customFormat="1" s="43">
      <c r="A15" s="416" t="inlineStr">
        <is>
          <t>- Depreciaiton</t>
        </is>
      </c>
      <c r="B15" s="43" t="n"/>
      <c r="C15" s="43" t="n"/>
      <c r="D15" s="43" t="n"/>
      <c r="E15" s="43" t="n"/>
      <c r="F15" s="43" t="n"/>
      <c r="G15" s="43" t="n"/>
      <c r="H15" s="43" t="n"/>
      <c r="I15" s="43" t="n"/>
      <c r="J15" s="43" t="n"/>
      <c r="K15" s="43" t="n"/>
      <c r="L15" s="43" t="n"/>
      <c r="M15" s="116">
        <f>M13-M14</f>
        <v/>
      </c>
      <c r="N15" s="116">
        <f>N13-N14</f>
        <v/>
      </c>
      <c r="O15" s="116">
        <f>O13-O14</f>
        <v/>
      </c>
      <c r="P15" s="116">
        <f>P13-P14</f>
        <v/>
      </c>
      <c r="Q15" s="116">
        <f>Q13-Q14</f>
        <v/>
      </c>
      <c r="R15" s="116">
        <f>R13-R14</f>
        <v/>
      </c>
      <c r="S15" s="116">
        <f>S13-S14</f>
        <v/>
      </c>
      <c r="T15" s="116">
        <f>T13-T14</f>
        <v/>
      </c>
      <c r="U15" s="526">
        <f>U13-U14</f>
        <v/>
      </c>
      <c r="V15" s="526">
        <f>V13-V14</f>
        <v/>
      </c>
      <c r="W15" s="526">
        <f>W13-W14</f>
        <v/>
      </c>
      <c r="X15" s="526">
        <f>X13-X14</f>
        <v/>
      </c>
      <c r="Y15" s="526">
        <f>Y13-Y14</f>
        <v/>
      </c>
      <c r="Z15" s="526">
        <f>Z13-Z14</f>
        <v/>
      </c>
      <c r="AA15" s="526">
        <f>AA13-AA14</f>
        <v/>
      </c>
      <c r="AB15" s="526">
        <f>AB13-AB14</f>
        <v/>
      </c>
      <c r="AC15" s="526">
        <f>AC13-AC14</f>
        <v/>
      </c>
      <c r="AD15" s="526">
        <f>AD13-AD14</f>
        <v/>
      </c>
      <c r="AE15" s="526">
        <f>AE13-AE14</f>
        <v/>
      </c>
      <c r="AF15" s="526">
        <f>AF13-AF14</f>
        <v/>
      </c>
      <c r="AG15" s="526">
        <f>AG13-AG14</f>
        <v/>
      </c>
      <c r="AH15" s="526">
        <f>AH13-AH14</f>
        <v/>
      </c>
      <c r="AI15" s="564">
        <f>AI89</f>
        <v/>
      </c>
      <c r="AJ15" s="564">
        <f>AJ89</f>
        <v/>
      </c>
      <c r="AK15" s="564">
        <f>AK89</f>
        <v/>
      </c>
      <c r="AL15" s="564">
        <f>AL89</f>
        <v/>
      </c>
      <c r="AM15" s="564">
        <f>AM89</f>
        <v/>
      </c>
      <c r="AN15" s="564">
        <f>AN89</f>
        <v/>
      </c>
      <c r="AO15" s="43" t="n"/>
      <c r="AP15" s="43" t="n"/>
      <c r="AR15" s="493" t="inlineStr">
        <is>
          <t>Retail unit EBIT (AUD/MWh)</t>
        </is>
      </c>
      <c r="AU15" s="493" t="inlineStr">
        <is>
          <t>Wholesale unit EBIT (AUD/MWh)</t>
        </is>
      </c>
      <c r="AX15" s="493" t="inlineStr">
        <is>
          <t>Utilization</t>
        </is>
      </c>
      <c r="BA15" s="677" t="inlineStr">
        <is>
          <t>PT</t>
        </is>
      </c>
      <c r="BB15" s="677" t="inlineStr">
        <is>
          <t>NPV</t>
        </is>
      </c>
    </row>
    <row r="16" customFormat="1" s="43">
      <c r="A16" s="109" t="inlineStr">
        <is>
          <t>EBITF (recurring)</t>
        </is>
      </c>
      <c r="B16" s="109" t="n"/>
      <c r="C16" s="109" t="n"/>
      <c r="D16" s="109" t="n"/>
      <c r="E16" s="109" t="n"/>
      <c r="F16" s="109" t="n"/>
      <c r="G16" s="109" t="n"/>
      <c r="H16" s="109" t="n"/>
      <c r="I16" s="109" t="n"/>
      <c r="J16" s="109" t="n"/>
      <c r="K16" s="109" t="n"/>
      <c r="L16" s="109" t="n"/>
      <c r="M16" s="109" t="n"/>
      <c r="N16" s="605" t="n"/>
      <c r="O16" s="605" t="n"/>
      <c r="P16" s="605" t="n"/>
      <c r="Q16" s="605" t="n"/>
      <c r="R16" s="605" t="n"/>
      <c r="S16" s="605" t="n"/>
      <c r="T16" s="605">
        <f>T11+T13</f>
        <v/>
      </c>
      <c r="U16" s="605">
        <f>U11+U13</f>
        <v/>
      </c>
      <c r="V16" s="605">
        <f>V11+V13</f>
        <v/>
      </c>
      <c r="W16" s="605">
        <f>W11+W13</f>
        <v/>
      </c>
      <c r="X16" s="605">
        <f>X11+X13</f>
        <v/>
      </c>
      <c r="Y16" s="605">
        <f>Y11+Y13</f>
        <v/>
      </c>
      <c r="Z16" s="605">
        <f>Z11+Z13</f>
        <v/>
      </c>
      <c r="AA16" s="605">
        <f>AA11+AA13</f>
        <v/>
      </c>
      <c r="AB16" s="605">
        <f>AB11+AB13</f>
        <v/>
      </c>
      <c r="AC16" s="605">
        <f>AC11+AC13</f>
        <v/>
      </c>
      <c r="AD16" s="605">
        <f>AD11+AD13</f>
        <v/>
      </c>
      <c r="AE16" s="605">
        <f>AE11+AE13</f>
        <v/>
      </c>
      <c r="AF16" s="605">
        <f>AF11+AF13</f>
        <v/>
      </c>
      <c r="AG16" s="605">
        <f>AG11+AG13</f>
        <v/>
      </c>
      <c r="AH16" s="605">
        <f>AH11+AH13</f>
        <v/>
      </c>
      <c r="AI16" s="608">
        <f>AI17+AI19+AI21</f>
        <v/>
      </c>
      <c r="AJ16" s="608">
        <f>AJ17+AJ19+AJ21</f>
        <v/>
      </c>
      <c r="AK16" s="608">
        <f>AK17+AK19+AK21</f>
        <v/>
      </c>
      <c r="AL16" s="608">
        <f>AL17+AL19+AL21</f>
        <v/>
      </c>
      <c r="AM16" s="608">
        <f>AM17+AM19+AM21</f>
        <v/>
      </c>
      <c r="AN16" s="608">
        <f>AN17+AN19+AN21</f>
        <v/>
      </c>
      <c r="AQ16" s="43" t="n"/>
      <c r="AR16" s="677">
        <f>AA1</f>
        <v/>
      </c>
      <c r="AS16" s="677">
        <f>AB1</f>
        <v/>
      </c>
      <c r="AT16" s="677">
        <f>AC1</f>
        <v/>
      </c>
      <c r="AU16" s="677">
        <f>AR16</f>
        <v/>
      </c>
      <c r="AV16" s="677">
        <f>AS16</f>
        <v/>
      </c>
      <c r="AW16" s="677">
        <f>AT16</f>
        <v/>
      </c>
      <c r="AX16" s="677">
        <f>AU16</f>
        <v/>
      </c>
      <c r="AY16" s="677">
        <f>AV16</f>
        <v/>
      </c>
      <c r="AZ16" s="677">
        <f>AW16</f>
        <v/>
      </c>
    </row>
    <row r="17" customFormat="1" s="43">
      <c r="A17" s="111" t="inlineStr">
        <is>
          <t>Customer (Retail)</t>
        </is>
      </c>
      <c r="B17" s="62" t="n"/>
      <c r="C17" s="62" t="n"/>
      <c r="D17" s="62" t="n"/>
      <c r="E17" s="62" t="n"/>
      <c r="F17" s="62" t="n"/>
      <c r="G17" s="62" t="n"/>
      <c r="H17" s="62" t="n"/>
      <c r="I17" s="62" t="n"/>
      <c r="J17" s="62" t="n"/>
      <c r="K17" s="62" t="n"/>
      <c r="L17" s="62" t="n"/>
      <c r="M17" s="62" t="n"/>
      <c r="N17" s="597" t="n"/>
      <c r="O17" s="597" t="n"/>
      <c r="P17" s="597" t="n"/>
      <c r="Q17" s="512" t="n"/>
      <c r="R17" s="512" t="n"/>
      <c r="S17" s="512" t="n"/>
      <c r="T17" s="512" t="n"/>
      <c r="U17" s="512" t="n"/>
      <c r="V17" s="512" t="n"/>
      <c r="W17" s="512" t="n">
        <v>668</v>
      </c>
      <c r="X17" s="512" t="n">
        <v>1279</v>
      </c>
      <c r="Y17" s="512" t="n">
        <v>2658</v>
      </c>
      <c r="Z17" s="512" t="n">
        <v>2937</v>
      </c>
      <c r="AA17" s="512" t="n">
        <v>2990</v>
      </c>
      <c r="AB17" s="512" t="n">
        <v>1539</v>
      </c>
      <c r="AC17" s="512" t="n">
        <v>679</v>
      </c>
      <c r="AD17" s="512" t="n">
        <v>264</v>
      </c>
      <c r="AE17" s="512" t="n">
        <v>819</v>
      </c>
      <c r="AF17" s="512" t="n">
        <v>1131</v>
      </c>
      <c r="AG17" s="512">
        <f>1759-(-AG13*$AU$28)</f>
        <v/>
      </c>
      <c r="AH17" s="512">
        <f>34-(-AH13*$AU$28)</f>
        <v/>
      </c>
      <c r="AI17" s="528">
        <f>AI52</f>
        <v/>
      </c>
      <c r="AJ17" s="528">
        <f>AJ52</f>
        <v/>
      </c>
      <c r="AK17" s="528">
        <f>AK52</f>
        <v/>
      </c>
      <c r="AL17" s="528">
        <f>AL52</f>
        <v/>
      </c>
      <c r="AM17" s="528">
        <f>AM52</f>
        <v/>
      </c>
      <c r="AN17" s="528">
        <f>AN52</f>
        <v/>
      </c>
      <c r="AQ17" s="111" t="inlineStr">
        <is>
          <t>High scenario</t>
        </is>
      </c>
      <c r="AR17" s="686" t="n">
        <v>0.02536134738958164</v>
      </c>
      <c r="AS17" s="686" t="n">
        <v>0.03036134738958164</v>
      </c>
      <c r="AT17" s="686" t="n">
        <v>0.03036134738958164</v>
      </c>
      <c r="AU17" s="686" t="n">
        <v>0.03</v>
      </c>
      <c r="AV17" s="686" t="n">
        <v>0.035</v>
      </c>
      <c r="AW17" s="686" t="n">
        <v>0.035</v>
      </c>
      <c r="AX17" s="131" t="n">
        <v>0.9</v>
      </c>
      <c r="AY17" s="131" t="n">
        <v>0.9</v>
      </c>
      <c r="AZ17" s="131" t="n">
        <v>0.9</v>
      </c>
      <c r="BA17" s="662" t="n">
        <v>84</v>
      </c>
      <c r="BB17" s="122" t="n">
        <v>210995.8591346247</v>
      </c>
    </row>
    <row r="18" customFormat="1" s="43">
      <c r="A18" s="118" t="inlineStr">
        <is>
          <t>Margin</t>
        </is>
      </c>
      <c r="B18" s="62" t="n"/>
      <c r="C18" s="62" t="n"/>
      <c r="D18" s="62" t="n"/>
      <c r="E18" s="62" t="n"/>
      <c r="F18" s="62" t="n"/>
      <c r="G18" s="62" t="n"/>
      <c r="H18" s="62" t="n"/>
      <c r="I18" s="62" t="n"/>
      <c r="J18" s="62" t="n"/>
      <c r="K18" s="62" t="n"/>
      <c r="L18" s="62" t="n"/>
      <c r="M18" s="62" t="n"/>
      <c r="N18" s="597" t="n"/>
      <c r="O18" s="597" t="n"/>
      <c r="P18" s="597" t="n"/>
      <c r="Q18" s="512" t="n"/>
      <c r="R18" s="512" t="n"/>
      <c r="S18" s="512" t="n"/>
      <c r="T18" s="512" t="n"/>
      <c r="U18" s="512" t="n"/>
      <c r="V18" s="512" t="n"/>
      <c r="W18" s="169">
        <f>W17/W6</f>
        <v/>
      </c>
      <c r="X18" s="169">
        <f>X17/X6</f>
        <v/>
      </c>
      <c r="Y18" s="169">
        <f>Y17/Y6</f>
        <v/>
      </c>
      <c r="Z18" s="169">
        <f>Z17/Z6</f>
        <v/>
      </c>
      <c r="AA18" s="169">
        <f>AA17/AA6</f>
        <v/>
      </c>
      <c r="AB18" s="169">
        <f>AB17/AB6</f>
        <v/>
      </c>
      <c r="AC18" s="169">
        <f>AC17/AC6</f>
        <v/>
      </c>
      <c r="AD18" s="169">
        <f>AD17/AD6</f>
        <v/>
      </c>
      <c r="AE18" s="169">
        <f>AE17/AE6</f>
        <v/>
      </c>
      <c r="AF18" s="169">
        <f>AF17/AF6</f>
        <v/>
      </c>
      <c r="AG18" s="169">
        <f>AG17/AG6</f>
        <v/>
      </c>
      <c r="AH18" s="169">
        <f>AH17/AH6</f>
        <v/>
      </c>
      <c r="AI18" s="123" t="n"/>
      <c r="AJ18" s="123" t="n"/>
      <c r="AK18" s="123" t="n"/>
      <c r="AL18" s="123" t="n"/>
      <c r="AM18" s="123" t="n"/>
      <c r="AN18" s="123" t="n"/>
      <c r="AQ18" s="111" t="inlineStr">
        <is>
          <t>Base</t>
        </is>
      </c>
      <c r="AR18" s="686" t="n">
        <v>0.02</v>
      </c>
      <c r="AS18" s="686" t="n">
        <v>0.02</v>
      </c>
      <c r="AT18" s="686" t="n">
        <v>0.02</v>
      </c>
      <c r="AU18" s="686" t="n">
        <v>0.02</v>
      </c>
      <c r="AV18" s="686" t="n">
        <v>0.025</v>
      </c>
      <c r="AW18" s="686" t="n">
        <v>0.025</v>
      </c>
      <c r="AX18" s="131" t="n">
        <v>0.8</v>
      </c>
      <c r="AY18" s="131" t="n">
        <v>0.8</v>
      </c>
      <c r="AZ18" s="131" t="n">
        <v>0.8</v>
      </c>
      <c r="BA18" s="662" t="n">
        <v>78</v>
      </c>
      <c r="BB18" s="122" t="n">
        <v>198079.5996332201</v>
      </c>
    </row>
    <row r="19" customFormat="1" s="43">
      <c r="A19" s="111" t="inlineStr">
        <is>
          <t>Energy (Wholesale)</t>
        </is>
      </c>
      <c r="B19" s="62" t="n"/>
      <c r="C19" s="62" t="n"/>
      <c r="D19" s="62" t="n"/>
      <c r="E19" s="62" t="n"/>
      <c r="F19" s="62" t="n"/>
      <c r="G19" s="62" t="n"/>
      <c r="H19" s="62" t="n"/>
      <c r="I19" s="62" t="n"/>
      <c r="J19" s="62" t="n"/>
      <c r="K19" s="62" t="n"/>
      <c r="L19" s="62" t="n"/>
      <c r="M19" s="62" t="n"/>
      <c r="N19" s="597" t="n"/>
      <c r="O19" s="597" t="n"/>
      <c r="P19" s="597" t="n"/>
      <c r="Q19" s="512" t="n"/>
      <c r="R19" s="512" t="n"/>
      <c r="S19" s="512" t="n"/>
      <c r="T19" s="512" t="n"/>
      <c r="U19" s="512" t="n"/>
      <c r="V19" s="512" t="n"/>
      <c r="W19" s="512" t="n">
        <v>2127</v>
      </c>
      <c r="X19" s="512" t="n">
        <v>2198</v>
      </c>
      <c r="Y19" s="512" t="n">
        <v>975</v>
      </c>
      <c r="Z19" s="512" t="n">
        <v>1419</v>
      </c>
      <c r="AA19" s="512" t="n">
        <v>2925</v>
      </c>
      <c r="AB19" s="512" t="n">
        <v>5391</v>
      </c>
      <c r="AC19" s="512" t="n">
        <v>3621</v>
      </c>
      <c r="AD19" s="512" t="n">
        <v>3440</v>
      </c>
      <c r="AE19" s="512" t="n">
        <v>1445</v>
      </c>
      <c r="AF19" s="512" t="n">
        <v>-2879</v>
      </c>
      <c r="AG19" s="512">
        <f>1967-(-AG13*$AU$29)</f>
        <v/>
      </c>
      <c r="AH19" s="512">
        <f>5164-(-AH13*$AU$29)</f>
        <v/>
      </c>
      <c r="AI19" s="528">
        <f>AI79</f>
        <v/>
      </c>
      <c r="AJ19" s="528">
        <f>AJ79</f>
        <v/>
      </c>
      <c r="AK19" s="528">
        <f>AK79</f>
        <v/>
      </c>
      <c r="AL19" s="528">
        <f>AL79</f>
        <v/>
      </c>
      <c r="AM19" s="528">
        <f>AM79</f>
        <v/>
      </c>
      <c r="AN19" s="528">
        <f>AN79</f>
        <v/>
      </c>
      <c r="AQ19" s="111" t="inlineStr">
        <is>
          <t>Low scenario</t>
        </is>
      </c>
      <c r="AR19" s="686" t="n">
        <v>0.02</v>
      </c>
      <c r="AS19" s="686" t="n">
        <v>0.015</v>
      </c>
      <c r="AT19" s="686" t="n">
        <v>0.009999999999999998</v>
      </c>
      <c r="AU19" s="686" t="n">
        <v>0.02</v>
      </c>
      <c r="AV19" s="686" t="n">
        <v>0.02</v>
      </c>
      <c r="AW19" s="686" t="n">
        <v>0.015</v>
      </c>
      <c r="AX19" s="131" t="n">
        <v>0.7</v>
      </c>
      <c r="AY19" s="131" t="n">
        <v>0.6499999999999999</v>
      </c>
      <c r="AZ19" s="131" t="n">
        <v>0.5999999999999999</v>
      </c>
      <c r="BA19" s="662" t="n">
        <v>74</v>
      </c>
      <c r="BB19" s="122" t="n">
        <v>188138.657863214</v>
      </c>
    </row>
    <row r="20" customFormat="1" s="43">
      <c r="A20" s="118" t="inlineStr">
        <is>
          <t>Margin</t>
        </is>
      </c>
      <c r="B20" s="62" t="n"/>
      <c r="C20" s="62" t="n"/>
      <c r="D20" s="62" t="n"/>
      <c r="E20" s="62" t="n"/>
      <c r="F20" s="62" t="n"/>
      <c r="G20" s="62" t="n"/>
      <c r="H20" s="62" t="n"/>
      <c r="I20" s="62" t="n"/>
      <c r="J20" s="62" t="n"/>
      <c r="K20" s="62" t="n"/>
      <c r="L20" s="62" t="n"/>
      <c r="M20" s="62" t="n"/>
      <c r="N20" s="597" t="n"/>
      <c r="O20" s="597" t="n"/>
      <c r="P20" s="597" t="n"/>
      <c r="Q20" s="512" t="n"/>
      <c r="R20" s="512" t="n"/>
      <c r="S20" s="512" t="n"/>
      <c r="T20" s="512" t="n"/>
      <c r="U20" s="512" t="n"/>
      <c r="V20" s="512" t="n"/>
      <c r="W20" s="169">
        <f>W19/W7</f>
        <v/>
      </c>
      <c r="X20" s="169">
        <f>X19/X7</f>
        <v/>
      </c>
      <c r="Y20" s="169">
        <f>Y19/Y7</f>
        <v/>
      </c>
      <c r="Z20" s="169">
        <f>Z19/Z7</f>
        <v/>
      </c>
      <c r="AA20" s="169">
        <f>AA19/AA7</f>
        <v/>
      </c>
      <c r="AB20" s="169">
        <f>AB19/AB7</f>
        <v/>
      </c>
      <c r="AC20" s="169">
        <f>AC19/AC7</f>
        <v/>
      </c>
      <c r="AD20" s="169">
        <f>AD19/AD7</f>
        <v/>
      </c>
      <c r="AE20" s="169">
        <f>AE19/AE7</f>
        <v/>
      </c>
      <c r="AF20" s="169">
        <f>AF19/AF7</f>
        <v/>
      </c>
      <c r="AG20" s="169">
        <f>AG19/AG7</f>
        <v/>
      </c>
      <c r="AH20" s="169">
        <f>AH19/AH7</f>
        <v/>
      </c>
      <c r="AI20" s="123" t="n"/>
      <c r="AJ20" s="123" t="n"/>
      <c r="AK20" s="123" t="n"/>
      <c r="AL20" s="123" t="n"/>
      <c r="AM20" s="123" t="n"/>
      <c r="AN20" s="123" t="n"/>
      <c r="AQ20" s="43" t="n"/>
      <c r="AR20" s="43" t="n"/>
      <c r="AS20" s="43" t="n"/>
      <c r="AT20" s="43" t="n"/>
      <c r="AU20" s="43" t="n"/>
      <c r="AV20" s="43" t="n"/>
      <c r="AW20" s="43" t="n"/>
      <c r="AX20" s="43" t="n"/>
      <c r="AY20" s="43" t="n"/>
      <c r="AZ20" s="43" t="n"/>
      <c r="BA20" s="43" t="n"/>
      <c r="BB20" s="43" t="n"/>
    </row>
    <row r="21" customFormat="1" s="43">
      <c r="A21" s="111" t="inlineStr">
        <is>
          <t>Enterprise (Corporate)</t>
        </is>
      </c>
      <c r="B21" s="62" t="n"/>
      <c r="C21" s="62" t="n"/>
      <c r="D21" s="62" t="n"/>
      <c r="E21" s="62" t="n"/>
      <c r="F21" s="62" t="n"/>
      <c r="G21" s="62" t="n"/>
      <c r="H21" s="62" t="n"/>
      <c r="I21" s="62" t="n"/>
      <c r="J21" s="62" t="n"/>
      <c r="K21" s="62" t="n"/>
      <c r="L21" s="62" t="n"/>
      <c r="M21" s="62" t="n"/>
      <c r="N21" s="597" t="n"/>
      <c r="O21" s="597" t="n"/>
      <c r="P21" s="597" t="n"/>
      <c r="Q21" s="512" t="n"/>
      <c r="R21" s="512" t="n"/>
      <c r="S21" s="512" t="n"/>
      <c r="T21" s="512" t="n"/>
      <c r="U21" s="512" t="n"/>
      <c r="V21" s="512" t="n"/>
      <c r="W21" s="512" t="n">
        <v>-1047</v>
      </c>
      <c r="X21" s="512" t="n">
        <v>-1476</v>
      </c>
      <c r="Y21" s="512" t="n">
        <v>-1480</v>
      </c>
      <c r="Z21" s="512" t="n">
        <v>-1920</v>
      </c>
      <c r="AA21" s="512" t="n">
        <v>-1829</v>
      </c>
      <c r="AB21" s="512" t="n">
        <v>-2045</v>
      </c>
      <c r="AC21" s="512" t="n">
        <v>-1969</v>
      </c>
      <c r="AD21" s="526" t="n">
        <v>-1663</v>
      </c>
      <c r="AE21" s="526" t="n">
        <v>-1799</v>
      </c>
      <c r="AF21" s="526" t="n">
        <v>-1315</v>
      </c>
      <c r="AG21" s="512">
        <f>-1419-(-AG13*$AU$30)</f>
        <v/>
      </c>
      <c r="AH21" s="512">
        <f>-1424-(-AH13*$AU$30)</f>
        <v/>
      </c>
      <c r="AI21" s="564">
        <f>AH21/AH2*AI2</f>
        <v/>
      </c>
      <c r="AJ21" s="564">
        <f>AI21/AI2*AJ2</f>
        <v/>
      </c>
      <c r="AK21" s="564">
        <f>AJ21/AJ2*AK2</f>
        <v/>
      </c>
      <c r="AL21" s="564">
        <f>AK21/AK2*AL2</f>
        <v/>
      </c>
      <c r="AM21" s="564">
        <f>AL21/AL2*AM2</f>
        <v/>
      </c>
      <c r="AN21" s="564">
        <f>AM21/AM2*AN2</f>
        <v/>
      </c>
      <c r="AQ21" s="62" t="inlineStr">
        <is>
          <t>ROIC:</t>
        </is>
      </c>
      <c r="AR21" s="677">
        <f>U1</f>
        <v/>
      </c>
      <c r="AS21" s="677">
        <f>V1</f>
        <v/>
      </c>
      <c r="AT21" s="677">
        <f>W1</f>
        <v/>
      </c>
      <c r="AU21" s="677">
        <f>X1</f>
        <v/>
      </c>
      <c r="AV21" s="677">
        <f>Y1</f>
        <v/>
      </c>
      <c r="AW21" s="677">
        <f>Z1</f>
        <v/>
      </c>
      <c r="AX21" s="677">
        <f>AA1</f>
        <v/>
      </c>
      <c r="AY21" s="677">
        <f>AB1</f>
        <v/>
      </c>
      <c r="AZ21" s="677">
        <f>AC1</f>
        <v/>
      </c>
      <c r="BA21" s="677">
        <f>AD1</f>
        <v/>
      </c>
      <c r="BB21" s="677">
        <f>AE1</f>
        <v/>
      </c>
      <c r="BC21" s="677">
        <f>AF1</f>
        <v/>
      </c>
    </row>
    <row r="22" customFormat="1" s="43">
      <c r="A22" s="43" t="inlineStr">
        <is>
          <t>Fair value movement</t>
        </is>
      </c>
      <c r="B22" s="43" t="n"/>
      <c r="C22" s="43" t="n"/>
      <c r="D22" s="43" t="n"/>
      <c r="E22" s="43" t="n"/>
      <c r="F22" s="43" t="n"/>
      <c r="G22" s="43" t="n"/>
      <c r="H22" s="43" t="n"/>
      <c r="I22" s="43" t="n"/>
      <c r="J22" s="43" t="n"/>
      <c r="K22" s="43" t="n"/>
      <c r="L22" s="43" t="n"/>
      <c r="M22" s="43" t="n"/>
      <c r="N22" s="526" t="n"/>
      <c r="O22" s="526" t="n"/>
      <c r="P22" s="526" t="n"/>
      <c r="Q22" s="526" t="n"/>
      <c r="R22" s="526" t="n"/>
      <c r="S22" s="526" t="n"/>
      <c r="T22" s="512" t="n">
        <v>-248</v>
      </c>
      <c r="U22" s="512" t="n">
        <v>-176</v>
      </c>
      <c r="V22" s="512" t="n">
        <v>-538</v>
      </c>
      <c r="W22" s="512" t="n">
        <v>4</v>
      </c>
      <c r="X22" s="512" t="n">
        <v>42</v>
      </c>
      <c r="Y22" s="512" t="n">
        <v>-241</v>
      </c>
      <c r="Z22" s="512" t="n">
        <v>367</v>
      </c>
      <c r="AA22" s="526" t="n">
        <v>-182</v>
      </c>
      <c r="AB22" s="526" t="n">
        <v>-50</v>
      </c>
      <c r="AC22" s="526" t="n">
        <v>-171</v>
      </c>
      <c r="AD22" s="526" t="n">
        <v>440</v>
      </c>
      <c r="AE22" s="526" t="n">
        <v>-477</v>
      </c>
      <c r="AF22" s="526" t="n">
        <v>-4196</v>
      </c>
      <c r="AG22" s="526" t="n">
        <v>2138</v>
      </c>
      <c r="AH22" s="526" t="n">
        <v>734</v>
      </c>
      <c r="AI22" s="564">
        <f>AH22</f>
        <v/>
      </c>
      <c r="AJ22" s="564">
        <f>AI22</f>
        <v/>
      </c>
      <c r="AK22" s="564">
        <f>AJ22</f>
        <v/>
      </c>
      <c r="AL22" s="564">
        <f>AK22</f>
        <v/>
      </c>
      <c r="AM22" s="564">
        <f>AL22</f>
        <v/>
      </c>
      <c r="AN22" s="564">
        <f>AM22</f>
        <v/>
      </c>
      <c r="AQ22" s="111" t="inlineStr">
        <is>
          <t>High scenario</t>
        </is>
      </c>
      <c r="AR22" s="614" t="n"/>
      <c r="AS22" s="614" t="n"/>
      <c r="AT22" s="614" t="n"/>
      <c r="AU22" s="614" t="n"/>
      <c r="AV22" s="614" t="n"/>
      <c r="AW22" s="614" t="n">
        <v>0.07144237085120358</v>
      </c>
      <c r="AX22" s="614" t="n">
        <v>0.1611937336242002</v>
      </c>
      <c r="AY22" s="614" t="n">
        <v>0.1996520830275677</v>
      </c>
      <c r="AZ22" s="614" t="n">
        <v>0.1944708462114144</v>
      </c>
      <c r="BA22" s="614" t="n">
        <v>0.1898605346999404</v>
      </c>
      <c r="BB22" s="614" t="n">
        <v>0.1857159451096173</v>
      </c>
      <c r="BC22" s="614" t="n">
        <v>0.1820493329286975</v>
      </c>
    </row>
    <row r="23">
      <c r="A23" s="109" t="inlineStr">
        <is>
          <t>EBIT (recurring)</t>
        </is>
      </c>
      <c r="B23" s="109" t="n"/>
      <c r="C23" s="109" t="n"/>
      <c r="D23" s="109" t="n"/>
      <c r="E23" s="109" t="n"/>
      <c r="F23" s="109" t="n"/>
      <c r="G23" s="109" t="n"/>
      <c r="H23" s="109" t="n"/>
      <c r="I23" s="109" t="n"/>
      <c r="J23" s="109" t="n"/>
      <c r="K23" s="109" t="n"/>
      <c r="L23" s="109" t="n"/>
      <c r="M23" s="109" t="n"/>
      <c r="N23" s="605" t="n"/>
      <c r="O23" s="605" t="n"/>
      <c r="P23" s="605" t="n"/>
      <c r="Q23" s="605" t="n"/>
      <c r="R23" s="605" t="n"/>
      <c r="S23" s="605" t="n"/>
      <c r="T23" s="605">
        <f>T16+T22</f>
        <v/>
      </c>
      <c r="U23" s="605">
        <f>U16+U22</f>
        <v/>
      </c>
      <c r="V23" s="605">
        <f>V16+V22</f>
        <v/>
      </c>
      <c r="W23" s="605">
        <f>W16+W22</f>
        <v/>
      </c>
      <c r="X23" s="605">
        <f>X16+X22</f>
        <v/>
      </c>
      <c r="Y23" s="605">
        <f>Y16+Y22</f>
        <v/>
      </c>
      <c r="Z23" s="605">
        <f>Z16+Z22</f>
        <v/>
      </c>
      <c r="AA23" s="605">
        <f>AA16+AA22</f>
        <v/>
      </c>
      <c r="AB23" s="605">
        <f>AB16+AB22</f>
        <v/>
      </c>
      <c r="AC23" s="605">
        <f>AC16+AC22</f>
        <v/>
      </c>
      <c r="AD23" s="605">
        <f>AD16+AD22</f>
        <v/>
      </c>
      <c r="AE23" s="605">
        <f>AE16+AE22</f>
        <v/>
      </c>
      <c r="AF23" s="605">
        <f>AF16+AF22</f>
        <v/>
      </c>
      <c r="AG23" s="605">
        <f>AG16+AG22</f>
        <v/>
      </c>
      <c r="AH23" s="605">
        <f>AH16+AH22</f>
        <v/>
      </c>
      <c r="AI23" s="605">
        <f>AI16+AI22</f>
        <v/>
      </c>
      <c r="AJ23" s="605">
        <f>AJ16+AJ22</f>
        <v/>
      </c>
      <c r="AK23" s="605">
        <f>AK16+AK22</f>
        <v/>
      </c>
      <c r="AL23" s="605">
        <f>AL16+AL22</f>
        <v/>
      </c>
      <c r="AM23" s="605">
        <f>AM16+AM22</f>
        <v/>
      </c>
      <c r="AN23" s="605">
        <f>AN16+AN22</f>
        <v/>
      </c>
      <c r="AO23" s="43" t="n"/>
      <c r="AP23" s="43" t="n"/>
      <c r="AQ23" s="111" t="inlineStr">
        <is>
          <t>Base</t>
        </is>
      </c>
      <c r="AR23" s="614" t="n">
        <v>0.05512631140400712</v>
      </c>
      <c r="AS23" s="614" t="n">
        <v>0.03116503597388426</v>
      </c>
      <c r="AT23" s="614" t="n">
        <v>0.00317644389542945</v>
      </c>
      <c r="AU23" s="614" t="n">
        <v>0.02219221511184172</v>
      </c>
      <c r="AV23" s="614" t="n">
        <v>0.03141085853841818</v>
      </c>
      <c r="AW23" s="614" t="n">
        <v>0.07144237085120358</v>
      </c>
      <c r="AX23" s="614" t="n">
        <v>0.08768708840774388</v>
      </c>
      <c r="AY23" s="614" t="n">
        <v>0.1073664409027227</v>
      </c>
      <c r="AZ23" s="614" t="n">
        <v>0.1041704703356553</v>
      </c>
      <c r="BA23" s="614" t="n">
        <v>0.1013468551519973</v>
      </c>
      <c r="BB23" s="614" t="n">
        <v>0.09880386793820947</v>
      </c>
      <c r="BC23" s="614" t="n">
        <v>0.0965438518268269</v>
      </c>
    </row>
    <row r="24">
      <c r="A24" s="43" t="inlineStr">
        <is>
          <t>Net finance costs</t>
        </is>
      </c>
      <c r="B24" s="62" t="n"/>
      <c r="C24" s="62" t="n"/>
      <c r="D24" s="62" t="n"/>
      <c r="E24" s="62" t="n"/>
      <c r="F24" s="62" t="n"/>
      <c r="G24" s="62" t="n"/>
      <c r="H24" s="62" t="n"/>
      <c r="I24" s="62" t="n"/>
      <c r="J24" s="62" t="n"/>
      <c r="K24" s="62" t="n"/>
      <c r="L24" s="62" t="n"/>
      <c r="M24" s="62" t="n"/>
      <c r="N24" s="597" t="n"/>
      <c r="O24" s="512" t="n"/>
      <c r="P24" s="512" t="n"/>
      <c r="Q24" s="512" t="n"/>
      <c r="R24" s="512">
        <f>R25+R26</f>
        <v/>
      </c>
      <c r="S24" s="512">
        <f>S25+S26</f>
        <v/>
      </c>
      <c r="T24" s="512">
        <f>T25+T26</f>
        <v/>
      </c>
      <c r="U24" s="512">
        <f>U25+U26</f>
        <v/>
      </c>
      <c r="V24" s="512" t="n">
        <v>-1636</v>
      </c>
      <c r="W24" s="512" t="n">
        <v>-1576</v>
      </c>
      <c r="X24" s="512" t="n">
        <v>-991</v>
      </c>
      <c r="Y24" s="512" t="n">
        <v>-682</v>
      </c>
      <c r="Z24" s="512" t="n">
        <v>-207</v>
      </c>
      <c r="AA24" s="526">
        <f>AA25+AA26</f>
        <v/>
      </c>
      <c r="AB24" s="526">
        <f>AB25+AB26</f>
        <v/>
      </c>
      <c r="AC24" s="526" t="n">
        <v>-60</v>
      </c>
      <c r="AD24" s="526" t="n">
        <v>-88</v>
      </c>
      <c r="AE24" s="526">
        <f>AE25+AE26</f>
        <v/>
      </c>
      <c r="AF24" s="526">
        <f>AF25+AF26</f>
        <v/>
      </c>
      <c r="AG24" s="526">
        <f>AG25+AG26</f>
        <v/>
      </c>
      <c r="AH24" s="526">
        <f>AH25+AH26</f>
        <v/>
      </c>
      <c r="AI24" s="526">
        <f>AI25+AI26</f>
        <v/>
      </c>
      <c r="AJ24" s="526">
        <f>AJ25+AJ26</f>
        <v/>
      </c>
      <c r="AK24" s="526">
        <f>AK25+AK26</f>
        <v/>
      </c>
      <c r="AL24" s="526">
        <f>AL25+AL26</f>
        <v/>
      </c>
      <c r="AM24" s="526">
        <f>AM25+AM26</f>
        <v/>
      </c>
      <c r="AN24" s="526">
        <f>AN25+AN26</f>
        <v/>
      </c>
      <c r="AO24" s="43" t="n"/>
      <c r="AP24" s="43" t="n"/>
      <c r="AQ24" s="111" t="inlineStr">
        <is>
          <t>Low scenario</t>
        </is>
      </c>
      <c r="AR24" s="614" t="n"/>
      <c r="AS24" s="614" t="n"/>
      <c r="AT24" s="614" t="n"/>
      <c r="AU24" s="614" t="n"/>
      <c r="AV24" s="614" t="n"/>
      <c r="AW24" s="614" t="n">
        <v>0.07144237085120358</v>
      </c>
      <c r="AX24" s="614" t="n">
        <v>0.07745505401905564</v>
      </c>
      <c r="AY24" s="614" t="n">
        <v>0.05533940888573922</v>
      </c>
      <c r="AZ24" s="614" t="n">
        <v>0.01752330299696634</v>
      </c>
      <c r="BA24" s="614" t="n">
        <v>0.01641777115107794</v>
      </c>
      <c r="BB24" s="614" t="n">
        <v>0.01541499847221035</v>
      </c>
      <c r="BC24" s="614" t="n">
        <v>0.01450784990114235</v>
      </c>
    </row>
    <row r="25">
      <c r="A25" s="111" t="inlineStr">
        <is>
          <t>Finance costs</t>
        </is>
      </c>
      <c r="N25" s="526" t="n"/>
      <c r="O25" s="512" t="n"/>
      <c r="P25" s="512" t="n"/>
      <c r="Q25" s="512" t="n"/>
      <c r="R25" s="116" t="n">
        <v>-731</v>
      </c>
      <c r="S25" s="512" t="n">
        <v>-666</v>
      </c>
      <c r="T25" s="512" t="n">
        <v>-831</v>
      </c>
      <c r="U25" s="512" t="n">
        <v>-1929</v>
      </c>
      <c r="V25" s="512">
        <f>V24-V26</f>
        <v/>
      </c>
      <c r="W25" s="512">
        <f>W24-W26</f>
        <v/>
      </c>
      <c r="X25" s="512">
        <f>X24-X26</f>
        <v/>
      </c>
      <c r="Y25" s="512">
        <f>Y24-Y26</f>
        <v/>
      </c>
      <c r="Z25" s="512">
        <f>Z24-Z26</f>
        <v/>
      </c>
      <c r="AA25" s="526" t="n">
        <v>-140</v>
      </c>
      <c r="AB25" s="526" t="n">
        <v>-97</v>
      </c>
      <c r="AC25" s="526" t="n">
        <v>-109</v>
      </c>
      <c r="AD25" s="526" t="n">
        <v>-110</v>
      </c>
      <c r="AE25" s="526" t="n">
        <v>-133</v>
      </c>
      <c r="AF25" s="526" t="n">
        <v>-345</v>
      </c>
      <c r="AG25" s="526" t="n">
        <v>-477</v>
      </c>
      <c r="AH25" s="526" t="n">
        <v>-471</v>
      </c>
      <c r="AI25" s="564">
        <f>-AI85*AH84</f>
        <v/>
      </c>
      <c r="AJ25" s="564">
        <f>-AJ85*AI84</f>
        <v/>
      </c>
      <c r="AK25" s="564">
        <f>-AK85*AJ84</f>
        <v/>
      </c>
      <c r="AL25" s="564">
        <f>-AL85*AK84</f>
        <v/>
      </c>
      <c r="AM25" s="564">
        <f>-AM85*AL84</f>
        <v/>
      </c>
      <c r="AN25" s="564">
        <f>-AN85*AM84</f>
        <v/>
      </c>
      <c r="AQ25" s="130" t="n"/>
      <c r="AR25" s="131" t="n"/>
      <c r="AS25" s="131" t="n"/>
      <c r="AT25" s="131" t="n"/>
      <c r="AU25" s="126" t="n"/>
      <c r="AV25" s="662" t="n"/>
    </row>
    <row r="26">
      <c r="A26" s="111" t="inlineStr">
        <is>
          <t>Finance income</t>
        </is>
      </c>
      <c r="N26" s="526" t="n"/>
      <c r="O26" s="512" t="n"/>
      <c r="P26" s="512" t="n"/>
      <c r="Q26" s="512" t="n"/>
      <c r="R26" s="512" t="n">
        <v>46</v>
      </c>
      <c r="S26" s="512" t="n">
        <v>30</v>
      </c>
      <c r="T26" s="512" t="n">
        <v>52</v>
      </c>
      <c r="U26" s="512" t="n">
        <v>70</v>
      </c>
      <c r="V26" s="512" t="n">
        <v>208</v>
      </c>
      <c r="W26" s="512" t="n">
        <v>44</v>
      </c>
      <c r="X26" s="512" t="n">
        <v>28</v>
      </c>
      <c r="Y26" s="512" t="n">
        <v>20</v>
      </c>
      <c r="Z26" s="512" t="n">
        <v>8</v>
      </c>
      <c r="AA26" s="526" t="n">
        <v>16</v>
      </c>
      <c r="AB26" s="526" t="n">
        <v>73</v>
      </c>
      <c r="AC26" s="526" t="n">
        <v>49</v>
      </c>
      <c r="AD26" s="526" t="n">
        <v>22</v>
      </c>
      <c r="AE26" s="526" t="n">
        <v>7</v>
      </c>
      <c r="AF26" s="526" t="n">
        <v>34</v>
      </c>
      <c r="AG26" s="526" t="n">
        <v>23</v>
      </c>
      <c r="AH26" s="526" t="n">
        <v>29</v>
      </c>
      <c r="AI26" s="564">
        <f>AH26</f>
        <v/>
      </c>
      <c r="AJ26" s="564">
        <f>AI26</f>
        <v/>
      </c>
      <c r="AK26" s="564">
        <f>AJ26</f>
        <v/>
      </c>
      <c r="AL26" s="564">
        <f>AK26</f>
        <v/>
      </c>
      <c r="AM26" s="564">
        <f>AL26</f>
        <v/>
      </c>
      <c r="AN26" s="564">
        <f>AM26</f>
        <v/>
      </c>
      <c r="AQ26" s="130" t="n"/>
      <c r="AR26" s="131" t="n"/>
      <c r="AS26" s="131" t="n"/>
      <c r="AT26" s="131" t="n"/>
      <c r="AU26" s="126" t="n"/>
      <c r="AV26" s="662" t="n"/>
    </row>
    <row r="27" customFormat="1" s="43">
      <c r="A27" s="43" t="inlineStr">
        <is>
          <t>Income tax expense</t>
        </is>
      </c>
      <c r="B27" s="43" t="n"/>
      <c r="C27" s="43" t="n"/>
      <c r="D27" s="43" t="n"/>
      <c r="E27" s="43" t="n"/>
      <c r="F27" s="43" t="n"/>
      <c r="G27" s="43" t="n"/>
      <c r="H27" s="43" t="n"/>
      <c r="I27" s="43" t="n"/>
      <c r="J27" s="43" t="n"/>
      <c r="K27" s="43" t="n"/>
      <c r="L27" s="43" t="n"/>
      <c r="M27" s="43" t="n"/>
      <c r="N27" s="526" t="n"/>
      <c r="O27" s="512" t="n"/>
      <c r="P27" s="512" t="n"/>
      <c r="Q27" s="512" t="n"/>
      <c r="R27" s="512" t="n"/>
      <c r="S27" s="512" t="n"/>
      <c r="T27" s="116" t="n">
        <v>-591</v>
      </c>
      <c r="U27" s="116" t="n">
        <v>-1391</v>
      </c>
      <c r="V27" s="116" t="n">
        <v>-755</v>
      </c>
      <c r="W27" s="512" t="n">
        <v>-50</v>
      </c>
      <c r="X27" s="512" t="n">
        <v>-296</v>
      </c>
      <c r="Y27" s="512" t="n">
        <v>-394</v>
      </c>
      <c r="Z27" s="512" t="n">
        <v>-747</v>
      </c>
      <c r="AA27" s="526" t="n">
        <v>-1042</v>
      </c>
      <c r="AB27" s="526" t="n">
        <v>-1509</v>
      </c>
      <c r="AC27" s="526" t="n">
        <v>-534</v>
      </c>
      <c r="AD27" s="526" t="n">
        <v>-703</v>
      </c>
      <c r="AE27" s="526" t="n">
        <v>55</v>
      </c>
      <c r="AF27" s="526" t="n">
        <v>2303</v>
      </c>
      <c r="AG27" s="526" t="n">
        <v>246</v>
      </c>
      <c r="AH27" s="526" t="n">
        <v>-83</v>
      </c>
      <c r="AI27" s="564">
        <f>-(AI23+AI24)*AI28</f>
        <v/>
      </c>
      <c r="AJ27" s="564">
        <f>-(AJ23+AJ24)*AJ28</f>
        <v/>
      </c>
      <c r="AK27" s="564">
        <f>-(AK23+AK24)*AK28</f>
        <v/>
      </c>
      <c r="AL27" s="564">
        <f>-(AL23+AL24)*AL28</f>
        <v/>
      </c>
      <c r="AM27" s="564">
        <f>-(AM23+AM24)*AM28</f>
        <v/>
      </c>
      <c r="AN27" s="564">
        <f>-(AN23+AN24)*AN28</f>
        <v/>
      </c>
      <c r="AO27" s="43" t="n"/>
      <c r="AP27" s="43" t="n"/>
      <c r="AQ27" s="131" t="n"/>
      <c r="AR27" s="43" t="inlineStr">
        <is>
          <t>EBITF</t>
        </is>
      </c>
      <c r="AS27" s="43" t="inlineStr">
        <is>
          <t>EBITDAF</t>
        </is>
      </c>
      <c r="AT27" s="43" t="inlineStr">
        <is>
          <t>Diff</t>
        </is>
      </c>
      <c r="AU27" s="117" t="inlineStr">
        <is>
          <t>D&amp;A</t>
        </is>
      </c>
    </row>
    <row r="28">
      <c r="A28" s="118" t="inlineStr">
        <is>
          <t>Effective tax rate</t>
        </is>
      </c>
      <c r="N28" s="526" t="n"/>
      <c r="O28" s="512" t="n"/>
      <c r="P28" s="512" t="n"/>
      <c r="Q28" s="512" t="n"/>
      <c r="R28" s="512" t="n"/>
      <c r="S28" s="512" t="n"/>
      <c r="T28" s="459">
        <f>-T27/(T23+T24)</f>
        <v/>
      </c>
      <c r="U28" s="459">
        <f>-U27/(U23+U24)</f>
        <v/>
      </c>
      <c r="V28" s="459">
        <f>-V27/(V23+V24)</f>
        <v/>
      </c>
      <c r="W28" s="459">
        <f>-W27/(W23+W24)</f>
        <v/>
      </c>
      <c r="X28" s="459">
        <f>-X27/(X23+X24)</f>
        <v/>
      </c>
      <c r="Y28" s="459">
        <f>-Y27/(Y23+Y24)</f>
        <v/>
      </c>
      <c r="Z28" s="459">
        <f>-Z27/(Z23+Z24)</f>
        <v/>
      </c>
      <c r="AA28" s="459">
        <f>-AA27/(AA23+AA24)</f>
        <v/>
      </c>
      <c r="AB28" s="459">
        <f>-AB27/(AB23+AB24)</f>
        <v/>
      </c>
      <c r="AC28" s="459">
        <f>-AC27/(AC23+AC24)</f>
        <v/>
      </c>
      <c r="AD28" s="459">
        <f>-AD27/(AD23+AD24)</f>
        <v/>
      </c>
      <c r="AE28" s="459">
        <f>-AE27/(AE23+AE24)</f>
        <v/>
      </c>
      <c r="AF28" s="459">
        <f>-AF27/(AF23+AF24)</f>
        <v/>
      </c>
      <c r="AG28" s="459">
        <f>-AG27/(AG23+AG24)</f>
        <v/>
      </c>
      <c r="AH28" s="459">
        <f>-AH27/(AH23+AH24)</f>
        <v/>
      </c>
      <c r="AI28" s="129">
        <f>AH28</f>
        <v/>
      </c>
      <c r="AJ28" s="129">
        <f>AI28</f>
        <v/>
      </c>
      <c r="AK28" s="129">
        <f>AJ28</f>
        <v/>
      </c>
      <c r="AL28" s="129">
        <f>AK28</f>
        <v/>
      </c>
      <c r="AM28" s="129">
        <f>AL28</f>
        <v/>
      </c>
      <c r="AN28" s="129">
        <f>AM28</f>
        <v/>
      </c>
      <c r="AQ28" s="111" t="inlineStr">
        <is>
          <t>Customer (Retail)</t>
        </is>
      </c>
      <c r="AR28" s="43" t="n">
        <v>1131</v>
      </c>
      <c r="AS28" s="43" t="n">
        <v>1409</v>
      </c>
      <c r="AT28" s="43">
        <f>AR28-AS28</f>
        <v/>
      </c>
      <c r="AU28" s="485">
        <f>AT28/-2368</f>
        <v/>
      </c>
    </row>
    <row r="29">
      <c r="A29" s="109" t="inlineStr">
        <is>
          <t>Earnings (recurring)</t>
        </is>
      </c>
      <c r="B29" s="109" t="n"/>
      <c r="C29" s="109" t="n"/>
      <c r="D29" s="109" t="n"/>
      <c r="E29" s="109" t="n"/>
      <c r="F29" s="109" t="n"/>
      <c r="G29" s="109" t="n"/>
      <c r="H29" s="109" t="n"/>
      <c r="I29" s="109" t="n"/>
      <c r="J29" s="109" t="n"/>
      <c r="K29" s="109" t="n"/>
      <c r="L29" s="109" t="n"/>
      <c r="M29" s="109" t="n"/>
      <c r="N29" s="605" t="n">
        <v>118</v>
      </c>
      <c r="O29" s="605" t="n">
        <v>200</v>
      </c>
      <c r="P29" s="605" t="n">
        <v>191</v>
      </c>
      <c r="Q29" s="605" t="n">
        <v>227</v>
      </c>
      <c r="R29" s="605" t="n">
        <v>604</v>
      </c>
      <c r="S29" s="605" t="n">
        <v>736</v>
      </c>
      <c r="T29" s="605">
        <f>T23+T24+T27</f>
        <v/>
      </c>
      <c r="U29" s="605">
        <f>U23+U24+U27</f>
        <v/>
      </c>
      <c r="V29" s="605">
        <f>V23+V24+V27</f>
        <v/>
      </c>
      <c r="W29" s="605">
        <f>W23+W24+W27</f>
        <v/>
      </c>
      <c r="X29" s="605">
        <f>X23+X24+X27</f>
        <v/>
      </c>
      <c r="Y29" s="605">
        <f>Y23+Y24+Y27</f>
        <v/>
      </c>
      <c r="Z29" s="605">
        <f>Z23+Z24+Z27</f>
        <v/>
      </c>
      <c r="AA29" s="605">
        <f>AA23+AA24+AA27</f>
        <v/>
      </c>
      <c r="AB29" s="605">
        <f>AB23+AB24+AB27</f>
        <v/>
      </c>
      <c r="AC29" s="605">
        <f>AC23+AC24+AC27</f>
        <v/>
      </c>
      <c r="AD29" s="605">
        <f>AD23+AD24+AD27</f>
        <v/>
      </c>
      <c r="AE29" s="605">
        <f>AE23+AE24+AE27</f>
        <v/>
      </c>
      <c r="AF29" s="605">
        <f>AF23+AF24+AF27</f>
        <v/>
      </c>
      <c r="AG29" s="605">
        <f>AG23+AG24+AG27</f>
        <v/>
      </c>
      <c r="AH29" s="605">
        <f>AH23+AH24+AH27</f>
        <v/>
      </c>
      <c r="AI29" s="605">
        <f>AI23+AI24+AI27</f>
        <v/>
      </c>
      <c r="AJ29" s="605">
        <f>AJ23+AJ24+AJ27</f>
        <v/>
      </c>
      <c r="AK29" s="605">
        <f>AK23+AK24+AK27</f>
        <v/>
      </c>
      <c r="AL29" s="605">
        <f>AL23+AL24+AL27</f>
        <v/>
      </c>
      <c r="AM29" s="605">
        <f>AM23+AM24+AM27</f>
        <v/>
      </c>
      <c r="AN29" s="605">
        <f>AN23+AN24+AN27</f>
        <v/>
      </c>
      <c r="AO29" s="43" t="n"/>
      <c r="AP29" s="43" t="n"/>
      <c r="AQ29" s="111" t="inlineStr">
        <is>
          <t>Energy (Wholesale)</t>
        </is>
      </c>
      <c r="AR29" s="43" t="n">
        <v>-2879</v>
      </c>
      <c r="AS29" s="43" t="n">
        <v>-904</v>
      </c>
      <c r="AT29" s="43">
        <f>AR29-AS29</f>
        <v/>
      </c>
      <c r="AU29" s="485">
        <f>AT29/-2368</f>
        <v/>
      </c>
    </row>
    <row r="30" customFormat="1" s="43">
      <c r="A30" s="43" t="inlineStr">
        <is>
          <t>One-off impairment</t>
        </is>
      </c>
      <c r="B30" s="43" t="n"/>
      <c r="C30" s="43" t="n"/>
      <c r="D30" s="43" t="n"/>
      <c r="E30" s="43" t="n"/>
      <c r="F30" s="43" t="n"/>
      <c r="G30" s="43" t="n"/>
      <c r="H30" s="43" t="n"/>
      <c r="I30" s="43" t="n"/>
      <c r="J30" s="43" t="n"/>
      <c r="K30" s="43" t="n"/>
      <c r="L30" s="43" t="n"/>
      <c r="M30" s="43" t="n"/>
      <c r="N30" s="526" t="n"/>
      <c r="O30" s="526" t="n"/>
      <c r="P30" s="526" t="n"/>
      <c r="Q30" s="526" t="n"/>
      <c r="R30" s="526" t="n"/>
      <c r="S30" s="526" t="n"/>
      <c r="T30" s="526" t="n">
        <v>0</v>
      </c>
      <c r="U30" s="526" t="n">
        <v>-1933</v>
      </c>
      <c r="V30" s="526" t="n">
        <v>-790</v>
      </c>
      <c r="W30" s="526" t="n">
        <v>-3106</v>
      </c>
      <c r="X30" s="526" t="n">
        <v>-1578</v>
      </c>
      <c r="Y30" s="526" t="n">
        <v>-1480</v>
      </c>
      <c r="Z30" s="526" t="n">
        <v>54</v>
      </c>
      <c r="AA30" s="526" t="n">
        <v>0</v>
      </c>
      <c r="AB30" s="526" t="n">
        <v>0</v>
      </c>
      <c r="AC30" s="526" t="n">
        <v>-6381</v>
      </c>
      <c r="AD30" s="526" t="n">
        <v>0</v>
      </c>
      <c r="AE30" s="526" t="n">
        <v>0</v>
      </c>
      <c r="AF30" s="526" t="n">
        <v>0</v>
      </c>
      <c r="AG30" s="526" t="n">
        <v>-5868</v>
      </c>
      <c r="AH30" s="526" t="n">
        <v>0</v>
      </c>
      <c r="AI30" s="526" t="n"/>
      <c r="AJ30" s="526" t="n"/>
      <c r="AK30" s="526" t="n"/>
      <c r="AL30" s="526" t="n"/>
      <c r="AM30" s="526" t="n"/>
      <c r="AN30" s="526" t="n"/>
      <c r="AO30" s="43" t="n"/>
      <c r="AP30" s="43" t="n"/>
      <c r="AQ30" s="111" t="inlineStr">
        <is>
          <t>Enterprise (Corporate)</t>
        </is>
      </c>
      <c r="AR30" s="43" t="n">
        <v>-1315</v>
      </c>
      <c r="AS30" s="43" t="n">
        <v>-1200</v>
      </c>
      <c r="AT30" s="43">
        <f>AR30-AS30</f>
        <v/>
      </c>
      <c r="AU30" s="485">
        <f>AT30/-2368</f>
        <v/>
      </c>
    </row>
    <row r="31">
      <c r="A31" s="43" t="inlineStr">
        <is>
          <t>Other non-recurring items</t>
        </is>
      </c>
      <c r="N31" s="526" t="n"/>
      <c r="O31" s="526" t="n"/>
      <c r="P31" s="526" t="n"/>
      <c r="Q31" s="526" t="n"/>
      <c r="R31" s="526" t="n"/>
      <c r="S31" s="526" t="n"/>
      <c r="T31" s="526">
        <f>989+97-258</f>
        <v/>
      </c>
      <c r="U31" s="526">
        <f>-640+300+148</f>
        <v/>
      </c>
      <c r="V31" s="526" t="n">
        <v>105</v>
      </c>
      <c r="W31" s="526">
        <f>-76+600</f>
        <v/>
      </c>
      <c r="X31" s="526">
        <f>152+545</f>
        <v/>
      </c>
      <c r="Y31" s="526">
        <f>6619-858</f>
        <v/>
      </c>
      <c r="Z31" s="526" t="n">
        <v>0</v>
      </c>
      <c r="AA31" s="526" t="n">
        <v>573</v>
      </c>
      <c r="AB31" s="526" t="n">
        <v>0</v>
      </c>
      <c r="AC31" s="526" t="n">
        <v>0</v>
      </c>
      <c r="AD31" s="526" t="n">
        <v>0</v>
      </c>
      <c r="AE31" s="526" t="n">
        <v>-1093</v>
      </c>
      <c r="AF31" s="526" t="n">
        <v>0</v>
      </c>
      <c r="AG31" s="526" t="n">
        <v>0</v>
      </c>
      <c r="AH31" s="526" t="n">
        <v>0</v>
      </c>
      <c r="AI31" s="526" t="n"/>
      <c r="AJ31" s="526" t="n"/>
      <c r="AK31" s="526" t="n"/>
      <c r="AL31" s="526" t="n"/>
      <c r="AM31" s="526" t="n"/>
      <c r="AN31" s="526" t="n"/>
    </row>
    <row r="32">
      <c r="A32" s="109" t="inlineStr">
        <is>
          <t>Earnings (reported)</t>
        </is>
      </c>
      <c r="B32" s="109" t="n"/>
      <c r="C32" s="109" t="n"/>
      <c r="D32" s="109" t="n"/>
      <c r="E32" s="109" t="n"/>
      <c r="F32" s="109" t="n"/>
      <c r="G32" s="109" t="n"/>
      <c r="H32" s="109" t="n"/>
      <c r="I32" s="109" t="n"/>
      <c r="J32" s="109" t="n"/>
      <c r="K32" s="109" t="n"/>
      <c r="L32" s="109" t="n"/>
      <c r="M32" s="109" t="n"/>
      <c r="N32" s="605" t="n"/>
      <c r="O32" s="605" t="n"/>
      <c r="P32" s="605" t="n"/>
      <c r="Q32" s="605" t="n"/>
      <c r="R32" s="605" t="n"/>
      <c r="S32" s="605" t="n"/>
      <c r="T32" s="605">
        <f>T29+T30+T31</f>
        <v/>
      </c>
      <c r="U32" s="605">
        <f>U29+U30+U31</f>
        <v/>
      </c>
      <c r="V32" s="605">
        <f>V29+V30+V31</f>
        <v/>
      </c>
      <c r="W32" s="605">
        <f>W29+W30+W31</f>
        <v/>
      </c>
      <c r="X32" s="605">
        <f>X29+X30+X31</f>
        <v/>
      </c>
      <c r="Y32" s="605">
        <f>Y29+Y30+Y31</f>
        <v/>
      </c>
      <c r="Z32" s="605">
        <f>Z29+Z30+Z31</f>
        <v/>
      </c>
      <c r="AA32" s="605">
        <f>AA29+AA30+AA31</f>
        <v/>
      </c>
      <c r="AB32" s="605">
        <f>AB29+AB30+AB31</f>
        <v/>
      </c>
      <c r="AC32" s="605">
        <f>AC29+AC30+AC31</f>
        <v/>
      </c>
      <c r="AD32" s="605">
        <f>SUM(AD29:AD31)</f>
        <v/>
      </c>
      <c r="AE32" s="605">
        <f>AE29+AE30+AE31</f>
        <v/>
      </c>
      <c r="AF32" s="605">
        <f>AF29+AF30+AF31</f>
        <v/>
      </c>
      <c r="AG32" s="605">
        <f>AG29+AG30+AG31</f>
        <v/>
      </c>
      <c r="AH32" s="605">
        <f>AH29+AH30+AH31</f>
        <v/>
      </c>
      <c r="AI32" s="605">
        <f>AI29+AI30+AI31</f>
        <v/>
      </c>
      <c r="AJ32" s="605">
        <f>AJ29+AJ30+AJ31</f>
        <v/>
      </c>
      <c r="AK32" s="605">
        <f>AK29+AK30+AK31</f>
        <v/>
      </c>
      <c r="AL32" s="605">
        <f>AL29+AL30+AL31</f>
        <v/>
      </c>
      <c r="AM32" s="605">
        <f>AM29+AM30+AM31</f>
        <v/>
      </c>
      <c r="AN32" s="605">
        <f>AN29+AN30+AN31</f>
        <v/>
      </c>
      <c r="AO32" s="43" t="n"/>
      <c r="AP32" s="43" t="n"/>
    </row>
    <row r="33">
      <c r="N33" s="526" t="n"/>
      <c r="O33" s="526" t="n"/>
      <c r="P33" s="526" t="n"/>
      <c r="Q33" s="526" t="n"/>
      <c r="R33" s="526" t="n"/>
      <c r="S33" s="526" t="n"/>
      <c r="T33" s="526" t="n"/>
      <c r="U33" s="526" t="n"/>
      <c r="V33" s="526" t="n"/>
      <c r="W33" s="526" t="n"/>
      <c r="X33" s="526" t="n"/>
      <c r="Y33" s="526" t="n"/>
      <c r="Z33" s="526" t="n"/>
      <c r="AA33" s="526" t="n"/>
      <c r="AB33" s="526" t="n"/>
      <c r="AC33" s="526" t="n"/>
      <c r="AD33" s="526" t="n"/>
      <c r="AE33" s="612" t="n"/>
      <c r="AF33" s="526" t="n"/>
      <c r="AG33" s="526" t="n"/>
      <c r="AH33" s="526" t="n"/>
      <c r="AI33" s="131" t="n"/>
      <c r="AJ33" s="526" t="n"/>
      <c r="AK33" s="526" t="n"/>
      <c r="AL33" s="526" t="n"/>
      <c r="AM33" s="526" t="n"/>
      <c r="AN33" s="526" t="n"/>
    </row>
    <row r="34" customFormat="1" s="62">
      <c r="A34" s="6" t="inlineStr">
        <is>
          <t>Key drivers</t>
        </is>
      </c>
      <c r="B34" s="85" t="n"/>
      <c r="C34" s="85" t="n"/>
      <c r="D34" s="85" t="n"/>
      <c r="E34" s="85" t="n"/>
      <c r="F34" s="85" t="n"/>
      <c r="G34" s="85" t="n"/>
      <c r="H34" s="85" t="n"/>
      <c r="I34" s="85" t="n"/>
      <c r="J34" s="85" t="n"/>
      <c r="K34" s="85" t="n"/>
      <c r="L34" s="85" t="n"/>
      <c r="M34" s="85" t="n"/>
      <c r="N34" s="85" t="n"/>
      <c r="O34" s="85" t="n"/>
      <c r="P34" s="85" t="n"/>
      <c r="Q34" s="85" t="n"/>
      <c r="R34" s="85" t="n"/>
      <c r="S34" s="85" t="n"/>
      <c r="T34" s="85" t="n"/>
      <c r="U34" s="85" t="n"/>
      <c r="V34" s="85" t="n"/>
      <c r="W34" s="85" t="n"/>
      <c r="X34" s="85" t="n"/>
      <c r="Y34" s="85" t="n"/>
      <c r="Z34" s="85" t="n"/>
      <c r="AA34" s="85" t="n"/>
      <c r="AB34" s="85" t="n"/>
      <c r="AC34" s="85" t="n"/>
      <c r="AD34" s="85" t="n"/>
      <c r="AE34" s="452" t="n"/>
      <c r="AF34" s="85" t="n"/>
      <c r="AG34" s="85" t="n"/>
      <c r="AH34" s="85" t="n"/>
      <c r="AI34" s="85" t="n"/>
      <c r="AJ34" s="85" t="n"/>
      <c r="AK34" s="85" t="n"/>
      <c r="AL34" s="85" t="n"/>
      <c r="AM34" s="85" t="n"/>
      <c r="AN34" s="85" t="n"/>
      <c r="AO34" s="43" t="n"/>
      <c r="AP34" s="43" t="n"/>
    </row>
    <row r="35" customFormat="1" s="62">
      <c r="A35" s="88" t="inlineStr">
        <is>
          <t>Retail</t>
        </is>
      </c>
      <c r="B35" s="132" t="n"/>
      <c r="C35" s="132" t="n"/>
      <c r="D35" s="132" t="n"/>
      <c r="E35" s="132" t="n"/>
      <c r="F35" s="132" t="n"/>
      <c r="G35" s="132" t="n"/>
      <c r="H35" s="132" t="n"/>
      <c r="I35" s="132" t="n"/>
      <c r="J35" s="132" t="n"/>
      <c r="K35" s="132" t="n"/>
      <c r="L35" s="132" t="n"/>
      <c r="M35" s="132" t="n"/>
      <c r="N35" s="132" t="n"/>
      <c r="O35" s="132" t="n"/>
      <c r="P35" s="132" t="n"/>
      <c r="Q35" s="132" t="n"/>
      <c r="R35" s="133" t="n"/>
      <c r="S35" s="687" t="n"/>
      <c r="T35" s="687" t="n"/>
      <c r="U35" s="687" t="n"/>
      <c r="V35" s="687" t="n"/>
      <c r="W35" s="132" t="n"/>
      <c r="X35" s="132" t="n"/>
      <c r="Y35" s="132" t="n"/>
      <c r="Z35" s="132" t="n"/>
      <c r="AA35" s="132" t="n"/>
      <c r="AB35" s="132" t="n"/>
      <c r="AC35" s="132" t="n"/>
      <c r="AD35" s="132" t="n"/>
      <c r="AE35" s="132" t="n"/>
      <c r="AF35" s="132" t="n"/>
      <c r="AG35" s="132" t="n"/>
      <c r="AH35" s="132" t="n"/>
      <c r="AI35" s="132" t="n"/>
      <c r="AJ35" s="132" t="n"/>
      <c r="AK35" s="132" t="n"/>
      <c r="AL35" s="132" t="n"/>
      <c r="AM35" s="132" t="n"/>
      <c r="AN35" s="132" t="n"/>
      <c r="AO35" s="43" t="n"/>
      <c r="AP35" s="43" t="n"/>
    </row>
    <row r="36">
      <c r="A36" s="62" t="inlineStr">
        <is>
          <t>Electricity</t>
        </is>
      </c>
      <c r="B36" s="62" t="n"/>
      <c r="C36" s="62" t="n"/>
      <c r="D36" s="62" t="n"/>
      <c r="E36" s="62" t="n"/>
      <c r="F36" s="62" t="n"/>
      <c r="G36" s="62" t="n"/>
      <c r="H36" s="62" t="n"/>
      <c r="I36" s="62" t="n"/>
      <c r="J36" s="62" t="n"/>
      <c r="K36" s="62" t="n"/>
      <c r="L36" s="62" t="n"/>
      <c r="M36" s="62" t="n"/>
      <c r="N36" s="62" t="n"/>
      <c r="O36" s="560" t="n"/>
      <c r="P36" s="560" t="n"/>
      <c r="Q36" s="560" t="n"/>
      <c r="R36" s="560" t="n"/>
      <c r="S36" s="560" t="n"/>
      <c r="T36" s="560" t="n"/>
      <c r="U36" s="560" t="n"/>
      <c r="V36" s="560" t="n"/>
      <c r="W36" s="560" t="n"/>
      <c r="X36" s="560" t="n"/>
      <c r="Y36" s="560" t="n"/>
      <c r="Z36" s="560" t="n"/>
      <c r="AA36" s="560" t="n"/>
      <c r="AB36" s="560" t="n"/>
      <c r="AC36" s="445" t="n"/>
      <c r="AD36" s="62" t="n"/>
      <c r="AE36" s="62" t="n"/>
      <c r="AF36" s="62" t="n"/>
      <c r="AG36" s="62" t="n"/>
      <c r="AH36" s="62" t="n"/>
      <c r="AI36" s="62" t="n"/>
      <c r="AJ36" s="62" t="n"/>
      <c r="AK36" s="62" t="n"/>
      <c r="AL36" s="62" t="n"/>
      <c r="AM36" s="62" t="n"/>
      <c r="AN36" s="62" t="n"/>
      <c r="AO36" s="62" t="n"/>
      <c r="AP36" s="62" t="n"/>
      <c r="AQ36" s="32" t="n"/>
    </row>
    <row r="37">
      <c r="A37" s="62" t="inlineStr">
        <is>
          <t>Volume (GWh)</t>
        </is>
      </c>
      <c r="B37" s="62" t="n"/>
      <c r="C37" s="62" t="n"/>
      <c r="D37" s="62" t="n"/>
      <c r="E37" s="62" t="n"/>
      <c r="F37" s="62" t="n"/>
      <c r="G37" s="62" t="n"/>
      <c r="H37" s="62" t="n"/>
      <c r="I37" s="62" t="n"/>
      <c r="J37" s="62" t="n"/>
      <c r="K37" s="62" t="n"/>
      <c r="L37" s="62" t="n"/>
      <c r="M37" s="62" t="n"/>
      <c r="N37" s="62" t="n"/>
      <c r="O37" s="560" t="n"/>
      <c r="P37" s="560" t="n"/>
      <c r="Q37" s="560" t="n"/>
      <c r="R37" s="560" t="n"/>
      <c r="S37" s="560" t="n"/>
      <c r="T37" s="560" t="n"/>
      <c r="U37" s="560" t="n">
        <v>31706</v>
      </c>
      <c r="V37" s="560" t="n">
        <v>31373</v>
      </c>
      <c r="W37" s="560" t="n">
        <v>28100</v>
      </c>
      <c r="X37" s="560" t="n">
        <v>24200</v>
      </c>
      <c r="Y37" s="560" t="n">
        <v>21500</v>
      </c>
      <c r="Z37" s="560" t="n">
        <v>20100</v>
      </c>
      <c r="AA37" s="560">
        <f>AA38+AA40</f>
        <v/>
      </c>
      <c r="AB37" s="560">
        <f>AB38+AB40</f>
        <v/>
      </c>
      <c r="AC37" s="560">
        <f>AC38+AC40</f>
        <v/>
      </c>
      <c r="AD37" s="560">
        <f>AD38+AD40</f>
        <v/>
      </c>
      <c r="AE37" s="560">
        <f>AE38+AE40</f>
        <v/>
      </c>
      <c r="AF37" s="560">
        <f>AF38+AF40</f>
        <v/>
      </c>
      <c r="AG37" s="560">
        <f>AG38+AG40</f>
        <v/>
      </c>
      <c r="AH37" s="560">
        <f>AH38+AH40</f>
        <v/>
      </c>
      <c r="AI37" s="560">
        <f>AI38+AI40</f>
        <v/>
      </c>
      <c r="AJ37" s="560">
        <f>AJ38+AJ40</f>
        <v/>
      </c>
      <c r="AK37" s="560">
        <f>AK38+AK40</f>
        <v/>
      </c>
      <c r="AL37" s="560">
        <f>AL38+AL40</f>
        <v/>
      </c>
      <c r="AM37" s="560">
        <f>AM38+AM40</f>
        <v/>
      </c>
      <c r="AN37" s="560">
        <f>AN38+AN40</f>
        <v/>
      </c>
      <c r="AO37" s="62" t="n"/>
      <c r="AP37" s="62" t="n"/>
      <c r="AQ37" s="32" t="n"/>
    </row>
    <row r="38">
      <c r="A38" s="111" t="inlineStr">
        <is>
          <t>Mass market</t>
        </is>
      </c>
      <c r="B38" s="32" t="n"/>
      <c r="C38" s="32" t="n"/>
      <c r="D38" s="32" t="n"/>
      <c r="E38" s="32" t="n"/>
      <c r="F38" s="32" t="n"/>
      <c r="G38" s="32" t="n"/>
      <c r="H38" s="32" t="n"/>
      <c r="I38" s="32" t="n"/>
      <c r="J38" s="32" t="n"/>
      <c r="K38" s="32" t="n"/>
      <c r="L38" s="32" t="n"/>
      <c r="M38" s="32" t="n"/>
      <c r="N38" s="32" t="n"/>
      <c r="O38" s="512" t="n"/>
      <c r="P38" s="512" t="n"/>
      <c r="Q38" s="512" t="n"/>
      <c r="R38" s="512" t="n"/>
      <c r="S38" s="512" t="n"/>
      <c r="T38" s="512" t="n"/>
      <c r="U38" s="512">
        <f>U37-U40</f>
        <v/>
      </c>
      <c r="V38" s="512">
        <f>V37-V40</f>
        <v/>
      </c>
      <c r="W38" s="512">
        <f>W37-W40</f>
        <v/>
      </c>
      <c r="X38" s="512">
        <f>X37-X40</f>
        <v/>
      </c>
      <c r="Y38" s="512">
        <f>Y37-Y40</f>
        <v/>
      </c>
      <c r="Z38" s="512">
        <f>Z37-Z40</f>
        <v/>
      </c>
      <c r="AA38" s="512" t="n">
        <v>10900</v>
      </c>
      <c r="AB38" s="512" t="n">
        <v>10400</v>
      </c>
      <c r="AC38" s="512" t="n">
        <v>9900</v>
      </c>
      <c r="AD38" s="512" t="n">
        <v>9700</v>
      </c>
      <c r="AE38" s="512" t="n">
        <v>9100</v>
      </c>
      <c r="AF38" s="512" t="n">
        <v>9300</v>
      </c>
      <c r="AG38" s="512" t="n">
        <v>8900</v>
      </c>
      <c r="AH38" s="512" t="n">
        <v>8900</v>
      </c>
      <c r="AI38" s="528">
        <f>AH38*(1+AI39)</f>
        <v/>
      </c>
      <c r="AJ38" s="528">
        <f>AI38*(1+AJ39)</f>
        <v/>
      </c>
      <c r="AK38" s="528">
        <f>AJ38*(1+AK39)</f>
        <v/>
      </c>
      <c r="AL38" s="528">
        <f>AK38*(1+AL39)</f>
        <v/>
      </c>
      <c r="AM38" s="528">
        <f>AL38*(1+AM39)</f>
        <v/>
      </c>
      <c r="AN38" s="528">
        <f>AM38*(1+AN39)</f>
        <v/>
      </c>
      <c r="AO38" s="32" t="n"/>
      <c r="AP38" s="32" t="n"/>
      <c r="AQ38" s="32" t="n"/>
    </row>
    <row r="39">
      <c r="A39" s="118" t="inlineStr">
        <is>
          <t>YoY</t>
        </is>
      </c>
      <c r="B39" s="32" t="n"/>
      <c r="C39" s="32" t="n"/>
      <c r="D39" s="32" t="n"/>
      <c r="E39" s="32" t="n"/>
      <c r="F39" s="32" t="n"/>
      <c r="G39" s="32" t="n"/>
      <c r="H39" s="32" t="n"/>
      <c r="I39" s="32" t="n"/>
      <c r="J39" s="32" t="n"/>
      <c r="K39" s="32" t="n"/>
      <c r="L39" s="32" t="n"/>
      <c r="M39" s="32" t="n"/>
      <c r="N39" s="32" t="n"/>
      <c r="O39" s="512" t="n"/>
      <c r="P39" s="512" t="n"/>
      <c r="Q39" s="512" t="n"/>
      <c r="R39" s="512" t="n"/>
      <c r="S39" s="512" t="n"/>
      <c r="T39" s="512" t="n"/>
      <c r="U39" s="512" t="n"/>
      <c r="V39" s="459">
        <f>V38/U38-1</f>
        <v/>
      </c>
      <c r="W39" s="459">
        <f>W38/V38-1</f>
        <v/>
      </c>
      <c r="X39" s="459">
        <f>X38/W38-1</f>
        <v/>
      </c>
      <c r="Y39" s="459">
        <f>Y38/X38-1</f>
        <v/>
      </c>
      <c r="Z39" s="459">
        <f>Z38/Y38-1</f>
        <v/>
      </c>
      <c r="AA39" s="459">
        <f>AA38/Z38-1</f>
        <v/>
      </c>
      <c r="AB39" s="459">
        <f>AB38/AA38-1</f>
        <v/>
      </c>
      <c r="AC39" s="459">
        <f>AC38/AB38-1</f>
        <v/>
      </c>
      <c r="AD39" s="459">
        <f>AD38/AC38-1</f>
        <v/>
      </c>
      <c r="AE39" s="459">
        <f>AE38/AD38-1</f>
        <v/>
      </c>
      <c r="AF39" s="459">
        <f>AF38/AE38-1</f>
        <v/>
      </c>
      <c r="AG39" s="459">
        <f>AG38/AF38-1</f>
        <v/>
      </c>
      <c r="AH39" s="459">
        <f>AH38/AG38-1</f>
        <v/>
      </c>
      <c r="AI39" s="469">
        <f>4.2/4.5-1</f>
        <v/>
      </c>
      <c r="AJ39" s="469">
        <f>AI39</f>
        <v/>
      </c>
      <c r="AK39" s="469">
        <f>AJ39</f>
        <v/>
      </c>
      <c r="AL39" s="469">
        <f>AK39</f>
        <v/>
      </c>
      <c r="AM39" s="469">
        <f>AL39</f>
        <v/>
      </c>
      <c r="AN39" s="469">
        <f>AM39</f>
        <v/>
      </c>
      <c r="AO39" s="32" t="n"/>
      <c r="AP39" s="32" t="n"/>
      <c r="AQ39" s="32" t="n"/>
    </row>
    <row r="40">
      <c r="A40" s="111" t="inlineStr">
        <is>
          <t>Commercial and industrial</t>
        </is>
      </c>
      <c r="B40" s="32" t="n"/>
      <c r="C40" s="32" t="n"/>
      <c r="D40" s="32" t="n"/>
      <c r="E40" s="32" t="n"/>
      <c r="F40" s="32" t="n"/>
      <c r="G40" s="32" t="n"/>
      <c r="H40" s="32" t="n"/>
      <c r="I40" s="32" t="n"/>
      <c r="J40" s="32" t="n"/>
      <c r="K40" s="32" t="n"/>
      <c r="L40" s="32" t="n"/>
      <c r="M40" s="32" t="n"/>
      <c r="N40" s="32" t="n"/>
      <c r="O40" s="512" t="n"/>
      <c r="P40" s="512" t="n"/>
      <c r="Q40" s="512" t="n"/>
      <c r="R40" s="512" t="n"/>
      <c r="S40" s="512" t="n"/>
      <c r="T40" s="512" t="n"/>
      <c r="U40" s="512" t="n">
        <v>18983.2101910828</v>
      </c>
      <c r="V40" s="512" t="n">
        <v>18100</v>
      </c>
      <c r="W40" s="512" t="n">
        <v>15800</v>
      </c>
      <c r="X40" s="512" t="n">
        <v>13100</v>
      </c>
      <c r="Y40" s="512" t="n">
        <v>10500</v>
      </c>
      <c r="Z40" s="512" t="n">
        <v>9200</v>
      </c>
      <c r="AA40" s="512" t="n">
        <v>8000</v>
      </c>
      <c r="AB40" s="512" t="n">
        <v>8700</v>
      </c>
      <c r="AC40" s="512" t="n">
        <v>8500</v>
      </c>
      <c r="AD40" s="512" t="n">
        <v>7900</v>
      </c>
      <c r="AE40" s="512" t="n">
        <v>7000</v>
      </c>
      <c r="AF40" s="512" t="n">
        <v>7400</v>
      </c>
      <c r="AG40" s="512" t="n">
        <v>5900</v>
      </c>
      <c r="AH40" s="512" t="n">
        <v>4900</v>
      </c>
      <c r="AI40" s="528">
        <f>AH40*(1+AI41)</f>
        <v/>
      </c>
      <c r="AJ40" s="528">
        <f>AI40*(1+AJ41)</f>
        <v/>
      </c>
      <c r="AK40" s="528">
        <f>AJ40*(1+AK41)</f>
        <v/>
      </c>
      <c r="AL40" s="528">
        <f>AK40*(1+AL41)</f>
        <v/>
      </c>
      <c r="AM40" s="528">
        <f>AL40*(1+AM41)</f>
        <v/>
      </c>
      <c r="AN40" s="528">
        <f>AM40*(1+AN41)</f>
        <v/>
      </c>
      <c r="AO40" s="32" t="n"/>
      <c r="AP40" s="32" t="n"/>
      <c r="AQ40" s="32" t="n"/>
    </row>
    <row r="41">
      <c r="A41" s="118" t="inlineStr">
        <is>
          <t>YoY</t>
        </is>
      </c>
      <c r="B41" s="32" t="n"/>
      <c r="C41" s="32" t="n"/>
      <c r="D41" s="32" t="n"/>
      <c r="E41" s="32" t="n"/>
      <c r="F41" s="32" t="n"/>
      <c r="G41" s="32" t="n"/>
      <c r="H41" s="32" t="n"/>
      <c r="I41" s="32" t="n"/>
      <c r="J41" s="32" t="n"/>
      <c r="K41" s="32" t="n"/>
      <c r="L41" s="32" t="n"/>
      <c r="M41" s="32" t="n"/>
      <c r="N41" s="32" t="n"/>
      <c r="O41" s="512" t="n"/>
      <c r="P41" s="512" t="n"/>
      <c r="Q41" s="512" t="n"/>
      <c r="R41" s="512" t="n"/>
      <c r="S41" s="512" t="n"/>
      <c r="T41" s="512" t="n"/>
      <c r="U41" s="512" t="n"/>
      <c r="V41" s="459">
        <f>V40/U40-1</f>
        <v/>
      </c>
      <c r="W41" s="459">
        <f>W40/V40-1</f>
        <v/>
      </c>
      <c r="X41" s="459">
        <f>X40/W40-1</f>
        <v/>
      </c>
      <c r="Y41" s="459">
        <f>Y40/X40-1</f>
        <v/>
      </c>
      <c r="Z41" s="459">
        <f>Z40/Y40-1</f>
        <v/>
      </c>
      <c r="AA41" s="459">
        <f>AA40/Z40-1</f>
        <v/>
      </c>
      <c r="AB41" s="459">
        <f>AB40/AA40-1</f>
        <v/>
      </c>
      <c r="AC41" s="459">
        <f>AC40/AB40-1</f>
        <v/>
      </c>
      <c r="AD41" s="459">
        <f>AD40/AC40-1</f>
        <v/>
      </c>
      <c r="AE41" s="459">
        <f>AE40/AD40-1</f>
        <v/>
      </c>
      <c r="AF41" s="459">
        <f>AF40/AE40-1</f>
        <v/>
      </c>
      <c r="AG41" s="459">
        <f>AG40/AF40-1</f>
        <v/>
      </c>
      <c r="AH41" s="459">
        <f>AH40/AG40-1</f>
        <v/>
      </c>
      <c r="AI41" s="469">
        <f>2.1/2.8-1</f>
        <v/>
      </c>
      <c r="AJ41" s="469" t="n">
        <v>0</v>
      </c>
      <c r="AK41" s="469">
        <f>AJ41</f>
        <v/>
      </c>
      <c r="AL41" s="469">
        <f>AK41</f>
        <v/>
      </c>
      <c r="AM41" s="469">
        <f>AL41</f>
        <v/>
      </c>
      <c r="AN41" s="469">
        <f>AM41</f>
        <v/>
      </c>
      <c r="AO41" s="32" t="n"/>
      <c r="AP41" s="32" t="n"/>
      <c r="AQ41" s="32" t="n"/>
    </row>
    <row r="42">
      <c r="A42" s="62" t="inlineStr">
        <is>
          <t>Revenue</t>
        </is>
      </c>
      <c r="B42" s="32" t="n"/>
      <c r="C42" s="32" t="n"/>
      <c r="D42" s="32" t="n"/>
      <c r="E42" s="32" t="n"/>
      <c r="F42" s="32" t="n"/>
      <c r="G42" s="32" t="n"/>
      <c r="H42" s="32" t="n"/>
      <c r="I42" s="32" t="n"/>
      <c r="J42" s="32" t="n"/>
      <c r="K42" s="32" t="n"/>
      <c r="L42" s="32" t="n"/>
      <c r="M42" s="32" t="n"/>
      <c r="N42" s="32" t="n"/>
      <c r="O42" s="512" t="n"/>
      <c r="P42" s="512" t="n"/>
      <c r="Q42" s="512" t="n"/>
      <c r="R42" s="512" t="n"/>
      <c r="S42" s="512" t="n"/>
      <c r="T42" s="512" t="n"/>
      <c r="U42" s="560" t="n"/>
      <c r="V42" s="560" t="n"/>
      <c r="W42" s="560">
        <f>5905*W2</f>
        <v/>
      </c>
      <c r="X42" s="560">
        <f>5006*X2</f>
        <v/>
      </c>
      <c r="Y42" s="560">
        <f>4254.6*Y2</f>
        <v/>
      </c>
      <c r="Z42" s="560">
        <f>3891.8*Z2</f>
        <v/>
      </c>
      <c r="AA42" s="560">
        <f>4202.5*AA2</f>
        <v/>
      </c>
      <c r="AB42" s="560">
        <f>4482*AB2</f>
        <v/>
      </c>
      <c r="AC42" s="560">
        <f>4187.6*AC2</f>
        <v/>
      </c>
      <c r="AD42" s="560">
        <f>3933.9*AD2</f>
        <v/>
      </c>
      <c r="AE42" s="560">
        <f>3430.5*AE2</f>
        <v/>
      </c>
      <c r="AF42" s="560">
        <f>3607.1*AF2</f>
        <v/>
      </c>
      <c r="AG42" s="560">
        <f>3832.6*AG2</f>
        <v/>
      </c>
      <c r="AH42" s="560">
        <f>3882.1*AH2</f>
        <v/>
      </c>
      <c r="AI42" s="560" t="n"/>
      <c r="AJ42" s="560" t="n"/>
      <c r="AK42" s="560" t="n"/>
      <c r="AL42" s="560" t="n"/>
      <c r="AM42" s="560" t="n"/>
      <c r="AN42" s="560" t="n"/>
      <c r="AO42" s="32" t="n"/>
      <c r="AP42" s="32" t="n"/>
      <c r="AQ42" s="32" t="n"/>
    </row>
    <row r="43">
      <c r="B43" s="32" t="n"/>
      <c r="C43" s="32" t="n"/>
      <c r="D43" s="32" t="n"/>
      <c r="E43" s="32" t="n"/>
      <c r="F43" s="32" t="n"/>
      <c r="G43" s="32" t="n"/>
      <c r="H43" s="32" t="n"/>
      <c r="I43" s="32" t="n"/>
      <c r="J43" s="32" t="n"/>
      <c r="K43" s="32" t="n"/>
      <c r="L43" s="32" t="n"/>
      <c r="M43" s="32" t="n"/>
      <c r="N43" s="32" t="n"/>
      <c r="O43" s="512" t="n"/>
      <c r="P43" s="512" t="n"/>
      <c r="Q43" s="512" t="n"/>
      <c r="R43" s="512" t="n"/>
      <c r="S43" s="512" t="n"/>
      <c r="T43" s="512" t="n"/>
      <c r="U43" s="512" t="n"/>
      <c r="V43" s="512" t="n"/>
      <c r="AB43" s="512" t="n"/>
      <c r="AC43" s="512" t="n"/>
      <c r="AD43" s="169" t="n"/>
      <c r="AE43" s="116" t="n"/>
      <c r="AF43" s="116" t="n"/>
      <c r="AG43" s="116" t="n"/>
      <c r="AH43" s="116" t="n"/>
      <c r="AI43" s="116" t="n"/>
      <c r="AJ43" s="116" t="n"/>
      <c r="AK43" s="116" t="n"/>
      <c r="AL43" s="116" t="n"/>
      <c r="AM43" s="116" t="n"/>
      <c r="AN43" s="116" t="n"/>
      <c r="AO43" s="32" t="n"/>
      <c r="AP43" s="32" t="n"/>
      <c r="AQ43" s="32" t="n"/>
    </row>
    <row r="44">
      <c r="A44" s="62" t="inlineStr">
        <is>
          <t>Gas</t>
        </is>
      </c>
      <c r="B44" s="32" t="n"/>
      <c r="C44" s="32" t="n"/>
      <c r="D44" s="32" t="n"/>
      <c r="E44" s="32" t="n"/>
      <c r="F44" s="32" t="n"/>
      <c r="G44" s="32" t="n"/>
      <c r="H44" s="32" t="n"/>
      <c r="I44" s="32" t="n"/>
      <c r="J44" s="32" t="n"/>
      <c r="K44" s="32" t="n"/>
      <c r="L44" s="32" t="n"/>
      <c r="M44" s="32" t="n"/>
      <c r="N44" s="32" t="n"/>
      <c r="O44" s="512" t="n"/>
      <c r="P44" s="512" t="n"/>
      <c r="Q44" s="512" t="n"/>
      <c r="R44" s="512" t="n"/>
      <c r="S44" s="512" t="n"/>
      <c r="T44" s="512" t="n"/>
      <c r="U44" s="512" t="n"/>
      <c r="V44" s="512" t="n"/>
      <c r="W44" s="512" t="n"/>
      <c r="X44" s="512" t="n"/>
      <c r="Y44" s="512" t="n"/>
      <c r="Z44" s="512" t="n"/>
      <c r="AA44" s="512" t="n"/>
      <c r="AB44" s="512" t="n"/>
      <c r="AC44" s="512" t="n"/>
      <c r="AD44" s="116" t="n"/>
      <c r="AE44" s="116" t="n"/>
      <c r="AF44" s="116" t="n"/>
      <c r="AG44" s="116" t="n"/>
      <c r="AH44" s="116" t="n"/>
      <c r="AI44" s="116" t="n"/>
      <c r="AJ44" s="116" t="n"/>
      <c r="AK44" s="116" t="n"/>
      <c r="AL44" s="116" t="n"/>
      <c r="AM44" s="116" t="n"/>
      <c r="AN44" s="116" t="n"/>
      <c r="AO44" s="32" t="n"/>
      <c r="AP44" s="32" t="n"/>
      <c r="AQ44" s="32" t="n"/>
    </row>
    <row r="45">
      <c r="A45" s="62" t="inlineStr">
        <is>
          <t>Volume (TJ)</t>
        </is>
      </c>
      <c r="B45" s="32" t="n"/>
      <c r="C45" s="32" t="n"/>
      <c r="D45" s="32" t="n"/>
      <c r="E45" s="32" t="n"/>
      <c r="F45" s="32" t="n"/>
      <c r="G45" s="32" t="n"/>
      <c r="H45" s="32" t="n"/>
      <c r="I45" s="32" t="n"/>
      <c r="J45" s="32" t="n"/>
      <c r="K45" s="32" t="n"/>
      <c r="L45" s="32" t="n"/>
      <c r="M45" s="32" t="n"/>
      <c r="N45" s="32" t="n"/>
      <c r="O45" s="32" t="n"/>
      <c r="P45" s="32" t="n"/>
      <c r="Q45" s="568" t="n"/>
      <c r="R45" s="116" t="n"/>
      <c r="S45" s="116" t="n"/>
      <c r="T45" s="116" t="n"/>
      <c r="U45" s="137" t="n">
        <v>77040</v>
      </c>
      <c r="V45" s="137" t="n">
        <v>75756</v>
      </c>
      <c r="W45" s="137" t="n">
        <v>79700</v>
      </c>
      <c r="X45" s="137" t="n">
        <v>70200</v>
      </c>
      <c r="Y45" s="137">
        <f>35700+35800</f>
        <v/>
      </c>
      <c r="Z45" s="137">
        <f>34600+31500</f>
        <v/>
      </c>
      <c r="AA45" s="137">
        <f>34700+23100</f>
        <v/>
      </c>
      <c r="AB45" s="460">
        <f>33300+10200</f>
        <v/>
      </c>
      <c r="AC45" s="460">
        <f>32500+12500</f>
        <v/>
      </c>
      <c r="AD45" s="460">
        <f>AD46+AD48</f>
        <v/>
      </c>
      <c r="AE45" s="460">
        <f>AE46+AE48</f>
        <v/>
      </c>
      <c r="AF45" s="460">
        <f>AF46+AF48</f>
        <v/>
      </c>
      <c r="AG45" s="460">
        <f>AG46+AG48</f>
        <v/>
      </c>
      <c r="AH45" s="460">
        <f>AH46+AH48</f>
        <v/>
      </c>
      <c r="AI45" s="460" t="n"/>
      <c r="AJ45" s="460" t="n"/>
      <c r="AK45" s="460" t="n"/>
      <c r="AL45" s="460" t="n"/>
      <c r="AM45" s="460" t="n"/>
      <c r="AN45" s="460" t="n"/>
      <c r="AO45" s="32" t="n"/>
      <c r="AP45" s="32" t="n"/>
      <c r="AQ45" s="32" t="n"/>
    </row>
    <row r="46">
      <c r="A46" s="111" t="inlineStr">
        <is>
          <t>Mass market</t>
        </is>
      </c>
      <c r="B46" s="32" t="n"/>
      <c r="C46" s="32" t="n"/>
      <c r="D46" s="32" t="n"/>
      <c r="E46" s="32" t="n"/>
      <c r="F46" s="32" t="n"/>
      <c r="G46" s="32" t="n"/>
      <c r="H46" s="32" t="n"/>
      <c r="I46" s="32" t="n"/>
      <c r="J46" s="32" t="n"/>
      <c r="K46" s="32" t="n"/>
      <c r="L46" s="32" t="n"/>
      <c r="M46" s="32" t="n"/>
      <c r="N46" s="32" t="n"/>
      <c r="O46" s="32" t="n"/>
      <c r="P46" s="32" t="n"/>
      <c r="Q46" s="568" t="n"/>
      <c r="R46" s="116" t="n"/>
      <c r="S46" s="116" t="n"/>
      <c r="T46" s="116" t="n"/>
      <c r="U46" s="116" t="n"/>
      <c r="V46" s="116" t="n"/>
      <c r="W46" s="116" t="n">
        <v>38400</v>
      </c>
      <c r="X46" s="116" t="n">
        <v>33300</v>
      </c>
      <c r="Y46" s="116" t="n">
        <v>35700</v>
      </c>
      <c r="Z46" s="116" t="n">
        <v>34600</v>
      </c>
      <c r="AA46" s="116" t="n">
        <v>34700</v>
      </c>
      <c r="AB46" s="512" t="n">
        <v>33300</v>
      </c>
      <c r="AC46" s="512" t="n">
        <v>32500</v>
      </c>
      <c r="AD46" s="512" t="n">
        <v>32200</v>
      </c>
      <c r="AE46" s="512" t="n">
        <v>33000</v>
      </c>
      <c r="AF46" s="512" t="n">
        <v>32900</v>
      </c>
      <c r="AG46" s="512" t="n">
        <v>28100</v>
      </c>
      <c r="AH46" s="512" t="n">
        <v>28600</v>
      </c>
      <c r="AI46" s="512" t="n"/>
      <c r="AJ46" s="512" t="n"/>
      <c r="AK46" s="512" t="n"/>
      <c r="AL46" s="512" t="n"/>
      <c r="AM46" s="512" t="n"/>
      <c r="AN46" s="512" t="n"/>
      <c r="AO46" s="32" t="n"/>
      <c r="AP46" s="32" t="n"/>
      <c r="AQ46" s="32" t="n"/>
    </row>
    <row r="47">
      <c r="A47" s="118" t="inlineStr">
        <is>
          <t>YoY</t>
        </is>
      </c>
      <c r="B47" s="32" t="n"/>
      <c r="C47" s="32" t="n"/>
      <c r="D47" s="32" t="n"/>
      <c r="E47" s="32" t="n"/>
      <c r="F47" s="32" t="n"/>
      <c r="G47" s="32" t="n"/>
      <c r="H47" s="32" t="n"/>
      <c r="I47" s="32" t="n"/>
      <c r="J47" s="32" t="n"/>
      <c r="K47" s="32" t="n"/>
      <c r="L47" s="32" t="n"/>
      <c r="M47" s="32" t="n"/>
      <c r="N47" s="32" t="n"/>
      <c r="O47" s="512" t="n"/>
      <c r="P47" s="512" t="n"/>
      <c r="Q47" s="512" t="n"/>
      <c r="R47" s="512" t="n"/>
      <c r="S47" s="512" t="n"/>
      <c r="T47" s="512" t="n"/>
      <c r="U47" s="512" t="n"/>
      <c r="V47" s="459" t="n"/>
      <c r="W47" s="459" t="n"/>
      <c r="X47" s="459">
        <f>X46/W46-1</f>
        <v/>
      </c>
      <c r="Y47" s="459">
        <f>Y46/X46-1</f>
        <v/>
      </c>
      <c r="Z47" s="459">
        <f>Z46/Y46-1</f>
        <v/>
      </c>
      <c r="AA47" s="459">
        <f>AA46/Z46-1</f>
        <v/>
      </c>
      <c r="AB47" s="459">
        <f>AB46/AA46-1</f>
        <v/>
      </c>
      <c r="AC47" s="459">
        <f>AC46/AB46-1</f>
        <v/>
      </c>
      <c r="AD47" s="459">
        <f>AD46/AC46-1</f>
        <v/>
      </c>
      <c r="AE47" s="459">
        <f>AE46/AD46-1</f>
        <v/>
      </c>
      <c r="AF47" s="459">
        <f>AF46/AE46-1</f>
        <v/>
      </c>
      <c r="AG47" s="459">
        <f>AG46/AF46-1</f>
        <v/>
      </c>
      <c r="AH47" s="459">
        <f>AH46/AG46-1</f>
        <v/>
      </c>
      <c r="AI47" s="469" t="n"/>
      <c r="AJ47" s="469" t="n"/>
      <c r="AK47" s="469" t="n"/>
      <c r="AL47" s="469" t="n"/>
      <c r="AM47" s="469" t="n"/>
      <c r="AN47" s="469" t="n"/>
      <c r="AO47" s="32" t="n"/>
      <c r="AP47" s="32" t="n"/>
      <c r="AQ47" s="32" t="n"/>
    </row>
    <row r="48">
      <c r="A48" s="111" t="inlineStr">
        <is>
          <t>Commercial and industrial</t>
        </is>
      </c>
      <c r="B48" s="32" t="n"/>
      <c r="C48" s="32" t="n"/>
      <c r="D48" s="32" t="n"/>
      <c r="E48" s="32" t="n"/>
      <c r="F48" s="32" t="n"/>
      <c r="G48" s="32" t="n"/>
      <c r="H48" s="32" t="n"/>
      <c r="I48" s="32" t="n"/>
      <c r="J48" s="32" t="n"/>
      <c r="K48" s="32" t="n"/>
      <c r="L48" s="32" t="n"/>
      <c r="M48" s="32" t="n"/>
      <c r="N48" s="32" t="n"/>
      <c r="O48" s="32" t="n"/>
      <c r="P48" s="32" t="n"/>
      <c r="Q48" s="568" t="n"/>
      <c r="R48" s="116" t="n"/>
      <c r="S48" s="116" t="n"/>
      <c r="T48" s="116" t="n"/>
      <c r="U48" s="116" t="n"/>
      <c r="V48" s="116" t="n"/>
      <c r="W48" s="116" t="n">
        <v>41300</v>
      </c>
      <c r="X48" s="116" t="n">
        <v>37000</v>
      </c>
      <c r="Y48" s="116" t="n">
        <v>35800</v>
      </c>
      <c r="Z48" s="116" t="n">
        <v>31500</v>
      </c>
      <c r="AA48" s="116" t="n">
        <v>23100</v>
      </c>
      <c r="AB48" s="512" t="n">
        <v>10200</v>
      </c>
      <c r="AC48" s="512" t="n">
        <v>12500</v>
      </c>
      <c r="AD48" s="512" t="n">
        <v>9800</v>
      </c>
      <c r="AE48" s="512" t="n">
        <v>4200</v>
      </c>
      <c r="AF48" s="512" t="n">
        <v>4500</v>
      </c>
      <c r="AG48" s="512" t="n">
        <v>2500</v>
      </c>
      <c r="AH48" s="512" t="n">
        <v>1600</v>
      </c>
      <c r="AI48" s="512" t="n"/>
      <c r="AJ48" s="512" t="n"/>
      <c r="AK48" s="512" t="n"/>
      <c r="AL48" s="512" t="n"/>
      <c r="AM48" s="512" t="n"/>
      <c r="AN48" s="512" t="n"/>
      <c r="AO48" s="32" t="n"/>
      <c r="AP48" s="32" t="n"/>
      <c r="AQ48" s="32" t="n"/>
    </row>
    <row r="49">
      <c r="A49" s="118" t="inlineStr">
        <is>
          <t>YoY</t>
        </is>
      </c>
      <c r="B49" s="32" t="n"/>
      <c r="C49" s="32" t="n"/>
      <c r="D49" s="32" t="n"/>
      <c r="E49" s="32" t="n"/>
      <c r="F49" s="32" t="n"/>
      <c r="G49" s="32" t="n"/>
      <c r="H49" s="32" t="n"/>
      <c r="I49" s="32" t="n"/>
      <c r="J49" s="32" t="n"/>
      <c r="K49" s="32" t="n"/>
      <c r="L49" s="32" t="n"/>
      <c r="M49" s="32" t="n"/>
      <c r="N49" s="32" t="n"/>
      <c r="O49" s="512" t="n"/>
      <c r="P49" s="512" t="n"/>
      <c r="Q49" s="512" t="n"/>
      <c r="R49" s="512" t="n"/>
      <c r="S49" s="512" t="n"/>
      <c r="T49" s="512" t="n"/>
      <c r="U49" s="512" t="n"/>
      <c r="V49" s="459" t="n"/>
      <c r="W49" s="459" t="n"/>
      <c r="X49" s="459">
        <f>X48/W48-1</f>
        <v/>
      </c>
      <c r="Y49" s="459">
        <f>Y48/X48-1</f>
        <v/>
      </c>
      <c r="Z49" s="459">
        <f>Z48/Y48-1</f>
        <v/>
      </c>
      <c r="AA49" s="459">
        <f>AA48/Z48-1</f>
        <v/>
      </c>
      <c r="AB49" s="459">
        <f>AB48/AA48-1</f>
        <v/>
      </c>
      <c r="AC49" s="459">
        <f>AC48/AB48-1</f>
        <v/>
      </c>
      <c r="AD49" s="459">
        <f>AD48/AC48-1</f>
        <v/>
      </c>
      <c r="AE49" s="459">
        <f>AE48/AD48-1</f>
        <v/>
      </c>
      <c r="AF49" s="459">
        <f>AF48/AE48-1</f>
        <v/>
      </c>
      <c r="AG49" s="459">
        <f>AG48/AF48-1</f>
        <v/>
      </c>
      <c r="AH49" s="459">
        <f>AH48/AG48-1</f>
        <v/>
      </c>
      <c r="AI49" s="469" t="n"/>
      <c r="AJ49" s="469" t="n"/>
      <c r="AK49" s="469" t="n"/>
      <c r="AL49" s="469" t="n"/>
      <c r="AM49" s="469" t="n"/>
      <c r="AN49" s="469" t="n"/>
      <c r="AO49" s="32" t="n"/>
      <c r="AP49" s="32" t="n"/>
      <c r="AQ49" s="32" t="n"/>
    </row>
    <row r="50">
      <c r="A50" s="62" t="inlineStr">
        <is>
          <t>Revenue</t>
        </is>
      </c>
      <c r="B50" s="32" t="n"/>
      <c r="C50" s="32" t="n"/>
      <c r="D50" s="32" t="n"/>
      <c r="E50" s="32" t="n"/>
      <c r="F50" s="32" t="n"/>
      <c r="G50" s="32" t="n"/>
      <c r="H50" s="32" t="n"/>
      <c r="I50" s="32" t="n"/>
      <c r="J50" s="32" t="n"/>
      <c r="K50" s="32" t="n"/>
      <c r="L50" s="32" t="n"/>
      <c r="M50" s="32" t="n"/>
      <c r="N50" s="32" t="n"/>
      <c r="O50" s="32" t="n"/>
      <c r="P50" s="32" t="n"/>
      <c r="Q50" s="568" t="n"/>
      <c r="R50" s="116" t="n"/>
      <c r="S50" s="116" t="n"/>
      <c r="T50" s="116" t="n"/>
      <c r="U50" s="460" t="n"/>
      <c r="V50" s="460" t="n"/>
      <c r="W50" s="460">
        <f>1043*W2</f>
        <v/>
      </c>
      <c r="X50" s="460">
        <f>972*X2</f>
        <v/>
      </c>
      <c r="Y50" s="460">
        <f>1035.2*Y2</f>
        <v/>
      </c>
      <c r="Z50" s="460">
        <f>1020.6*Z2</f>
        <v/>
      </c>
      <c r="AA50" s="460">
        <f>1033.5*AA2</f>
        <v/>
      </c>
      <c r="AB50" s="460">
        <f>1008.5*AB2</f>
        <v/>
      </c>
      <c r="AC50" s="560">
        <f>1004.9*AC2</f>
        <v/>
      </c>
      <c r="AD50" s="560">
        <f>947.3*AD2</f>
        <v/>
      </c>
      <c r="AE50" s="560">
        <f>886.8*AE2</f>
        <v/>
      </c>
      <c r="AF50" s="560">
        <f>943.3*AF2</f>
        <v/>
      </c>
      <c r="AG50" s="560">
        <f>1083.5*AG2</f>
        <v/>
      </c>
      <c r="AH50" s="560">
        <f>1091.1*AH2</f>
        <v/>
      </c>
      <c r="AI50" s="560" t="n"/>
      <c r="AJ50" s="560" t="n"/>
      <c r="AK50" s="560" t="n"/>
      <c r="AL50" s="560" t="n"/>
      <c r="AM50" s="560" t="n"/>
      <c r="AN50" s="560" t="n"/>
      <c r="AO50" s="32" t="n"/>
      <c r="AP50" s="32" t="n"/>
      <c r="AQ50" s="32" t="n"/>
    </row>
    <row r="51">
      <c r="B51" s="32" t="n"/>
      <c r="C51" s="32" t="n"/>
      <c r="D51" s="32" t="n"/>
      <c r="E51" s="32" t="n"/>
      <c r="F51" s="32" t="n"/>
      <c r="G51" s="32" t="n"/>
      <c r="H51" s="32" t="n"/>
      <c r="I51" s="32" t="n"/>
      <c r="J51" s="32" t="n"/>
      <c r="K51" s="32" t="n"/>
      <c r="L51" s="32" t="n"/>
      <c r="M51" s="32" t="n"/>
      <c r="N51" s="32" t="n"/>
      <c r="O51" s="32" t="n"/>
      <c r="P51" s="32" t="n"/>
      <c r="Q51" s="568" t="n"/>
      <c r="R51" s="116" t="n"/>
      <c r="S51" s="116" t="n"/>
      <c r="T51" s="116" t="n"/>
      <c r="U51" s="460" t="n"/>
      <c r="V51" s="460" t="n"/>
      <c r="W51" s="461" t="n"/>
      <c r="X51" s="461" t="n"/>
      <c r="Y51" s="461" t="n"/>
      <c r="Z51" s="461" t="n"/>
      <c r="AA51" s="688" t="n"/>
      <c r="AB51" s="688" t="n"/>
      <c r="AC51" s="688" t="n"/>
      <c r="AD51" s="688" t="n"/>
      <c r="AE51" s="688" t="n"/>
      <c r="AF51" s="688" t="n"/>
      <c r="AG51" s="688" t="n"/>
      <c r="AH51" s="688" t="n"/>
      <c r="AI51" s="688" t="n"/>
      <c r="AJ51" s="688" t="n"/>
      <c r="AK51" s="688" t="n"/>
      <c r="AL51" s="688" t="n"/>
      <c r="AM51" s="688" t="n"/>
      <c r="AN51" s="688" t="n"/>
      <c r="AO51" s="32" t="n"/>
      <c r="AP51" s="32" t="n"/>
      <c r="AQ51" s="32" t="n"/>
      <c r="AU51" s="689">
        <f>W1</f>
        <v/>
      </c>
      <c r="AV51" s="689">
        <f>X1</f>
        <v/>
      </c>
      <c r="AW51" s="689">
        <f>Y1</f>
        <v/>
      </c>
      <c r="AX51" s="689">
        <f>Z1</f>
        <v/>
      </c>
      <c r="AY51" s="689">
        <f>AA1</f>
        <v/>
      </c>
      <c r="AZ51" s="689">
        <f>AB1</f>
        <v/>
      </c>
      <c r="BA51" s="689">
        <f>AC1</f>
        <v/>
      </c>
      <c r="BB51" s="689">
        <f>AD1</f>
        <v/>
      </c>
    </row>
    <row r="52">
      <c r="A52" s="62" t="inlineStr">
        <is>
          <t>Retail EBIT</t>
        </is>
      </c>
      <c r="B52" s="32" t="n"/>
      <c r="C52" s="32" t="n"/>
      <c r="D52" s="32" t="n"/>
      <c r="E52" s="32" t="n"/>
      <c r="F52" s="32" t="n"/>
      <c r="G52" s="32" t="n"/>
      <c r="H52" s="32" t="n"/>
      <c r="I52" s="32" t="n"/>
      <c r="J52" s="32" t="n"/>
      <c r="K52" s="32" t="n"/>
      <c r="L52" s="32" t="n"/>
      <c r="M52" s="32" t="n"/>
      <c r="N52" s="32" t="n"/>
      <c r="O52" s="32" t="n"/>
      <c r="P52" s="32" t="n"/>
      <c r="Q52" s="568" t="n"/>
      <c r="R52" s="116" t="n"/>
      <c r="S52" s="116" t="n"/>
      <c r="T52" s="116" t="n"/>
      <c r="U52" s="460" t="n"/>
      <c r="V52" s="460" t="n"/>
      <c r="W52" s="460">
        <f>W17</f>
        <v/>
      </c>
      <c r="X52" s="460">
        <f>X17</f>
        <v/>
      </c>
      <c r="Y52" s="460">
        <f>Y17</f>
        <v/>
      </c>
      <c r="Z52" s="460">
        <f>Z17</f>
        <v/>
      </c>
      <c r="AA52" s="460">
        <f>AA17</f>
        <v/>
      </c>
      <c r="AB52" s="460">
        <f>AB17</f>
        <v/>
      </c>
      <c r="AC52" s="460">
        <f>AC17</f>
        <v/>
      </c>
      <c r="AD52" s="460">
        <f>AD17</f>
        <v/>
      </c>
      <c r="AE52" s="460">
        <f>AE17</f>
        <v/>
      </c>
      <c r="AF52" s="460">
        <f>AF17</f>
        <v/>
      </c>
      <c r="AG52" s="460">
        <f>AG17</f>
        <v/>
      </c>
      <c r="AH52" s="460">
        <f>AH17</f>
        <v/>
      </c>
      <c r="AI52" s="481">
        <f>AI53*AI37</f>
        <v/>
      </c>
      <c r="AJ52" s="481">
        <f>AJ53*AJ37</f>
        <v/>
      </c>
      <c r="AK52" s="481">
        <f>AK53*AK37</f>
        <v/>
      </c>
      <c r="AL52" s="481">
        <f>AL53*AL37</f>
        <v/>
      </c>
      <c r="AM52" s="481">
        <f>AM53*AM37</f>
        <v/>
      </c>
      <c r="AN52" s="481">
        <f>AN53*AN37</f>
        <v/>
      </c>
      <c r="AO52" s="460" t="n"/>
      <c r="AP52" s="460" t="n"/>
      <c r="AQ52" s="32" t="n"/>
      <c r="AT52" s="62" t="inlineStr">
        <is>
          <t>Retail unit EBIT</t>
        </is>
      </c>
      <c r="AU52" s="144">
        <f>W54</f>
        <v/>
      </c>
      <c r="AV52" s="144">
        <f>X54</f>
        <v/>
      </c>
      <c r="AW52" s="144">
        <f>Y54</f>
        <v/>
      </c>
      <c r="AX52" s="144">
        <f>Z54</f>
        <v/>
      </c>
      <c r="AY52" s="144">
        <f>AA54</f>
        <v/>
      </c>
      <c r="AZ52" s="144">
        <f>AB54</f>
        <v/>
      </c>
      <c r="BA52" s="144">
        <f>AC54</f>
        <v/>
      </c>
      <c r="BB52" s="144">
        <f>AD54</f>
        <v/>
      </c>
    </row>
    <row r="53">
      <c r="A53" s="43" t="inlineStr">
        <is>
          <t>EBIT per unit electricity sales (HK$)</t>
        </is>
      </c>
      <c r="B53" s="32" t="n"/>
      <c r="C53" s="32" t="n"/>
      <c r="D53" s="32" t="n"/>
      <c r="E53" s="32" t="n"/>
      <c r="F53" s="32" t="n"/>
      <c r="G53" s="32" t="n"/>
      <c r="H53" s="32" t="n"/>
      <c r="I53" s="32" t="n"/>
      <c r="J53" s="32" t="n"/>
      <c r="K53" s="32" t="n"/>
      <c r="L53" s="32" t="n"/>
      <c r="M53" s="32" t="n"/>
      <c r="N53" s="32" t="n"/>
      <c r="O53" s="32" t="n"/>
      <c r="P53" s="32" t="n"/>
      <c r="Q53" s="568" t="n"/>
      <c r="R53" s="116" t="n"/>
      <c r="S53" s="116" t="n"/>
      <c r="T53" s="116" t="n"/>
      <c r="U53" s="460" t="n"/>
      <c r="V53" s="460" t="n"/>
      <c r="W53" s="461">
        <f>W52/W37</f>
        <v/>
      </c>
      <c r="X53" s="461">
        <f>X52/X37</f>
        <v/>
      </c>
      <c r="Y53" s="461">
        <f>Y52/Y37</f>
        <v/>
      </c>
      <c r="Z53" s="461">
        <f>Z52/Z37</f>
        <v/>
      </c>
      <c r="AA53" s="461">
        <f>AA52/AA37</f>
        <v/>
      </c>
      <c r="AB53" s="461">
        <f>AB52/AB37</f>
        <v/>
      </c>
      <c r="AC53" s="461">
        <f>AC52/AC37</f>
        <v/>
      </c>
      <c r="AD53" s="461">
        <f>AD52/AD37</f>
        <v/>
      </c>
      <c r="AE53" s="461">
        <f>AE52/AE37</f>
        <v/>
      </c>
      <c r="AF53" s="461">
        <f>AF52/AF37</f>
        <v/>
      </c>
      <c r="AG53" s="461">
        <f>AG52/AG37</f>
        <v/>
      </c>
      <c r="AH53" s="461">
        <f>AH52/AH37</f>
        <v/>
      </c>
      <c r="AI53" s="461">
        <f>AI54*AI2</f>
        <v/>
      </c>
      <c r="AJ53" s="461">
        <f>AJ54*AJ2</f>
        <v/>
      </c>
      <c r="AK53" s="461">
        <f>AK54*AK2</f>
        <v/>
      </c>
      <c r="AL53" s="461">
        <f>AL54*AL2</f>
        <v/>
      </c>
      <c r="AM53" s="461">
        <f>AM54*AM2</f>
        <v/>
      </c>
      <c r="AN53" s="461">
        <f>AN54*AN2</f>
        <v/>
      </c>
      <c r="AO53" s="32" t="n"/>
      <c r="AP53" s="32" t="n"/>
      <c r="AT53" s="62" t="inlineStr">
        <is>
          <t>Wholesale unit EBIT</t>
        </is>
      </c>
      <c r="AU53" s="686">
        <f>W81</f>
        <v/>
      </c>
      <c r="AV53" s="686">
        <f>X81</f>
        <v/>
      </c>
      <c r="AW53" s="686">
        <f>Y81</f>
        <v/>
      </c>
      <c r="AX53" s="686">
        <f>Z81</f>
        <v/>
      </c>
      <c r="AY53" s="686">
        <f>AA81</f>
        <v/>
      </c>
      <c r="AZ53" s="686">
        <f>AB81</f>
        <v/>
      </c>
      <c r="BA53" s="686">
        <f>AC81</f>
        <v/>
      </c>
      <c r="BB53" s="686">
        <f>AD81</f>
        <v/>
      </c>
    </row>
    <row r="54">
      <c r="A54" s="43" t="inlineStr">
        <is>
          <t>EBIT per unit electricity sales (AUD)</t>
        </is>
      </c>
      <c r="B54" s="32" t="n"/>
      <c r="C54" s="32" t="n"/>
      <c r="D54" s="32" t="n"/>
      <c r="E54" s="32" t="n"/>
      <c r="F54" s="32" t="n"/>
      <c r="G54" s="32" t="n"/>
      <c r="H54" s="32" t="n"/>
      <c r="I54" s="32" t="n"/>
      <c r="J54" s="32" t="n"/>
      <c r="K54" s="32" t="n"/>
      <c r="L54" s="32" t="n"/>
      <c r="M54" s="32" t="n"/>
      <c r="N54" s="32" t="n"/>
      <c r="O54" s="32" t="n"/>
      <c r="P54" s="32" t="n"/>
      <c r="Q54" s="568" t="n"/>
      <c r="R54" s="116" t="n"/>
      <c r="S54" s="116" t="n"/>
      <c r="T54" s="116" t="n"/>
      <c r="U54" s="460" t="n"/>
      <c r="V54" s="460" t="n"/>
      <c r="W54" s="690">
        <f>W53/W2</f>
        <v/>
      </c>
      <c r="X54" s="690">
        <f>X53/X2</f>
        <v/>
      </c>
      <c r="Y54" s="690">
        <f>Y53/Y2</f>
        <v/>
      </c>
      <c r="Z54" s="690">
        <f>Z53/Z2</f>
        <v/>
      </c>
      <c r="AA54" s="690">
        <f>AA53/AA2</f>
        <v/>
      </c>
      <c r="AB54" s="690">
        <f>AB53/AB2</f>
        <v/>
      </c>
      <c r="AC54" s="690">
        <f>AC53/AC2</f>
        <v/>
      </c>
      <c r="AD54" s="690">
        <f>AD53/AD2</f>
        <v/>
      </c>
      <c r="AE54" s="690">
        <f>AE53/AE2</f>
        <v/>
      </c>
      <c r="AF54" s="690">
        <f>AF53/AF2</f>
        <v/>
      </c>
      <c r="AG54" s="690">
        <f>AG53/AG2</f>
        <v/>
      </c>
      <c r="AH54" s="690">
        <f>AH53/AH2</f>
        <v/>
      </c>
      <c r="AI54" s="648">
        <f>AH54*6</f>
        <v/>
      </c>
      <c r="AJ54" s="648">
        <f>AI54</f>
        <v/>
      </c>
      <c r="AK54" s="648">
        <f>AJ54</f>
        <v/>
      </c>
      <c r="AL54" s="648">
        <f>AK54</f>
        <v/>
      </c>
      <c r="AM54" s="648">
        <f>AL54</f>
        <v/>
      </c>
      <c r="AN54" s="648">
        <f>AM54</f>
        <v/>
      </c>
      <c r="AO54" s="32" t="n"/>
      <c r="AP54" s="32" t="n"/>
      <c r="AT54" s="62" t="inlineStr">
        <is>
          <t>Power plants utilization rate (rhs)</t>
        </is>
      </c>
      <c r="AU54" s="131">
        <f>W77</f>
        <v/>
      </c>
      <c r="AV54" s="131">
        <f>X77</f>
        <v/>
      </c>
      <c r="AW54" s="131">
        <f>Y77</f>
        <v/>
      </c>
      <c r="AX54" s="131">
        <f>Z77</f>
        <v/>
      </c>
      <c r="AY54" s="131">
        <f>AA77</f>
        <v/>
      </c>
      <c r="AZ54" s="131">
        <f>AB77</f>
        <v/>
      </c>
      <c r="BA54" s="131">
        <f>AC77</f>
        <v/>
      </c>
      <c r="BB54" s="131">
        <f>AD77</f>
        <v/>
      </c>
    </row>
    <row r="56">
      <c r="A56" s="88" t="inlineStr">
        <is>
          <t>Wholesale</t>
        </is>
      </c>
      <c r="B56" s="132" t="n"/>
      <c r="C56" s="132" t="n"/>
      <c r="D56" s="132" t="n"/>
      <c r="E56" s="132" t="n"/>
      <c r="F56" s="132" t="n"/>
      <c r="G56" s="132" t="n"/>
      <c r="H56" s="132" t="n"/>
      <c r="I56" s="132" t="n"/>
      <c r="J56" s="132" t="n"/>
      <c r="K56" s="132" t="n"/>
      <c r="L56" s="132" t="n"/>
      <c r="M56" s="132" t="n"/>
      <c r="N56" s="132" t="n"/>
      <c r="O56" s="132" t="n"/>
      <c r="P56" s="132" t="n"/>
      <c r="Q56" s="132" t="n"/>
      <c r="R56" s="133" t="n"/>
      <c r="S56" s="687" t="n"/>
      <c r="T56" s="687" t="n"/>
      <c r="U56" s="687" t="n"/>
      <c r="V56" s="687" t="n"/>
      <c r="W56" s="132" t="n"/>
      <c r="X56" s="132" t="n"/>
      <c r="Y56" s="132" t="n"/>
      <c r="Z56" s="132" t="n"/>
      <c r="AA56" s="132" t="n"/>
      <c r="AB56" s="132" t="n"/>
      <c r="AC56" s="132" t="n"/>
      <c r="AD56" s="132" t="n"/>
      <c r="AE56" s="132" t="n"/>
      <c r="AF56" s="132" t="n"/>
      <c r="AG56" s="132" t="n"/>
      <c r="AH56" s="132" t="n"/>
      <c r="AI56" s="132" t="n"/>
      <c r="AJ56" s="132" t="n"/>
      <c r="AK56" s="132" t="n"/>
      <c r="AL56" s="132" t="n"/>
      <c r="AM56" s="132" t="n"/>
      <c r="AN56" s="132" t="n"/>
    </row>
    <row r="57" customFormat="1" s="62">
      <c r="A57" s="62" t="inlineStr">
        <is>
          <t xml:space="preserve">Installed Capacity in operation (MW) </t>
        </is>
      </c>
      <c r="B57" s="43" t="n"/>
      <c r="C57" s="43" t="n"/>
      <c r="D57" s="43" t="n"/>
      <c r="E57" s="43" t="n"/>
      <c r="F57" s="43" t="n"/>
      <c r="G57" s="43" t="n"/>
      <c r="H57" s="43" t="n"/>
      <c r="I57" s="512" t="n"/>
      <c r="J57" s="512" t="n"/>
      <c r="K57" s="512" t="n"/>
      <c r="L57" s="512" t="n"/>
      <c r="M57" s="512" t="n"/>
      <c r="N57" s="512" t="n"/>
      <c r="O57" s="512" t="n"/>
      <c r="P57" s="512" t="n"/>
      <c r="Q57" s="512" t="n"/>
      <c r="R57" s="512" t="n"/>
      <c r="S57" s="512" t="n"/>
      <c r="T57" s="512" t="n"/>
      <c r="U57" s="512" t="n"/>
      <c r="V57" s="512" t="n"/>
      <c r="W57" s="512" t="n"/>
      <c r="X57" s="512" t="n"/>
      <c r="Y57" s="512" t="n"/>
      <c r="Z57" s="512" t="n"/>
      <c r="AA57" s="512" t="n"/>
      <c r="AB57" s="512" t="n"/>
      <c r="AC57" s="512" t="n"/>
      <c r="AD57" s="512" t="n"/>
      <c r="AE57" s="512" t="n"/>
      <c r="AF57" s="512" t="n"/>
      <c r="AG57" s="512" t="n"/>
      <c r="AH57" s="512" t="n"/>
      <c r="AI57" s="512" t="n"/>
      <c r="AJ57" s="512" t="n"/>
      <c r="AK57" s="512" t="n"/>
      <c r="AL57" s="512" t="n"/>
      <c r="AM57" s="512" t="n"/>
      <c r="AN57" s="512" t="n"/>
      <c r="AO57" s="43" t="n"/>
      <c r="AP57" s="43" t="n"/>
    </row>
    <row r="58">
      <c r="A58" s="43" t="inlineStr">
        <is>
          <t xml:space="preserve">Yallourn (coal) </t>
        </is>
      </c>
      <c r="I58" s="512" t="n"/>
      <c r="J58" s="512" t="n"/>
      <c r="K58" s="512" t="n"/>
      <c r="L58" s="512" t="n"/>
      <c r="M58" s="512" t="n"/>
      <c r="N58" s="512" t="n"/>
      <c r="O58" s="512" t="n"/>
      <c r="P58" s="512" t="n"/>
      <c r="Q58" s="512" t="n"/>
      <c r="R58" s="512" t="n"/>
      <c r="S58" s="512" t="n"/>
      <c r="T58" s="116" t="n"/>
      <c r="U58" s="116" t="n"/>
      <c r="V58" s="116" t="n">
        <v>1480</v>
      </c>
      <c r="W58" s="116" t="n">
        <v>1480</v>
      </c>
      <c r="X58" s="116" t="n">
        <v>1480</v>
      </c>
      <c r="Y58" s="116" t="n">
        <v>1480</v>
      </c>
      <c r="Z58" s="116" t="n">
        <v>1480</v>
      </c>
      <c r="AA58" s="116" t="n">
        <v>1480</v>
      </c>
      <c r="AB58" s="116" t="n">
        <v>1480</v>
      </c>
      <c r="AC58" s="116" t="n">
        <v>1480</v>
      </c>
      <c r="AD58" s="116">
        <f>AC58</f>
        <v/>
      </c>
      <c r="AE58" s="116">
        <f>AD58</f>
        <v/>
      </c>
      <c r="AF58" s="116">
        <f>AE58</f>
        <v/>
      </c>
      <c r="AG58" s="116">
        <f>AF58</f>
        <v/>
      </c>
      <c r="AH58" s="116" t="n">
        <v>1480</v>
      </c>
      <c r="AI58" s="146">
        <f>AH58</f>
        <v/>
      </c>
      <c r="AJ58" s="146">
        <f>AI58</f>
        <v/>
      </c>
      <c r="AK58" s="146">
        <f>AJ58</f>
        <v/>
      </c>
      <c r="AL58" s="146">
        <f>AK58</f>
        <v/>
      </c>
      <c r="AM58" s="146">
        <f>AL58</f>
        <v/>
      </c>
      <c r="AN58" s="146">
        <f>AM58</f>
        <v/>
      </c>
    </row>
    <row r="59">
      <c r="A59" s="43" t="inlineStr">
        <is>
          <t>Mount Piper (coal)</t>
        </is>
      </c>
      <c r="I59" s="512" t="n"/>
      <c r="J59" s="512" t="n"/>
      <c r="K59" s="512" t="n"/>
      <c r="L59" s="512" t="n"/>
      <c r="M59" s="512" t="n"/>
      <c r="N59" s="512" t="n"/>
      <c r="O59" s="512" t="n"/>
      <c r="P59" s="512" t="n"/>
      <c r="Q59" s="512" t="n"/>
      <c r="R59" s="512" t="n"/>
      <c r="S59" s="512" t="n"/>
      <c r="T59" s="116" t="n"/>
      <c r="U59" s="116" t="n"/>
      <c r="V59" s="116" t="n">
        <v>1400</v>
      </c>
      <c r="W59" s="116" t="n">
        <v>1400</v>
      </c>
      <c r="X59" s="116" t="n">
        <v>1400</v>
      </c>
      <c r="Y59" s="116" t="n">
        <v>1400</v>
      </c>
      <c r="Z59" s="116" t="n">
        <v>1400</v>
      </c>
      <c r="AA59" s="116" t="n">
        <v>1400</v>
      </c>
      <c r="AB59" s="116" t="n">
        <v>1400</v>
      </c>
      <c r="AC59" s="116" t="n">
        <v>1400</v>
      </c>
      <c r="AD59" s="116">
        <f>AC59</f>
        <v/>
      </c>
      <c r="AE59" s="116" t="n">
        <v>1430</v>
      </c>
      <c r="AF59" s="116">
        <f>AE59</f>
        <v/>
      </c>
      <c r="AG59" s="116">
        <f>AF59</f>
        <v/>
      </c>
      <c r="AH59" s="116" t="n">
        <v>1430</v>
      </c>
      <c r="AI59" s="146">
        <f>AH59</f>
        <v/>
      </c>
      <c r="AJ59" s="146">
        <f>AI59</f>
        <v/>
      </c>
      <c r="AK59" s="146">
        <f>AJ59</f>
        <v/>
      </c>
      <c r="AL59" s="146">
        <f>AK59</f>
        <v/>
      </c>
      <c r="AM59" s="146">
        <f>AL59</f>
        <v/>
      </c>
      <c r="AN59" s="146">
        <f>AM59</f>
        <v/>
      </c>
    </row>
    <row r="60">
      <c r="A60" s="43" t="inlineStr">
        <is>
          <t>Tallawarra (gas)</t>
        </is>
      </c>
      <c r="T60" s="116" t="n"/>
      <c r="U60" s="116" t="n"/>
      <c r="V60" s="116" t="n"/>
      <c r="W60" s="116" t="n"/>
      <c r="X60" s="116" t="n">
        <v>420</v>
      </c>
      <c r="Y60" s="116" t="n">
        <v>420</v>
      </c>
      <c r="Z60" s="116" t="n">
        <v>420</v>
      </c>
      <c r="AA60" s="116" t="n">
        <v>420</v>
      </c>
      <c r="AB60" s="116" t="n">
        <v>420</v>
      </c>
      <c r="AC60" s="116" t="n">
        <v>420</v>
      </c>
      <c r="AD60" s="116">
        <f>AC60</f>
        <v/>
      </c>
      <c r="AE60" s="116">
        <f>AD60</f>
        <v/>
      </c>
      <c r="AF60" s="116" t="n">
        <v>420</v>
      </c>
      <c r="AG60" s="116" t="n">
        <v>420</v>
      </c>
      <c r="AH60" s="116" t="n">
        <v>740</v>
      </c>
      <c r="AI60" s="146">
        <f>AH60</f>
        <v/>
      </c>
      <c r="AJ60" s="146">
        <f>AI60</f>
        <v/>
      </c>
      <c r="AK60" s="146">
        <f>AJ60</f>
        <v/>
      </c>
      <c r="AL60" s="146">
        <f>AK60</f>
        <v/>
      </c>
      <c r="AM60" s="146">
        <f>AL60</f>
        <v/>
      </c>
      <c r="AN60" s="146">
        <f>AM60</f>
        <v/>
      </c>
    </row>
    <row r="61">
      <c r="A61" s="43" t="inlineStr">
        <is>
          <t>Hallett (gas)</t>
        </is>
      </c>
      <c r="T61" s="116" t="n"/>
      <c r="U61" s="116" t="n"/>
      <c r="V61" s="116" t="n">
        <v>203</v>
      </c>
      <c r="W61" s="116" t="n">
        <v>203</v>
      </c>
      <c r="X61" s="116" t="n">
        <v>203</v>
      </c>
      <c r="Y61" s="116" t="n">
        <v>203</v>
      </c>
      <c r="Z61" s="116" t="n">
        <v>203</v>
      </c>
      <c r="AA61" s="116" t="n">
        <v>203</v>
      </c>
      <c r="AB61" s="116" t="n">
        <v>203</v>
      </c>
      <c r="AC61" s="116" t="n">
        <v>203</v>
      </c>
      <c r="AD61" s="116" t="n">
        <v>235</v>
      </c>
      <c r="AE61" s="116" t="n">
        <v>235</v>
      </c>
      <c r="AF61" s="116">
        <f>AE61</f>
        <v/>
      </c>
      <c r="AG61" s="116">
        <f>AF61</f>
        <v/>
      </c>
      <c r="AH61" s="116" t="n">
        <v>235</v>
      </c>
      <c r="AI61" s="146">
        <f>AH61</f>
        <v/>
      </c>
      <c r="AJ61" s="146">
        <f>AI61</f>
        <v/>
      </c>
      <c r="AK61" s="146">
        <f>AJ61</f>
        <v/>
      </c>
      <c r="AL61" s="146">
        <f>AK61</f>
        <v/>
      </c>
      <c r="AM61" s="146">
        <f>AL61</f>
        <v/>
      </c>
      <c r="AN61" s="146">
        <f>AM61</f>
        <v/>
      </c>
      <c r="AO61" s="62" t="n"/>
      <c r="AP61" s="62" t="n"/>
    </row>
    <row r="62">
      <c r="A62" s="43" t="inlineStr">
        <is>
          <t>Ecogen (gas)</t>
        </is>
      </c>
      <c r="T62" s="116" t="n"/>
      <c r="U62" s="116" t="n"/>
      <c r="V62" s="116" t="n"/>
      <c r="W62" s="116" t="n"/>
      <c r="X62" s="116" t="n"/>
      <c r="Y62" s="116" t="n"/>
      <c r="Z62" s="116" t="n">
        <v>966</v>
      </c>
      <c r="AA62" s="116" t="n">
        <v>966</v>
      </c>
      <c r="AB62" s="116">
        <f>500+440</f>
        <v/>
      </c>
      <c r="AC62" s="116">
        <f>500+440</f>
        <v/>
      </c>
      <c r="AD62" s="116">
        <f>500+440</f>
        <v/>
      </c>
      <c r="AE62" s="116">
        <f>500+440</f>
        <v/>
      </c>
      <c r="AF62" s="116">
        <f>500+440</f>
        <v/>
      </c>
      <c r="AG62" s="116">
        <f>AF62</f>
        <v/>
      </c>
      <c r="AH62" s="116" t="n">
        <v>940</v>
      </c>
      <c r="AI62" s="146">
        <f>AH62</f>
        <v/>
      </c>
      <c r="AJ62" s="146">
        <f>AI62</f>
        <v/>
      </c>
      <c r="AK62" s="146">
        <f>AJ62</f>
        <v/>
      </c>
      <c r="AL62" s="146">
        <f>AK62</f>
        <v/>
      </c>
      <c r="AM62" s="146">
        <f>AL62</f>
        <v/>
      </c>
      <c r="AN62" s="146">
        <f>AM62</f>
        <v/>
      </c>
      <c r="AO62" s="62" t="n"/>
      <c r="AP62" s="62" t="n"/>
    </row>
    <row r="63">
      <c r="A63" s="43" t="inlineStr">
        <is>
          <t>Wind projects</t>
        </is>
      </c>
      <c r="T63" s="116" t="n"/>
      <c r="U63" s="116" t="n"/>
      <c r="V63" s="116" t="n">
        <v>66</v>
      </c>
      <c r="W63" s="116" t="n">
        <v>66</v>
      </c>
      <c r="X63" s="116" t="n">
        <v>66</v>
      </c>
      <c r="Y63" s="116" t="n">
        <v>66</v>
      </c>
      <c r="Z63" s="116" t="n">
        <v>66</v>
      </c>
      <c r="AA63" s="116" t="n">
        <v>66</v>
      </c>
      <c r="AB63" s="116" t="n">
        <v>493</v>
      </c>
      <c r="AC63" s="116" t="n">
        <v>560</v>
      </c>
      <c r="AD63" s="116" t="n">
        <v>693</v>
      </c>
      <c r="AE63" s="116" t="n">
        <v>693</v>
      </c>
      <c r="AF63" s="116">
        <f>AE63</f>
        <v/>
      </c>
      <c r="AG63" s="116" t="n">
        <v>595</v>
      </c>
      <c r="AH63" s="116" t="n">
        <v>430</v>
      </c>
      <c r="AI63" s="146">
        <f>AH63</f>
        <v/>
      </c>
      <c r="AJ63" s="146">
        <f>AI63</f>
        <v/>
      </c>
      <c r="AK63" s="146">
        <f>AJ63</f>
        <v/>
      </c>
      <c r="AL63" s="146">
        <f>AK63</f>
        <v/>
      </c>
      <c r="AM63" s="146">
        <f>AL63</f>
        <v/>
      </c>
      <c r="AN63" s="146">
        <f>AM63</f>
        <v/>
      </c>
    </row>
    <row r="64">
      <c r="A64" s="43" t="inlineStr">
        <is>
          <t>Solar</t>
        </is>
      </c>
      <c r="T64" s="116" t="n"/>
      <c r="U64" s="116" t="n"/>
      <c r="V64" s="116" t="n"/>
      <c r="W64" s="116" t="n"/>
      <c r="X64" s="116" t="n"/>
      <c r="Y64" s="116" t="n"/>
      <c r="Z64" s="116" t="n"/>
      <c r="AA64" s="116" t="n">
        <v>0</v>
      </c>
      <c r="AB64" s="116" t="n">
        <v>189</v>
      </c>
      <c r="AC64" s="116" t="n">
        <v>294</v>
      </c>
      <c r="AD64" s="116" t="n">
        <v>362</v>
      </c>
      <c r="AE64" s="116" t="n">
        <v>362</v>
      </c>
      <c r="AF64" s="116">
        <f>AE64</f>
        <v/>
      </c>
      <c r="AG64" s="116" t="n">
        <v>294</v>
      </c>
      <c r="AH64" s="116" t="n">
        <v>294</v>
      </c>
      <c r="AI64" s="146">
        <f>AH64</f>
        <v/>
      </c>
      <c r="AJ64" s="146">
        <f>AI64</f>
        <v/>
      </c>
      <c r="AK64" s="146">
        <f>AJ64</f>
        <v/>
      </c>
      <c r="AL64" s="146">
        <f>AK64</f>
        <v/>
      </c>
      <c r="AM64" s="146">
        <f>AL64</f>
        <v/>
      </c>
      <c r="AN64" s="146">
        <f>AM64</f>
        <v/>
      </c>
    </row>
    <row r="65">
      <c r="A65" s="43" t="inlineStr">
        <is>
          <t>Battery projects</t>
        </is>
      </c>
      <c r="T65" s="116" t="n"/>
      <c r="U65" s="116" t="n"/>
      <c r="V65" s="116" t="n"/>
      <c r="W65" s="116" t="n"/>
      <c r="X65" s="116" t="n"/>
      <c r="Y65" s="116" t="n"/>
      <c r="Z65" s="116" t="n"/>
      <c r="AA65" s="116" t="n"/>
      <c r="AB65" s="116" t="n"/>
      <c r="AC65" s="116" t="n"/>
      <c r="AD65" s="116" t="n"/>
      <c r="AE65" s="116" t="n"/>
      <c r="AF65" s="116" t="n"/>
      <c r="AG65" s="116" t="n">
        <v>145</v>
      </c>
      <c r="AH65" s="116" t="n">
        <v>145</v>
      </c>
      <c r="AI65" s="146">
        <f>AH65</f>
        <v/>
      </c>
      <c r="AJ65" s="146">
        <f>AI65</f>
        <v/>
      </c>
      <c r="AK65" s="146">
        <f>AJ65</f>
        <v/>
      </c>
      <c r="AL65" s="146">
        <f>AK65</f>
        <v/>
      </c>
      <c r="AM65" s="146">
        <f>AL65</f>
        <v/>
      </c>
      <c r="AN65" s="146">
        <f>AM65</f>
        <v/>
      </c>
    </row>
    <row r="66">
      <c r="A66" s="62" t="inlineStr">
        <is>
          <t>Total</t>
        </is>
      </c>
      <c r="B66" s="62" t="n"/>
      <c r="C66" s="62" t="n"/>
      <c r="D66" s="62" t="n"/>
      <c r="E66" s="62" t="n"/>
      <c r="F66" s="62" t="n"/>
      <c r="G66" s="62" t="n"/>
      <c r="H66" s="62" t="n"/>
      <c r="I66" s="62" t="n"/>
      <c r="J66" s="62" t="n"/>
      <c r="K66" s="62" t="n"/>
      <c r="L66" s="62" t="n"/>
      <c r="M66" s="62" t="n"/>
      <c r="N66" s="62" t="n"/>
      <c r="O66" s="62" t="n"/>
      <c r="P66" s="62" t="n"/>
      <c r="Q66" s="62" t="n"/>
      <c r="R66" s="62" t="n"/>
      <c r="S66" s="62" t="n"/>
      <c r="T66" s="460" t="n"/>
      <c r="U66" s="460" t="n"/>
      <c r="V66" s="460">
        <f>SUM(V58:V63)</f>
        <v/>
      </c>
      <c r="W66" s="460">
        <f>SUM(W58:W63)</f>
        <v/>
      </c>
      <c r="X66" s="460">
        <f>SUM(X58:X63)</f>
        <v/>
      </c>
      <c r="Y66" s="460">
        <f>SUM(Y58:Y63)</f>
        <v/>
      </c>
      <c r="Z66" s="460">
        <f>SUM(Z58:Z63)</f>
        <v/>
      </c>
      <c r="AA66" s="460">
        <f>SUM(AA58:AA64)</f>
        <v/>
      </c>
      <c r="AB66" s="460">
        <f>SUM(AB58:AB64)</f>
        <v/>
      </c>
      <c r="AC66" s="460">
        <f>SUM(AC58:AC64)</f>
        <v/>
      </c>
      <c r="AD66" s="460">
        <f>SUM(AD58:AD64)</f>
        <v/>
      </c>
      <c r="AE66" s="460">
        <f>SUM(AE58:AE64)</f>
        <v/>
      </c>
      <c r="AF66" s="460">
        <f>SUM(AF58:AF64)</f>
        <v/>
      </c>
      <c r="AG66" s="460">
        <f>SUM(AG58:AG65)</f>
        <v/>
      </c>
      <c r="AH66" s="460">
        <f>SUM(AH58:AH65)</f>
        <v/>
      </c>
      <c r="AI66" s="460">
        <f>SUM(AI58:AI65)</f>
        <v/>
      </c>
      <c r="AJ66" s="460">
        <f>SUM(AJ58:AJ65)</f>
        <v/>
      </c>
      <c r="AK66" s="460">
        <f>SUM(AK58:AK65)</f>
        <v/>
      </c>
      <c r="AL66" s="460">
        <f>SUM(AL58:AL65)</f>
        <v/>
      </c>
      <c r="AM66" s="460">
        <f>SUM(AM58:AM65)</f>
        <v/>
      </c>
      <c r="AN66" s="460">
        <f>SUM(AN58:AN65)</f>
        <v/>
      </c>
    </row>
    <row r="67">
      <c r="AF67" s="207" t="n"/>
      <c r="AQ67" s="131" t="n"/>
      <c r="AR67" s="131" t="n"/>
      <c r="AS67" s="131" t="n"/>
      <c r="AT67" s="131" t="n"/>
      <c r="AU67" s="131" t="n"/>
    </row>
    <row r="68" customFormat="1" s="62">
      <c r="A68" s="62" t="inlineStr">
        <is>
          <t>Generation (GWh)</t>
        </is>
      </c>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c r="AC68" s="43" t="n"/>
      <c r="AD68" s="43" t="n"/>
      <c r="AE68" s="43" t="n"/>
      <c r="AF68" s="43" t="n"/>
      <c r="AG68" s="43" t="n"/>
      <c r="AH68" s="43" t="n"/>
      <c r="AI68" s="43" t="n"/>
      <c r="AJ68" s="43" t="n"/>
      <c r="AK68" s="43" t="n"/>
      <c r="AL68" s="43" t="n"/>
      <c r="AM68" s="43" t="n"/>
      <c r="AN68" s="43" t="n"/>
      <c r="AO68" s="43" t="n"/>
      <c r="AP68" s="43" t="n"/>
      <c r="AQ68" s="131" t="n"/>
      <c r="AR68" s="131" t="n"/>
      <c r="AS68" s="131" t="n"/>
      <c r="AT68" s="131" t="n"/>
      <c r="AU68" s="131" t="n"/>
    </row>
    <row r="69" customFormat="1" s="62">
      <c r="A69" s="43" t="inlineStr">
        <is>
          <t>Yallourn (coal) - VIC, 1985</t>
        </is>
      </c>
      <c r="B69" s="43" t="n"/>
      <c r="C69" s="43" t="n"/>
      <c r="D69" s="43" t="n"/>
      <c r="E69" s="43" t="n"/>
      <c r="F69" s="43" t="n"/>
      <c r="G69" s="43" t="n"/>
      <c r="H69" s="43" t="n"/>
      <c r="I69" s="43" t="n"/>
      <c r="J69" s="43" t="n"/>
      <c r="K69" s="43" t="n"/>
      <c r="L69" s="43" t="n"/>
      <c r="M69" s="43" t="n"/>
      <c r="N69" s="43" t="n"/>
      <c r="O69" s="43" t="n"/>
      <c r="P69" s="43" t="n"/>
      <c r="Q69" s="43" t="n"/>
      <c r="R69" s="43" t="n"/>
      <c r="S69" s="43" t="n"/>
      <c r="T69" s="116" t="n"/>
      <c r="U69" s="116" t="n"/>
      <c r="V69" s="116" t="n">
        <v>8184</v>
      </c>
      <c r="W69" s="116" t="n">
        <v>7744</v>
      </c>
      <c r="X69" s="116" t="n">
        <v>9806</v>
      </c>
      <c r="Y69" s="116" t="n">
        <v>10256</v>
      </c>
      <c r="Z69" s="116" t="n">
        <v>10483</v>
      </c>
      <c r="AA69" s="116" t="n">
        <v>9946</v>
      </c>
      <c r="AB69" s="116" t="n">
        <v>9371</v>
      </c>
      <c r="AC69" s="116" t="n">
        <v>8954</v>
      </c>
      <c r="AD69" s="116" t="n">
        <v>8378</v>
      </c>
      <c r="AE69" s="116" t="n">
        <v>7969</v>
      </c>
      <c r="AF69" s="116" t="n">
        <v>7691</v>
      </c>
      <c r="AG69" s="116" t="n">
        <v>7687</v>
      </c>
      <c r="AH69" s="116" t="n">
        <v>7598</v>
      </c>
      <c r="AI69" s="116" t="n"/>
      <c r="AJ69" s="116" t="n"/>
      <c r="AK69" s="116" t="n"/>
      <c r="AL69" s="116" t="n"/>
      <c r="AM69" s="116" t="n"/>
      <c r="AN69" s="116" t="n"/>
      <c r="AO69" s="43" t="n"/>
      <c r="AP69" s="43" t="n"/>
      <c r="AQ69" s="131" t="n"/>
      <c r="AR69" s="131" t="n"/>
      <c r="AS69" s="131" t="n"/>
      <c r="AT69" s="131" t="n"/>
      <c r="AU69" s="131" t="n"/>
    </row>
    <row r="70">
      <c r="A70" s="43" t="inlineStr">
        <is>
          <t>Mount Piper (coal) - NSW, 1993</t>
        </is>
      </c>
      <c r="T70" s="116" t="n"/>
      <c r="U70" s="116" t="n"/>
      <c r="V70" s="116" t="n"/>
      <c r="W70" s="116" t="n"/>
      <c r="X70" s="116" t="n">
        <v>7694</v>
      </c>
      <c r="Y70" s="116" t="n">
        <v>5109</v>
      </c>
      <c r="Z70" s="116" t="n">
        <v>7264</v>
      </c>
      <c r="AA70" s="116" t="n">
        <v>6880</v>
      </c>
      <c r="AB70" s="116" t="n">
        <v>8193</v>
      </c>
      <c r="AC70" s="116" t="n">
        <v>4355</v>
      </c>
      <c r="AD70" s="116" t="n">
        <v>6346</v>
      </c>
      <c r="AE70" s="116" t="n">
        <v>6737</v>
      </c>
      <c r="AF70" s="116" t="n">
        <v>5697</v>
      </c>
      <c r="AG70" s="116" t="n">
        <v>5360</v>
      </c>
      <c r="AH70" s="116" t="n">
        <v>7010</v>
      </c>
      <c r="AI70" s="116" t="n"/>
      <c r="AJ70" s="116" t="n"/>
      <c r="AK70" s="116" t="n"/>
      <c r="AL70" s="116" t="n"/>
      <c r="AM70" s="116" t="n"/>
      <c r="AN70" s="116" t="n"/>
      <c r="AQ70" s="131" t="n"/>
      <c r="AR70" s="131" t="n"/>
      <c r="AS70" s="131" t="n"/>
      <c r="AT70" s="131" t="n"/>
      <c r="AU70" s="131" t="n"/>
    </row>
    <row r="71">
      <c r="A71" s="43" t="inlineStr">
        <is>
          <t>Tallawarra (gas) - NSW</t>
        </is>
      </c>
      <c r="T71" s="116" t="n"/>
      <c r="U71" s="116" t="n"/>
      <c r="V71" s="116" t="n">
        <v>2702</v>
      </c>
      <c r="W71" s="116" t="n">
        <v>3062</v>
      </c>
      <c r="X71" s="116" t="n">
        <v>2435</v>
      </c>
      <c r="Y71" s="116" t="n">
        <v>2496</v>
      </c>
      <c r="Z71" s="116" t="n">
        <v>858</v>
      </c>
      <c r="AA71" s="116" t="n">
        <v>1644</v>
      </c>
      <c r="AB71" s="116" t="n">
        <v>855</v>
      </c>
      <c r="AC71" s="116" t="n">
        <v>1322</v>
      </c>
      <c r="AD71" s="116" t="n">
        <v>856</v>
      </c>
      <c r="AE71" s="116" t="n">
        <v>636</v>
      </c>
      <c r="AF71" s="116" t="n">
        <v>1721</v>
      </c>
      <c r="AG71" s="488" t="n">
        <v>1721</v>
      </c>
      <c r="AH71" s="488" t="n">
        <v>1721</v>
      </c>
      <c r="AI71" s="116" t="n"/>
      <c r="AJ71" s="116" t="n"/>
      <c r="AK71" s="116" t="n"/>
      <c r="AL71" s="116" t="n"/>
      <c r="AM71" s="116" t="n"/>
      <c r="AN71" s="116" t="n"/>
      <c r="AQ71" s="131" t="n"/>
      <c r="AR71" s="131" t="n"/>
      <c r="AS71" s="131" t="n"/>
      <c r="AT71" s="131" t="n"/>
      <c r="AU71" s="131" t="n"/>
    </row>
    <row r="72">
      <c r="A72" s="43" t="inlineStr">
        <is>
          <t>Hallett (gas) - SA</t>
        </is>
      </c>
      <c r="T72" s="116" t="n"/>
      <c r="U72" s="116" t="n"/>
      <c r="V72" s="116" t="n">
        <v>5</v>
      </c>
      <c r="W72" s="116" t="n">
        <v>71</v>
      </c>
      <c r="X72" s="116" t="n">
        <v>29</v>
      </c>
      <c r="Y72" s="116" t="n">
        <v>30</v>
      </c>
      <c r="Z72" s="116" t="n">
        <v>39</v>
      </c>
      <c r="AA72" s="116" t="n">
        <v>20</v>
      </c>
      <c r="AB72" s="116" t="n">
        <v>23</v>
      </c>
      <c r="AC72" s="116" t="n">
        <v>33</v>
      </c>
      <c r="AD72" s="116" t="n">
        <v>27</v>
      </c>
      <c r="AE72" s="116" t="n">
        <v>45</v>
      </c>
      <c r="AF72" s="116" t="n">
        <v>88</v>
      </c>
      <c r="AG72" s="488" t="n">
        <v>88</v>
      </c>
      <c r="AH72" s="488" t="n">
        <v>88</v>
      </c>
      <c r="AI72" s="116" t="n"/>
      <c r="AJ72" s="116" t="n"/>
      <c r="AK72" s="116" t="n"/>
      <c r="AL72" s="116" t="n"/>
      <c r="AM72" s="116" t="n"/>
      <c r="AN72" s="116" t="n"/>
      <c r="AO72" s="62" t="n"/>
      <c r="AP72" s="62" t="n"/>
      <c r="AQ72" s="32" t="n"/>
    </row>
    <row r="73">
      <c r="A73" s="43">
        <f>A62</f>
        <v/>
      </c>
      <c r="T73" s="116" t="n"/>
      <c r="U73" s="116" t="n"/>
      <c r="V73" s="116" t="n"/>
      <c r="W73" s="116" t="n"/>
      <c r="X73" s="116" t="n"/>
      <c r="Y73" s="116" t="n"/>
      <c r="Z73" s="116" t="n">
        <v>256</v>
      </c>
      <c r="AA73" s="116" t="n">
        <v>966</v>
      </c>
      <c r="AB73" s="116">
        <f>502+107</f>
        <v/>
      </c>
      <c r="AC73" s="116">
        <f>1176+227</f>
        <v/>
      </c>
      <c r="AD73" s="116">
        <f>310+75</f>
        <v/>
      </c>
      <c r="AE73" s="116">
        <f>256+99</f>
        <v/>
      </c>
      <c r="AF73" s="116">
        <f>680+111</f>
        <v/>
      </c>
      <c r="AG73" s="488">
        <f>680+111</f>
        <v/>
      </c>
      <c r="AH73" s="488" t="n">
        <v>791</v>
      </c>
      <c r="AI73" s="116" t="n"/>
      <c r="AJ73" s="116" t="n"/>
      <c r="AK73" s="116" t="n"/>
      <c r="AL73" s="116" t="n"/>
      <c r="AM73" s="116" t="n"/>
      <c r="AN73" s="116" t="n"/>
      <c r="AO73" s="62" t="n"/>
      <c r="AP73" s="62" t="n"/>
      <c r="AQ73" s="32" t="n"/>
    </row>
    <row r="74">
      <c r="A74" s="43" t="inlineStr">
        <is>
          <t>Cathedral Rocks (wind) - NSW</t>
        </is>
      </c>
      <c r="T74" s="116" t="n"/>
      <c r="U74" s="116" t="n"/>
      <c r="V74" s="116" t="n">
        <v>176</v>
      </c>
      <c r="W74" s="116" t="n">
        <v>191</v>
      </c>
      <c r="X74" s="116" t="n">
        <v>177</v>
      </c>
      <c r="Y74" s="116" t="n">
        <v>168</v>
      </c>
      <c r="Z74" s="116" t="n">
        <v>78</v>
      </c>
      <c r="AA74" s="116" t="n">
        <v>81</v>
      </c>
      <c r="AB74" s="116" t="n">
        <v>84</v>
      </c>
      <c r="AC74" s="116" t="n">
        <v>85</v>
      </c>
      <c r="AD74" s="116" t="n">
        <v>73</v>
      </c>
      <c r="AE74" s="116" t="n">
        <v>64.3</v>
      </c>
      <c r="AF74" s="116" t="n">
        <v>74</v>
      </c>
      <c r="AG74" s="488" t="n">
        <v>74</v>
      </c>
      <c r="AH74" s="488" t="n">
        <v>74</v>
      </c>
      <c r="AI74" s="116" t="n"/>
      <c r="AJ74" s="116" t="n"/>
      <c r="AK74" s="116" t="n"/>
      <c r="AL74" s="116" t="n"/>
      <c r="AM74" s="116" t="n"/>
      <c r="AN74" s="116" t="n"/>
      <c r="AO74" s="62" t="n"/>
      <c r="AP74" s="62" t="n"/>
      <c r="AQ74" s="32" t="n"/>
    </row>
    <row r="75">
      <c r="T75" s="116" t="n"/>
      <c r="U75" s="116" t="n"/>
      <c r="V75" s="116" t="n"/>
      <c r="W75" s="116" t="n"/>
      <c r="X75" s="116" t="n"/>
      <c r="Y75" s="116" t="n"/>
      <c r="Z75" s="116" t="n"/>
      <c r="AA75" s="116" t="n"/>
      <c r="AB75" s="169" t="n"/>
      <c r="AC75" s="463" t="n"/>
      <c r="AD75" s="463" t="n"/>
      <c r="AE75" s="169" t="n"/>
      <c r="AF75" s="116" t="n"/>
      <c r="AG75" s="116" t="n"/>
      <c r="AH75" s="116" t="n"/>
      <c r="AI75" s="116" t="n"/>
      <c r="AJ75" s="116" t="n"/>
      <c r="AK75" s="116" t="n"/>
      <c r="AL75" s="116" t="n"/>
      <c r="AM75" s="116" t="n"/>
      <c r="AN75" s="116" t="n"/>
      <c r="AO75" s="62" t="n"/>
      <c r="AP75" s="62" t="n"/>
      <c r="AQ75" s="32" t="n"/>
    </row>
    <row r="76">
      <c r="A76" s="62" t="inlineStr">
        <is>
          <t>Total</t>
        </is>
      </c>
      <c r="B76" s="62" t="n"/>
      <c r="C76" s="62" t="n"/>
      <c r="D76" s="62" t="n"/>
      <c r="E76" s="62" t="n"/>
      <c r="F76" s="62" t="n"/>
      <c r="G76" s="62" t="n"/>
      <c r="H76" s="62" t="n"/>
      <c r="I76" s="62" t="n"/>
      <c r="J76" s="62" t="n"/>
      <c r="K76" s="62" t="n"/>
      <c r="L76" s="62" t="n"/>
      <c r="M76" s="62" t="n"/>
      <c r="N76" s="62" t="n"/>
      <c r="O76" s="62" t="n"/>
      <c r="P76" s="62" t="n"/>
      <c r="Q76" s="62" t="n"/>
      <c r="R76" s="62" t="n"/>
      <c r="S76" s="62" t="n"/>
      <c r="T76" s="460" t="n"/>
      <c r="U76" s="460" t="n"/>
      <c r="V76" s="460">
        <f>SUM(V69:V74)</f>
        <v/>
      </c>
      <c r="W76" s="460">
        <f>SUM(W69:W74)</f>
        <v/>
      </c>
      <c r="X76" s="460">
        <f>SUM(X69:X74)</f>
        <v/>
      </c>
      <c r="Y76" s="460">
        <f>SUM(Y69:Y74)</f>
        <v/>
      </c>
      <c r="Z76" s="460">
        <f>SUM(Z69:Z74)</f>
        <v/>
      </c>
      <c r="AA76" s="460">
        <f>SUM(AA69:AA74)</f>
        <v/>
      </c>
      <c r="AB76" s="460">
        <f>SUM(AB69:AB74)</f>
        <v/>
      </c>
      <c r="AC76" s="460">
        <f>SUM(AC69:AC74)</f>
        <v/>
      </c>
      <c r="AD76" s="460">
        <f>SUM(AD69:AD74)</f>
        <v/>
      </c>
      <c r="AE76" s="460">
        <f>SUM(AE69:AE74)</f>
        <v/>
      </c>
      <c r="AF76" s="460">
        <f>SUM(AF69:AF74)</f>
        <v/>
      </c>
      <c r="AG76" s="460">
        <f>SUM(AG69:AG74)</f>
        <v/>
      </c>
      <c r="AH76" s="460">
        <f>SUM(AH69:AH74)</f>
        <v/>
      </c>
      <c r="AI76" s="460">
        <f>AVERAGE(AH66:AI66)*8760*AI77/1000</f>
        <v/>
      </c>
      <c r="AJ76" s="460">
        <f>AVERAGE(AI66:AJ66)*8760*AJ77/1000</f>
        <v/>
      </c>
      <c r="AK76" s="460">
        <f>AVERAGE(AJ66:AK66)*8760*AK77/1000</f>
        <v/>
      </c>
      <c r="AL76" s="460">
        <f>AVERAGE(AK66:AL66)*8760*AL77/1000</f>
        <v/>
      </c>
      <c r="AM76" s="460">
        <f>AVERAGE(AL66:AM66)*8760*AM77/1000</f>
        <v/>
      </c>
      <c r="AN76" s="460">
        <f>AVERAGE(AM66:AN66)*8760*AN77/1000</f>
        <v/>
      </c>
      <c r="AQ76" s="32" t="n"/>
    </row>
    <row r="77">
      <c r="A77" s="43" t="inlineStr">
        <is>
          <t>Uitlization rate</t>
        </is>
      </c>
      <c r="B77" s="62" t="n"/>
      <c r="C77" s="62" t="n"/>
      <c r="D77" s="62" t="n"/>
      <c r="E77" s="62" t="n"/>
      <c r="F77" s="62" t="n"/>
      <c r="G77" s="62" t="n"/>
      <c r="H77" s="62" t="n"/>
      <c r="I77" s="62" t="n"/>
      <c r="J77" s="62" t="n"/>
      <c r="K77" s="62" t="n"/>
      <c r="L77" s="62" t="n"/>
      <c r="M77" s="62" t="n"/>
      <c r="N77" s="62" t="n"/>
      <c r="O77" s="62" t="n"/>
      <c r="P77" s="62" t="n"/>
      <c r="Q77" s="62" t="n"/>
      <c r="R77" s="62" t="n"/>
      <c r="S77" s="62" t="n"/>
      <c r="T77" s="460" t="n"/>
      <c r="U77" s="460" t="n"/>
      <c r="V77" s="460" t="n"/>
      <c r="W77" s="169">
        <f>W76/(AVERAGE(V66:W66)*8760)*1000</f>
        <v/>
      </c>
      <c r="X77" s="169">
        <f>X76/(AVERAGE(W66:X66)*8760)*1000</f>
        <v/>
      </c>
      <c r="Y77" s="169">
        <f>Y76/(AVERAGE(X66:Y66)*8760)*1000</f>
        <v/>
      </c>
      <c r="Z77" s="169">
        <f>Z76/(AVERAGE(Y66:Z66)*8760)*1000</f>
        <v/>
      </c>
      <c r="AA77" s="169">
        <f>AA76/(AVERAGE(Z66:AA66)*8760)*1000</f>
        <v/>
      </c>
      <c r="AB77" s="169">
        <f>AB76/(AVERAGE(AA66:AB66)*8760)*1000</f>
        <v/>
      </c>
      <c r="AC77" s="169">
        <f>AC76/(AVERAGE(AB66:AC66)*8760)*1000</f>
        <v/>
      </c>
      <c r="AD77" s="169">
        <f>AD76/(AVERAGE(AC66:AD66)*8760)*1000</f>
        <v/>
      </c>
      <c r="AE77" s="169">
        <f>AE76/(AVERAGE(AD66:AE66)*8760)*1000</f>
        <v/>
      </c>
      <c r="AF77" s="169">
        <f>AF76/(AVERAGE(AE66:AF66)*8760)*1000</f>
        <v/>
      </c>
      <c r="AG77" s="169">
        <f>AG76/(AVERAGE(AF66:AG66)*8760)*1000</f>
        <v/>
      </c>
      <c r="AH77" s="169">
        <f>AH76/(AVERAGE(AG66:AH66)*8760)*1000</f>
        <v/>
      </c>
      <c r="AI77" s="469">
        <f>AH77</f>
        <v/>
      </c>
      <c r="AJ77" s="469">
        <f>AI77</f>
        <v/>
      </c>
      <c r="AK77" s="469">
        <f>AJ77</f>
        <v/>
      </c>
      <c r="AL77" s="469">
        <f>AK77</f>
        <v/>
      </c>
      <c r="AM77" s="469">
        <f>AL77</f>
        <v/>
      </c>
      <c r="AN77" s="469">
        <f>AM77</f>
        <v/>
      </c>
      <c r="AO77" s="32" t="n"/>
      <c r="AP77" s="32" t="n"/>
      <c r="AQ77" s="32" t="n"/>
    </row>
    <row r="78">
      <c r="T78" s="116" t="n"/>
      <c r="U78" s="116" t="n"/>
      <c r="V78" s="116" t="n"/>
      <c r="W78" s="116" t="n"/>
      <c r="X78" s="116" t="n"/>
      <c r="Y78" s="116" t="n"/>
      <c r="Z78" s="116" t="n"/>
      <c r="AA78" s="116" t="n"/>
      <c r="AB78" s="116" t="n"/>
      <c r="AC78" s="116" t="n"/>
      <c r="AD78" s="169" t="n"/>
      <c r="AE78" s="116" t="n"/>
      <c r="AF78" s="116" t="n"/>
      <c r="AG78" s="116" t="n"/>
      <c r="AH78" s="116" t="n"/>
      <c r="AI78" s="116" t="n"/>
      <c r="AJ78" s="116" t="n"/>
      <c r="AK78" s="116" t="n"/>
      <c r="AL78" s="116" t="n"/>
      <c r="AM78" s="116" t="n"/>
      <c r="AN78" s="116" t="n"/>
      <c r="AO78" s="32" t="n"/>
      <c r="AP78" s="32" t="n"/>
    </row>
    <row r="79">
      <c r="A79" s="62" t="inlineStr">
        <is>
          <t>Wholesale EBIT</t>
        </is>
      </c>
      <c r="B79" s="32" t="n"/>
      <c r="C79" s="32" t="n"/>
      <c r="D79" s="32" t="n"/>
      <c r="E79" s="32" t="n"/>
      <c r="F79" s="32" t="n"/>
      <c r="G79" s="32" t="n"/>
      <c r="H79" s="32" t="n"/>
      <c r="I79" s="32" t="n"/>
      <c r="J79" s="32" t="n"/>
      <c r="K79" s="32" t="n"/>
      <c r="L79" s="32" t="n"/>
      <c r="M79" s="32" t="n"/>
      <c r="N79" s="32" t="n"/>
      <c r="O79" s="32" t="n"/>
      <c r="P79" s="32" t="n"/>
      <c r="Q79" s="568" t="n"/>
      <c r="R79" s="116" t="n"/>
      <c r="S79" s="116" t="n"/>
      <c r="T79" s="116" t="n"/>
      <c r="U79" s="460" t="n"/>
      <c r="V79" s="460" t="n"/>
      <c r="W79" s="460">
        <f>W19</f>
        <v/>
      </c>
      <c r="X79" s="460">
        <f>X19</f>
        <v/>
      </c>
      <c r="Y79" s="460">
        <f>Y19</f>
        <v/>
      </c>
      <c r="Z79" s="460">
        <f>Z19</f>
        <v/>
      </c>
      <c r="AA79" s="460">
        <f>AA19</f>
        <v/>
      </c>
      <c r="AB79" s="460">
        <f>AB19</f>
        <v/>
      </c>
      <c r="AC79" s="460">
        <f>AC19</f>
        <v/>
      </c>
      <c r="AD79" s="460">
        <f>AD19</f>
        <v/>
      </c>
      <c r="AE79" s="460">
        <f>AE19</f>
        <v/>
      </c>
      <c r="AF79" s="460">
        <f>AF19</f>
        <v/>
      </c>
      <c r="AG79" s="460">
        <f>AG19</f>
        <v/>
      </c>
      <c r="AH79" s="460">
        <f>AH19</f>
        <v/>
      </c>
      <c r="AI79" s="481">
        <f>AI76*AI80</f>
        <v/>
      </c>
      <c r="AJ79" s="481">
        <f>AJ76*AJ80</f>
        <v/>
      </c>
      <c r="AK79" s="481">
        <f>AK76*AK80</f>
        <v/>
      </c>
      <c r="AL79" s="481">
        <f>AL76*AL80</f>
        <v/>
      </c>
      <c r="AM79" s="481">
        <f>AM76*AM80</f>
        <v/>
      </c>
      <c r="AN79" s="481">
        <f>AN76*AN80</f>
        <v/>
      </c>
      <c r="AO79" s="32" t="n"/>
      <c r="AP79" s="32" t="n"/>
      <c r="AQ79" s="512" t="n"/>
    </row>
    <row r="80">
      <c r="A80" s="43" t="inlineStr">
        <is>
          <t>EBIT per unit ('000 HK$/MWh)</t>
        </is>
      </c>
      <c r="B80" s="32" t="n"/>
      <c r="C80" s="32" t="n"/>
      <c r="D80" s="32" t="n"/>
      <c r="E80" s="32" t="n"/>
      <c r="F80" s="32" t="n"/>
      <c r="G80" s="32" t="n"/>
      <c r="H80" s="32" t="n"/>
      <c r="I80" s="32" t="n"/>
      <c r="J80" s="32" t="n"/>
      <c r="K80" s="32" t="n"/>
      <c r="L80" s="32" t="n"/>
      <c r="M80" s="32" t="n"/>
      <c r="N80" s="32" t="n"/>
      <c r="O80" s="32" t="n"/>
      <c r="P80" s="32" t="n"/>
      <c r="Q80" s="568" t="n"/>
      <c r="R80" s="116" t="n"/>
      <c r="S80" s="116" t="n"/>
      <c r="T80" s="116" t="n"/>
      <c r="U80" s="460" t="n"/>
      <c r="V80" s="460" t="n"/>
      <c r="W80" s="690">
        <f>W79/W76</f>
        <v/>
      </c>
      <c r="X80" s="690">
        <f>X79/X76</f>
        <v/>
      </c>
      <c r="Y80" s="690">
        <f>Y79/Y76</f>
        <v/>
      </c>
      <c r="Z80" s="690">
        <f>Z79/Z76</f>
        <v/>
      </c>
      <c r="AA80" s="690">
        <f>AA79/AA76</f>
        <v/>
      </c>
      <c r="AB80" s="690">
        <f>AB79/AB76</f>
        <v/>
      </c>
      <c r="AC80" s="690">
        <f>AC79/AC76</f>
        <v/>
      </c>
      <c r="AD80" s="690">
        <f>AD79/AD76</f>
        <v/>
      </c>
      <c r="AE80" s="690">
        <f>AE79/AE76</f>
        <v/>
      </c>
      <c r="AF80" s="690">
        <f>AF79/AF76</f>
        <v/>
      </c>
      <c r="AG80" s="690">
        <f>AG79/AG76</f>
        <v/>
      </c>
      <c r="AH80" s="690">
        <f>AH79/AH76</f>
        <v/>
      </c>
      <c r="AI80" s="691">
        <f>AI81*AI2</f>
        <v/>
      </c>
      <c r="AJ80" s="691">
        <f>AJ81*AJ2</f>
        <v/>
      </c>
      <c r="AK80" s="691">
        <f>AK81*AK2</f>
        <v/>
      </c>
      <c r="AL80" s="691">
        <f>AL81*AL2</f>
        <v/>
      </c>
      <c r="AM80" s="691">
        <f>AM81*AM2</f>
        <v/>
      </c>
      <c r="AN80" s="691">
        <f>AN81*AN2</f>
        <v/>
      </c>
      <c r="AO80" s="32" t="n"/>
      <c r="AP80" s="32" t="n"/>
      <c r="AQ80" s="512" t="n"/>
    </row>
    <row r="81">
      <c r="A81" s="43" t="inlineStr">
        <is>
          <t>EBIT per unit ('000 AUD/MWh)</t>
        </is>
      </c>
      <c r="B81" s="32" t="n"/>
      <c r="C81" s="32" t="n"/>
      <c r="D81" s="32" t="n"/>
      <c r="E81" s="32" t="n"/>
      <c r="F81" s="32" t="n"/>
      <c r="G81" s="32" t="n"/>
      <c r="H81" s="32" t="n"/>
      <c r="I81" s="32" t="n"/>
      <c r="J81" s="32" t="n"/>
      <c r="K81" s="32" t="n"/>
      <c r="L81" s="32" t="n"/>
      <c r="M81" s="32" t="n"/>
      <c r="N81" s="32" t="n"/>
      <c r="O81" s="32" t="n"/>
      <c r="P81" s="32" t="n"/>
      <c r="Q81" s="568" t="n"/>
      <c r="R81" s="116" t="n"/>
      <c r="S81" s="116" t="n"/>
      <c r="T81" s="116" t="n"/>
      <c r="U81" s="460" t="n"/>
      <c r="V81" s="460" t="n"/>
      <c r="W81" s="690">
        <f>W80/W2</f>
        <v/>
      </c>
      <c r="X81" s="690">
        <f>X80/X2</f>
        <v/>
      </c>
      <c r="Y81" s="690">
        <f>Y80/Y2</f>
        <v/>
      </c>
      <c r="Z81" s="690">
        <f>Z80/Z2</f>
        <v/>
      </c>
      <c r="AA81" s="690">
        <f>AA80/AA2</f>
        <v/>
      </c>
      <c r="AB81" s="690">
        <f>AB80/AB2</f>
        <v/>
      </c>
      <c r="AC81" s="690">
        <f>AC80/AC2</f>
        <v/>
      </c>
      <c r="AD81" s="690">
        <f>AD80/AD2</f>
        <v/>
      </c>
      <c r="AE81" s="690">
        <f>AE80/AE2</f>
        <v/>
      </c>
      <c r="AF81" s="690">
        <f>AF80/AF2</f>
        <v/>
      </c>
      <c r="AG81" s="690">
        <f>AG80/AG2</f>
        <v/>
      </c>
      <c r="AH81" s="690">
        <f>AH80/AH2</f>
        <v/>
      </c>
      <c r="AI81" s="692">
        <f>AH81+0.001</f>
        <v/>
      </c>
      <c r="AJ81" s="692">
        <f>AI81+0.001</f>
        <v/>
      </c>
      <c r="AK81" s="692">
        <f>AJ81+0.001</f>
        <v/>
      </c>
      <c r="AL81" s="692">
        <f>AK81</f>
        <v/>
      </c>
      <c r="AM81" s="692">
        <f>AL81</f>
        <v/>
      </c>
      <c r="AN81" s="692">
        <f>AM81</f>
        <v/>
      </c>
      <c r="AO81" s="32" t="n"/>
      <c r="AP81" s="32" t="n"/>
      <c r="AQ81" s="32" t="n"/>
    </row>
    <row r="82">
      <c r="B82" s="32" t="n"/>
      <c r="C82" s="32" t="n"/>
      <c r="D82" s="32" t="n"/>
      <c r="E82" s="32" t="n"/>
      <c r="F82" s="32" t="n"/>
      <c r="G82" s="32" t="n"/>
      <c r="H82" s="32" t="n"/>
      <c r="I82" s="32" t="n"/>
      <c r="J82" s="32" t="n"/>
      <c r="K82" s="32" t="n"/>
      <c r="L82" s="32" t="n"/>
      <c r="M82" s="32" t="n"/>
      <c r="N82" s="32" t="n"/>
      <c r="O82" s="32" t="n"/>
      <c r="P82" s="32" t="n"/>
      <c r="Q82" s="568" t="n"/>
      <c r="R82" s="116" t="n"/>
      <c r="S82" s="116" t="n"/>
      <c r="T82" s="116" t="n"/>
      <c r="U82" s="460" t="n"/>
      <c r="V82" s="460" t="n"/>
      <c r="W82" s="690" t="n"/>
      <c r="X82" s="690" t="n"/>
      <c r="Y82" s="690" t="n"/>
      <c r="Z82" s="690" t="n"/>
      <c r="AA82" s="691" t="n"/>
      <c r="AB82" s="691" t="n"/>
      <c r="AC82" s="691" t="n"/>
      <c r="AD82" s="691" t="n"/>
      <c r="AE82" s="691" t="n"/>
      <c r="AF82" s="691" t="n"/>
      <c r="AG82" s="691" t="n"/>
      <c r="AH82" s="691" t="n"/>
      <c r="AI82" s="691" t="n"/>
      <c r="AJ82" s="691" t="n"/>
      <c r="AK82" s="691" t="n"/>
      <c r="AL82" s="691" t="n"/>
      <c r="AM82" s="691" t="n"/>
      <c r="AN82" s="691" t="n"/>
      <c r="AQ82" s="32" t="n"/>
    </row>
    <row r="83">
      <c r="A83" s="88" t="inlineStr">
        <is>
          <t>Interest expense</t>
        </is>
      </c>
      <c r="B83" s="132" t="n"/>
      <c r="C83" s="132" t="n"/>
      <c r="D83" s="132" t="n"/>
      <c r="E83" s="132" t="n"/>
      <c r="F83" s="132" t="n"/>
      <c r="G83" s="132" t="n"/>
      <c r="H83" s="132" t="n"/>
      <c r="I83" s="132" t="n"/>
      <c r="J83" s="132" t="n"/>
      <c r="K83" s="132" t="n"/>
      <c r="L83" s="132" t="n"/>
      <c r="M83" s="132" t="n"/>
      <c r="N83" s="132" t="n"/>
      <c r="O83" s="132" t="n"/>
      <c r="P83" s="132" t="n"/>
      <c r="Q83" s="132" t="n"/>
      <c r="R83" s="133" t="n"/>
      <c r="S83" s="687" t="n"/>
      <c r="T83" s="687" t="n"/>
      <c r="U83" s="687" t="n"/>
      <c r="V83" s="687" t="n"/>
      <c r="W83" s="132" t="n"/>
      <c r="X83" s="132" t="n"/>
      <c r="Y83" s="132" t="n"/>
      <c r="Z83" s="132" t="n"/>
      <c r="AA83" s="132" t="n"/>
      <c r="AB83" s="132" t="n"/>
      <c r="AC83" s="132" t="n"/>
      <c r="AD83" s="132" t="n"/>
      <c r="AE83" s="132" t="n"/>
      <c r="AF83" s="132" t="n"/>
      <c r="AG83" s="132" t="n"/>
      <c r="AH83" s="132" t="n"/>
      <c r="AI83" s="132" t="n"/>
      <c r="AJ83" s="132" t="n"/>
      <c r="AK83" s="132" t="n"/>
      <c r="AL83" s="132" t="n"/>
      <c r="AM83" s="132" t="n"/>
      <c r="AN83" s="132" t="n"/>
      <c r="AO83" s="512" t="n"/>
      <c r="AP83" s="512" t="n"/>
      <c r="AQ83" s="32" t="n"/>
    </row>
    <row r="84">
      <c r="A84" s="43" t="inlineStr">
        <is>
          <t>Debt</t>
        </is>
      </c>
      <c r="B84" s="32" t="n"/>
      <c r="C84" s="32" t="n"/>
      <c r="D84" s="32" t="n"/>
      <c r="E84" s="32" t="n"/>
      <c r="F84" s="32" t="n"/>
      <c r="G84" s="32" t="n"/>
      <c r="H84" s="32" t="n"/>
      <c r="I84" s="32" t="n"/>
      <c r="J84" s="32" t="n"/>
      <c r="K84" s="32" t="n"/>
      <c r="L84" s="32" t="n"/>
      <c r="M84" s="512" t="n">
        <v>6444</v>
      </c>
      <c r="N84" s="512" t="n">
        <v>6106</v>
      </c>
      <c r="O84" s="512" t="n">
        <v>11108</v>
      </c>
      <c r="P84" s="512" t="n">
        <v>10954</v>
      </c>
      <c r="Q84" s="512" t="n">
        <v>13375</v>
      </c>
      <c r="R84" s="512" t="n">
        <v>9087</v>
      </c>
      <c r="S84" s="512" t="n">
        <v>11155</v>
      </c>
      <c r="T84" s="512" t="n">
        <v>10815</v>
      </c>
      <c r="U84" s="512" t="n">
        <v>19127</v>
      </c>
      <c r="V84" s="512" t="n">
        <v>16618</v>
      </c>
      <c r="W84" s="512" t="n">
        <v>14406</v>
      </c>
      <c r="X84" s="512" t="n">
        <v>14619</v>
      </c>
      <c r="Y84" s="512" t="n">
        <v>964</v>
      </c>
      <c r="Z84" s="512" t="n">
        <v>1268</v>
      </c>
      <c r="AA84" s="512" t="n">
        <v>234</v>
      </c>
      <c r="AB84" s="693" t="n">
        <v>0</v>
      </c>
      <c r="AC84" s="528" t="n">
        <v>0</v>
      </c>
      <c r="AD84" s="528">
        <f>AC84/AC2*AD2</f>
        <v/>
      </c>
      <c r="AE84" s="528">
        <f>AD84/AD2*AE2</f>
        <v/>
      </c>
      <c r="AF84" s="528" t="n">
        <v>5127</v>
      </c>
      <c r="AG84" s="528" t="n">
        <v>4655</v>
      </c>
      <c r="AH84" s="528" t="n">
        <v>3558</v>
      </c>
      <c r="AI84" s="528">
        <f>AH84/AH2*AI2</f>
        <v/>
      </c>
      <c r="AJ84" s="528">
        <f>AI84/AI2*AJ2</f>
        <v/>
      </c>
      <c r="AK84" s="528">
        <f>AJ84/AJ2*AK2</f>
        <v/>
      </c>
      <c r="AL84" s="528">
        <f>AK84/AK2*AL2</f>
        <v/>
      </c>
      <c r="AM84" s="528">
        <f>AL84/AL2*AM2</f>
        <v/>
      </c>
      <c r="AN84" s="528">
        <f>AM84/AM2*AN2</f>
        <v/>
      </c>
    </row>
    <row r="85">
      <c r="A85" s="43" t="inlineStr">
        <is>
          <t>Interest rate</t>
        </is>
      </c>
      <c r="B85" s="568" t="n"/>
      <c r="C85" s="568" t="n"/>
      <c r="D85" s="568" t="n"/>
      <c r="E85" s="568" t="n"/>
      <c r="F85" s="568" t="n"/>
      <c r="G85" s="568" t="n"/>
      <c r="H85" s="568" t="n"/>
      <c r="I85" s="568" t="n"/>
      <c r="J85" s="568" t="n"/>
      <c r="K85" s="568" t="n"/>
      <c r="L85" s="568" t="n"/>
      <c r="M85" s="512" t="n"/>
      <c r="N85" s="512" t="n"/>
      <c r="O85" s="459" t="n"/>
      <c r="P85" s="459" t="n"/>
      <c r="Q85" s="459" t="n"/>
      <c r="R85" s="459" t="n"/>
      <c r="S85" s="459" t="n"/>
      <c r="T85" s="459" t="n"/>
      <c r="U85" s="459">
        <f>-U25/(T84*2/12+U84*10/12)</f>
        <v/>
      </c>
      <c r="V85" s="459">
        <f>-V25/AVERAGE(U84:V84)</f>
        <v/>
      </c>
      <c r="W85" s="459">
        <f>-W25/AVERAGE(V84:W84)</f>
        <v/>
      </c>
      <c r="X85" s="459">
        <f>-X25/AVERAGE(W84:X84)</f>
        <v/>
      </c>
      <c r="Y85" s="459">
        <f>-Y25/AVERAGE(X84:Y84)</f>
        <v/>
      </c>
      <c r="Z85" s="459">
        <f>-Z25/AVERAGE(Y84:Z84)</f>
        <v/>
      </c>
      <c r="AA85" s="459" t="n"/>
      <c r="AB85" s="459" t="n"/>
      <c r="AC85" s="459" t="n"/>
      <c r="AD85" s="459" t="n"/>
      <c r="AE85" s="459" t="n"/>
      <c r="AF85" s="459">
        <f>-AF25/AVERAGE(AE84:AF84)</f>
        <v/>
      </c>
      <c r="AG85" s="459">
        <f>-AG25/AVERAGE(AF84:AG84)</f>
        <v/>
      </c>
      <c r="AH85" s="459">
        <f>-AH25/AVERAGE(AG84:AH84)</f>
        <v/>
      </c>
      <c r="AI85" s="469">
        <f>AH85-1%</f>
        <v/>
      </c>
      <c r="AJ85" s="469">
        <f>AI85</f>
        <v/>
      </c>
      <c r="AK85" s="469">
        <f>AJ85</f>
        <v/>
      </c>
      <c r="AL85" s="469">
        <f>AK85</f>
        <v/>
      </c>
      <c r="AM85" s="469">
        <f>AL85</f>
        <v/>
      </c>
      <c r="AN85" s="469">
        <f>AM85</f>
        <v/>
      </c>
      <c r="AO85" s="32" t="n"/>
      <c r="AP85" s="32" t="n"/>
    </row>
    <row r="86">
      <c r="M86" s="512" t="n"/>
      <c r="N86" s="512" t="n"/>
      <c r="O86" s="512" t="n"/>
      <c r="P86" s="512" t="n"/>
      <c r="Q86" s="512" t="n"/>
      <c r="R86" s="512" t="n"/>
      <c r="S86" s="512" t="n"/>
      <c r="T86" s="512" t="n"/>
      <c r="U86" s="512" t="n"/>
      <c r="V86" s="512" t="n"/>
      <c r="W86" s="512" t="n"/>
      <c r="X86" s="512" t="n"/>
      <c r="Y86" s="512" t="n"/>
      <c r="Z86" s="512" t="n"/>
      <c r="AA86" s="512" t="n"/>
      <c r="AB86" s="512" t="n"/>
      <c r="AC86" s="512" t="n"/>
      <c r="AD86" s="512" t="n"/>
      <c r="AE86" s="512" t="n"/>
      <c r="AF86" s="512" t="n"/>
      <c r="AG86" s="512" t="n"/>
      <c r="AH86" s="512" t="n"/>
      <c r="AI86" s="512" t="n"/>
      <c r="AJ86" s="512" t="n"/>
      <c r="AK86" s="512" t="n"/>
      <c r="AL86" s="512" t="n"/>
      <c r="AM86" s="512" t="n"/>
      <c r="AN86" s="512" t="n"/>
      <c r="AO86" s="32" t="n"/>
      <c r="AP86" s="32" t="n"/>
      <c r="AQ86" s="32" t="n"/>
    </row>
    <row r="87">
      <c r="A87" s="88" t="inlineStr">
        <is>
          <t>Depreciation</t>
        </is>
      </c>
      <c r="B87" s="132" t="n"/>
      <c r="C87" s="132" t="n"/>
      <c r="D87" s="132" t="n"/>
      <c r="E87" s="132" t="n"/>
      <c r="F87" s="132" t="n"/>
      <c r="G87" s="132" t="n"/>
      <c r="H87" s="132" t="n"/>
      <c r="I87" s="132" t="n"/>
      <c r="J87" s="132" t="n"/>
      <c r="K87" s="132" t="n"/>
      <c r="L87" s="132" t="n"/>
      <c r="M87" s="132" t="n"/>
      <c r="N87" s="132" t="n"/>
      <c r="O87" s="132" t="n"/>
      <c r="P87" s="132" t="n"/>
      <c r="Q87" s="132" t="n"/>
      <c r="R87" s="133" t="n"/>
      <c r="S87" s="687" t="n"/>
      <c r="T87" s="687" t="n"/>
      <c r="U87" s="687" t="n"/>
      <c r="V87" s="687" t="n"/>
      <c r="W87" s="132" t="n"/>
      <c r="X87" s="132" t="n"/>
      <c r="Y87" s="132" t="n"/>
      <c r="Z87" s="132" t="n"/>
      <c r="AA87" s="132" t="n"/>
      <c r="AB87" s="132" t="n"/>
      <c r="AC87" s="132" t="n"/>
      <c r="AD87" s="132" t="n"/>
      <c r="AE87" s="132" t="n"/>
      <c r="AF87" s="132" t="n"/>
      <c r="AG87" s="132" t="n"/>
      <c r="AH87" s="132" t="n"/>
      <c r="AI87" s="132" t="n"/>
      <c r="AJ87" s="132" t="n"/>
      <c r="AK87" s="132" t="n"/>
      <c r="AL87" s="132" t="n"/>
      <c r="AM87" s="132" t="n"/>
      <c r="AN87" s="132" t="n"/>
      <c r="AO87" s="459" t="n"/>
      <c r="AP87" s="459" t="n"/>
    </row>
    <row r="88">
      <c r="A88" s="43" t="inlineStr">
        <is>
          <t>Net fixed assets (HK$m)</t>
        </is>
      </c>
      <c r="B88" s="32" t="n"/>
      <c r="C88" s="32" t="n"/>
      <c r="D88" s="32" t="n"/>
      <c r="E88" s="32" t="n"/>
      <c r="F88" s="32" t="n"/>
      <c r="G88" s="32" t="n"/>
      <c r="H88" s="32" t="n"/>
      <c r="I88" s="32" t="n"/>
      <c r="J88" s="32" t="n"/>
      <c r="K88" s="32" t="n"/>
      <c r="L88" s="32" t="n"/>
      <c r="M88" s="32" t="n"/>
      <c r="N88" s="32" t="n"/>
      <c r="O88" s="32" t="n"/>
      <c r="P88" s="32" t="n"/>
      <c r="Q88" s="568" t="n"/>
      <c r="R88" s="568" t="n"/>
      <c r="S88" s="512" t="n"/>
      <c r="T88" s="512" t="n">
        <v>20093</v>
      </c>
      <c r="U88" s="512" t="n">
        <v>25511</v>
      </c>
      <c r="V88" s="512" t="n">
        <v>25659</v>
      </c>
      <c r="W88" s="512" t="n">
        <v>15889</v>
      </c>
      <c r="X88" s="512" t="n">
        <v>13982</v>
      </c>
      <c r="Y88" s="512" t="n">
        <v>9139</v>
      </c>
      <c r="Z88" s="512" t="n">
        <v>8746</v>
      </c>
      <c r="AA88" s="512" t="n">
        <v>11138</v>
      </c>
      <c r="AB88" s="512" t="n">
        <v>11922</v>
      </c>
      <c r="AC88" s="512" t="n">
        <v>11873</v>
      </c>
      <c r="AD88" s="512" t="n">
        <v>14917</v>
      </c>
      <c r="AE88" s="512" t="n">
        <v>14551</v>
      </c>
      <c r="AF88" s="512" t="n">
        <v>13628</v>
      </c>
      <c r="AG88" s="512" t="n">
        <v>14523</v>
      </c>
      <c r="AH88" s="512" t="n">
        <v>12693</v>
      </c>
      <c r="AI88" s="528">
        <f>AH88+AI91+AI89</f>
        <v/>
      </c>
      <c r="AJ88" s="528">
        <f>AI88+AJ91+AJ89</f>
        <v/>
      </c>
      <c r="AK88" s="528">
        <f>AJ88+AK91+AK89</f>
        <v/>
      </c>
      <c r="AL88" s="528">
        <f>AK88+AL91+AL89</f>
        <v/>
      </c>
      <c r="AM88" s="528">
        <f>AL88+AM91+AM89</f>
        <v/>
      </c>
      <c r="AN88" s="528">
        <f>AM88+AN91+AN89</f>
        <v/>
      </c>
    </row>
    <row r="89">
      <c r="A89" s="43" t="inlineStr">
        <is>
          <t>Depreciation</t>
        </is>
      </c>
      <c r="B89" s="32" t="n"/>
      <c r="C89" s="32" t="n"/>
      <c r="D89" s="32" t="n"/>
      <c r="E89" s="32" t="n"/>
      <c r="F89" s="32" t="n"/>
      <c r="G89" s="32" t="n"/>
      <c r="H89" s="32" t="n"/>
      <c r="I89" s="32" t="n"/>
      <c r="J89" s="32" t="n"/>
      <c r="K89" s="32" t="n"/>
      <c r="L89" s="32" t="n"/>
      <c r="M89" s="116" t="n"/>
      <c r="N89" s="116" t="n"/>
      <c r="O89" s="116" t="n"/>
      <c r="P89" s="116" t="n"/>
      <c r="Q89" s="116" t="n"/>
      <c r="R89" s="116" t="n"/>
      <c r="S89" s="116" t="n"/>
      <c r="T89" s="512">
        <f>T15</f>
        <v/>
      </c>
      <c r="U89" s="512">
        <f>U15</f>
        <v/>
      </c>
      <c r="V89" s="512">
        <f>V15</f>
        <v/>
      </c>
      <c r="W89" s="512">
        <f>W15</f>
        <v/>
      </c>
      <c r="X89" s="512">
        <f>X15</f>
        <v/>
      </c>
      <c r="Y89" s="512">
        <f>Y15</f>
        <v/>
      </c>
      <c r="Z89" s="512">
        <f>Z15</f>
        <v/>
      </c>
      <c r="AA89" s="512">
        <f>AA15</f>
        <v/>
      </c>
      <c r="AB89" s="512">
        <f>AB15</f>
        <v/>
      </c>
      <c r="AC89" s="512">
        <f>AC15</f>
        <v/>
      </c>
      <c r="AD89" s="512">
        <f>AD15</f>
        <v/>
      </c>
      <c r="AE89" s="512">
        <f>AE15</f>
        <v/>
      </c>
      <c r="AF89" s="512">
        <f>AF15</f>
        <v/>
      </c>
      <c r="AG89" s="512">
        <f>AG15</f>
        <v/>
      </c>
      <c r="AH89" s="512">
        <f>AH15</f>
        <v/>
      </c>
      <c r="AI89" s="528">
        <f>-AH88*AI90</f>
        <v/>
      </c>
      <c r="AJ89" s="528">
        <f>-AI88*AJ90</f>
        <v/>
      </c>
      <c r="AK89" s="528">
        <f>-AJ88*AK90</f>
        <v/>
      </c>
      <c r="AL89" s="528">
        <f>-AK88*AL90</f>
        <v/>
      </c>
      <c r="AM89" s="528">
        <f>-AL88*AM90</f>
        <v/>
      </c>
      <c r="AN89" s="528">
        <f>-AM88*AN90</f>
        <v/>
      </c>
    </row>
    <row r="90">
      <c r="A90" s="118" t="inlineStr">
        <is>
          <t>as % of NFA</t>
        </is>
      </c>
      <c r="B90" s="32" t="n"/>
      <c r="C90" s="32" t="n"/>
      <c r="D90" s="32" t="n"/>
      <c r="E90" s="32" t="n"/>
      <c r="F90" s="32" t="n"/>
      <c r="G90" s="32" t="n"/>
      <c r="H90" s="32" t="n"/>
      <c r="I90" s="32" t="n"/>
      <c r="J90" s="32" t="n"/>
      <c r="K90" s="32" t="n"/>
      <c r="L90" s="32" t="n"/>
      <c r="M90" s="116" t="n"/>
      <c r="N90" s="116" t="n"/>
      <c r="O90" s="116" t="n"/>
      <c r="P90" s="116" t="n"/>
      <c r="Q90" s="116" t="n"/>
      <c r="R90" s="116" t="n"/>
      <c r="S90" s="116" t="n"/>
      <c r="T90" s="459" t="n"/>
      <c r="U90" s="459">
        <f>-U89/AVERAGE(T88:U88)</f>
        <v/>
      </c>
      <c r="V90" s="459">
        <f>-V89/AVERAGE(U88:V88)</f>
        <v/>
      </c>
      <c r="W90" s="459">
        <f>-W89/AVERAGE(V88)</f>
        <v/>
      </c>
      <c r="X90" s="459">
        <f>-X89/AVERAGE(W88:X88)</f>
        <v/>
      </c>
      <c r="Y90" s="459">
        <f>-Y89/AVERAGE(X88:Y88)</f>
        <v/>
      </c>
      <c r="Z90" s="459">
        <f>-Z89/AVERAGE(Y88:Z88)</f>
        <v/>
      </c>
      <c r="AA90" s="459">
        <f>-AA89/AVERAGE(Z88:AA88)</f>
        <v/>
      </c>
      <c r="AB90" s="459">
        <f>-AB89/AVERAGE(AA88:AB88)</f>
        <v/>
      </c>
      <c r="AC90" s="459">
        <f>-AC89/AVERAGE(AB88:AC88)</f>
        <v/>
      </c>
      <c r="AD90" s="459">
        <f>-AD89/AVERAGE(AC88:AD88)</f>
        <v/>
      </c>
      <c r="AE90" s="459">
        <f>-AE89/AVERAGE(AD88:AE88)</f>
        <v/>
      </c>
      <c r="AF90" s="459">
        <f>-AF89/AVERAGE(AE88:AF88)</f>
        <v/>
      </c>
      <c r="AG90" s="459">
        <f>-AG89/AVERAGE(AF88:AG88)</f>
        <v/>
      </c>
      <c r="AH90" s="459">
        <f>-AH89/AVERAGE(AG88:AH88)</f>
        <v/>
      </c>
      <c r="AI90" s="469">
        <f>+AH90</f>
        <v/>
      </c>
      <c r="AJ90" s="469">
        <f>+AI90</f>
        <v/>
      </c>
      <c r="AK90" s="469">
        <f>+AJ90</f>
        <v/>
      </c>
      <c r="AL90" s="469">
        <f>+AK90</f>
        <v/>
      </c>
      <c r="AM90" s="469">
        <f>+AL90</f>
        <v/>
      </c>
      <c r="AN90" s="469">
        <f>+AM90</f>
        <v/>
      </c>
      <c r="AO90" s="32" t="n"/>
      <c r="AP90" s="32" t="n"/>
    </row>
    <row r="91">
      <c r="A91" s="43" t="inlineStr">
        <is>
          <t>CAPEX</t>
        </is>
      </c>
      <c r="B91" s="32" t="n"/>
      <c r="C91" s="32" t="n"/>
      <c r="D91" s="32" t="n"/>
      <c r="E91" s="116" t="n"/>
      <c r="F91" s="116" t="n"/>
      <c r="G91" s="116" t="n"/>
      <c r="H91" s="116" t="n"/>
      <c r="I91" s="116" t="n"/>
      <c r="J91" s="116" t="n"/>
      <c r="K91" s="116" t="n">
        <v>86</v>
      </c>
      <c r="L91" s="116" t="n">
        <v>186</v>
      </c>
      <c r="M91" s="116" t="n">
        <v>464</v>
      </c>
      <c r="N91" s="116" t="n">
        <v>511</v>
      </c>
      <c r="O91" s="116" t="n">
        <v>750</v>
      </c>
      <c r="P91" s="116" t="n">
        <v>1101</v>
      </c>
      <c r="Q91" s="116" t="n">
        <v>2878</v>
      </c>
      <c r="R91" s="116" t="n">
        <v>1757</v>
      </c>
      <c r="S91" s="116" t="n">
        <v>1349</v>
      </c>
      <c r="T91" s="116" t="n">
        <v>1880</v>
      </c>
      <c r="U91" s="116" t="n">
        <v>4563</v>
      </c>
      <c r="V91" s="116" t="n">
        <v>2582</v>
      </c>
      <c r="W91" s="116" t="n">
        <v>2139</v>
      </c>
      <c r="X91" s="116" t="n">
        <v>1777</v>
      </c>
      <c r="Y91" s="116" t="n">
        <v>825</v>
      </c>
      <c r="Z91" s="116" t="n">
        <v>943</v>
      </c>
      <c r="AA91" s="116" t="n">
        <v>3062</v>
      </c>
      <c r="AB91" s="116" t="n">
        <v>2221</v>
      </c>
      <c r="AC91" s="116" t="n">
        <v>1894</v>
      </c>
      <c r="AD91" s="116" t="n">
        <v>3649</v>
      </c>
      <c r="AE91" s="116" t="n">
        <v>2666</v>
      </c>
      <c r="AF91" s="116" t="n">
        <v>2335</v>
      </c>
      <c r="AG91" s="116" t="n">
        <v>3062</v>
      </c>
      <c r="AH91" s="116" t="n">
        <v>2095</v>
      </c>
      <c r="AI91" s="405">
        <f>AH91*0.8</f>
        <v/>
      </c>
      <c r="AJ91" s="405">
        <f>AI91*0.8</f>
        <v/>
      </c>
      <c r="AK91" s="405">
        <f>AJ91*0.8</f>
        <v/>
      </c>
      <c r="AL91" s="405">
        <f>AK91*0.8</f>
        <v/>
      </c>
      <c r="AM91" s="405">
        <f>AL91*0.8</f>
        <v/>
      </c>
      <c r="AN91" s="405">
        <f>AM91*0.8</f>
        <v/>
      </c>
      <c r="AO91" s="32" t="n"/>
      <c r="AP91" s="32" t="n"/>
    </row>
    <row r="92">
      <c r="A92" s="214" t="n"/>
      <c r="B92" s="32" t="n"/>
      <c r="C92" s="32" t="n"/>
      <c r="D92" s="32" t="n"/>
      <c r="E92" s="32" t="n"/>
      <c r="F92" s="32" t="n"/>
      <c r="G92" s="32" t="n"/>
      <c r="H92" s="32" t="n"/>
      <c r="I92" s="32" t="n"/>
      <c r="J92" s="32" t="n"/>
      <c r="K92" s="32" t="n"/>
      <c r="L92" s="32" t="n"/>
      <c r="M92" s="116" t="n"/>
      <c r="N92" s="116" t="n"/>
      <c r="O92" s="116" t="n"/>
      <c r="P92" s="116" t="n"/>
      <c r="Q92" s="116" t="n"/>
      <c r="R92" s="116" t="n"/>
      <c r="S92" s="116" t="n"/>
      <c r="T92" s="116" t="n"/>
      <c r="U92" s="116" t="n"/>
      <c r="V92" s="116" t="n"/>
      <c r="W92" s="116" t="n"/>
      <c r="X92" s="116" t="n"/>
      <c r="Y92" s="116" t="n"/>
      <c r="Z92" s="116" t="n"/>
      <c r="AA92" s="469" t="n"/>
      <c r="AB92" s="469" t="n"/>
      <c r="AC92" s="469" t="n"/>
      <c r="AD92" s="469" t="n"/>
      <c r="AE92" s="469" t="n"/>
      <c r="AF92" s="469" t="n"/>
      <c r="AG92" s="469" t="n"/>
      <c r="AH92" s="469" t="n"/>
      <c r="AI92" s="469" t="n"/>
      <c r="AJ92" s="469" t="n"/>
      <c r="AK92" s="469" t="n"/>
      <c r="AL92" s="469" t="n"/>
      <c r="AM92" s="469" t="n"/>
      <c r="AN92" s="469" t="n"/>
      <c r="AO92" s="32" t="n"/>
      <c r="AP92" s="32" t="n"/>
    </row>
    <row r="93">
      <c r="A93" s="43" t="inlineStr">
        <is>
          <t>Intangible assets (HK$m)</t>
        </is>
      </c>
      <c r="B93" s="32" t="n"/>
      <c r="C93" s="32" t="n"/>
      <c r="D93" s="32" t="n"/>
      <c r="E93" s="32" t="n"/>
      <c r="F93" s="32" t="n"/>
      <c r="G93" s="32" t="n"/>
      <c r="H93" s="32" t="n"/>
      <c r="I93" s="32" t="n"/>
      <c r="J93" s="32" t="n"/>
      <c r="K93" s="32" t="n"/>
      <c r="L93" s="32" t="n"/>
      <c r="M93" s="32" t="n"/>
      <c r="N93" s="32" t="n"/>
      <c r="O93" s="32" t="n"/>
      <c r="P93" s="32" t="n"/>
      <c r="Q93" s="568" t="n"/>
      <c r="R93" s="568" t="n"/>
      <c r="S93" s="568" t="n"/>
      <c r="T93" s="512" t="n"/>
      <c r="U93" s="512" t="n">
        <v>27295</v>
      </c>
      <c r="V93" s="512" t="n">
        <v>28408</v>
      </c>
      <c r="W93" s="512" t="n">
        <v>23778</v>
      </c>
      <c r="X93" s="512" t="n">
        <v>20084</v>
      </c>
      <c r="Y93" s="512" t="n">
        <v>17476</v>
      </c>
      <c r="Z93" s="512" t="n">
        <v>17135</v>
      </c>
      <c r="AA93" s="512" t="n">
        <v>18815</v>
      </c>
      <c r="AB93" s="512" t="n">
        <v>16885</v>
      </c>
      <c r="AC93" s="512" t="n">
        <v>10340</v>
      </c>
      <c r="AD93" s="512" t="n">
        <v>11064</v>
      </c>
      <c r="AE93" s="512" t="n">
        <v>10476</v>
      </c>
      <c r="AF93" s="512" t="n">
        <v>9510</v>
      </c>
      <c r="AG93" s="512" t="n">
        <v>3688</v>
      </c>
      <c r="AH93" s="512" t="n">
        <v>3128</v>
      </c>
      <c r="AI93" s="528">
        <f>AH93</f>
        <v/>
      </c>
      <c r="AJ93" s="528">
        <f>AI93</f>
        <v/>
      </c>
      <c r="AK93" s="528">
        <f>AJ93</f>
        <v/>
      </c>
      <c r="AL93" s="528">
        <f>AK93</f>
        <v/>
      </c>
      <c r="AM93" s="528">
        <f>AL93</f>
        <v/>
      </c>
      <c r="AN93" s="528">
        <f>AM93</f>
        <v/>
      </c>
      <c r="AO93" s="32" t="n"/>
      <c r="AP93" s="32" t="n"/>
    </row>
    <row r="94">
      <c r="A94" s="43" t="inlineStr">
        <is>
          <t>ROIC</t>
        </is>
      </c>
      <c r="T94" s="131" t="n"/>
      <c r="U94" s="614">
        <f>U29/(U88+U93)</f>
        <v/>
      </c>
      <c r="V94" s="614">
        <f>V29/(V88+V93)</f>
        <v/>
      </c>
      <c r="W94" s="614">
        <f>W29/(W88+W93)</f>
        <v/>
      </c>
      <c r="X94" s="614">
        <f>X29/(X88+X93)</f>
        <v/>
      </c>
      <c r="Y94" s="614">
        <f>Y29/(Y88+Y93)</f>
        <v/>
      </c>
      <c r="Z94" s="614">
        <f>Z29/(Z88+Z93)</f>
        <v/>
      </c>
      <c r="AA94" s="614">
        <f>AA29/(AA88+AA93)</f>
        <v/>
      </c>
      <c r="AB94" s="614">
        <f>AB29/(AB88+AB93)</f>
        <v/>
      </c>
      <c r="AC94" s="614">
        <f>AC29/(AC88+AC93)</f>
        <v/>
      </c>
      <c r="AD94" s="614">
        <f>AD29/(AD88+AD93)</f>
        <v/>
      </c>
      <c r="AE94" s="614">
        <f>AE29/(AE88+AE93)</f>
        <v/>
      </c>
      <c r="AF94" s="614">
        <f>AF29/(AF88+AF93)</f>
        <v/>
      </c>
      <c r="AG94" s="614">
        <f>AG29/(AG88+AG93)</f>
        <v/>
      </c>
      <c r="AH94" s="614">
        <f>AH29/(AH88+AH93)</f>
        <v/>
      </c>
      <c r="AI94" s="614">
        <f>AI29/(AI88+AI93)</f>
        <v/>
      </c>
      <c r="AJ94" s="614">
        <f>AJ29/(AJ88+AJ93)</f>
        <v/>
      </c>
      <c r="AK94" s="614">
        <f>AK29/(AK88+AK93)</f>
        <v/>
      </c>
      <c r="AL94" s="614">
        <f>AL29/(AL88+AL93)</f>
        <v/>
      </c>
      <c r="AM94" s="614">
        <f>AM29/(AM88+AM93)</f>
        <v/>
      </c>
      <c r="AN94" s="614">
        <f>AN29/(AN88+AN93)</f>
        <v/>
      </c>
    </row>
    <row r="95">
      <c r="A95" s="88" t="inlineStr">
        <is>
          <t>Exchange rate</t>
        </is>
      </c>
      <c r="B95" s="132" t="n"/>
      <c r="C95" s="132" t="n"/>
      <c r="D95" s="132" t="n"/>
      <c r="E95" s="132" t="n"/>
      <c r="F95" s="132" t="n"/>
      <c r="G95" s="132" t="n"/>
      <c r="H95" s="132" t="n"/>
      <c r="I95" s="132" t="n"/>
      <c r="J95" s="132" t="n"/>
      <c r="K95" s="132" t="n"/>
      <c r="L95" s="132" t="n"/>
      <c r="M95" s="132" t="n"/>
      <c r="N95" s="132" t="n"/>
      <c r="O95" s="132" t="n"/>
      <c r="P95" s="132" t="n"/>
      <c r="Q95" s="132" t="n"/>
      <c r="R95" s="133" t="n"/>
      <c r="S95" s="687" t="n"/>
      <c r="T95" s="687" t="n"/>
      <c r="U95" s="687" t="n"/>
      <c r="V95" s="687" t="n"/>
      <c r="W95" s="149" t="n"/>
      <c r="X95" s="149" t="n"/>
      <c r="Y95" s="149" t="n"/>
      <c r="Z95" s="149" t="n"/>
      <c r="AA95" s="149" t="n"/>
      <c r="AB95" s="149" t="n"/>
      <c r="AC95" s="149" t="n"/>
      <c r="AD95" s="149" t="n"/>
      <c r="AE95" s="149" t="n"/>
      <c r="AF95" s="149" t="n"/>
      <c r="AG95" s="149" t="n"/>
      <c r="AH95" s="149" t="n"/>
      <c r="AI95" s="149" t="n"/>
      <c r="AJ95" s="149" t="n"/>
      <c r="AK95" s="149" t="n"/>
      <c r="AL95" s="149" t="n"/>
      <c r="AM95" s="149" t="n"/>
      <c r="AN95" s="149" t="n"/>
    </row>
    <row r="96">
      <c r="I96" s="512" t="n"/>
      <c r="J96" s="512" t="n"/>
      <c r="K96" s="512" t="n"/>
      <c r="L96" s="512" t="n"/>
      <c r="M96" s="512" t="n"/>
      <c r="N96" s="512" t="n"/>
      <c r="O96" s="512" t="n"/>
      <c r="P96" s="512" t="n"/>
      <c r="Q96" s="512" t="n"/>
      <c r="R96" s="512" t="n"/>
      <c r="S96" s="512" t="n"/>
      <c r="T96" s="512" t="n"/>
      <c r="U96" s="512" t="n"/>
      <c r="V96" s="512" t="n"/>
      <c r="W96" s="512" t="n"/>
      <c r="X96" s="512" t="n"/>
      <c r="Y96" s="512" t="n"/>
      <c r="Z96" s="512" t="n"/>
      <c r="AA96" s="628" t="n"/>
      <c r="AB96" s="512" t="n"/>
      <c r="AC96" s="512" t="n"/>
      <c r="AD96" s="512" t="n"/>
      <c r="AE96" s="512" t="n"/>
      <c r="AF96" s="512" t="n"/>
      <c r="AG96" s="512" t="n"/>
      <c r="AH96" s="512" t="n"/>
      <c r="AI96" s="512" t="n"/>
      <c r="AJ96" s="512" t="n"/>
      <c r="AK96" s="512" t="n"/>
      <c r="AL96" s="512" t="n"/>
      <c r="AM96" s="512" t="n"/>
      <c r="AN96" s="512" t="n"/>
    </row>
    <row r="97">
      <c r="A97" s="62" t="inlineStr">
        <is>
          <t xml:space="preserve">Implied AUD/MWh wholesale price </t>
        </is>
      </c>
      <c r="T97" s="116" t="n"/>
      <c r="U97" s="116" t="n"/>
      <c r="V97" s="694" t="n"/>
      <c r="W97" s="694">
        <f>(W7/W2)/W76*1000</f>
        <v/>
      </c>
      <c r="X97" s="694">
        <f>(X7/X2)/X76*1000</f>
        <v/>
      </c>
      <c r="Y97" s="694">
        <f>(Y7/Y2)/Y76*1000</f>
        <v/>
      </c>
      <c r="Z97" s="694">
        <f>(Z7/Z2)/Z76*1000</f>
        <v/>
      </c>
      <c r="AA97" s="694">
        <f>(AA7/AA2)/AA76*1000</f>
        <v/>
      </c>
      <c r="AB97" s="694">
        <f>(AB7/AB2)/AB76*1000</f>
        <v/>
      </c>
      <c r="AC97" s="694">
        <f>(AC7/AC2)/AC76*1000</f>
        <v/>
      </c>
      <c r="AD97" s="694">
        <f>(AD7/AD2)/AD76*1000</f>
        <v/>
      </c>
      <c r="AE97" s="694">
        <f>(AE7/AE2)/AE76*1000</f>
        <v/>
      </c>
      <c r="AF97" s="694">
        <f>(AF7/AF2)/AF76*1000</f>
        <v/>
      </c>
      <c r="AG97" s="694">
        <f>(AG7/AG2)/AG76*1000</f>
        <v/>
      </c>
      <c r="AH97" s="694">
        <f>(AH7/AH2)/AH76*1000</f>
        <v/>
      </c>
      <c r="AI97" s="694" t="n"/>
      <c r="AJ97" s="694" t="n"/>
      <c r="AK97" s="694" t="n"/>
      <c r="AL97" s="694" t="n"/>
      <c r="AM97" s="694" t="n"/>
      <c r="AN97" s="694" t="n"/>
    </row>
    <row r="98">
      <c r="A98" s="62" t="n"/>
      <c r="T98" s="116" t="n"/>
      <c r="U98" s="116" t="n"/>
      <c r="V98" s="694" t="n"/>
      <c r="W98" s="694" t="n"/>
      <c r="X98" s="694" t="n"/>
      <c r="Y98" s="694" t="n"/>
      <c r="Z98" s="694" t="n"/>
      <c r="AA98" s="694" t="n"/>
      <c r="AB98" s="694" t="n"/>
      <c r="AC98" s="694" t="n"/>
      <c r="AD98" s="694" t="n"/>
      <c r="AE98" s="694" t="n"/>
      <c r="AF98" s="694" t="n"/>
      <c r="AG98" s="694" t="n"/>
      <c r="AH98" s="694" t="n"/>
      <c r="AI98" s="694" t="n"/>
      <c r="AJ98" s="694" t="n"/>
      <c r="AK98" s="694" t="n"/>
      <c r="AL98" s="694" t="n"/>
      <c r="AM98" s="694" t="n"/>
      <c r="AN98" s="694" t="n"/>
    </row>
    <row r="99">
      <c r="A99" s="62" t="inlineStr">
        <is>
          <t>Australia team forecasts:</t>
        </is>
      </c>
      <c r="T99" s="116" t="n"/>
      <c r="U99" s="116" t="n"/>
      <c r="V99" s="694" t="n"/>
      <c r="W99" s="694" t="n"/>
      <c r="X99" s="694" t="n"/>
      <c r="Y99" s="694" t="n"/>
      <c r="Z99" s="694" t="n"/>
      <c r="AA99" s="694" t="n"/>
      <c r="AB99" s="694" t="n"/>
      <c r="AC99" s="694" t="n"/>
      <c r="AD99" s="694" t="n"/>
      <c r="AE99" s="694" t="n"/>
      <c r="AF99" s="694" t="n"/>
      <c r="AG99" s="694" t="n"/>
      <c r="AH99" s="694" t="n"/>
      <c r="AI99" s="694" t="n"/>
      <c r="AJ99" s="694" t="n"/>
      <c r="AK99" s="694" t="n"/>
      <c r="AL99" s="694" t="n"/>
      <c r="AM99" s="694" t="n"/>
      <c r="AN99" s="694" t="n"/>
      <c r="AQ99" s="512" t="n"/>
    </row>
    <row r="100">
      <c r="A100" s="62" t="inlineStr">
        <is>
          <t>Electricity price (AUD/MWh):</t>
        </is>
      </c>
      <c r="T100" s="116" t="n"/>
      <c r="U100" s="116" t="n"/>
      <c r="V100" s="694" t="n"/>
      <c r="W100" s="694" t="n"/>
      <c r="X100" s="694" t="n"/>
      <c r="Y100" s="694" t="n"/>
      <c r="Z100" s="694" t="n"/>
      <c r="AA100" s="694" t="n"/>
      <c r="AB100" s="694" t="n"/>
      <c r="AC100" s="694" t="n"/>
      <c r="AD100" s="694" t="n"/>
      <c r="AE100" s="694" t="n"/>
      <c r="AF100" s="694" t="n"/>
      <c r="AG100" s="694" t="n"/>
      <c r="AH100" s="694" t="n"/>
      <c r="AI100" s="694" t="n"/>
      <c r="AJ100" s="694" t="n"/>
      <c r="AK100" s="694" t="n"/>
      <c r="AL100" s="694" t="n"/>
      <c r="AM100" s="694" t="n"/>
      <c r="AN100" s="694" t="n"/>
    </row>
    <row r="101">
      <c r="A101" s="111" t="inlineStr">
        <is>
          <t>NEM price</t>
        </is>
      </c>
      <c r="B101" s="32" t="n"/>
      <c r="C101" s="32" t="n"/>
      <c r="D101" s="32" t="n"/>
      <c r="E101" s="32" t="n"/>
      <c r="F101" s="32" t="n"/>
      <c r="G101" s="32" t="n"/>
      <c r="H101" s="32" t="n"/>
      <c r="I101" s="32" t="n"/>
      <c r="J101" s="32" t="n"/>
      <c r="K101" s="32" t="n"/>
      <c r="L101" s="32" t="n"/>
      <c r="M101" s="32" t="n"/>
      <c r="N101" s="32" t="n"/>
      <c r="O101" s="32" t="n"/>
      <c r="P101" s="32" t="n"/>
      <c r="Q101" s="568" t="n"/>
      <c r="R101" s="116" t="n"/>
      <c r="S101" s="116" t="n"/>
      <c r="T101" s="116" t="n"/>
      <c r="U101" s="116" t="n"/>
      <c r="V101" s="151" t="n">
        <v>38</v>
      </c>
      <c r="W101" s="151" t="n">
        <v>51</v>
      </c>
      <c r="X101" s="151" t="n">
        <v>39</v>
      </c>
      <c r="Y101" s="116" t="n">
        <v>38</v>
      </c>
      <c r="Z101" s="116" t="n">
        <v>54</v>
      </c>
      <c r="AA101" s="116" t="n">
        <v>76</v>
      </c>
      <c r="AB101" s="116" t="n">
        <v>80</v>
      </c>
      <c r="AC101" s="116" t="n">
        <v>80</v>
      </c>
      <c r="AD101" s="116" t="n">
        <v>80</v>
      </c>
      <c r="AE101" s="116">
        <f>AD101</f>
        <v/>
      </c>
      <c r="AF101" s="116">
        <f>AE101</f>
        <v/>
      </c>
      <c r="AG101" s="116">
        <f>AF101</f>
        <v/>
      </c>
      <c r="AH101" s="116">
        <f>AG101</f>
        <v/>
      </c>
      <c r="AI101" s="116">
        <f>AH101</f>
        <v/>
      </c>
      <c r="AJ101" s="116">
        <f>AI101</f>
        <v/>
      </c>
      <c r="AK101" s="116">
        <f>AJ101</f>
        <v/>
      </c>
      <c r="AL101" s="116">
        <f>AK101</f>
        <v/>
      </c>
      <c r="AM101" s="116">
        <f>AL101</f>
        <v/>
      </c>
      <c r="AN101" s="116">
        <f>AM101</f>
        <v/>
      </c>
      <c r="AO101" s="512" t="n"/>
      <c r="AP101" s="512" t="n"/>
    </row>
    <row r="102">
      <c r="A102" s="111" t="inlineStr">
        <is>
          <t>Retail - business</t>
        </is>
      </c>
      <c r="T102" s="116" t="n"/>
      <c r="U102" s="116" t="n"/>
      <c r="V102" s="116" t="n"/>
      <c r="W102" s="116" t="n"/>
      <c r="X102" s="116" t="n"/>
      <c r="Y102" s="116" t="n">
        <v>142</v>
      </c>
      <c r="Z102" s="116" t="n">
        <v>128</v>
      </c>
      <c r="AA102" s="116" t="n">
        <v>138</v>
      </c>
      <c r="AB102" s="116" t="n">
        <v>161</v>
      </c>
      <c r="AC102" s="116" t="n">
        <v>187</v>
      </c>
      <c r="AD102" s="116" t="n">
        <v>188</v>
      </c>
      <c r="AE102" s="116">
        <f>AD102</f>
        <v/>
      </c>
      <c r="AF102" s="116">
        <f>AE102</f>
        <v/>
      </c>
      <c r="AG102" s="116">
        <f>AF102</f>
        <v/>
      </c>
      <c r="AH102" s="116">
        <f>AG102</f>
        <v/>
      </c>
      <c r="AI102" s="116">
        <f>AH102</f>
        <v/>
      </c>
      <c r="AJ102" s="116">
        <f>AI102</f>
        <v/>
      </c>
      <c r="AK102" s="116">
        <f>AJ102</f>
        <v/>
      </c>
      <c r="AL102" s="116">
        <f>AK102</f>
        <v/>
      </c>
      <c r="AM102" s="116">
        <f>AL102</f>
        <v/>
      </c>
      <c r="AN102" s="116">
        <f>AM102</f>
        <v/>
      </c>
    </row>
    <row r="103">
      <c r="A103" s="111" t="inlineStr">
        <is>
          <t>Retail - residential</t>
        </is>
      </c>
      <c r="T103" s="116" t="n"/>
      <c r="U103" s="116" t="n"/>
      <c r="V103" s="116" t="n"/>
      <c r="W103" s="116" t="n"/>
      <c r="X103" s="116" t="n"/>
      <c r="Y103" s="116" t="n">
        <v>284</v>
      </c>
      <c r="Z103" s="116" t="n">
        <v>261</v>
      </c>
      <c r="AA103" s="116" t="n">
        <v>275</v>
      </c>
      <c r="AB103" s="116" t="n">
        <v>302</v>
      </c>
      <c r="AC103" s="116" t="n">
        <v>330</v>
      </c>
      <c r="AD103" s="116" t="n">
        <v>361</v>
      </c>
      <c r="AE103" s="116">
        <f>AD103</f>
        <v/>
      </c>
      <c r="AF103" s="116">
        <f>AE103</f>
        <v/>
      </c>
      <c r="AG103" s="116">
        <f>AF103</f>
        <v/>
      </c>
      <c r="AH103" s="116">
        <f>AG103</f>
        <v/>
      </c>
      <c r="AI103" s="116">
        <f>AH103</f>
        <v/>
      </c>
      <c r="AJ103" s="116">
        <f>AI103</f>
        <v/>
      </c>
      <c r="AK103" s="116">
        <f>AJ103</f>
        <v/>
      </c>
      <c r="AL103" s="116">
        <f>AK103</f>
        <v/>
      </c>
      <c r="AM103" s="116">
        <f>AL103</f>
        <v/>
      </c>
      <c r="AN103" s="116">
        <f>AM103</f>
        <v/>
      </c>
    </row>
    <row r="104">
      <c r="A104" s="111" t="inlineStr">
        <is>
          <t>Retail margin - Business</t>
        </is>
      </c>
      <c r="Y104" s="116">
        <f>Y102-Y101</f>
        <v/>
      </c>
      <c r="Z104" s="116">
        <f>Z102-Z101</f>
        <v/>
      </c>
      <c r="AA104" s="116">
        <f>AA102-AA101</f>
        <v/>
      </c>
      <c r="AB104" s="116">
        <f>AB102-AB101</f>
        <v/>
      </c>
      <c r="AC104" s="116">
        <f>AC102-AC101</f>
        <v/>
      </c>
      <c r="AD104" s="116">
        <f>AD102-AD101</f>
        <v/>
      </c>
      <c r="AE104" s="116">
        <f>AE102-AE101</f>
        <v/>
      </c>
      <c r="AF104" s="116">
        <f>AF102-AF101</f>
        <v/>
      </c>
      <c r="AG104" s="116">
        <f>AG102-AG101</f>
        <v/>
      </c>
      <c r="AH104" s="116">
        <f>AH102-AH101</f>
        <v/>
      </c>
      <c r="AI104" s="116">
        <f>AI102-AI101</f>
        <v/>
      </c>
      <c r="AJ104" s="116">
        <f>AJ102-AJ101</f>
        <v/>
      </c>
      <c r="AK104" s="116">
        <f>AK102-AK101</f>
        <v/>
      </c>
      <c r="AL104" s="116">
        <f>AL102-AL101</f>
        <v/>
      </c>
      <c r="AM104" s="116">
        <f>AM102-AM101</f>
        <v/>
      </c>
      <c r="AN104" s="116">
        <f>AN102-AN101</f>
        <v/>
      </c>
    </row>
    <row r="105">
      <c r="A105" s="111" t="inlineStr">
        <is>
          <t>Retail margin - Residential</t>
        </is>
      </c>
      <c r="Y105" s="116">
        <f>Y103-Y101</f>
        <v/>
      </c>
      <c r="Z105" s="116">
        <f>Z103-Z101</f>
        <v/>
      </c>
      <c r="AA105" s="116">
        <f>AA103-AA101</f>
        <v/>
      </c>
      <c r="AB105" s="116">
        <f>AB103-AB101</f>
        <v/>
      </c>
      <c r="AC105" s="116">
        <f>AC103-AC101</f>
        <v/>
      </c>
      <c r="AD105" s="116">
        <f>AD103-AD101</f>
        <v/>
      </c>
      <c r="AE105" s="116">
        <f>AE103-AE101</f>
        <v/>
      </c>
      <c r="AF105" s="116">
        <f>AF103-AF101</f>
        <v/>
      </c>
      <c r="AG105" s="116">
        <f>AG103-AG101</f>
        <v/>
      </c>
      <c r="AH105" s="116">
        <f>AH103-AH101</f>
        <v/>
      </c>
      <c r="AI105" s="116">
        <f>AI103-AI101</f>
        <v/>
      </c>
      <c r="AJ105" s="116">
        <f>AJ103-AJ101</f>
        <v/>
      </c>
      <c r="AK105" s="116">
        <f>AK103-AK101</f>
        <v/>
      </c>
      <c r="AL105" s="116">
        <f>AL103-AL101</f>
        <v/>
      </c>
      <c r="AM105" s="116">
        <f>AM103-AM101</f>
        <v/>
      </c>
      <c r="AN105" s="116">
        <f>AN103-AN101</f>
        <v/>
      </c>
    </row>
    <row r="106">
      <c r="A106" s="62" t="inlineStr">
        <is>
          <t>Gas price (AUD/GJ):</t>
        </is>
      </c>
      <c r="Y106" s="116" t="n"/>
      <c r="Z106" s="116" t="n"/>
      <c r="AA106" s="116" t="n"/>
      <c r="AB106" s="116" t="n"/>
      <c r="AC106" s="116" t="n"/>
      <c r="AD106" s="116" t="n"/>
      <c r="AE106" s="116" t="n"/>
      <c r="AF106" s="116" t="n"/>
      <c r="AG106" s="116" t="n"/>
      <c r="AH106" s="116" t="n"/>
      <c r="AI106" s="116" t="n"/>
      <c r="AJ106" s="116" t="n"/>
      <c r="AK106" s="116" t="n"/>
      <c r="AL106" s="116" t="n"/>
      <c r="AM106" s="116" t="n"/>
      <c r="AN106" s="116" t="n"/>
    </row>
    <row r="107">
      <c r="A107" s="111" t="inlineStr">
        <is>
          <t>Wholesale price</t>
        </is>
      </c>
      <c r="Y107" s="116" t="n">
        <v>5</v>
      </c>
      <c r="Z107" s="116" t="n">
        <v>6</v>
      </c>
      <c r="AA107" s="116" t="n">
        <v>7</v>
      </c>
      <c r="AB107" s="116" t="n">
        <v>8</v>
      </c>
      <c r="AC107" s="116" t="n">
        <v>9</v>
      </c>
      <c r="AD107" s="116" t="n">
        <v>10</v>
      </c>
      <c r="AE107" s="116">
        <f>AD107</f>
        <v/>
      </c>
      <c r="AF107" s="116">
        <f>AE107</f>
        <v/>
      </c>
      <c r="AG107" s="116">
        <f>AF107</f>
        <v/>
      </c>
      <c r="AH107" s="116">
        <f>AG107</f>
        <v/>
      </c>
      <c r="AI107" s="116">
        <f>AH107</f>
        <v/>
      </c>
      <c r="AJ107" s="116">
        <f>AI107</f>
        <v/>
      </c>
      <c r="AK107" s="116">
        <f>AJ107</f>
        <v/>
      </c>
      <c r="AL107" s="116">
        <f>AK107</f>
        <v/>
      </c>
      <c r="AM107" s="116">
        <f>AL107</f>
        <v/>
      </c>
      <c r="AN107" s="116">
        <f>AM107</f>
        <v/>
      </c>
    </row>
    <row r="108">
      <c r="A108" s="111" t="inlineStr">
        <is>
          <t>Retail - business</t>
        </is>
      </c>
      <c r="Y108" s="116" t="n">
        <v>7</v>
      </c>
      <c r="Z108" s="116" t="n">
        <v>7</v>
      </c>
      <c r="AA108" s="116" t="n">
        <v>7</v>
      </c>
      <c r="AB108" s="116" t="n">
        <v>9</v>
      </c>
      <c r="AC108" s="116" t="n">
        <v>10</v>
      </c>
      <c r="AD108" s="116" t="n">
        <v>12</v>
      </c>
      <c r="AE108" s="116">
        <f>AD108</f>
        <v/>
      </c>
      <c r="AF108" s="116">
        <f>AE108</f>
        <v/>
      </c>
      <c r="AG108" s="116">
        <f>AF108</f>
        <v/>
      </c>
      <c r="AH108" s="116">
        <f>AG108</f>
        <v/>
      </c>
      <c r="AI108" s="116">
        <f>AH108</f>
        <v/>
      </c>
      <c r="AJ108" s="116">
        <f>AI108</f>
        <v/>
      </c>
      <c r="AK108" s="116">
        <f>AJ108</f>
        <v/>
      </c>
      <c r="AL108" s="116">
        <f>AK108</f>
        <v/>
      </c>
      <c r="AM108" s="116">
        <f>AL108</f>
        <v/>
      </c>
      <c r="AN108" s="116">
        <f>AM108</f>
        <v/>
      </c>
    </row>
    <row r="109">
      <c r="A109" s="111" t="inlineStr">
        <is>
          <t>Retail - residential</t>
        </is>
      </c>
      <c r="Y109" s="116" t="n">
        <v>24</v>
      </c>
      <c r="Z109" s="116" t="n">
        <v>24</v>
      </c>
      <c r="AA109" s="116" t="n">
        <v>24</v>
      </c>
      <c r="AB109" s="116" t="n">
        <v>25</v>
      </c>
      <c r="AC109" s="116" t="n">
        <v>27</v>
      </c>
      <c r="AD109" s="116" t="n">
        <v>29</v>
      </c>
      <c r="AE109" s="116">
        <f>AD109</f>
        <v/>
      </c>
      <c r="AF109" s="116">
        <f>AE109</f>
        <v/>
      </c>
      <c r="AG109" s="116">
        <f>AF109</f>
        <v/>
      </c>
      <c r="AH109" s="116">
        <f>AG109</f>
        <v/>
      </c>
      <c r="AI109" s="116">
        <f>AH109</f>
        <v/>
      </c>
      <c r="AJ109" s="116">
        <f>AI109</f>
        <v/>
      </c>
      <c r="AK109" s="116">
        <f>AJ109</f>
        <v/>
      </c>
      <c r="AL109" s="116">
        <f>AK109</f>
        <v/>
      </c>
      <c r="AM109" s="116">
        <f>AL109</f>
        <v/>
      </c>
      <c r="AN109" s="116">
        <f>AM109</f>
        <v/>
      </c>
    </row>
    <row r="110">
      <c r="Y110" s="116" t="n"/>
      <c r="Z110" s="116" t="n"/>
      <c r="AA110" s="116" t="n"/>
      <c r="AB110" s="116" t="n"/>
      <c r="AC110" s="116" t="n"/>
      <c r="AD110" s="116" t="n"/>
      <c r="AE110" s="116" t="n"/>
      <c r="AF110" s="116" t="n"/>
      <c r="AG110" s="116" t="n"/>
      <c r="AH110" s="116" t="n"/>
      <c r="AI110" s="116" t="n"/>
      <c r="AJ110" s="116" t="n"/>
      <c r="AK110" s="116" t="n"/>
      <c r="AL110" s="116" t="n"/>
      <c r="AM110" s="116" t="n"/>
      <c r="AN110" s="116" t="n"/>
    </row>
  </sheetData>
  <mergeCells count="3">
    <mergeCell ref="AR15:AT15"/>
    <mergeCell ref="AX15:AZ15"/>
    <mergeCell ref="AU15:AW15"/>
  </mergeCells>
  <printOptions headings="1" gridLines="1"/>
  <pageMargins left="0.7480314960629921" right="0.7480314960629921" top="0.5118110236220472" bottom="0.7086614173228347" header="0.5118110236220472" footer="0.5118110236220472"/>
  <pageSetup orientation="portrait" paperSize="9" scale="22"/>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Q60"/>
  <sheetViews>
    <sheetView showOutlineSymbols="0" zoomScale="160" zoomScaleNormal="160" workbookViewId="0">
      <pane xSplit="14" ySplit="1" topLeftCell="AC2" activePane="bottomRight" state="frozen"/>
      <selection pane="topRight" activeCell="O1" sqref="O1"/>
      <selection pane="bottomLeft" activeCell="A2" sqref="A2"/>
      <selection pane="bottomRight" activeCell="AI25" sqref="AI25"/>
    </sheetView>
  </sheetViews>
  <sheetFormatPr baseColWidth="8" defaultColWidth="9.140625" defaultRowHeight="12.75"/>
  <cols>
    <col width="23.42578125" customWidth="1" style="43" min="1" max="1"/>
    <col hidden="1" outlineLevel="1" width="9.140625" customWidth="1" style="526" min="2" max="14"/>
    <col hidden="1" collapsed="1" width="13" customWidth="1" style="526" min="15" max="15"/>
    <col hidden="1" width="13" customWidth="1" style="526" min="16" max="23"/>
    <col hidden="1" width="9.28515625" customWidth="1" style="526" min="24" max="24"/>
    <col hidden="1" width="13" customWidth="1" style="526" min="25" max="28"/>
    <col width="9.140625" customWidth="1" style="526" min="29" max="34"/>
    <col width="7" bestFit="1" customWidth="1" style="526" min="35" max="40"/>
    <col width="9.140625" customWidth="1" style="526" min="41" max="41"/>
    <col width="10.42578125" bestFit="1" customWidth="1" style="526" min="42" max="42"/>
    <col width="9.140625" customWidth="1" style="526" min="43" max="16384"/>
  </cols>
  <sheetData>
    <row r="1" customFormat="1" s="43">
      <c r="A1" s="62" t="inlineStr">
        <is>
          <t>India</t>
        </is>
      </c>
      <c r="B1" s="677">
        <f>Final!B2</f>
        <v/>
      </c>
      <c r="C1" s="677">
        <f>Final!C2</f>
        <v/>
      </c>
      <c r="D1" s="677">
        <f>Final!D2</f>
        <v/>
      </c>
      <c r="E1" s="677">
        <f>Final!E2</f>
        <v/>
      </c>
      <c r="F1" s="677">
        <f>Final!F2</f>
        <v/>
      </c>
      <c r="G1" s="677">
        <f>Final!G2</f>
        <v/>
      </c>
      <c r="H1" s="677">
        <f>Final!H2</f>
        <v/>
      </c>
      <c r="I1" s="677">
        <f>Final!I2</f>
        <v/>
      </c>
      <c r="J1" s="677">
        <f>Final!J2</f>
        <v/>
      </c>
      <c r="K1" s="677">
        <f>Final!K2</f>
        <v/>
      </c>
      <c r="L1" s="677">
        <f>Final!L2</f>
        <v/>
      </c>
      <c r="M1" s="677">
        <f>Final!M2</f>
        <v/>
      </c>
      <c r="N1" s="677">
        <f>Final!N2</f>
        <v/>
      </c>
      <c r="O1" s="677">
        <f>Final!O2</f>
        <v/>
      </c>
      <c r="P1" s="677">
        <f>Final!P2</f>
        <v/>
      </c>
      <c r="Q1" s="677">
        <f>Final!Q2</f>
        <v/>
      </c>
      <c r="R1" s="677">
        <f>Final!R2</f>
        <v/>
      </c>
      <c r="S1" s="677">
        <f>Final!S2</f>
        <v/>
      </c>
      <c r="T1" s="677">
        <f>Final!T2</f>
        <v/>
      </c>
      <c r="U1" s="677">
        <f>Final!U2</f>
        <v/>
      </c>
      <c r="V1" s="677">
        <f>Final!V2</f>
        <v/>
      </c>
      <c r="W1" s="677">
        <f>Final!W2</f>
        <v/>
      </c>
      <c r="X1" s="677">
        <f>Final!X2</f>
        <v/>
      </c>
      <c r="Y1" s="677">
        <f>Final!Y2</f>
        <v/>
      </c>
      <c r="Z1" s="677">
        <f>Final!Z2</f>
        <v/>
      </c>
      <c r="AA1" s="677">
        <f>Final!AA2</f>
        <v/>
      </c>
      <c r="AB1" s="677">
        <f>Final!AB2</f>
        <v/>
      </c>
      <c r="AC1" s="677">
        <f>Final!AC2</f>
        <v/>
      </c>
      <c r="AD1" s="677">
        <f>Final!AD2</f>
        <v/>
      </c>
      <c r="AE1" s="677">
        <f>Final!AE2</f>
        <v/>
      </c>
      <c r="AF1" s="677">
        <f>Final!AF2</f>
        <v/>
      </c>
      <c r="AG1" s="677">
        <f>Final!AG2</f>
        <v/>
      </c>
      <c r="AH1" s="677">
        <f>Final!AH2</f>
        <v/>
      </c>
      <c r="AI1" s="677">
        <f>Final!AI2</f>
        <v/>
      </c>
      <c r="AJ1" s="677">
        <f>Final!AJ2</f>
        <v/>
      </c>
      <c r="AK1" s="677">
        <f>Final!AK2</f>
        <v/>
      </c>
      <c r="AL1" s="677">
        <f>Final!AL2</f>
        <v/>
      </c>
      <c r="AM1" s="677">
        <f>Final!AM2</f>
        <v/>
      </c>
      <c r="AN1" s="677">
        <f>Final!AN2</f>
        <v/>
      </c>
    </row>
    <row r="2" customFormat="1" s="43">
      <c r="A2" s="43" t="inlineStr">
        <is>
          <t>INR/HKD - YE</t>
        </is>
      </c>
      <c r="B2" s="677" t="n"/>
      <c r="C2" s="677" t="n"/>
      <c r="D2" s="677" t="n"/>
      <c r="E2" s="677" t="n"/>
      <c r="F2" s="677" t="n"/>
      <c r="G2" s="677" t="n"/>
      <c r="H2" s="677" t="n"/>
      <c r="I2" s="677" t="n"/>
      <c r="J2" s="677" t="n"/>
      <c r="K2" s="677" t="n"/>
      <c r="L2" s="677" t="n"/>
      <c r="M2" s="677" t="n"/>
      <c r="N2" s="677" t="n"/>
      <c r="O2" s="678" t="n">
        <v>0.1724872080088988</v>
      </c>
      <c r="P2" s="678" t="n">
        <v>0.176311493992292</v>
      </c>
      <c r="Q2" s="678" t="n">
        <v>0.1978787109870591</v>
      </c>
      <c r="R2" s="678" t="n">
        <v>0.1595286125977769</v>
      </c>
      <c r="S2" s="678" t="n">
        <v>0.1671034482758621</v>
      </c>
      <c r="T2" s="678" t="n">
        <v>0.1736830357142857</v>
      </c>
      <c r="U2" s="678" t="n">
        <v>0.1465063195623467</v>
      </c>
      <c r="V2" s="678" t="n">
        <v>0.1412814436748086</v>
      </c>
      <c r="W2" s="678" t="n">
        <v>0.12109375</v>
      </c>
      <c r="X2" s="678" t="n">
        <v>0.1263414634146341</v>
      </c>
      <c r="Y2" s="678" t="n">
        <v>0.1203100775193798</v>
      </c>
      <c r="Z2" s="678" t="n">
        <v>0.1138686131386861</v>
      </c>
      <c r="AA2" s="678" t="n">
        <v>0.1223303326810176</v>
      </c>
      <c r="AB2" s="678" t="n">
        <v>0.1122450734503762</v>
      </c>
      <c r="AC2" s="678">
        <f>0.109188185</f>
        <v/>
      </c>
      <c r="AD2" s="678" t="n">
        <v>0.1047151264994646</v>
      </c>
      <c r="AE2" s="678">
        <f>1/9.5579</f>
        <v/>
      </c>
      <c r="AF2" s="678">
        <f>0.0944</f>
        <v/>
      </c>
      <c r="AG2" s="678" t="n">
        <v>0.09403300000000001</v>
      </c>
      <c r="AH2" s="678" t="n">
        <v>0.0915</v>
      </c>
      <c r="AI2" s="695" t="n">
        <v>0.09401</v>
      </c>
      <c r="AJ2" s="695">
        <f>AJ3</f>
        <v/>
      </c>
      <c r="AK2" s="695">
        <f>AK3</f>
        <v/>
      </c>
      <c r="AL2" s="695">
        <f>AL3</f>
        <v/>
      </c>
      <c r="AM2" s="695">
        <f>AM3</f>
        <v/>
      </c>
      <c r="AN2" s="695">
        <f>AN3</f>
        <v/>
      </c>
    </row>
    <row r="3" customFormat="1" s="43">
      <c r="A3" s="43" t="inlineStr">
        <is>
          <t>INR/HKD - Avg</t>
        </is>
      </c>
      <c r="B3" s="677" t="n"/>
      <c r="C3" s="677" t="n"/>
      <c r="D3" s="677" t="n"/>
      <c r="E3" s="677" t="n"/>
      <c r="F3" s="677" t="n"/>
      <c r="G3" s="677" t="n"/>
      <c r="H3" s="677" t="n"/>
      <c r="I3" s="677" t="n"/>
      <c r="J3" s="677" t="n"/>
      <c r="K3" s="677" t="n"/>
      <c r="L3" s="677" t="n"/>
      <c r="M3" s="677" t="n"/>
      <c r="N3" s="677" t="n"/>
      <c r="O3" s="678" t="n">
        <v>0.1765818464618119</v>
      </c>
      <c r="P3" s="678" t="n">
        <v>0.1719344539312091</v>
      </c>
      <c r="Q3" s="678" t="n">
        <v>0.1897029312540852</v>
      </c>
      <c r="R3" s="678" t="n">
        <v>0.1805425464315126</v>
      </c>
      <c r="S3" s="678" t="n">
        <v>0.1605527316489467</v>
      </c>
      <c r="T3" s="678" t="n">
        <v>0.1700789435389583</v>
      </c>
      <c r="U3" s="678" t="n">
        <v>0.1674354039603098</v>
      </c>
      <c r="V3" s="678" t="n">
        <v>0.145569942211297</v>
      </c>
      <c r="W3" s="678" t="n">
        <v>0.12629</v>
      </c>
      <c r="X3" s="678" t="n">
        <v>0.12573</v>
      </c>
      <c r="Y3" s="678" t="n">
        <v>0.1206</v>
      </c>
      <c r="Z3" s="678" t="n">
        <v>0.1152</v>
      </c>
      <c r="AA3" s="678" t="n">
        <v>0.12001</v>
      </c>
      <c r="AB3" s="678" t="n">
        <v>0.11464</v>
      </c>
      <c r="AC3" s="678" t="n">
        <v>0.11127</v>
      </c>
      <c r="AD3" s="678">
        <f>AVERAGE(AC2:AD2)</f>
        <v/>
      </c>
      <c r="AE3" s="678">
        <f>AVERAGE(AD2:AE2)</f>
        <v/>
      </c>
      <c r="AF3" s="678">
        <f>AVERAGE(AE2:AF2)</f>
        <v/>
      </c>
      <c r="AG3" s="678">
        <f>AVERAGE(AF2:AG2)</f>
        <v/>
      </c>
      <c r="AH3" s="678" t="n">
        <v>0.09325</v>
      </c>
      <c r="AI3" s="678">
        <f>1/85.58*7.8</f>
        <v/>
      </c>
      <c r="AJ3" s="678">
        <f>1/89*7.8</f>
        <v/>
      </c>
      <c r="AK3" s="678">
        <f>AJ3</f>
        <v/>
      </c>
      <c r="AL3" s="678">
        <f>AK3</f>
        <v/>
      </c>
      <c r="AM3" s="678">
        <f>AL3</f>
        <v/>
      </c>
      <c r="AN3" s="678">
        <f>AM3</f>
        <v/>
      </c>
      <c r="AP3" s="443" t="n"/>
    </row>
    <row r="4" customFormat="1" s="43">
      <c r="A4" s="6" t="inlineStr">
        <is>
          <t>Financial Statement (HK$ m)</t>
        </is>
      </c>
      <c r="B4" s="85" t="n"/>
      <c r="C4" s="85" t="n"/>
      <c r="D4" s="85" t="n"/>
      <c r="E4" s="85" t="n"/>
      <c r="F4" s="85" t="n"/>
      <c r="G4" s="85" t="n"/>
      <c r="H4" s="85" t="n"/>
      <c r="I4" s="85" t="n"/>
      <c r="J4" s="85" t="n"/>
      <c r="K4" s="85" t="n"/>
      <c r="L4" s="85" t="n"/>
      <c r="M4" s="85" t="n"/>
      <c r="N4" s="85" t="n"/>
      <c r="O4" s="85" t="n"/>
      <c r="P4" s="85" t="n"/>
      <c r="Q4" s="85" t="n"/>
      <c r="R4" s="85" t="n"/>
      <c r="S4" s="85" t="n"/>
      <c r="T4" s="85" t="n"/>
      <c r="U4" s="85" t="n"/>
      <c r="V4" s="85" t="n"/>
      <c r="W4" s="85" t="n"/>
      <c r="X4" s="85" t="n"/>
      <c r="Y4" s="85" t="n"/>
      <c r="Z4" s="85" t="n"/>
      <c r="AA4" s="85" t="n"/>
      <c r="AB4" s="85" t="n"/>
      <c r="AC4" s="85" t="n"/>
      <c r="AD4" s="85" t="n"/>
      <c r="AE4" s="85" t="n"/>
      <c r="AF4" s="85" t="n"/>
      <c r="AG4" s="85" t="n"/>
      <c r="AH4" s="85" t="n"/>
      <c r="AI4" s="85" t="n"/>
      <c r="AJ4" s="85" t="n"/>
      <c r="AK4" s="85" t="n"/>
      <c r="AL4" s="85" t="n"/>
      <c r="AM4" s="85" t="n"/>
      <c r="AN4" s="85" t="n"/>
    </row>
    <row r="5">
      <c r="A5" s="62" t="inlineStr">
        <is>
          <t>Revenue</t>
        </is>
      </c>
      <c r="B5" s="597" t="n"/>
      <c r="C5" s="597" t="n"/>
      <c r="D5" s="597" t="n"/>
      <c r="E5" s="597" t="n"/>
      <c r="F5" s="597" t="n"/>
      <c r="G5" s="597" t="n"/>
      <c r="H5" s="597" t="n"/>
      <c r="I5" s="597" t="n"/>
      <c r="J5" s="597" t="n"/>
      <c r="K5" s="597" t="n"/>
      <c r="L5" s="597" t="n"/>
      <c r="M5" s="597" t="n"/>
      <c r="N5" s="597" t="n"/>
      <c r="O5" s="597" t="n">
        <v>1876</v>
      </c>
      <c r="P5" s="597" t="n">
        <v>2196</v>
      </c>
      <c r="Q5" s="597" t="n">
        <v>2687</v>
      </c>
      <c r="R5" s="597" t="n">
        <v>4197</v>
      </c>
      <c r="S5" s="597" t="n">
        <v>2786</v>
      </c>
      <c r="T5" s="597" t="n">
        <v>2578</v>
      </c>
      <c r="U5" s="597" t="n">
        <v>2923</v>
      </c>
      <c r="V5" s="597" t="n">
        <v>3178</v>
      </c>
      <c r="W5" s="597" t="n">
        <v>4371</v>
      </c>
      <c r="X5" s="597" t="n">
        <v>4821</v>
      </c>
      <c r="Y5" s="597" t="n">
        <v>5104</v>
      </c>
      <c r="Z5" s="597" t="n">
        <v>3808</v>
      </c>
      <c r="AA5" s="597" t="n">
        <v>4887</v>
      </c>
      <c r="AB5" s="597" t="n">
        <v>5269</v>
      </c>
      <c r="AC5" s="597" t="n">
        <v>4651</v>
      </c>
      <c r="AD5" s="597" t="n">
        <v>3616</v>
      </c>
      <c r="AE5" s="597" t="n">
        <v>4866</v>
      </c>
      <c r="AF5" s="597" t="n">
        <v>5153</v>
      </c>
      <c r="AG5" s="597" t="n">
        <v>0</v>
      </c>
      <c r="AH5" s="597" t="n">
        <v>0</v>
      </c>
      <c r="AI5" s="613">
        <f>AH5</f>
        <v/>
      </c>
      <c r="AJ5" s="613">
        <f>AI5</f>
        <v/>
      </c>
      <c r="AK5" s="613">
        <f>AJ5</f>
        <v/>
      </c>
      <c r="AL5" s="613">
        <f>AK5</f>
        <v/>
      </c>
      <c r="AM5" s="613">
        <f>AL5</f>
        <v/>
      </c>
      <c r="AN5" s="613">
        <f>AM5</f>
        <v/>
      </c>
      <c r="AQ5" s="131" t="n"/>
    </row>
    <row r="6">
      <c r="A6" s="43" t="inlineStr">
        <is>
          <t>Cash costs</t>
        </is>
      </c>
      <c r="O6" s="526">
        <f>O7-O5</f>
        <v/>
      </c>
      <c r="P6" s="526">
        <f>P7-P5</f>
        <v/>
      </c>
      <c r="Q6" s="526">
        <f>Q7-Q5</f>
        <v/>
      </c>
      <c r="R6" s="526">
        <f>R7-R5</f>
        <v/>
      </c>
      <c r="S6" s="526">
        <f>S7-S5</f>
        <v/>
      </c>
      <c r="T6" s="526">
        <f>T7-T5</f>
        <v/>
      </c>
      <c r="U6" s="526">
        <f>U7-U5</f>
        <v/>
      </c>
      <c r="V6" s="526">
        <f>V7-V5</f>
        <v/>
      </c>
      <c r="W6" s="526">
        <f>W7-W5</f>
        <v/>
      </c>
      <c r="X6" s="526">
        <f>X7-X5</f>
        <v/>
      </c>
      <c r="Y6" s="526">
        <f>Y7-Y5</f>
        <v/>
      </c>
      <c r="Z6" s="526">
        <f>Z7-Z5</f>
        <v/>
      </c>
      <c r="AA6" s="526">
        <f>AA7-AA5</f>
        <v/>
      </c>
      <c r="AB6" s="526">
        <f>AB7-AB5</f>
        <v/>
      </c>
      <c r="AC6" s="526">
        <f>AC7-AC5</f>
        <v/>
      </c>
      <c r="AD6" s="526">
        <f>AD7-AD5</f>
        <v/>
      </c>
      <c r="AE6" s="526">
        <f>AE7-AE5</f>
        <v/>
      </c>
      <c r="AF6" s="526">
        <f>AF7-AF5</f>
        <v/>
      </c>
      <c r="AG6" s="526" t="n">
        <v>0</v>
      </c>
      <c r="AH6" s="526" t="n">
        <v>0</v>
      </c>
      <c r="AI6" s="564" t="n">
        <v>0</v>
      </c>
      <c r="AJ6" s="564" t="n">
        <v>0</v>
      </c>
      <c r="AK6" s="564" t="n">
        <v>0</v>
      </c>
      <c r="AL6" s="564" t="n">
        <v>0</v>
      </c>
      <c r="AM6" s="564" t="n">
        <v>0</v>
      </c>
      <c r="AN6" s="564" t="n">
        <v>0</v>
      </c>
      <c r="AQ6" s="131" t="n"/>
    </row>
    <row r="7">
      <c r="A7" s="109" t="inlineStr">
        <is>
          <t>EBITDAF</t>
        </is>
      </c>
      <c r="B7" s="605" t="n"/>
      <c r="C7" s="605" t="n"/>
      <c r="D7" s="605" t="n"/>
      <c r="E7" s="605" t="n"/>
      <c r="F7" s="605" t="n"/>
      <c r="G7" s="605" t="n"/>
      <c r="H7" s="605" t="n"/>
      <c r="I7" s="605" t="n"/>
      <c r="J7" s="605" t="n"/>
      <c r="K7" s="605" t="n"/>
      <c r="L7" s="605" t="n"/>
      <c r="M7" s="605" t="n"/>
      <c r="N7" s="605" t="n"/>
      <c r="O7" s="605">
        <f>O9-O8</f>
        <v/>
      </c>
      <c r="P7" s="605">
        <f>P9-P8</f>
        <v/>
      </c>
      <c r="Q7" s="605">
        <f>Q9-Q8</f>
        <v/>
      </c>
      <c r="R7" s="605">
        <f>R9-R8</f>
        <v/>
      </c>
      <c r="S7" s="605">
        <f>S9-S8</f>
        <v/>
      </c>
      <c r="T7" s="605">
        <f>T9-T8</f>
        <v/>
      </c>
      <c r="U7" s="605">
        <f>U9-U8</f>
        <v/>
      </c>
      <c r="V7" s="605">
        <f>V9-V8</f>
        <v/>
      </c>
      <c r="W7" s="605">
        <f>W9-W8</f>
        <v/>
      </c>
      <c r="X7" s="605">
        <f>X9-X8</f>
        <v/>
      </c>
      <c r="Y7" s="605">
        <f>Y9-Y8</f>
        <v/>
      </c>
      <c r="Z7" s="605">
        <f>Z9-Z8</f>
        <v/>
      </c>
      <c r="AA7" s="605">
        <f>AA9-AA8</f>
        <v/>
      </c>
      <c r="AB7" s="605">
        <f>AB9-AB8</f>
        <v/>
      </c>
      <c r="AC7" s="605">
        <f>AC9-AC8</f>
        <v/>
      </c>
      <c r="AD7" s="605">
        <f>AD9-AD8</f>
        <v/>
      </c>
      <c r="AE7" s="605" t="n">
        <v>1189</v>
      </c>
      <c r="AF7" s="605" t="n">
        <v>-2887</v>
      </c>
      <c r="AG7" s="605" t="n">
        <v>605</v>
      </c>
      <c r="AH7" s="605" t="n">
        <v>448</v>
      </c>
      <c r="AI7" s="608">
        <f>AI9-AI8</f>
        <v/>
      </c>
      <c r="AJ7" s="608">
        <f>AJ9-AJ8</f>
        <v/>
      </c>
      <c r="AK7" s="608">
        <f>AK9-AK8</f>
        <v/>
      </c>
      <c r="AL7" s="608">
        <f>AL9-AL8</f>
        <v/>
      </c>
      <c r="AM7" s="608">
        <f>AM9-AM8</f>
        <v/>
      </c>
      <c r="AN7" s="608">
        <f>AN9-AN8</f>
        <v/>
      </c>
      <c r="AQ7" s="131" t="n"/>
    </row>
    <row r="8">
      <c r="A8" s="43" t="inlineStr">
        <is>
          <t>D&amp;A</t>
        </is>
      </c>
      <c r="O8" s="526" t="n">
        <v>-2</v>
      </c>
      <c r="P8" s="526" t="n">
        <v>-2</v>
      </c>
      <c r="Q8" s="526" t="n">
        <v>-1</v>
      </c>
      <c r="R8" s="526" t="n">
        <v>-9</v>
      </c>
      <c r="S8" s="526" t="n">
        <v>-35</v>
      </c>
      <c r="T8" s="526" t="n">
        <v>-112</v>
      </c>
      <c r="U8" s="526" t="n">
        <v>-182</v>
      </c>
      <c r="V8" s="526" t="n">
        <v>-355</v>
      </c>
      <c r="W8" s="526" t="n">
        <v>-424</v>
      </c>
      <c r="X8" s="526" t="n">
        <v>-567</v>
      </c>
      <c r="Y8" s="526" t="n">
        <v>-556</v>
      </c>
      <c r="Z8" s="526" t="n">
        <v>-571</v>
      </c>
      <c r="AA8" s="526" t="n">
        <v>-599</v>
      </c>
      <c r="AB8" s="526" t="n">
        <v>-608</v>
      </c>
      <c r="AC8" s="526" t="n">
        <v>-626</v>
      </c>
      <c r="AD8" s="526" t="n">
        <v>-597</v>
      </c>
      <c r="AE8" s="526">
        <f>AE9-AE7</f>
        <v/>
      </c>
      <c r="AF8" s="526">
        <f>AF9-AF7</f>
        <v/>
      </c>
      <c r="AG8" s="526" t="n">
        <v>0</v>
      </c>
      <c r="AH8" s="526" t="n">
        <v>0</v>
      </c>
      <c r="AI8" s="564">
        <f>AI51</f>
        <v/>
      </c>
      <c r="AJ8" s="564">
        <f>AJ51</f>
        <v/>
      </c>
      <c r="AK8" s="564">
        <f>AK51</f>
        <v/>
      </c>
      <c r="AL8" s="564">
        <f>AL51</f>
        <v/>
      </c>
      <c r="AM8" s="564">
        <f>AM51</f>
        <v/>
      </c>
      <c r="AN8" s="564">
        <f>AN51</f>
        <v/>
      </c>
      <c r="AQ8" s="131" t="n"/>
    </row>
    <row r="9" hidden="1">
      <c r="A9" s="109" t="inlineStr">
        <is>
          <t>EBITF (ACOI)</t>
        </is>
      </c>
      <c r="B9" s="605" t="n"/>
      <c r="C9" s="605" t="n"/>
      <c r="D9" s="605" t="n"/>
      <c r="E9" s="605" t="n"/>
      <c r="F9" s="605" t="n"/>
      <c r="G9" s="605" t="n"/>
      <c r="H9" s="605" t="n"/>
      <c r="I9" s="605" t="n"/>
      <c r="J9" s="605" t="n"/>
      <c r="K9" s="605" t="n"/>
      <c r="L9" s="605" t="n"/>
      <c r="M9" s="605" t="n"/>
      <c r="N9" s="605" t="n"/>
      <c r="O9" s="605" t="n">
        <v>695</v>
      </c>
      <c r="P9" s="605" t="n">
        <v>962</v>
      </c>
      <c r="Q9" s="605" t="n">
        <v>352</v>
      </c>
      <c r="R9" s="605" t="n">
        <v>528</v>
      </c>
      <c r="S9" s="605">
        <f>S16-S15</f>
        <v/>
      </c>
      <c r="T9" s="605">
        <f>T16-T15</f>
        <v/>
      </c>
      <c r="U9" s="605">
        <f>U16-U15</f>
        <v/>
      </c>
      <c r="V9" s="605">
        <f>V16-V15</f>
        <v/>
      </c>
      <c r="W9" s="605" t="n">
        <v>1204</v>
      </c>
      <c r="X9" s="605" t="n">
        <v>1367</v>
      </c>
      <c r="Y9" s="605" t="n">
        <v>1429</v>
      </c>
      <c r="Z9" s="605" t="n">
        <v>1383</v>
      </c>
      <c r="AA9" s="605" t="n">
        <v>1511</v>
      </c>
      <c r="AB9" s="605" t="n">
        <v>1385</v>
      </c>
      <c r="AC9" s="605" t="n">
        <v>1031</v>
      </c>
      <c r="AD9" s="605" t="n">
        <v>884</v>
      </c>
      <c r="AE9" s="605">
        <f>902</f>
        <v/>
      </c>
      <c r="AF9" s="605" t="n">
        <v>864</v>
      </c>
      <c r="AG9" s="696" t="n"/>
      <c r="AH9" s="696" t="n"/>
      <c r="AI9" s="608" t="n"/>
      <c r="AJ9" s="608" t="n"/>
      <c r="AK9" s="608" t="n"/>
      <c r="AL9" s="608" t="n"/>
      <c r="AM9" s="608" t="n"/>
      <c r="AN9" s="608" t="n"/>
      <c r="AQ9" s="131" t="n"/>
    </row>
    <row r="10" hidden="1">
      <c r="A10" s="111" t="inlineStr">
        <is>
          <t>Coal (Jhajjar)</t>
        </is>
      </c>
      <c r="W10" s="526" t="n">
        <v>391</v>
      </c>
      <c r="X10" s="526" t="n">
        <v>579</v>
      </c>
      <c r="Y10" s="526" t="n">
        <v>658</v>
      </c>
      <c r="Z10" s="526" t="n">
        <v>492</v>
      </c>
      <c r="AA10" s="526" t="n">
        <v>676</v>
      </c>
      <c r="AB10" s="526" t="n">
        <v>474</v>
      </c>
      <c r="AC10" s="526" t="n">
        <v>507</v>
      </c>
      <c r="AD10" s="526" t="n">
        <v>496</v>
      </c>
      <c r="AE10" s="526" t="n">
        <v>406</v>
      </c>
      <c r="AF10" s="526" t="n">
        <v>281</v>
      </c>
      <c r="AG10" s="610" t="n"/>
      <c r="AH10" s="610" t="n"/>
      <c r="AI10" s="564" t="n"/>
      <c r="AJ10" s="564" t="n"/>
      <c r="AK10" s="564" t="n"/>
      <c r="AL10" s="564" t="n"/>
      <c r="AM10" s="564" t="n"/>
      <c r="AN10" s="564" t="n"/>
      <c r="AQ10" s="131" t="n"/>
    </row>
    <row r="11" hidden="1">
      <c r="A11" s="111" t="inlineStr">
        <is>
          <t>Gas (Paguthan)</t>
        </is>
      </c>
      <c r="W11" s="526" t="n">
        <v>411</v>
      </c>
      <c r="X11" s="526" t="n">
        <v>247</v>
      </c>
      <c r="Y11" s="526" t="n">
        <v>279</v>
      </c>
      <c r="Z11" s="526" t="n">
        <v>266</v>
      </c>
      <c r="AA11" s="526" t="n">
        <v>273</v>
      </c>
      <c r="AB11" s="526" t="n">
        <v>234</v>
      </c>
      <c r="AC11" s="526" t="n">
        <v>-168</v>
      </c>
      <c r="AD11" s="526" t="n">
        <v>-144</v>
      </c>
      <c r="AE11" s="526" t="n">
        <v>-152</v>
      </c>
      <c r="AF11" s="526" t="n">
        <v>-102</v>
      </c>
      <c r="AG11" s="610" t="n"/>
      <c r="AH11" s="610" t="n"/>
      <c r="AI11" s="564" t="n"/>
      <c r="AJ11" s="564" t="n"/>
      <c r="AK11" s="564" t="n"/>
      <c r="AL11" s="564" t="n"/>
      <c r="AM11" s="564" t="n"/>
      <c r="AN11" s="564" t="n"/>
      <c r="AQ11" s="131" t="n"/>
    </row>
    <row r="12" hidden="1">
      <c r="A12" s="111" t="inlineStr">
        <is>
          <t>Renewable</t>
        </is>
      </c>
      <c r="W12" s="526" t="n">
        <v>402</v>
      </c>
      <c r="X12" s="526" t="n">
        <v>541</v>
      </c>
      <c r="Y12" s="526" t="n">
        <v>492</v>
      </c>
      <c r="Z12" s="526" t="n">
        <v>625</v>
      </c>
      <c r="AA12" s="526" t="n">
        <v>562</v>
      </c>
      <c r="AB12" s="526" t="n">
        <v>677</v>
      </c>
      <c r="AC12" s="526" t="n">
        <v>687</v>
      </c>
      <c r="AD12" s="526" t="n">
        <v>506</v>
      </c>
      <c r="AE12" s="526" t="n">
        <v>606</v>
      </c>
      <c r="AF12" s="526" t="n">
        <v>477</v>
      </c>
      <c r="AG12" s="610" t="n"/>
      <c r="AH12" s="610" t="n"/>
      <c r="AI12" s="564" t="n"/>
      <c r="AJ12" s="564" t="n"/>
      <c r="AK12" s="564" t="n"/>
      <c r="AL12" s="564" t="n"/>
      <c r="AM12" s="564" t="n"/>
      <c r="AN12" s="564" t="n"/>
      <c r="AQ12" s="131" t="n"/>
    </row>
    <row r="13" hidden="1">
      <c r="A13" s="111" t="inlineStr">
        <is>
          <t>Transmission</t>
        </is>
      </c>
      <c r="AC13" s="526" t="n">
        <v>5</v>
      </c>
      <c r="AD13" s="526" t="n">
        <v>26</v>
      </c>
      <c r="AE13" s="526" t="n">
        <v>42</v>
      </c>
      <c r="AF13" s="526" t="n">
        <v>208</v>
      </c>
      <c r="AG13" s="610" t="n"/>
      <c r="AH13" s="610" t="n"/>
      <c r="AI13" s="564" t="n"/>
      <c r="AJ13" s="564" t="n"/>
      <c r="AK13" s="564" t="n"/>
      <c r="AL13" s="564" t="n"/>
      <c r="AM13" s="564" t="n"/>
      <c r="AN13" s="564" t="n"/>
    </row>
    <row r="14">
      <c r="A14" s="43" t="inlineStr">
        <is>
          <t>Fair value adjustment</t>
        </is>
      </c>
      <c r="Q14" s="526" t="n">
        <v>0</v>
      </c>
      <c r="R14" s="526" t="n">
        <v>0</v>
      </c>
      <c r="S14" s="526" t="n">
        <v>0</v>
      </c>
      <c r="T14" s="526" t="n">
        <v>0</v>
      </c>
      <c r="U14" s="526" t="n">
        <v>0</v>
      </c>
      <c r="V14" s="526" t="n">
        <v>0</v>
      </c>
      <c r="W14" s="526" t="n">
        <v>5</v>
      </c>
      <c r="X14" s="526" t="n">
        <v>0</v>
      </c>
      <c r="Y14" s="526" t="n">
        <v>0</v>
      </c>
      <c r="Z14" s="526" t="n">
        <v>0</v>
      </c>
      <c r="AA14" s="564">
        <f>Z14</f>
        <v/>
      </c>
      <c r="AB14" s="564">
        <f>AA14</f>
        <v/>
      </c>
      <c r="AC14" s="564">
        <f>AB14</f>
        <v/>
      </c>
      <c r="AD14" s="564">
        <f>AC14</f>
        <v/>
      </c>
      <c r="AE14" s="526">
        <f>AE16-AE15-AE9</f>
        <v/>
      </c>
      <c r="AF14" s="526">
        <f>AF16-AF15-AF9</f>
        <v/>
      </c>
      <c r="AG14" s="526" t="n">
        <v>0</v>
      </c>
      <c r="AH14" s="526" t="n">
        <v>0</v>
      </c>
      <c r="AI14" s="564">
        <f>AH14</f>
        <v/>
      </c>
      <c r="AJ14" s="564">
        <f>AI14</f>
        <v/>
      </c>
      <c r="AK14" s="564">
        <f>AJ14</f>
        <v/>
      </c>
      <c r="AL14" s="564">
        <f>AK14</f>
        <v/>
      </c>
      <c r="AM14" s="564">
        <f>AL14</f>
        <v/>
      </c>
      <c r="AN14" s="564">
        <f>AM14</f>
        <v/>
      </c>
      <c r="AQ14" s="131" t="n"/>
    </row>
    <row r="15">
      <c r="A15" s="43" t="inlineStr">
        <is>
          <t>Net financial costs</t>
        </is>
      </c>
      <c r="Q15" s="526">
        <f>Q16-Q9</f>
        <v/>
      </c>
      <c r="R15" s="526">
        <f>52-45</f>
        <v/>
      </c>
      <c r="S15" s="526">
        <f>-82+23</f>
        <v/>
      </c>
      <c r="T15" s="526">
        <f>-198+46</f>
        <v/>
      </c>
      <c r="U15" s="526">
        <f>63-382</f>
        <v/>
      </c>
      <c r="V15" s="526">
        <f>77-709</f>
        <v/>
      </c>
      <c r="W15" s="526" t="n">
        <v>-877</v>
      </c>
      <c r="X15" s="526" t="n">
        <v>-878</v>
      </c>
      <c r="Y15" s="526" t="n">
        <v>-792</v>
      </c>
      <c r="Z15" s="526" t="n">
        <v>-777</v>
      </c>
      <c r="AA15" s="526">
        <f>-713+57</f>
        <v/>
      </c>
      <c r="AB15" s="526">
        <f>-582+48</f>
        <v/>
      </c>
      <c r="AC15" s="526">
        <f>-520+62</f>
        <v/>
      </c>
      <c r="AD15" s="526">
        <f>-486+46</f>
        <v/>
      </c>
      <c r="AE15" s="526">
        <f>-436+42</f>
        <v/>
      </c>
      <c r="AF15" s="526">
        <f>-498+46</f>
        <v/>
      </c>
      <c r="AG15" s="526" t="n">
        <v>6</v>
      </c>
      <c r="AH15" s="526" t="n">
        <v>4</v>
      </c>
      <c r="AI15" s="564">
        <f>-AI60*AH59</f>
        <v/>
      </c>
      <c r="AJ15" s="564">
        <f>-AJ60*AI59</f>
        <v/>
      </c>
      <c r="AK15" s="564">
        <f>-AK60*AJ59</f>
        <v/>
      </c>
      <c r="AL15" s="564">
        <f>-AL60*AK59</f>
        <v/>
      </c>
      <c r="AM15" s="564">
        <f>-AM60*AL59</f>
        <v/>
      </c>
      <c r="AN15" s="564">
        <f>-AN60*AM59</f>
        <v/>
      </c>
      <c r="AQ15" s="131" t="n"/>
    </row>
    <row r="16">
      <c r="A16" s="109" t="inlineStr">
        <is>
          <t xml:space="preserve">PBT </t>
        </is>
      </c>
      <c r="B16" s="605" t="n"/>
      <c r="C16" s="605" t="n"/>
      <c r="D16" s="605" t="n"/>
      <c r="E16" s="605" t="n"/>
      <c r="F16" s="605" t="n"/>
      <c r="G16" s="605" t="n"/>
      <c r="H16" s="605" t="n"/>
      <c r="I16" s="605" t="n"/>
      <c r="J16" s="605" t="n"/>
      <c r="K16" s="605" t="n"/>
      <c r="L16" s="605" t="n"/>
      <c r="M16" s="605" t="n"/>
      <c r="N16" s="605" t="n"/>
      <c r="O16" s="605" t="n"/>
      <c r="P16" s="605" t="n"/>
      <c r="Q16" s="605">
        <f>Q19-Q17</f>
        <v/>
      </c>
      <c r="R16" s="605">
        <f>R9+R15</f>
        <v/>
      </c>
      <c r="S16" s="605">
        <f>S19-S17</f>
        <v/>
      </c>
      <c r="T16" s="605">
        <f>T19-T17</f>
        <v/>
      </c>
      <c r="U16" s="605">
        <f>U19-U17</f>
        <v/>
      </c>
      <c r="V16" s="605">
        <f>V19-V17</f>
        <v/>
      </c>
      <c r="W16" s="605">
        <f>W9+W15+W14</f>
        <v/>
      </c>
      <c r="X16" s="605">
        <f>X9+X15+X14</f>
        <v/>
      </c>
      <c r="Y16" s="605">
        <f>Y9+Y15+Y14</f>
        <v/>
      </c>
      <c r="Z16" s="605">
        <f>Z9+Z15+Z14</f>
        <v/>
      </c>
      <c r="AA16" s="605">
        <f>AA9+AA15+AA14</f>
        <v/>
      </c>
      <c r="AB16" s="605">
        <f>AB9+AB15+AB14</f>
        <v/>
      </c>
      <c r="AC16" s="605">
        <f>AC9+AC15+AC14</f>
        <v/>
      </c>
      <c r="AD16" s="605">
        <f>AD9+AD15+AD14</f>
        <v/>
      </c>
      <c r="AE16" s="605" t="n">
        <v>178</v>
      </c>
      <c r="AF16" s="605" t="n">
        <v>-3622</v>
      </c>
      <c r="AG16" s="605">
        <f>AG15+AG7-AG24</f>
        <v/>
      </c>
      <c r="AH16" s="605">
        <f>AH15+AH7-AH24</f>
        <v/>
      </c>
      <c r="AI16" s="608">
        <f>AI9+AI15</f>
        <v/>
      </c>
      <c r="AJ16" s="608">
        <f>AJ9+AJ15</f>
        <v/>
      </c>
      <c r="AK16" s="608">
        <f>AK9+AK15</f>
        <v/>
      </c>
      <c r="AL16" s="608">
        <f>AL9+AL15</f>
        <v/>
      </c>
      <c r="AM16" s="608">
        <f>AM9+AM15</f>
        <v/>
      </c>
      <c r="AN16" s="608">
        <f>AN9+AN15</f>
        <v/>
      </c>
      <c r="AQ16" s="131" t="n"/>
    </row>
    <row r="17">
      <c r="A17" s="43" t="inlineStr">
        <is>
          <t>Taxation</t>
        </is>
      </c>
      <c r="Q17" s="526" t="n">
        <v>-46</v>
      </c>
      <c r="R17" s="526">
        <f>R19-R16</f>
        <v/>
      </c>
      <c r="S17" s="526" t="n">
        <v>-251</v>
      </c>
      <c r="T17" s="526" t="n">
        <v>-81</v>
      </c>
      <c r="U17" s="526" t="n">
        <v>-198</v>
      </c>
      <c r="V17" s="526" t="n">
        <v>-165</v>
      </c>
      <c r="W17" s="526" t="n">
        <v>-148</v>
      </c>
      <c r="X17" s="526" t="n">
        <v>-219</v>
      </c>
      <c r="Y17" s="526" t="n">
        <v>-23</v>
      </c>
      <c r="Z17" s="526" t="n">
        <v>-137</v>
      </c>
      <c r="AA17" s="526" t="n">
        <v>-209</v>
      </c>
      <c r="AB17" s="526" t="n">
        <v>-267</v>
      </c>
      <c r="AC17" s="526" t="n">
        <v>-150</v>
      </c>
      <c r="AD17" s="526" t="n">
        <v>-106</v>
      </c>
      <c r="AE17" s="526" t="n">
        <v>-52</v>
      </c>
      <c r="AF17" s="526" t="n">
        <v>-155</v>
      </c>
      <c r="AG17" s="526" t="n">
        <v>-11</v>
      </c>
      <c r="AH17" s="526" t="n">
        <v>-18</v>
      </c>
      <c r="AI17" s="564" t="n">
        <v>0</v>
      </c>
      <c r="AJ17" s="564" t="n">
        <v>0</v>
      </c>
      <c r="AK17" s="564" t="n">
        <v>0</v>
      </c>
      <c r="AL17" s="564" t="n">
        <v>0</v>
      </c>
      <c r="AM17" s="564" t="n">
        <v>0</v>
      </c>
      <c r="AN17" s="564" t="n">
        <v>0</v>
      </c>
      <c r="AQ17" s="131" t="n"/>
    </row>
    <row r="18">
      <c r="A18" s="43" t="inlineStr">
        <is>
          <t>Minority interest</t>
        </is>
      </c>
      <c r="AA18" s="526" t="n">
        <v>1</v>
      </c>
      <c r="AB18" s="526" t="n">
        <v>-12</v>
      </c>
      <c r="AC18" s="526" t="n">
        <v>-160</v>
      </c>
      <c r="AD18" s="526" t="n">
        <v>-163</v>
      </c>
      <c r="AE18" s="526" t="n">
        <v>-53</v>
      </c>
      <c r="AF18" s="526" t="n">
        <v>433</v>
      </c>
      <c r="AG18" s="526" t="n">
        <v>0</v>
      </c>
      <c r="AH18" s="526" t="n">
        <v>0</v>
      </c>
      <c r="AI18" s="564">
        <f>AH18</f>
        <v/>
      </c>
      <c r="AJ18" s="564">
        <f>AI18</f>
        <v/>
      </c>
      <c r="AK18" s="564">
        <f>AJ18</f>
        <v/>
      </c>
      <c r="AL18" s="564">
        <f>AK18</f>
        <v/>
      </c>
      <c r="AM18" s="564">
        <f>AL18</f>
        <v/>
      </c>
      <c r="AN18" s="564">
        <f>AM18</f>
        <v/>
      </c>
      <c r="AQ18" s="131" t="n"/>
    </row>
    <row r="19">
      <c r="A19" s="109" t="inlineStr">
        <is>
          <t>Recurring NP</t>
        </is>
      </c>
      <c r="B19" s="605" t="n"/>
      <c r="C19" s="605" t="n"/>
      <c r="D19" s="605" t="n"/>
      <c r="E19" s="605" t="n"/>
      <c r="F19" s="605" t="n"/>
      <c r="G19" s="605" t="n"/>
      <c r="H19" s="605" t="n"/>
      <c r="I19" s="605" t="n"/>
      <c r="J19" s="605" t="n"/>
      <c r="K19" s="605" t="n"/>
      <c r="L19" s="605" t="n"/>
      <c r="M19" s="605" t="n"/>
      <c r="N19" s="605" t="n"/>
      <c r="O19" s="605" t="n">
        <v>603</v>
      </c>
      <c r="P19" s="605" t="n">
        <v>931</v>
      </c>
      <c r="Q19" s="605" t="n">
        <v>409</v>
      </c>
      <c r="R19" s="605">
        <f>SUM(R20:R22)</f>
        <v/>
      </c>
      <c r="S19" s="605">
        <f>SUM(S20:S22)</f>
        <v/>
      </c>
      <c r="T19" s="605">
        <f>SUM(T20:T22)</f>
        <v/>
      </c>
      <c r="U19" s="605">
        <f>SUM(U20:U22)</f>
        <v/>
      </c>
      <c r="V19" s="605">
        <f>SUM(V20:V22)</f>
        <v/>
      </c>
      <c r="W19" s="605">
        <f>W16+W17</f>
        <v/>
      </c>
      <c r="X19" s="605">
        <f>X16+X17</f>
        <v/>
      </c>
      <c r="Y19" s="605">
        <f>Y16+Y17</f>
        <v/>
      </c>
      <c r="Z19" s="605">
        <f>Z16+Z17</f>
        <v/>
      </c>
      <c r="AA19" s="605">
        <f>AA16+AA17+AA18</f>
        <v/>
      </c>
      <c r="AB19" s="605">
        <f>AB16+AB17+AB18</f>
        <v/>
      </c>
      <c r="AC19" s="605">
        <f>AC16+AC17+AC18</f>
        <v/>
      </c>
      <c r="AD19" s="605">
        <f>AD16+AD17+AD18</f>
        <v/>
      </c>
      <c r="AE19" s="605">
        <f>AE25-AE24</f>
        <v/>
      </c>
      <c r="AF19" s="605">
        <f>AF25-AF24</f>
        <v/>
      </c>
      <c r="AG19" s="605">
        <f>SUM(AG16:AG18)</f>
        <v/>
      </c>
      <c r="AH19" s="605">
        <f>SUM(AH16:AH18)</f>
        <v/>
      </c>
      <c r="AI19" s="608">
        <f>SUM(AI20:AI23)</f>
        <v/>
      </c>
      <c r="AJ19" s="608">
        <f>SUM(AJ20:AJ23)</f>
        <v/>
      </c>
      <c r="AK19" s="608">
        <f>SUM(AK20:AK23)</f>
        <v/>
      </c>
      <c r="AL19" s="608">
        <f>SUM(AL20:AL23)</f>
        <v/>
      </c>
      <c r="AM19" s="608">
        <f>SUM(AM20:AM23)</f>
        <v/>
      </c>
      <c r="AN19" s="608">
        <f>SUM(AN20:AN23)</f>
        <v/>
      </c>
      <c r="AQ19" s="131" t="n"/>
    </row>
    <row r="20">
      <c r="A20" s="111" t="inlineStr">
        <is>
          <t>Coal (Jhajjar)</t>
        </is>
      </c>
      <c r="O20" s="526" t="n">
        <v>0</v>
      </c>
      <c r="P20" s="526" t="n">
        <v>0</v>
      </c>
      <c r="Q20" s="526" t="n">
        <v>0</v>
      </c>
      <c r="R20" s="526" t="n">
        <v>0</v>
      </c>
      <c r="S20" s="526" t="n">
        <v>-35</v>
      </c>
      <c r="T20" s="526" t="n">
        <v>-40</v>
      </c>
      <c r="U20" s="526" t="n">
        <v>-115</v>
      </c>
      <c r="V20" s="526">
        <f>-554-26</f>
        <v/>
      </c>
      <c r="W20" s="526" t="n">
        <v>-232</v>
      </c>
      <c r="X20" s="526" t="n">
        <v>-94</v>
      </c>
      <c r="Y20" s="526" t="n">
        <v>148</v>
      </c>
      <c r="Z20" s="526" t="n">
        <v>117</v>
      </c>
      <c r="AA20" s="526" t="n">
        <v>315</v>
      </c>
      <c r="AB20" s="526" t="n">
        <v>102</v>
      </c>
      <c r="AC20" s="526">
        <f>86-156*86/(357+86-26+2)</f>
        <v/>
      </c>
      <c r="AD20" s="526" t="n">
        <v>121</v>
      </c>
      <c r="AE20" s="526" t="n">
        <v>98</v>
      </c>
      <c r="AF20" s="526" t="n">
        <v>46</v>
      </c>
      <c r="AG20" s="526" t="n">
        <v>82</v>
      </c>
      <c r="AH20" s="526" t="n">
        <v>120</v>
      </c>
      <c r="AI20" s="564">
        <f>AI29*AVERAGE(AH35:AI35)*AI$3</f>
        <v/>
      </c>
      <c r="AJ20" s="564">
        <f>AJ29*AVERAGE(AI35:AJ35)*AJ$3</f>
        <v/>
      </c>
      <c r="AK20" s="564">
        <f>AK29*AVERAGE(AJ35:AK35)*AK$3</f>
        <v/>
      </c>
      <c r="AL20" s="564">
        <f>AL29*AVERAGE(AK35:AL35)*AL$3</f>
        <v/>
      </c>
      <c r="AM20" s="564">
        <f>AM29*AVERAGE(AL35:AM35)*AM$3</f>
        <v/>
      </c>
      <c r="AN20" s="564">
        <f>AN29*AVERAGE(AM35:AN35)*AN$3</f>
        <v/>
      </c>
      <c r="AQ20" s="131" t="n"/>
    </row>
    <row r="21">
      <c r="A21" s="111" t="inlineStr">
        <is>
          <t>Gas (Paguthan)</t>
        </is>
      </c>
      <c r="O21" s="526">
        <f>O19</f>
        <v/>
      </c>
      <c r="P21" s="526">
        <f>P19</f>
        <v/>
      </c>
      <c r="Q21" s="526">
        <f>Q19</f>
        <v/>
      </c>
      <c r="R21" s="526">
        <f>325-4+52-50</f>
        <v/>
      </c>
      <c r="S21" s="526">
        <f>350+22-52</f>
        <v/>
      </c>
      <c r="T21" s="526">
        <f>277+33-33</f>
        <v/>
      </c>
      <c r="U21" s="526">
        <f>343+47-48</f>
        <v/>
      </c>
      <c r="V21" s="526">
        <f>269+50-50</f>
        <v/>
      </c>
      <c r="W21" s="526" t="n">
        <v>281</v>
      </c>
      <c r="X21" s="526" t="n">
        <v>229</v>
      </c>
      <c r="Y21" s="526" t="n">
        <v>332</v>
      </c>
      <c r="Z21" s="526" t="n">
        <v>217</v>
      </c>
      <c r="AA21" s="526" t="n">
        <v>222</v>
      </c>
      <c r="AB21" s="526" t="n">
        <v>226</v>
      </c>
      <c r="AC21" s="526">
        <f>-26-156*(-26)/(357+86-26+2)</f>
        <v/>
      </c>
      <c r="AD21" s="526" t="n">
        <v>-55</v>
      </c>
      <c r="AE21" s="526" t="n">
        <v>-70</v>
      </c>
      <c r="AF21" s="526" t="n">
        <v>-49</v>
      </c>
      <c r="AG21" s="526" t="n">
        <v>28</v>
      </c>
      <c r="AH21" s="526" t="n">
        <v>47</v>
      </c>
      <c r="AI21" s="564">
        <f>AI30*AVERAGE(AH36:AI36)*AI$3</f>
        <v/>
      </c>
      <c r="AJ21" s="564">
        <f>AJ30*AVERAGE(AI36:AJ36)*AJ$3</f>
        <v/>
      </c>
      <c r="AK21" s="564">
        <f>AK30*AVERAGE(AJ36:AK36)*AK$3</f>
        <v/>
      </c>
      <c r="AL21" s="564">
        <f>AL30*AVERAGE(AK36:AL36)*AL$3</f>
        <v/>
      </c>
      <c r="AM21" s="564">
        <f>AM30*AVERAGE(AL36:AM36)*AM$3</f>
        <v/>
      </c>
      <c r="AN21" s="564">
        <f>AN30*AVERAGE(AM36:AN36)*AN$3</f>
        <v/>
      </c>
      <c r="AQ21" s="131" t="n"/>
    </row>
    <row r="22">
      <c r="A22" s="111" t="inlineStr">
        <is>
          <t>Renewable</t>
        </is>
      </c>
      <c r="O22" s="526" t="n">
        <v>0</v>
      </c>
      <c r="P22" s="526" t="n">
        <v>0</v>
      </c>
      <c r="Q22" s="526" t="n">
        <v>0</v>
      </c>
      <c r="R22" s="526">
        <f>1-4</f>
        <v/>
      </c>
      <c r="S22" s="526" t="n">
        <v>-21</v>
      </c>
      <c r="T22" s="526" t="n">
        <v>2</v>
      </c>
      <c r="U22" s="526">
        <f>21-8</f>
        <v/>
      </c>
      <c r="V22" s="526">
        <f>59-12</f>
        <v/>
      </c>
      <c r="W22" s="526" t="n">
        <v>135</v>
      </c>
      <c r="X22" s="526" t="n">
        <v>135</v>
      </c>
      <c r="Y22" s="526" t="n">
        <v>134</v>
      </c>
      <c r="Z22" s="526" t="n">
        <v>135</v>
      </c>
      <c r="AA22" s="526" t="n">
        <v>110</v>
      </c>
      <c r="AB22" s="526" t="n">
        <v>244</v>
      </c>
      <c r="AC22" s="526">
        <f>357-156*357/(357+86-26+2)</f>
        <v/>
      </c>
      <c r="AD22" s="526" t="n">
        <v>104</v>
      </c>
      <c r="AE22" s="526" t="n">
        <v>186</v>
      </c>
      <c r="AF22" s="526" t="n">
        <v>158</v>
      </c>
      <c r="AG22" s="526" t="n">
        <v>150</v>
      </c>
      <c r="AH22" s="526" t="n">
        <v>85</v>
      </c>
      <c r="AI22" s="564">
        <f>AI31*AVERAGE(AH37:AI37)*AI$3</f>
        <v/>
      </c>
      <c r="AJ22" s="564">
        <f>AJ31*AVERAGE(AI37:AJ37)*AJ$3</f>
        <v/>
      </c>
      <c r="AK22" s="564">
        <f>AK31*AVERAGE(AJ37:AK37)*AK$3</f>
        <v/>
      </c>
      <c r="AL22" s="564">
        <f>AL31*AVERAGE(AK37:AL37)*AL$3</f>
        <v/>
      </c>
      <c r="AM22" s="564">
        <f>AM31*AVERAGE(AL37:AM37)*AM$3</f>
        <v/>
      </c>
      <c r="AN22" s="564">
        <f>AN31*AVERAGE(AM37:AN37)*AN$3</f>
        <v/>
      </c>
      <c r="AQ22" s="131" t="n"/>
    </row>
    <row r="23" customFormat="1" s="526">
      <c r="A23" s="111" t="inlineStr">
        <is>
          <t>Grid</t>
        </is>
      </c>
      <c r="AC23" s="526">
        <f>2-156*2/(357+86-26+2)</f>
        <v/>
      </c>
      <c r="AD23" s="526" t="n">
        <v>5</v>
      </c>
      <c r="AE23" s="526" t="n">
        <v>7</v>
      </c>
      <c r="AF23" s="526" t="n">
        <v>38</v>
      </c>
      <c r="AG23" s="526">
        <f>44-3</f>
        <v/>
      </c>
      <c r="AH23" s="526">
        <f>81-4</f>
        <v/>
      </c>
      <c r="AI23" s="564" t="n">
        <v>0</v>
      </c>
      <c r="AJ23" s="564" t="n">
        <v>0</v>
      </c>
      <c r="AK23" s="564">
        <f>AJ23</f>
        <v/>
      </c>
      <c r="AL23" s="564">
        <f>AK23</f>
        <v/>
      </c>
      <c r="AM23" s="564">
        <f>AL23</f>
        <v/>
      </c>
      <c r="AN23" s="564">
        <f>AM23</f>
        <v/>
      </c>
      <c r="AQ23" s="131" t="n"/>
    </row>
    <row r="24">
      <c r="A24" s="43" t="inlineStr">
        <is>
          <t>One-off items</t>
        </is>
      </c>
      <c r="O24" s="526" t="n">
        <v>0</v>
      </c>
      <c r="P24" s="526" t="n">
        <v>0</v>
      </c>
      <c r="Q24" s="526" t="n">
        <v>0</v>
      </c>
      <c r="R24" s="526" t="n">
        <v>0</v>
      </c>
      <c r="S24" s="526">
        <f>11+171</f>
        <v/>
      </c>
      <c r="T24" s="526">
        <f>-30-68</f>
        <v/>
      </c>
      <c r="U24" s="526">
        <f>49-27-108</f>
        <v/>
      </c>
      <c r="V24" s="526">
        <f>-315+18-37+101</f>
        <v/>
      </c>
      <c r="W24" s="526" t="n">
        <v>-293</v>
      </c>
      <c r="X24" s="526" t="n">
        <v>0</v>
      </c>
      <c r="Y24" s="526" t="n">
        <v>0</v>
      </c>
      <c r="Z24" s="526" t="n">
        <v>0</v>
      </c>
      <c r="AA24" s="526" t="n">
        <v>0</v>
      </c>
      <c r="AB24" s="526" t="n">
        <v>-450</v>
      </c>
      <c r="AC24" s="564" t="n">
        <v>0</v>
      </c>
      <c r="AD24" s="564" t="n">
        <v>0</v>
      </c>
      <c r="AE24" s="526" t="n">
        <v>-148</v>
      </c>
      <c r="AF24" s="526" t="n">
        <v>-3537</v>
      </c>
      <c r="AG24" s="526" t="n">
        <v>299</v>
      </c>
      <c r="AH24" s="526" t="n">
        <v>105</v>
      </c>
      <c r="AI24" s="564" t="n">
        <v>0</v>
      </c>
      <c r="AJ24" s="564" t="n">
        <v>0</v>
      </c>
      <c r="AK24" s="564" t="n">
        <v>0</v>
      </c>
      <c r="AL24" s="564" t="n">
        <v>0</v>
      </c>
      <c r="AM24" s="564" t="n">
        <v>0</v>
      </c>
      <c r="AN24" s="564" t="n">
        <v>0</v>
      </c>
      <c r="AQ24" s="131" t="n"/>
    </row>
    <row r="25">
      <c r="A25" s="109" t="inlineStr">
        <is>
          <t>Reported NP</t>
        </is>
      </c>
      <c r="B25" s="605" t="n"/>
      <c r="C25" s="605" t="n"/>
      <c r="D25" s="605" t="n"/>
      <c r="E25" s="605" t="n"/>
      <c r="F25" s="605" t="n"/>
      <c r="G25" s="605" t="n"/>
      <c r="H25" s="605" t="n"/>
      <c r="I25" s="605" t="n"/>
      <c r="J25" s="605" t="n"/>
      <c r="K25" s="605" t="n"/>
      <c r="L25" s="605" t="n"/>
      <c r="M25" s="605" t="n"/>
      <c r="N25" s="605" t="n"/>
      <c r="O25" s="605">
        <f>O19+O24</f>
        <v/>
      </c>
      <c r="P25" s="605">
        <f>P19+P24</f>
        <v/>
      </c>
      <c r="Q25" s="605">
        <f>Q19+Q24</f>
        <v/>
      </c>
      <c r="R25" s="605">
        <f>R19+R24</f>
        <v/>
      </c>
      <c r="S25" s="605">
        <f>S19+S24</f>
        <v/>
      </c>
      <c r="T25" s="605">
        <f>T19+T24</f>
        <v/>
      </c>
      <c r="U25" s="605">
        <f>U19+U24</f>
        <v/>
      </c>
      <c r="V25" s="605">
        <f>V19+V24</f>
        <v/>
      </c>
      <c r="W25" s="605">
        <f>W19+W24</f>
        <v/>
      </c>
      <c r="X25" s="605">
        <f>X19+X24</f>
        <v/>
      </c>
      <c r="Y25" s="605">
        <f>Y19+Y24</f>
        <v/>
      </c>
      <c r="Z25" s="605">
        <f>Z19+Z24</f>
        <v/>
      </c>
      <c r="AA25" s="605">
        <f>AA19+AA24</f>
        <v/>
      </c>
      <c r="AB25" s="605">
        <f>AB19+AB24</f>
        <v/>
      </c>
      <c r="AC25" s="605">
        <f>AC19+AC24</f>
        <v/>
      </c>
      <c r="AD25" s="605">
        <f>AD19+AD24</f>
        <v/>
      </c>
      <c r="AE25" s="605">
        <f>AE16+AE17+AE18</f>
        <v/>
      </c>
      <c r="AF25" s="605">
        <f>AF16+AF17+AF18</f>
        <v/>
      </c>
      <c r="AG25" s="605">
        <f>AG19+AG24</f>
        <v/>
      </c>
      <c r="AH25" s="605">
        <f>AH19+AH24</f>
        <v/>
      </c>
      <c r="AI25" s="608">
        <f>AI19+AI24</f>
        <v/>
      </c>
      <c r="AJ25" s="608">
        <f>AJ19+AJ24</f>
        <v/>
      </c>
      <c r="AK25" s="608">
        <f>AK19+AK24</f>
        <v/>
      </c>
      <c r="AL25" s="608">
        <f>AL19+AL24</f>
        <v/>
      </c>
      <c r="AM25" s="608">
        <f>AM19+AM24</f>
        <v/>
      </c>
      <c r="AN25" s="608">
        <f>AN19+AN24</f>
        <v/>
      </c>
      <c r="AQ25" s="131" t="n"/>
    </row>
    <row r="26">
      <c r="AA26" s="131" t="n"/>
      <c r="AB26" s="442" t="n"/>
      <c r="AC26" s="442" t="n"/>
      <c r="AI26" s="131" t="n"/>
    </row>
    <row r="27">
      <c r="A27" s="6" t="inlineStr">
        <is>
          <t>Key drivers</t>
        </is>
      </c>
      <c r="B27" s="85" t="n"/>
      <c r="C27" s="85" t="n"/>
      <c r="D27" s="85" t="n"/>
      <c r="E27" s="85" t="n"/>
      <c r="F27" s="85" t="n"/>
      <c r="G27" s="85" t="n"/>
      <c r="H27" s="85" t="n"/>
      <c r="I27" s="85" t="n"/>
      <c r="J27" s="85" t="n"/>
      <c r="K27" s="85" t="n"/>
      <c r="L27" s="85" t="n"/>
      <c r="M27" s="85" t="n"/>
      <c r="N27" s="85" t="n"/>
      <c r="O27" s="85" t="n"/>
      <c r="P27" s="85" t="n"/>
      <c r="Q27" s="85" t="n"/>
      <c r="R27" s="85" t="n"/>
      <c r="S27" s="85" t="n"/>
      <c r="T27" s="85" t="n"/>
      <c r="U27" s="85" t="n"/>
      <c r="V27" s="85" t="n"/>
      <c r="W27" s="85" t="n"/>
      <c r="X27" s="85" t="n"/>
      <c r="Y27" s="85" t="n"/>
      <c r="Z27" s="85" t="n"/>
      <c r="AA27" s="85" t="n"/>
      <c r="AB27" s="85" t="n"/>
      <c r="AC27" s="85" t="n"/>
      <c r="AD27" s="85" t="n"/>
      <c r="AE27" s="85" t="n"/>
      <c r="AF27" s="85" t="n"/>
      <c r="AG27" s="85" t="n"/>
      <c r="AH27" s="85" t="n"/>
      <c r="AI27" s="85" t="n"/>
      <c r="AJ27" s="85" t="n"/>
      <c r="AK27" s="85" t="n"/>
      <c r="AL27" s="85" t="n"/>
      <c r="AM27" s="85" t="n"/>
      <c r="AN27" s="85" t="n"/>
    </row>
    <row r="28">
      <c r="A28" s="88" t="inlineStr">
        <is>
          <t>Unit EBIT (INR m/MW)</t>
        </is>
      </c>
      <c r="B28" s="643" t="n"/>
      <c r="C28" s="643" t="n"/>
      <c r="D28" s="643" t="n"/>
      <c r="E28" s="643" t="n"/>
      <c r="F28" s="643" t="n"/>
      <c r="G28" s="643" t="n"/>
      <c r="H28" s="643" t="n"/>
      <c r="I28" s="643" t="n"/>
      <c r="J28" s="643" t="n"/>
      <c r="K28" s="643" t="n"/>
      <c r="L28" s="643" t="n"/>
      <c r="M28" s="643" t="n"/>
      <c r="N28" s="643" t="n"/>
      <c r="O28" s="643" t="n"/>
      <c r="P28" s="643" t="n"/>
      <c r="Q28" s="643" t="n"/>
      <c r="R28" s="643" t="n"/>
      <c r="S28" s="643" t="n"/>
      <c r="T28" s="643" t="n"/>
      <c r="U28" s="643" t="n"/>
      <c r="V28" s="643" t="n"/>
      <c r="W28" s="643" t="n"/>
      <c r="X28" s="643" t="n"/>
      <c r="Y28" s="643" t="n"/>
      <c r="Z28" s="643" t="n"/>
      <c r="AA28" s="643" t="n"/>
      <c r="AB28" s="643" t="n"/>
      <c r="AC28" s="643" t="n"/>
      <c r="AD28" s="643" t="n"/>
      <c r="AE28" s="643" t="n"/>
      <c r="AF28" s="643" t="n"/>
      <c r="AG28" s="643" t="n"/>
      <c r="AH28" s="643" t="n"/>
      <c r="AI28" s="643" t="n"/>
      <c r="AJ28" s="643" t="n"/>
      <c r="AK28" s="643" t="n"/>
      <c r="AL28" s="643" t="n"/>
      <c r="AM28" s="643" t="n"/>
      <c r="AN28" s="643" t="n"/>
    </row>
    <row r="29">
      <c r="A29" s="111" t="inlineStr">
        <is>
          <t>Coal (Jhajjar)</t>
        </is>
      </c>
      <c r="W29" s="679" t="n"/>
      <c r="X29" s="679" t="n"/>
      <c r="Y29" s="679" t="n"/>
      <c r="Z29" s="679" t="n"/>
      <c r="AA29" s="679" t="n"/>
      <c r="AG29" s="679">
        <f>AG20/AG$3/AVERAGE(AF35:AG35)</f>
        <v/>
      </c>
      <c r="AH29" s="679">
        <f>AH20/AH$3/AVERAGE(AG35:AH35)</f>
        <v/>
      </c>
      <c r="AI29" s="680">
        <f>AH29</f>
        <v/>
      </c>
      <c r="AJ29" s="680">
        <f>+AI29</f>
        <v/>
      </c>
      <c r="AK29" s="680">
        <f>+AJ29</f>
        <v/>
      </c>
      <c r="AL29" s="680">
        <f>+AK29</f>
        <v/>
      </c>
      <c r="AM29" s="680">
        <f>+AL29</f>
        <v/>
      </c>
      <c r="AN29" s="680">
        <f>+AM29</f>
        <v/>
      </c>
      <c r="AQ29" s="131" t="n"/>
    </row>
    <row r="30">
      <c r="A30" s="111" t="inlineStr">
        <is>
          <t>Gas (Paguthan)</t>
        </is>
      </c>
      <c r="W30" s="679" t="n"/>
      <c r="X30" s="679" t="n"/>
      <c r="Y30" s="679" t="n"/>
      <c r="Z30" s="679" t="n"/>
      <c r="AA30" s="679" t="n"/>
      <c r="AG30" s="679">
        <f>AG21/AG$3/AVERAGE(AF36:AG36)</f>
        <v/>
      </c>
      <c r="AH30" s="679">
        <f>AH21/AH$3/AVERAGE(AG36:AH36)</f>
        <v/>
      </c>
      <c r="AI30" s="680">
        <f>AH30</f>
        <v/>
      </c>
      <c r="AJ30" s="680">
        <f>AI30</f>
        <v/>
      </c>
      <c r="AK30" s="680">
        <f>AJ30</f>
        <v/>
      </c>
      <c r="AL30" s="680">
        <f>AK30</f>
        <v/>
      </c>
      <c r="AM30" s="680">
        <f>AL30</f>
        <v/>
      </c>
      <c r="AN30" s="680">
        <f>AM30</f>
        <v/>
      </c>
      <c r="AQ30" s="131" t="n"/>
    </row>
    <row r="31">
      <c r="A31" s="111" t="inlineStr">
        <is>
          <t>Renewable</t>
        </is>
      </c>
      <c r="W31" s="679" t="n"/>
      <c r="X31" s="679" t="n"/>
      <c r="Y31" s="679" t="n"/>
      <c r="Z31" s="679" t="n"/>
      <c r="AA31" s="679" t="n"/>
      <c r="AG31" s="679">
        <f>AG22/AG$3/AVERAGE(AF37:AG37)</f>
        <v/>
      </c>
      <c r="AH31" s="679">
        <f>AH22/AH$3/AVERAGE(AG37:AH37)</f>
        <v/>
      </c>
      <c r="AI31" s="680">
        <f>AH31</f>
        <v/>
      </c>
      <c r="AJ31" s="680">
        <f>AI31</f>
        <v/>
      </c>
      <c r="AK31" s="680">
        <f>AJ31</f>
        <v/>
      </c>
      <c r="AL31" s="680">
        <f>AK31</f>
        <v/>
      </c>
      <c r="AM31" s="680">
        <f>AL31</f>
        <v/>
      </c>
      <c r="AN31" s="680">
        <f>AM31</f>
        <v/>
      </c>
      <c r="AQ31" s="131" t="n"/>
    </row>
    <row r="33">
      <c r="A33" s="88" t="inlineStr">
        <is>
          <t>Consolidated Capacity (MW)</t>
        </is>
      </c>
      <c r="B33" s="643" t="n"/>
      <c r="C33" s="643" t="n"/>
      <c r="D33" s="643" t="n"/>
      <c r="E33" s="643" t="n"/>
      <c r="F33" s="643" t="n"/>
      <c r="G33" s="643" t="n"/>
      <c r="H33" s="643" t="n"/>
      <c r="I33" s="643" t="n"/>
      <c r="J33" s="643" t="n"/>
      <c r="K33" s="643" t="n"/>
      <c r="L33" s="643" t="n"/>
      <c r="M33" s="643" t="n"/>
      <c r="N33" s="643" t="n"/>
      <c r="O33" s="643" t="n"/>
      <c r="P33" s="643" t="n"/>
      <c r="Q33" s="643" t="n"/>
      <c r="R33" s="643" t="n"/>
      <c r="S33" s="643" t="n"/>
      <c r="T33" s="643" t="n"/>
      <c r="U33" s="643" t="n"/>
      <c r="V33" s="643" t="n"/>
      <c r="W33" s="448" t="n"/>
      <c r="X33" s="448" t="n"/>
      <c r="Y33" s="448" t="n"/>
      <c r="Z33" s="448" t="n"/>
      <c r="AA33" s="448" t="n"/>
      <c r="AB33" s="448" t="n"/>
      <c r="AC33" s="643" t="n"/>
      <c r="AD33" s="643" t="n"/>
      <c r="AE33" s="643" t="n"/>
      <c r="AF33" s="643" t="n"/>
      <c r="AG33" s="643" t="n"/>
      <c r="AH33" s="643" t="n"/>
      <c r="AI33" s="643" t="n"/>
      <c r="AJ33" s="643" t="n"/>
      <c r="AK33" s="643" t="n"/>
      <c r="AL33" s="643" t="n"/>
      <c r="AM33" s="643" t="n"/>
      <c r="AN33" s="643" t="n"/>
    </row>
    <row r="34">
      <c r="A34" s="62" t="inlineStr">
        <is>
          <t>Operational capacity</t>
        </is>
      </c>
      <c r="Q34" s="131" t="n"/>
      <c r="R34" s="131" t="n"/>
      <c r="W34" s="446" t="n"/>
      <c r="X34" s="446" t="n"/>
      <c r="Y34" s="446" t="n"/>
      <c r="Z34" s="446" t="n"/>
      <c r="AA34" s="446" t="n"/>
      <c r="AB34" s="446" t="n"/>
    </row>
    <row r="35">
      <c r="A35" s="111" t="inlineStr">
        <is>
          <t>Coal (Jhajjar)</t>
        </is>
      </c>
      <c r="O35" s="526" t="n">
        <v>0</v>
      </c>
      <c r="P35" s="526" t="n">
        <v>0</v>
      </c>
      <c r="Q35" s="526" t="n">
        <v>0</v>
      </c>
      <c r="R35" s="526" t="n">
        <v>0</v>
      </c>
      <c r="S35" s="526" t="n">
        <v>0</v>
      </c>
      <c r="T35" s="526" t="n">
        <v>0</v>
      </c>
      <c r="U35" s="526" t="n">
        <v>0</v>
      </c>
      <c r="V35" s="526" t="n">
        <v>1320</v>
      </c>
      <c r="W35" s="526" t="n">
        <v>1320</v>
      </c>
      <c r="X35" s="526" t="n">
        <v>1320</v>
      </c>
      <c r="Y35" s="526" t="n">
        <v>1320</v>
      </c>
      <c r="Z35" s="526" t="n">
        <v>1320</v>
      </c>
      <c r="AA35" s="526" t="n">
        <v>1320</v>
      </c>
      <c r="AB35" s="526" t="n">
        <v>1320</v>
      </c>
      <c r="AC35" s="526" t="n">
        <v>1320</v>
      </c>
      <c r="AD35" s="526" t="n">
        <v>1320</v>
      </c>
      <c r="AE35" s="526">
        <f>AD35</f>
        <v/>
      </c>
      <c r="AF35" s="526" t="n">
        <v>1320</v>
      </c>
      <c r="AG35" s="526" t="n">
        <v>1320</v>
      </c>
      <c r="AH35" s="526">
        <f>AG35</f>
        <v/>
      </c>
      <c r="AI35" s="564">
        <f>AH35</f>
        <v/>
      </c>
      <c r="AJ35" s="564">
        <f>AI35</f>
        <v/>
      </c>
      <c r="AK35" s="564">
        <f>AJ35</f>
        <v/>
      </c>
      <c r="AL35" s="564">
        <f>AK35</f>
        <v/>
      </c>
      <c r="AM35" s="564">
        <f>AL35</f>
        <v/>
      </c>
      <c r="AN35" s="564">
        <f>AM35</f>
        <v/>
      </c>
      <c r="AQ35" s="131" t="n"/>
    </row>
    <row r="36">
      <c r="A36" s="111" t="inlineStr">
        <is>
          <t>Gas (Paguthan)</t>
        </is>
      </c>
      <c r="L36" s="526" t="n">
        <v>655</v>
      </c>
      <c r="M36" s="526" t="n">
        <v>655</v>
      </c>
      <c r="N36" s="526" t="n">
        <v>655</v>
      </c>
      <c r="O36" s="526" t="n">
        <v>655</v>
      </c>
      <c r="P36" s="526" t="n">
        <v>655</v>
      </c>
      <c r="Q36" s="526" t="n">
        <v>655</v>
      </c>
      <c r="R36" s="526" t="n">
        <v>655</v>
      </c>
      <c r="S36" s="526" t="n">
        <v>655</v>
      </c>
      <c r="T36" s="526" t="n">
        <v>655</v>
      </c>
      <c r="U36" s="526" t="n">
        <v>655</v>
      </c>
      <c r="V36" s="526" t="n">
        <v>655</v>
      </c>
      <c r="W36" s="526" t="n">
        <v>655</v>
      </c>
      <c r="X36" s="526" t="n">
        <v>655</v>
      </c>
      <c r="Y36" s="526" t="n">
        <v>655</v>
      </c>
      <c r="Z36" s="526" t="n">
        <v>655</v>
      </c>
      <c r="AA36" s="526" t="n">
        <v>655</v>
      </c>
      <c r="AB36" s="526" t="n">
        <v>655</v>
      </c>
      <c r="AC36" s="526" t="n">
        <v>655</v>
      </c>
      <c r="AD36" s="526" t="n">
        <v>655</v>
      </c>
      <c r="AE36" s="526">
        <f>AD36</f>
        <v/>
      </c>
      <c r="AF36" s="526" t="n">
        <v>655</v>
      </c>
      <c r="AG36" s="526" t="n">
        <v>655</v>
      </c>
      <c r="AH36" s="526">
        <f>AG36</f>
        <v/>
      </c>
      <c r="AI36" s="564">
        <f>AH36</f>
        <v/>
      </c>
      <c r="AJ36" s="564">
        <f>AI36</f>
        <v/>
      </c>
      <c r="AK36" s="564">
        <f>AJ36</f>
        <v/>
      </c>
      <c r="AL36" s="564">
        <f>AK36</f>
        <v/>
      </c>
      <c r="AM36" s="564">
        <f>AL36</f>
        <v/>
      </c>
      <c r="AN36" s="564">
        <f>AM36</f>
        <v/>
      </c>
      <c r="AQ36" s="131" t="n"/>
    </row>
    <row r="37">
      <c r="A37" s="111" t="inlineStr">
        <is>
          <t>Renewable</t>
        </is>
      </c>
      <c r="O37" s="526" t="n">
        <v>0</v>
      </c>
      <c r="P37" s="526" t="n">
        <v>0</v>
      </c>
      <c r="Q37" s="526" t="n">
        <v>0</v>
      </c>
      <c r="R37" s="526" t="n">
        <v>80</v>
      </c>
      <c r="S37" s="526" t="n">
        <v>101</v>
      </c>
      <c r="T37" s="526" t="n">
        <v>314</v>
      </c>
      <c r="U37" s="526" t="n">
        <v>443</v>
      </c>
      <c r="V37" s="526" t="n">
        <v>521</v>
      </c>
      <c r="W37" s="526" t="n">
        <v>628</v>
      </c>
      <c r="X37" s="526" t="n">
        <v>730</v>
      </c>
      <c r="Y37" s="526" t="n">
        <v>924</v>
      </c>
      <c r="Z37" s="526" t="n">
        <v>924</v>
      </c>
      <c r="AA37" s="526">
        <f>924+94</f>
        <v/>
      </c>
      <c r="AB37" s="526">
        <f>924+170</f>
        <v/>
      </c>
      <c r="AC37" s="526" t="n">
        <v>1094</v>
      </c>
      <c r="AD37" s="526">
        <f>924+250</f>
        <v/>
      </c>
      <c r="AE37" s="526">
        <f>924+250</f>
        <v/>
      </c>
      <c r="AF37" s="526">
        <f>924+250</f>
        <v/>
      </c>
      <c r="AG37" s="526">
        <f>923+250</f>
        <v/>
      </c>
      <c r="AH37" s="526">
        <f>923+250</f>
        <v/>
      </c>
      <c r="AI37" s="564">
        <f>AH37+AI55/6</f>
        <v/>
      </c>
      <c r="AJ37" s="564">
        <f>AI37+AJ55/6</f>
        <v/>
      </c>
      <c r="AK37" s="564">
        <f>AJ37+AK55/6</f>
        <v/>
      </c>
      <c r="AL37" s="564">
        <f>AK37+AL55/6</f>
        <v/>
      </c>
      <c r="AM37" s="564">
        <f>AL37+AM55/6</f>
        <v/>
      </c>
      <c r="AN37" s="564">
        <f>AM37+AN55/6</f>
        <v/>
      </c>
      <c r="AQ37" s="131" t="n"/>
    </row>
    <row r="38">
      <c r="A38" s="109" t="inlineStr">
        <is>
          <t>Total operational capacity</t>
        </is>
      </c>
      <c r="B38" s="605" t="n"/>
      <c r="C38" s="605" t="n"/>
      <c r="D38" s="605" t="n"/>
      <c r="E38" s="605" t="n"/>
      <c r="F38" s="605" t="n"/>
      <c r="G38" s="605" t="n"/>
      <c r="H38" s="605" t="n"/>
      <c r="I38" s="605" t="n"/>
      <c r="J38" s="605" t="n"/>
      <c r="K38" s="605" t="n"/>
      <c r="L38" s="605" t="n"/>
      <c r="M38" s="605" t="n"/>
      <c r="N38" s="605" t="n"/>
      <c r="O38" s="605">
        <f>SUM(O35:O37)</f>
        <v/>
      </c>
      <c r="P38" s="605">
        <f>SUM(P35:P37)</f>
        <v/>
      </c>
      <c r="Q38" s="605">
        <f>SUM(Q35:Q37)</f>
        <v/>
      </c>
      <c r="R38" s="605">
        <f>SUM(R35:R37)</f>
        <v/>
      </c>
      <c r="S38" s="605">
        <f>SUM(S35:S37)</f>
        <v/>
      </c>
      <c r="T38" s="605">
        <f>SUM(T35:T37)</f>
        <v/>
      </c>
      <c r="U38" s="605">
        <f>SUM(U35:U37)</f>
        <v/>
      </c>
      <c r="V38" s="605">
        <f>SUM(V35:V37)</f>
        <v/>
      </c>
      <c r="W38" s="605">
        <f>SUM(W35:W37)</f>
        <v/>
      </c>
      <c r="X38" s="605">
        <f>SUM(X35:X37)</f>
        <v/>
      </c>
      <c r="Y38" s="605">
        <f>SUM(Y35:Y37)</f>
        <v/>
      </c>
      <c r="Z38" s="605">
        <f>SUM(Z35:Z37)</f>
        <v/>
      </c>
      <c r="AA38" s="605">
        <f>SUM(AA35:AA37)</f>
        <v/>
      </c>
      <c r="AB38" s="605">
        <f>SUM(AB35:AB37)</f>
        <v/>
      </c>
      <c r="AC38" s="605">
        <f>SUM(AC35:AC37)</f>
        <v/>
      </c>
      <c r="AD38" s="605">
        <f>SUM(AD35:AD37)</f>
        <v/>
      </c>
      <c r="AE38" s="605">
        <f>SUM(AE35:AE37)</f>
        <v/>
      </c>
      <c r="AF38" s="605">
        <f>SUM(AF35:AF37)</f>
        <v/>
      </c>
      <c r="AG38" s="605">
        <f>SUM(AG35:AG37)</f>
        <v/>
      </c>
      <c r="AH38" s="605">
        <f>SUM(AH35:AH37)</f>
        <v/>
      </c>
      <c r="AI38" s="605">
        <f>SUM(AI35:AI37)</f>
        <v/>
      </c>
      <c r="AJ38" s="605">
        <f>SUM(AJ35:AJ37)</f>
        <v/>
      </c>
      <c r="AK38" s="605">
        <f>SUM(AK35:AK37)</f>
        <v/>
      </c>
      <c r="AL38" s="605">
        <f>SUM(AL35:AL37)</f>
        <v/>
      </c>
      <c r="AM38" s="605">
        <f>SUM(AM35:AM37)</f>
        <v/>
      </c>
      <c r="AN38" s="605">
        <f>SUM(AN35:AN37)</f>
        <v/>
      </c>
      <c r="AQ38" s="131" t="n"/>
    </row>
    <row r="39">
      <c r="A39" s="111" t="n"/>
      <c r="AC39" t="n"/>
      <c r="AE39" s="446" t="n"/>
    </row>
    <row r="40">
      <c r="A40" s="62" t="inlineStr">
        <is>
          <t>Construction capacity</t>
        </is>
      </c>
    </row>
    <row r="41">
      <c r="A41" s="111" t="inlineStr">
        <is>
          <t>Coal (Jhajjar)</t>
        </is>
      </c>
      <c r="O41" s="526" t="n">
        <v>0</v>
      </c>
      <c r="P41" s="526" t="n">
        <v>0</v>
      </c>
      <c r="Q41" s="526" t="n">
        <v>0</v>
      </c>
      <c r="R41" s="526" t="n">
        <v>1320</v>
      </c>
      <c r="S41" s="526" t="n">
        <v>1320</v>
      </c>
      <c r="T41" s="526" t="n">
        <v>1320</v>
      </c>
      <c r="U41" s="526" t="n">
        <v>1320</v>
      </c>
      <c r="V41" s="526" t="n">
        <v>0</v>
      </c>
      <c r="W41" s="526" t="n">
        <v>0</v>
      </c>
      <c r="X41" s="526" t="n">
        <v>0</v>
      </c>
      <c r="Y41" s="526" t="n">
        <v>0</v>
      </c>
      <c r="Z41" s="526" t="n">
        <v>0</v>
      </c>
      <c r="AA41" s="526" t="n">
        <v>0</v>
      </c>
      <c r="AB41" s="526">
        <f>AA41</f>
        <v/>
      </c>
      <c r="AC41" s="564">
        <f>AB41</f>
        <v/>
      </c>
      <c r="AD41" s="564">
        <f>AC41</f>
        <v/>
      </c>
      <c r="AE41" s="564">
        <f>AD41</f>
        <v/>
      </c>
      <c r="AF41" s="564">
        <f>AE41</f>
        <v/>
      </c>
      <c r="AG41" s="564">
        <f>AF41</f>
        <v/>
      </c>
      <c r="AH41" s="564">
        <f>AG41</f>
        <v/>
      </c>
      <c r="AI41" s="564">
        <f>AH41</f>
        <v/>
      </c>
      <c r="AJ41" s="564">
        <f>AI41</f>
        <v/>
      </c>
      <c r="AK41" s="564">
        <f>AJ41</f>
        <v/>
      </c>
      <c r="AL41" s="564">
        <f>AK41</f>
        <v/>
      </c>
      <c r="AM41" s="564">
        <f>AL41</f>
        <v/>
      </c>
      <c r="AN41" s="564">
        <f>AM41</f>
        <v/>
      </c>
      <c r="AQ41" s="131" t="n"/>
    </row>
    <row r="42">
      <c r="A42" s="111" t="inlineStr">
        <is>
          <t>Gas (Paguthan)</t>
        </is>
      </c>
      <c r="O42" s="526" t="n">
        <v>0</v>
      </c>
      <c r="P42" s="526" t="n">
        <v>0</v>
      </c>
      <c r="Q42" s="526" t="n">
        <v>0</v>
      </c>
      <c r="R42" s="526" t="n">
        <v>0</v>
      </c>
      <c r="S42" s="526" t="n">
        <v>0</v>
      </c>
      <c r="T42" s="526" t="n">
        <v>0</v>
      </c>
      <c r="U42" s="526" t="n">
        <v>0</v>
      </c>
      <c r="V42" s="526" t="n">
        <v>0</v>
      </c>
      <c r="W42" s="526" t="n">
        <v>0</v>
      </c>
      <c r="X42" s="526" t="n">
        <v>0</v>
      </c>
      <c r="Y42" s="526" t="n">
        <v>0</v>
      </c>
      <c r="Z42" s="526" t="n">
        <v>0</v>
      </c>
      <c r="AA42" s="526" t="n">
        <v>0</v>
      </c>
      <c r="AB42" s="526">
        <f>AA42</f>
        <v/>
      </c>
      <c r="AC42" s="564">
        <f>AB42</f>
        <v/>
      </c>
      <c r="AD42" s="564">
        <f>AC42</f>
        <v/>
      </c>
      <c r="AE42" s="564">
        <f>AD42</f>
        <v/>
      </c>
      <c r="AF42" s="564">
        <f>AE42</f>
        <v/>
      </c>
      <c r="AG42" s="564">
        <f>AF42</f>
        <v/>
      </c>
      <c r="AH42" s="564">
        <f>AG42</f>
        <v/>
      </c>
      <c r="AI42" s="564">
        <f>AH42</f>
        <v/>
      </c>
      <c r="AJ42" s="564">
        <f>AI42</f>
        <v/>
      </c>
      <c r="AK42" s="564">
        <f>AJ42</f>
        <v/>
      </c>
      <c r="AL42" s="564">
        <f>AK42</f>
        <v/>
      </c>
      <c r="AM42" s="564">
        <f>AL42</f>
        <v/>
      </c>
      <c r="AN42" s="564">
        <f>AM42</f>
        <v/>
      </c>
      <c r="AQ42" s="131" t="n"/>
    </row>
    <row r="43">
      <c r="A43" s="111" t="inlineStr">
        <is>
          <t>Renewable</t>
        </is>
      </c>
      <c r="O43" s="526" t="n">
        <v>0</v>
      </c>
      <c r="P43" s="526" t="n">
        <v>0</v>
      </c>
      <c r="Q43" s="526" t="n">
        <v>50</v>
      </c>
      <c r="R43" s="526" t="n">
        <v>267</v>
      </c>
      <c r="S43" s="526" t="n">
        <v>345</v>
      </c>
      <c r="T43" s="526" t="n">
        <v>172</v>
      </c>
      <c r="U43" s="526" t="n">
        <v>176</v>
      </c>
      <c r="V43" s="526" t="n">
        <v>451</v>
      </c>
      <c r="W43" s="526" t="n">
        <v>423</v>
      </c>
      <c r="X43" s="526" t="n">
        <v>351</v>
      </c>
      <c r="Y43" s="526" t="n">
        <v>149</v>
      </c>
      <c r="Z43" s="526">
        <f>30+100</f>
        <v/>
      </c>
      <c r="AA43" s="526" t="n">
        <v>6</v>
      </c>
      <c r="AB43" s="526" t="n">
        <v>0</v>
      </c>
      <c r="AC43" s="564">
        <f>AB43</f>
        <v/>
      </c>
      <c r="AD43" s="564">
        <f>AC43</f>
        <v/>
      </c>
      <c r="AE43" s="564">
        <f>AD43</f>
        <v/>
      </c>
      <c r="AF43" s="564">
        <f>AF37-AE37</f>
        <v/>
      </c>
      <c r="AG43" s="564">
        <f>AG37-AF37</f>
        <v/>
      </c>
      <c r="AH43" s="564">
        <f>AH37-AG37</f>
        <v/>
      </c>
      <c r="AI43" s="564">
        <f>AI37-AH37</f>
        <v/>
      </c>
      <c r="AJ43" s="564">
        <f>AJ37-AI37</f>
        <v/>
      </c>
      <c r="AK43" s="564">
        <f>AK37-AJ37</f>
        <v/>
      </c>
      <c r="AL43" s="564">
        <f>AL37-AK37</f>
        <v/>
      </c>
      <c r="AM43" s="564">
        <f>AM37-AL37</f>
        <v/>
      </c>
      <c r="AN43" s="564">
        <f>AN37-AM37</f>
        <v/>
      </c>
      <c r="AQ43" s="131" t="n"/>
    </row>
    <row r="44">
      <c r="A44" s="109" t="inlineStr">
        <is>
          <t>Total construction capacity</t>
        </is>
      </c>
      <c r="B44" s="605" t="n"/>
      <c r="C44" s="605" t="n"/>
      <c r="D44" s="605" t="n"/>
      <c r="E44" s="605" t="n"/>
      <c r="F44" s="605" t="n"/>
      <c r="G44" s="605" t="n"/>
      <c r="H44" s="605" t="n"/>
      <c r="I44" s="605" t="n"/>
      <c r="J44" s="605" t="n"/>
      <c r="K44" s="605" t="n"/>
      <c r="L44" s="605" t="n"/>
      <c r="M44" s="605" t="n"/>
      <c r="N44" s="605" t="n"/>
      <c r="O44" s="605">
        <f>SUM(O41:O43)</f>
        <v/>
      </c>
      <c r="P44" s="605">
        <f>SUM(P41:P43)</f>
        <v/>
      </c>
      <c r="Q44" s="605">
        <f>SUM(Q41:Q43)</f>
        <v/>
      </c>
      <c r="R44" s="605">
        <f>SUM(R41:R43)</f>
        <v/>
      </c>
      <c r="S44" s="605">
        <f>SUM(S41:S43)</f>
        <v/>
      </c>
      <c r="T44" s="605">
        <f>SUM(T41:T43)</f>
        <v/>
      </c>
      <c r="U44" s="605">
        <f>SUM(U41:U43)</f>
        <v/>
      </c>
      <c r="V44" s="605">
        <f>SUM(V41:V43)</f>
        <v/>
      </c>
      <c r="W44" s="605">
        <f>SUM(W41:W43)</f>
        <v/>
      </c>
      <c r="X44" s="605">
        <f>SUM(X41:X43)</f>
        <v/>
      </c>
      <c r="Y44" s="605">
        <f>SUM(Y41:Y43)</f>
        <v/>
      </c>
      <c r="Z44" s="605">
        <f>SUM(Z41:Z43)</f>
        <v/>
      </c>
      <c r="AA44" s="605">
        <f>SUM(AA41:AA43)</f>
        <v/>
      </c>
      <c r="AB44" s="605">
        <f>SUM(AB41:AB43)</f>
        <v/>
      </c>
      <c r="AC44" s="605">
        <f>SUM(AC41:AC43)</f>
        <v/>
      </c>
      <c r="AD44" s="605">
        <f>SUM(AD41:AD43)</f>
        <v/>
      </c>
      <c r="AE44" s="605">
        <f>SUM(AE41:AE43)</f>
        <v/>
      </c>
      <c r="AF44" s="605">
        <f>SUM(AF41:AF43)</f>
        <v/>
      </c>
      <c r="AG44" s="605">
        <f>SUM(AG41:AG43)</f>
        <v/>
      </c>
      <c r="AH44" s="605">
        <f>SUM(AH41:AH43)</f>
        <v/>
      </c>
      <c r="AI44" s="605">
        <f>SUM(AI41:AI43)</f>
        <v/>
      </c>
      <c r="AJ44" s="605">
        <f>SUM(AJ41:AJ43)</f>
        <v/>
      </c>
      <c r="AK44" s="605">
        <f>SUM(AK41:AK43)</f>
        <v/>
      </c>
      <c r="AL44" s="605">
        <f>SUM(AL41:AL43)</f>
        <v/>
      </c>
      <c r="AM44" s="605">
        <f>SUM(AM41:AM43)</f>
        <v/>
      </c>
      <c r="AN44" s="605">
        <f>SUM(AN41:AN43)</f>
        <v/>
      </c>
      <c r="AQ44" s="131" t="n"/>
    </row>
    <row r="46">
      <c r="A46" s="109" t="inlineStr">
        <is>
          <t>Total Capacity</t>
        </is>
      </c>
      <c r="B46" s="605" t="n"/>
      <c r="C46" s="605" t="n"/>
      <c r="D46" s="605" t="n"/>
      <c r="E46" s="605" t="n"/>
      <c r="F46" s="605" t="n"/>
      <c r="G46" s="605" t="n"/>
      <c r="H46" s="605" t="n"/>
      <c r="I46" s="605" t="n"/>
      <c r="J46" s="605" t="n"/>
      <c r="K46" s="605" t="n"/>
      <c r="L46" s="605" t="n"/>
      <c r="M46" s="605" t="n"/>
      <c r="N46" s="605" t="n"/>
      <c r="O46" s="605">
        <f>O38+O44</f>
        <v/>
      </c>
      <c r="P46" s="605">
        <f>P38+P44</f>
        <v/>
      </c>
      <c r="Q46" s="605">
        <f>Q38+Q44</f>
        <v/>
      </c>
      <c r="R46" s="605">
        <f>R38+R44</f>
        <v/>
      </c>
      <c r="S46" s="605">
        <f>S38+S44</f>
        <v/>
      </c>
      <c r="T46" s="605">
        <f>T38+T44</f>
        <v/>
      </c>
      <c r="U46" s="605">
        <f>U38+U44</f>
        <v/>
      </c>
      <c r="V46" s="605">
        <f>V38+V44</f>
        <v/>
      </c>
      <c r="W46" s="605">
        <f>W38+W44</f>
        <v/>
      </c>
      <c r="X46" s="605">
        <f>X38+X44</f>
        <v/>
      </c>
      <c r="Y46" s="605">
        <f>Y38+Y44</f>
        <v/>
      </c>
      <c r="Z46" s="605">
        <f>Z38+Z44</f>
        <v/>
      </c>
      <c r="AA46" s="605">
        <f>AA38+AA44</f>
        <v/>
      </c>
      <c r="AB46" s="605">
        <f>AB38+AB44</f>
        <v/>
      </c>
      <c r="AC46" s="605">
        <f>AC38+AC44</f>
        <v/>
      </c>
      <c r="AD46" s="605">
        <f>AD38+AD44</f>
        <v/>
      </c>
      <c r="AE46" s="605">
        <f>AE38+AE44</f>
        <v/>
      </c>
      <c r="AF46" s="605">
        <f>AF38+AF44</f>
        <v/>
      </c>
      <c r="AG46" s="605">
        <f>AG38+AG44</f>
        <v/>
      </c>
      <c r="AH46" s="605">
        <f>AH38+AH44</f>
        <v/>
      </c>
      <c r="AI46" s="605">
        <f>AI38+AI44</f>
        <v/>
      </c>
      <c r="AJ46" s="605">
        <f>AJ38+AJ44</f>
        <v/>
      </c>
      <c r="AK46" s="605">
        <f>AK38+AK44</f>
        <v/>
      </c>
      <c r="AL46" s="605">
        <f>AL38+AL44</f>
        <v/>
      </c>
      <c r="AM46" s="605">
        <f>AM38+AM44</f>
        <v/>
      </c>
      <c r="AN46" s="605">
        <f>AN38+AN44</f>
        <v/>
      </c>
      <c r="AQ46" s="131" t="n"/>
    </row>
    <row r="47">
      <c r="A47" s="43" t="inlineStr">
        <is>
          <t>Attributable capacity</t>
        </is>
      </c>
      <c r="O47" s="526" t="n">
        <v>655</v>
      </c>
      <c r="P47" s="526" t="n">
        <v>655</v>
      </c>
      <c r="Q47" s="526" t="n">
        <v>680</v>
      </c>
      <c r="R47" s="526" t="n">
        <v>2183</v>
      </c>
      <c r="S47" s="526" t="n">
        <v>2421</v>
      </c>
      <c r="T47" s="526" t="n">
        <v>2461</v>
      </c>
      <c r="U47" s="526" t="n">
        <v>2594</v>
      </c>
      <c r="V47" s="526" t="n">
        <v>2947</v>
      </c>
      <c r="W47" s="526" t="n">
        <v>3026</v>
      </c>
      <c r="X47" s="526" t="n">
        <v>3056</v>
      </c>
      <c r="Y47" s="526" t="n">
        <v>3048</v>
      </c>
      <c r="Z47" s="526" t="n">
        <v>2978</v>
      </c>
      <c r="AA47" s="526" t="n">
        <v>2948</v>
      </c>
      <c r="AB47" s="526" t="n">
        <v>1796</v>
      </c>
    </row>
    <row r="49">
      <c r="A49" s="88" t="inlineStr">
        <is>
          <t>PPE</t>
        </is>
      </c>
      <c r="B49" s="643" t="n"/>
      <c r="C49" s="643" t="n"/>
      <c r="D49" s="643" t="n"/>
      <c r="E49" s="643" t="n"/>
      <c r="F49" s="643" t="n"/>
      <c r="G49" s="643" t="n"/>
      <c r="H49" s="643" t="n"/>
      <c r="I49" s="643" t="n"/>
      <c r="J49" s="643" t="n"/>
      <c r="K49" s="643" t="n"/>
      <c r="L49" s="643" t="n"/>
      <c r="M49" s="643" t="n"/>
      <c r="N49" s="643" t="n"/>
      <c r="O49" s="643" t="n"/>
      <c r="P49" s="643" t="n"/>
      <c r="Q49" s="643" t="n"/>
      <c r="R49" s="643" t="n"/>
      <c r="S49" s="643" t="n"/>
      <c r="T49" s="643" t="n"/>
      <c r="U49" s="643" t="n"/>
      <c r="V49" s="643" t="n"/>
      <c r="W49" s="643" t="n"/>
      <c r="X49" s="643" t="n"/>
      <c r="Y49" s="643" t="n"/>
      <c r="Z49" s="643" t="n"/>
      <c r="AA49" s="643" t="n"/>
      <c r="AB49" s="643" t="n"/>
      <c r="AC49" s="643" t="n"/>
      <c r="AD49" s="643" t="n"/>
      <c r="AE49" s="643" t="n"/>
      <c r="AF49" s="643" t="n"/>
      <c r="AG49" s="643" t="n"/>
      <c r="AH49" s="643" t="n"/>
      <c r="AI49" s="643" t="n"/>
      <c r="AJ49" s="643" t="n"/>
      <c r="AK49" s="643" t="n"/>
      <c r="AL49" s="643" t="n"/>
      <c r="AM49" s="643" t="n"/>
      <c r="AN49" s="643" t="n"/>
    </row>
    <row r="50">
      <c r="A50" s="43" t="inlineStr">
        <is>
          <t>Net fixed assets</t>
        </is>
      </c>
      <c r="T50" s="526" t="n">
        <v>8814</v>
      </c>
      <c r="U50" s="526" t="n">
        <v>11360</v>
      </c>
      <c r="V50" s="526" t="n">
        <v>12239</v>
      </c>
      <c r="W50" s="526" t="n">
        <v>11628</v>
      </c>
      <c r="X50" s="526" t="n">
        <v>11259</v>
      </c>
      <c r="Y50" s="526" t="n">
        <v>11572</v>
      </c>
      <c r="Z50" s="526" t="n">
        <v>10854</v>
      </c>
      <c r="AA50" s="526" t="n">
        <v>11698</v>
      </c>
      <c r="AB50" s="526" t="n">
        <v>11287</v>
      </c>
      <c r="AC50" s="526" t="n">
        <v>10454</v>
      </c>
      <c r="AD50" s="526" t="n">
        <v>10118</v>
      </c>
      <c r="AE50" s="526" t="n">
        <v>11175</v>
      </c>
      <c r="AF50" s="526">
        <f>AE50+AF53+AF51</f>
        <v/>
      </c>
      <c r="AG50" s="526" t="n">
        <v>0</v>
      </c>
      <c r="AH50" s="526" t="n">
        <v>0</v>
      </c>
      <c r="AI50" s="564">
        <f>AH50</f>
        <v/>
      </c>
      <c r="AJ50" s="564">
        <f>AI50</f>
        <v/>
      </c>
      <c r="AK50" s="564">
        <f>AJ50</f>
        <v/>
      </c>
      <c r="AL50" s="564">
        <f>AK50</f>
        <v/>
      </c>
      <c r="AM50" s="564">
        <f>AL50</f>
        <v/>
      </c>
      <c r="AN50" s="564">
        <f>AM50</f>
        <v/>
      </c>
      <c r="AQ50" s="131" t="n"/>
    </row>
    <row r="51">
      <c r="A51" s="43" t="inlineStr">
        <is>
          <t>Depreciation</t>
        </is>
      </c>
      <c r="T51" s="526">
        <f>T8</f>
        <v/>
      </c>
      <c r="U51" s="526">
        <f>U8</f>
        <v/>
      </c>
      <c r="V51" s="526">
        <f>V8</f>
        <v/>
      </c>
      <c r="W51" s="526">
        <f>W8</f>
        <v/>
      </c>
      <c r="X51" s="526">
        <f>X8</f>
        <v/>
      </c>
      <c r="Y51" s="526">
        <f>Y8</f>
        <v/>
      </c>
      <c r="Z51" s="526">
        <f>Z8</f>
        <v/>
      </c>
      <c r="AA51" s="526">
        <f>AA8</f>
        <v/>
      </c>
      <c r="AB51" s="526">
        <f>AB8</f>
        <v/>
      </c>
      <c r="AC51" s="526">
        <f>AC8</f>
        <v/>
      </c>
      <c r="AD51" s="526">
        <f>AD8</f>
        <v/>
      </c>
      <c r="AE51" s="526" t="n">
        <v>-617</v>
      </c>
      <c r="AF51" s="526" t="n">
        <v>-283</v>
      </c>
      <c r="AG51" s="526" t="n">
        <v>0</v>
      </c>
      <c r="AH51" s="526" t="n">
        <v>0</v>
      </c>
      <c r="AI51" s="564">
        <f>AH51</f>
        <v/>
      </c>
      <c r="AJ51" s="564">
        <f>AI51</f>
        <v/>
      </c>
      <c r="AK51" s="564">
        <f>AJ51</f>
        <v/>
      </c>
      <c r="AL51" s="564">
        <f>AK51</f>
        <v/>
      </c>
      <c r="AM51" s="564">
        <f>AL51</f>
        <v/>
      </c>
      <c r="AN51" s="564">
        <f>AM51</f>
        <v/>
      </c>
      <c r="AQ51" s="131" t="n"/>
    </row>
    <row r="52">
      <c r="A52" s="111" t="inlineStr">
        <is>
          <t>Depreciation rate</t>
        </is>
      </c>
      <c r="T52" s="614">
        <f>-T51/T50</f>
        <v/>
      </c>
      <c r="U52" s="614">
        <f>-U51/AVERAGE(T50:U50)</f>
        <v/>
      </c>
      <c r="V52" s="614">
        <f>-V51/AVERAGE(U50:V50)</f>
        <v/>
      </c>
      <c r="W52" s="614">
        <f>-W51/AVERAGE(V50:W50)</f>
        <v/>
      </c>
      <c r="X52" s="614">
        <f>-X51/AVERAGE(W50:X50)</f>
        <v/>
      </c>
      <c r="Y52" s="614">
        <f>-Y51/AVERAGE(X50:Y50)</f>
        <v/>
      </c>
      <c r="Z52" s="614">
        <f>-Z51/AVERAGE(Y50:Z50)</f>
        <v/>
      </c>
      <c r="AA52" s="614">
        <f>-AA51/AVERAGE(Z50:AA50)</f>
        <v/>
      </c>
      <c r="AB52" s="614">
        <f>-AB51/AVERAGE(AA50:AB50)</f>
        <v/>
      </c>
      <c r="AC52" s="614">
        <f>-AC51/AVERAGE(AB50:AC50)</f>
        <v/>
      </c>
      <c r="AD52" s="614">
        <f>-AD51/AVERAGE(AC50:AD50)</f>
        <v/>
      </c>
      <c r="AE52" s="614">
        <f>-AE51/AVERAGE(AD50:AE50)</f>
        <v/>
      </c>
      <c r="AF52" s="614">
        <f>-AF51/AVERAGE(AE50:AF50)</f>
        <v/>
      </c>
      <c r="AG52" s="614" t="n">
        <v>0</v>
      </c>
      <c r="AH52" s="614" t="n">
        <v>0</v>
      </c>
      <c r="AI52" s="676" t="n">
        <v>0</v>
      </c>
      <c r="AJ52" s="676" t="n">
        <v>0</v>
      </c>
      <c r="AK52" s="676" t="n">
        <v>0</v>
      </c>
      <c r="AL52" s="676" t="n">
        <v>0</v>
      </c>
      <c r="AM52" s="676" t="n">
        <v>0</v>
      </c>
      <c r="AN52" s="676" t="n">
        <v>0</v>
      </c>
      <c r="AQ52" s="131" t="n"/>
    </row>
    <row r="53">
      <c r="A53" s="43" t="inlineStr">
        <is>
          <t>CAPEX</t>
        </is>
      </c>
      <c r="N53" s="526" t="n">
        <v>0</v>
      </c>
      <c r="O53" s="526" t="n">
        <v>2</v>
      </c>
      <c r="P53" s="526" t="n">
        <v>2</v>
      </c>
      <c r="Q53" s="526" t="n">
        <v>1</v>
      </c>
      <c r="R53" s="526" t="n">
        <v>424</v>
      </c>
      <c r="S53" s="526" t="n">
        <v>2111</v>
      </c>
      <c r="T53" s="526" t="n">
        <v>5763</v>
      </c>
      <c r="U53" s="526" t="n">
        <v>4710</v>
      </c>
      <c r="V53" s="526" t="n">
        <v>1935</v>
      </c>
      <c r="W53" s="526" t="n">
        <v>1243</v>
      </c>
      <c r="X53" s="526" t="n">
        <v>461</v>
      </c>
      <c r="Y53" s="526" t="n">
        <v>1396</v>
      </c>
      <c r="Z53" s="526" t="n">
        <v>115</v>
      </c>
      <c r="AA53" s="526" t="n">
        <v>868</v>
      </c>
      <c r="AB53" s="526" t="n">
        <v>48</v>
      </c>
      <c r="AC53" s="526" t="n">
        <v>52</v>
      </c>
      <c r="AD53" s="526" t="n">
        <v>42</v>
      </c>
      <c r="AE53" s="526" t="n">
        <v>174</v>
      </c>
      <c r="AF53" s="526" t="n">
        <v>620</v>
      </c>
      <c r="AG53" s="526" t="n">
        <v>0</v>
      </c>
      <c r="AH53" s="526" t="n">
        <v>0</v>
      </c>
      <c r="AI53" s="564">
        <f>AH53</f>
        <v/>
      </c>
      <c r="AJ53" s="564">
        <f>AI53</f>
        <v/>
      </c>
      <c r="AK53" s="564">
        <f>AJ53</f>
        <v/>
      </c>
      <c r="AL53" s="564">
        <f>AK53</f>
        <v/>
      </c>
      <c r="AM53" s="564">
        <f>AL53</f>
        <v/>
      </c>
      <c r="AN53" s="564">
        <f>AM53</f>
        <v/>
      </c>
      <c r="AQ53" s="131" t="n"/>
    </row>
    <row r="54">
      <c r="A54" s="43" t="inlineStr">
        <is>
          <t xml:space="preserve">   Grid</t>
        </is>
      </c>
      <c r="AC54" s="697" t="n"/>
      <c r="AD54" s="697" t="n"/>
      <c r="AE54" s="697">
        <f>AE53-AE55</f>
        <v/>
      </c>
      <c r="AF54" s="697">
        <f>AF53-AF55</f>
        <v/>
      </c>
      <c r="AG54" s="697" t="n"/>
      <c r="AH54" s="697" t="n"/>
      <c r="AI54" s="697" t="n"/>
      <c r="AJ54" s="697" t="n"/>
      <c r="AK54" s="697" t="n"/>
      <c r="AL54" s="697" t="n"/>
      <c r="AM54" s="697" t="n"/>
      <c r="AN54" s="697" t="n"/>
      <c r="AQ54" s="131" t="n"/>
    </row>
    <row r="55">
      <c r="A55" s="43" t="inlineStr">
        <is>
          <t xml:space="preserve">   Renewables</t>
        </is>
      </c>
      <c r="AC55" s="697" t="n"/>
      <c r="AD55" s="697" t="n"/>
      <c r="AE55" s="697" t="n">
        <v>0</v>
      </c>
      <c r="AF55" s="697" t="n">
        <v>0</v>
      </c>
      <c r="AG55" s="697" t="n"/>
      <c r="AH55" s="697" t="n"/>
      <c r="AI55" s="697" t="n"/>
      <c r="AJ55" s="697" t="n"/>
      <c r="AK55" s="697" t="n"/>
      <c r="AL55" s="697" t="n"/>
      <c r="AM55" s="697" t="n"/>
      <c r="AN55" s="697" t="n"/>
      <c r="AQ55" s="131" t="n"/>
    </row>
    <row r="56">
      <c r="AC56" s="697" t="n"/>
      <c r="AD56" s="697" t="n"/>
      <c r="AE56" s="697" t="n"/>
      <c r="AF56" s="697" t="n"/>
      <c r="AG56" s="697" t="n"/>
      <c r="AH56" s="697" t="n"/>
      <c r="AI56" s="697" t="n"/>
      <c r="AJ56" s="697" t="n"/>
      <c r="AK56" s="697" t="n"/>
      <c r="AL56" s="697" t="n"/>
      <c r="AM56" s="697" t="n"/>
      <c r="AN56" s="697" t="n"/>
      <c r="AQ56" s="131" t="n"/>
    </row>
    <row r="58">
      <c r="A58" s="88" t="inlineStr">
        <is>
          <t>Debt</t>
        </is>
      </c>
      <c r="B58" s="643" t="n"/>
      <c r="C58" s="643" t="n"/>
      <c r="D58" s="643" t="n"/>
      <c r="E58" s="643" t="n"/>
      <c r="F58" s="643" t="n"/>
      <c r="G58" s="643" t="n"/>
      <c r="H58" s="643" t="n"/>
      <c r="I58" s="643" t="n"/>
      <c r="J58" s="643" t="n"/>
      <c r="K58" s="643" t="n"/>
      <c r="L58" s="643" t="n"/>
      <c r="M58" s="643" t="n"/>
      <c r="N58" s="643" t="n"/>
      <c r="O58" s="643" t="n"/>
      <c r="P58" s="643" t="n"/>
      <c r="Q58" s="643" t="n"/>
      <c r="R58" s="643" t="n"/>
      <c r="S58" s="643" t="n"/>
      <c r="T58" s="643" t="n"/>
      <c r="U58" s="643" t="n"/>
      <c r="V58" s="643" t="n"/>
      <c r="W58" s="643" t="n"/>
      <c r="X58" s="643" t="n"/>
      <c r="Y58" s="643" t="n"/>
      <c r="Z58" s="643" t="n"/>
      <c r="AA58" s="643" t="n"/>
      <c r="AB58" s="643" t="n"/>
      <c r="AC58" s="643" t="n"/>
      <c r="AD58" s="643" t="n"/>
      <c r="AE58" s="643" t="n"/>
      <c r="AF58" s="643" t="n"/>
      <c r="AG58" s="643" t="n"/>
      <c r="AH58" s="643" t="n"/>
      <c r="AI58" s="643" t="n"/>
      <c r="AJ58" s="643" t="n"/>
      <c r="AK58" s="643" t="n"/>
      <c r="AL58" s="643" t="n"/>
      <c r="AM58" s="643" t="n"/>
      <c r="AN58" s="643" t="n"/>
    </row>
    <row r="59">
      <c r="A59" s="43" t="inlineStr">
        <is>
          <t>Total Debt</t>
        </is>
      </c>
      <c r="M59" s="526">
        <f>8051-Driver!M95</f>
        <v/>
      </c>
      <c r="N59" s="526">
        <f>7503-Driver!N95</f>
        <v/>
      </c>
      <c r="O59" s="526" t="n">
        <v>1236</v>
      </c>
      <c r="P59" s="526" t="n">
        <v>1224</v>
      </c>
      <c r="Q59" s="526" t="n">
        <v>968</v>
      </c>
      <c r="R59" s="526" t="n">
        <v>1271</v>
      </c>
      <c r="S59" s="526" t="n">
        <v>3063</v>
      </c>
      <c r="T59" s="526" t="n">
        <v>5917</v>
      </c>
      <c r="U59" s="526" t="n">
        <v>8054</v>
      </c>
      <c r="V59" s="526" t="n">
        <v>9878</v>
      </c>
      <c r="W59" s="526" t="n">
        <v>8479</v>
      </c>
      <c r="X59" s="526" t="n">
        <v>8656</v>
      </c>
      <c r="Y59" s="526" t="n">
        <v>8835</v>
      </c>
      <c r="Z59" s="526" t="n">
        <v>7591</v>
      </c>
      <c r="AA59" s="526" t="n">
        <v>6785</v>
      </c>
      <c r="AB59" s="526" t="n">
        <v>6182</v>
      </c>
      <c r="AC59" s="526" t="n">
        <v>5401</v>
      </c>
      <c r="AD59" s="526" t="n">
        <v>5322</v>
      </c>
      <c r="AE59" s="526" t="n">
        <v>6008</v>
      </c>
      <c r="AF59" s="526" t="n">
        <v>0</v>
      </c>
      <c r="AG59" s="526" t="n">
        <v>0</v>
      </c>
      <c r="AH59" s="526" t="n">
        <v>0</v>
      </c>
      <c r="AI59" s="526">
        <f>AH59</f>
        <v/>
      </c>
      <c r="AJ59" s="526">
        <f>AI59</f>
        <v/>
      </c>
      <c r="AK59" s="526">
        <f>AJ59</f>
        <v/>
      </c>
      <c r="AL59" s="526">
        <f>AK59</f>
        <v/>
      </c>
      <c r="AM59" s="526">
        <f>AL59</f>
        <v/>
      </c>
      <c r="AN59" s="526">
        <f>AM59</f>
        <v/>
      </c>
      <c r="AQ59" s="131" t="n"/>
    </row>
    <row r="60">
      <c r="A60" s="43" t="inlineStr">
        <is>
          <t>Interest expense rate</t>
        </is>
      </c>
      <c r="Q60" s="614">
        <f>-Q15/AVERAGE(P59:Q59)</f>
        <v/>
      </c>
      <c r="R60" s="614">
        <f>-R15/AVERAGE(Q59:R59)</f>
        <v/>
      </c>
      <c r="S60" s="614">
        <f>-S15/AVERAGE(R59:S59)</f>
        <v/>
      </c>
      <c r="T60" s="614">
        <f>-T15/AVERAGE(S59:T59)</f>
        <v/>
      </c>
      <c r="U60" s="614">
        <f>-U15/AVERAGE(T59:U59)</f>
        <v/>
      </c>
      <c r="V60" s="614">
        <f>-V15/AVERAGE(U59:V59)</f>
        <v/>
      </c>
      <c r="W60" s="614">
        <f>-W15/AVERAGE(V59:W59)</f>
        <v/>
      </c>
      <c r="X60" s="614">
        <f>-X15/AVERAGE(W59:X59)</f>
        <v/>
      </c>
      <c r="Y60" s="614">
        <f>-Y15/AVERAGE(X59:Y59)</f>
        <v/>
      </c>
      <c r="Z60" s="614">
        <f>-Z15/AVERAGE(Y59:Z59)</f>
        <v/>
      </c>
      <c r="AA60" s="614">
        <f>-AA15/AVERAGE(Z59:AA59)</f>
        <v/>
      </c>
      <c r="AB60" s="614">
        <f>-AB15/AVERAGE(AA59:AB59)</f>
        <v/>
      </c>
      <c r="AC60" s="614">
        <f>-AC15/AVERAGE(AB59:AC59)</f>
        <v/>
      </c>
      <c r="AD60" s="614">
        <f>-AD15/AVERAGE(AC59:AD59)</f>
        <v/>
      </c>
      <c r="AE60" s="614">
        <f>-AE15/AVERAGE(AD59:AE59)</f>
        <v/>
      </c>
      <c r="AF60" s="614">
        <f>-AF15/AVERAGE(AE59:AF59)</f>
        <v/>
      </c>
      <c r="AG60" s="614">
        <f>AE60</f>
        <v/>
      </c>
      <c r="AH60" s="614">
        <f>AE60</f>
        <v/>
      </c>
      <c r="AI60" s="676">
        <f>AH60</f>
        <v/>
      </c>
      <c r="AJ60" s="676">
        <f>AI60</f>
        <v/>
      </c>
      <c r="AK60" s="676">
        <f>AJ60</f>
        <v/>
      </c>
      <c r="AL60" s="676">
        <f>AK60</f>
        <v/>
      </c>
      <c r="AM60" s="676">
        <f>AL60</f>
        <v/>
      </c>
      <c r="AN60" s="676">
        <f>AM60</f>
        <v/>
      </c>
      <c r="AQ60" s="131" t="n"/>
    </row>
  </sheetData>
  <pageMargins left="0.7" right="0.7" top="0.75" bottom="0.75" header="0.3" footer="0.3"/>
  <pageSetup orientation="portrait" paperSize="9"/>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Q62"/>
  <sheetViews>
    <sheetView showOutlineSymbols="0" zoomScale="115" zoomScaleNormal="115" workbookViewId="0">
      <pane xSplit="29" ySplit="1" topLeftCell="AD2" activePane="bottomRight" state="frozen"/>
      <selection pane="topRight" activeCell="AD1" sqref="AD1"/>
      <selection pane="bottomLeft" activeCell="A2" sqref="A2"/>
      <selection pane="bottomRight" activeCell="AJ43" sqref="AJ43"/>
    </sheetView>
  </sheetViews>
  <sheetFormatPr baseColWidth="8" defaultColWidth="9.140625" defaultRowHeight="12.75" outlineLevelRow="1"/>
  <cols>
    <col width="30.42578125" customWidth="1" style="43" min="1" max="1"/>
    <col hidden="1" outlineLevel="1" width="9.140625" customWidth="1" style="43" min="2" max="9"/>
    <col hidden="1" outlineLevel="1" width="9.140625" customWidth="1" style="526" min="10" max="14"/>
    <col hidden="1" outlineLevel="1" width="13" customWidth="1" style="526" min="15" max="19"/>
    <col hidden="1" collapsed="1" width="13" customWidth="1" style="526" min="20" max="20"/>
    <col hidden="1" width="13" customWidth="1" style="526" min="21" max="29"/>
    <col width="9.140625" customWidth="1" style="526" min="30" max="16384"/>
  </cols>
  <sheetData>
    <row r="1" customFormat="1" s="43">
      <c r="A1" s="62" t="inlineStr">
        <is>
          <t>SEA and Taiwan</t>
        </is>
      </c>
      <c r="B1" s="677">
        <f>Final!B2</f>
        <v/>
      </c>
      <c r="C1" s="677">
        <f>Final!C2</f>
        <v/>
      </c>
      <c r="D1" s="677">
        <f>Final!D2</f>
        <v/>
      </c>
      <c r="E1" s="677">
        <f>Final!E2</f>
        <v/>
      </c>
      <c r="F1" s="677">
        <f>Final!F2</f>
        <v/>
      </c>
      <c r="G1" s="677">
        <f>Final!G2</f>
        <v/>
      </c>
      <c r="H1" s="677">
        <f>Final!H2</f>
        <v/>
      </c>
      <c r="I1" s="677">
        <f>Final!I2</f>
        <v/>
      </c>
      <c r="J1" s="677">
        <f>Final!J2</f>
        <v/>
      </c>
      <c r="K1" s="677">
        <f>Final!K2</f>
        <v/>
      </c>
      <c r="L1" s="677">
        <f>Final!L2</f>
        <v/>
      </c>
      <c r="M1" s="677">
        <f>Final!M2</f>
        <v/>
      </c>
      <c r="N1" s="677">
        <f>Final!N2</f>
        <v/>
      </c>
      <c r="O1" s="677">
        <f>Final!O2</f>
        <v/>
      </c>
      <c r="P1" s="677">
        <f>Final!P2</f>
        <v/>
      </c>
      <c r="Q1" s="677">
        <f>Final!Q2</f>
        <v/>
      </c>
      <c r="R1" s="677">
        <f>Final!R2</f>
        <v/>
      </c>
      <c r="S1" s="677">
        <f>Final!S2</f>
        <v/>
      </c>
      <c r="T1" s="677">
        <f>Final!T2</f>
        <v/>
      </c>
      <c r="U1" s="677">
        <f>Final!U2</f>
        <v/>
      </c>
      <c r="V1" s="677">
        <f>Final!V2</f>
        <v/>
      </c>
      <c r="W1" s="677">
        <f>Final!W2</f>
        <v/>
      </c>
      <c r="X1" s="677">
        <f>Final!X2</f>
        <v/>
      </c>
      <c r="Y1" s="677">
        <f>Final!Y2</f>
        <v/>
      </c>
      <c r="Z1" s="677">
        <f>Final!Z2</f>
        <v/>
      </c>
      <c r="AA1" s="677">
        <f>Final!AA2</f>
        <v/>
      </c>
      <c r="AB1" s="677">
        <f>Final!AB2</f>
        <v/>
      </c>
      <c r="AC1" s="677">
        <f>Final!AC2</f>
        <v/>
      </c>
      <c r="AD1" s="677">
        <f>Final!AD2</f>
        <v/>
      </c>
      <c r="AE1" s="677">
        <f>Final!AE2</f>
        <v/>
      </c>
      <c r="AF1" s="677">
        <f>Final!AF2</f>
        <v/>
      </c>
      <c r="AG1" s="677">
        <f>Final!AG2</f>
        <v/>
      </c>
      <c r="AH1" s="677">
        <f>Final!AH2</f>
        <v/>
      </c>
      <c r="AI1" s="677">
        <f>Final!AI2</f>
        <v/>
      </c>
      <c r="AJ1" s="677">
        <f>Final!AJ2</f>
        <v/>
      </c>
      <c r="AK1" s="677">
        <f>Final!AK2</f>
        <v/>
      </c>
      <c r="AL1" s="677">
        <f>Final!AL2</f>
        <v/>
      </c>
      <c r="AM1" s="677">
        <f>Final!AM2</f>
        <v/>
      </c>
      <c r="AN1" s="677">
        <f>Final!AN2</f>
        <v/>
      </c>
    </row>
    <row r="2" customFormat="1" s="612">
      <c r="A2" s="43" t="inlineStr">
        <is>
          <t>TWD/HKD - avg</t>
        </is>
      </c>
      <c r="B2" s="677" t="n"/>
      <c r="C2" s="677" t="n"/>
      <c r="D2" s="677" t="n"/>
      <c r="E2" s="677" t="n"/>
      <c r="F2" s="677" t="n"/>
      <c r="G2" s="677" t="n"/>
      <c r="H2" s="677" t="n"/>
      <c r="I2" s="677" t="n"/>
      <c r="J2" s="698" t="n"/>
      <c r="K2" s="698" t="n"/>
      <c r="L2" s="698" t="n"/>
      <c r="M2" s="698" t="n"/>
      <c r="N2" s="698" t="n"/>
      <c r="O2" s="678" t="n">
        <v>0.2421975085924283</v>
      </c>
      <c r="P2" s="678" t="n">
        <v>0.2388779782745662</v>
      </c>
      <c r="Q2" s="678" t="n">
        <v>0.2375067587675707</v>
      </c>
      <c r="R2" s="678" t="n">
        <v>0.2472579362691647</v>
      </c>
      <c r="S2" s="678" t="n">
        <v>0.2347440055696735</v>
      </c>
      <c r="T2" s="678" t="n">
        <v>0.2466913986966752</v>
      </c>
      <c r="U2" s="678" t="n">
        <v>0.2648933734339046</v>
      </c>
      <c r="V2" s="678" t="n">
        <v>0.2623519322552058</v>
      </c>
      <c r="W2" s="678" t="n">
        <v>0.2611</v>
      </c>
      <c r="X2" s="678" t="n">
        <v>0.2554</v>
      </c>
      <c r="Y2" s="678" t="n">
        <v>0.2442</v>
      </c>
      <c r="Z2" s="678" t="n">
        <v>0.2406</v>
      </c>
      <c r="AA2" s="678" t="n">
        <v>0.2571</v>
      </c>
      <c r="AB2" s="678" t="n">
        <v>0.26</v>
      </c>
      <c r="AC2" s="678" t="n">
        <v>0.2535689462999172</v>
      </c>
      <c r="AD2" s="678" t="n">
        <v>0.2636</v>
      </c>
      <c r="AE2" s="678" t="n">
        <v>0.2595013301338907</v>
      </c>
      <c r="AF2" s="678" t="n">
        <v>0.2529</v>
      </c>
      <c r="AG2" s="695">
        <f>0.2515</f>
        <v/>
      </c>
      <c r="AH2" s="695">
        <f>AG2</f>
        <v/>
      </c>
      <c r="AI2" s="695" t="n">
        <v>0.2441</v>
      </c>
      <c r="AJ2" s="695">
        <f>AI2</f>
        <v/>
      </c>
      <c r="AK2" s="695">
        <f>AJ2</f>
        <v/>
      </c>
      <c r="AL2" s="695">
        <f>AK2</f>
        <v/>
      </c>
      <c r="AM2" s="695">
        <f>AL2</f>
        <v/>
      </c>
      <c r="AN2" s="695">
        <f>AM2</f>
        <v/>
      </c>
    </row>
    <row r="3" customFormat="1" s="612">
      <c r="A3" s="43" t="inlineStr">
        <is>
          <t>THB/HKD - avg</t>
        </is>
      </c>
      <c r="B3" s="677" t="n"/>
      <c r="C3" s="677" t="n"/>
      <c r="D3" s="677" t="n"/>
      <c r="E3" s="677" t="n"/>
      <c r="F3" s="677" t="n"/>
      <c r="G3" s="677" t="n"/>
      <c r="H3" s="677" t="n"/>
      <c r="I3" s="677" t="n"/>
      <c r="J3" s="698" t="n"/>
      <c r="K3" s="698" t="n"/>
      <c r="L3" s="698" t="n"/>
      <c r="M3" s="698" t="n"/>
      <c r="N3" s="698" t="n"/>
      <c r="O3" s="678" t="n">
        <v>0.1933181906534824</v>
      </c>
      <c r="P3" s="678" t="n">
        <v>0.2050776880975684</v>
      </c>
      <c r="Q3" s="678" t="n">
        <v>0.2417285637515056</v>
      </c>
      <c r="R3" s="678" t="n">
        <v>0.2363761981704745</v>
      </c>
      <c r="S3" s="678" t="n">
        <v>0.2259061457040907</v>
      </c>
      <c r="T3" s="678" t="n">
        <v>0.245233263655976</v>
      </c>
      <c r="U3" s="678" t="n">
        <v>0.2553631987132605</v>
      </c>
      <c r="V3" s="678" t="n">
        <v>0.2496800141062338</v>
      </c>
      <c r="W3" s="678" t="n">
        <v>0.2521</v>
      </c>
      <c r="X3" s="678" t="n">
        <v>0.2387</v>
      </c>
      <c r="Y3" s="678" t="n">
        <v>0.2259</v>
      </c>
      <c r="Z3" s="678" t="n">
        <v>0.2201</v>
      </c>
      <c r="AA3" s="678" t="n">
        <v>0.2307</v>
      </c>
      <c r="AB3" s="678" t="n">
        <v>0.2424</v>
      </c>
      <c r="AC3" s="678" t="n">
        <v>0.2524643298508303</v>
      </c>
      <c r="AD3" s="678" t="n">
        <v>0.2578</v>
      </c>
      <c r="AE3" s="678" t="n">
        <v>0.2474506957363419</v>
      </c>
      <c r="AF3" s="678" t="n">
        <v>0.224</v>
      </c>
      <c r="AG3" s="695">
        <f>0.2253</f>
        <v/>
      </c>
      <c r="AH3" s="695">
        <f>AG3</f>
        <v/>
      </c>
      <c r="AI3" s="695" t="n">
        <v>0.245</v>
      </c>
      <c r="AJ3" s="695">
        <f>AI3</f>
        <v/>
      </c>
      <c r="AK3" s="695">
        <f>AJ3</f>
        <v/>
      </c>
      <c r="AL3" s="695">
        <f>AK3</f>
        <v/>
      </c>
      <c r="AM3" s="695">
        <f>AL3</f>
        <v/>
      </c>
      <c r="AN3" s="695">
        <f>AM3</f>
        <v/>
      </c>
    </row>
    <row r="4">
      <c r="A4" s="6" t="inlineStr">
        <is>
          <t>Financial Statement (HK$ m)</t>
        </is>
      </c>
      <c r="B4" s="85" t="n"/>
      <c r="C4" s="85" t="n"/>
      <c r="D4" s="85" t="n"/>
      <c r="E4" s="85" t="n"/>
      <c r="F4" s="85" t="n"/>
      <c r="G4" s="85" t="n"/>
      <c r="H4" s="85" t="n"/>
      <c r="I4" s="85" t="n"/>
      <c r="J4" s="594" t="n"/>
      <c r="K4" s="594" t="n"/>
      <c r="L4" s="594" t="n"/>
      <c r="M4" s="594" t="n"/>
      <c r="N4" s="594" t="n"/>
      <c r="O4" s="594" t="n"/>
      <c r="P4" s="594" t="n"/>
      <c r="Q4" s="594" t="n"/>
      <c r="R4" s="594" t="n"/>
      <c r="S4" s="594" t="n"/>
      <c r="T4" s="594" t="n"/>
      <c r="U4" s="594" t="n"/>
      <c r="V4" s="594" t="n"/>
      <c r="W4" s="594" t="n"/>
      <c r="X4" s="594" t="n"/>
      <c r="Y4" s="594" t="n"/>
      <c r="Z4" s="594" t="n"/>
      <c r="AA4" s="594" t="n"/>
      <c r="AB4" s="594" t="n"/>
      <c r="AC4" s="594" t="n"/>
      <c r="AD4" s="594" t="n"/>
      <c r="AE4" s="594" t="n"/>
      <c r="AF4" s="594" t="n"/>
      <c r="AG4" s="594" t="n"/>
      <c r="AH4" s="594" t="n"/>
      <c r="AI4" s="594" t="n"/>
      <c r="AJ4" s="594" t="n"/>
      <c r="AK4" s="594" t="n"/>
      <c r="AL4" s="594" t="n"/>
      <c r="AM4" s="594" t="n"/>
      <c r="AN4" s="594" t="n"/>
    </row>
    <row r="5">
      <c r="A5" s="62" t="inlineStr">
        <is>
          <t>Revenue</t>
        </is>
      </c>
      <c r="B5" s="62" t="n"/>
      <c r="C5" s="62" t="n"/>
      <c r="D5" s="62" t="n"/>
      <c r="E5" s="62" t="n"/>
      <c r="F5" s="62" t="n"/>
      <c r="G5" s="62" t="n"/>
      <c r="H5" s="62" t="n"/>
      <c r="I5" s="62" t="n"/>
      <c r="J5" s="613" t="n"/>
      <c r="K5" s="613" t="n"/>
      <c r="L5" s="613" t="n"/>
      <c r="M5" s="613" t="n"/>
      <c r="N5" s="613" t="n"/>
      <c r="O5" s="597" t="n">
        <v>35</v>
      </c>
      <c r="P5" s="597" t="n">
        <v>46</v>
      </c>
      <c r="Q5" s="597" t="n">
        <v>50</v>
      </c>
      <c r="R5" s="597" t="n">
        <v>24</v>
      </c>
      <c r="S5" s="597" t="n">
        <v>43</v>
      </c>
      <c r="T5" s="597" t="n">
        <v>59</v>
      </c>
      <c r="U5" s="597" t="n">
        <v>33</v>
      </c>
      <c r="V5" s="597" t="n">
        <v>19</v>
      </c>
      <c r="W5" s="597" t="n">
        <v>14</v>
      </c>
      <c r="X5" s="597" t="n">
        <v>8</v>
      </c>
      <c r="Y5" s="597" t="n">
        <v>9</v>
      </c>
      <c r="Z5" s="597" t="n">
        <v>13</v>
      </c>
      <c r="AA5" s="597" t="n">
        <v>14</v>
      </c>
      <c r="AB5" s="597" t="n">
        <v>16</v>
      </c>
      <c r="AC5" s="597" t="n">
        <v>11</v>
      </c>
      <c r="AD5" s="597" t="n">
        <v>6</v>
      </c>
      <c r="AE5" s="597" t="n">
        <v>4</v>
      </c>
      <c r="AF5" s="597" t="n">
        <v>4</v>
      </c>
      <c r="AG5" s="597" t="n">
        <v>3</v>
      </c>
      <c r="AH5" s="597">
        <f>AG5</f>
        <v/>
      </c>
      <c r="AI5" s="613">
        <f>AH5</f>
        <v/>
      </c>
      <c r="AJ5" s="613">
        <f>AI5</f>
        <v/>
      </c>
      <c r="AK5" s="613">
        <f>AJ5</f>
        <v/>
      </c>
      <c r="AL5" s="613">
        <f>AK5</f>
        <v/>
      </c>
      <c r="AM5" s="613">
        <f>AL5</f>
        <v/>
      </c>
      <c r="AN5" s="613">
        <f>AM5</f>
        <v/>
      </c>
      <c r="AQ5" s="131" t="n"/>
    </row>
    <row r="6">
      <c r="A6" s="43" t="inlineStr">
        <is>
          <t>OPEX</t>
        </is>
      </c>
      <c r="J6" s="564" t="n"/>
      <c r="K6" s="564" t="n"/>
      <c r="L6" s="564" t="n"/>
      <c r="M6" s="564" t="n"/>
      <c r="N6" s="564" t="n"/>
      <c r="O6" s="526">
        <f>-35-O5</f>
        <v/>
      </c>
      <c r="P6" s="526">
        <f>1233-P5-P24</f>
        <v/>
      </c>
      <c r="Q6" s="526">
        <f>1062-Q5-Q24</f>
        <v/>
      </c>
      <c r="R6" s="526">
        <f>-13-R5</f>
        <v/>
      </c>
      <c r="S6" s="526">
        <f>S8-S5-S7</f>
        <v/>
      </c>
      <c r="T6" s="526">
        <f>5-T5</f>
        <v/>
      </c>
      <c r="U6" s="526">
        <f>U8-U5-U7</f>
        <v/>
      </c>
      <c r="V6" s="526">
        <f>-24-V5</f>
        <v/>
      </c>
      <c r="W6" s="526">
        <f>-26-W5</f>
        <v/>
      </c>
      <c r="X6" s="526">
        <f>-27-X5</f>
        <v/>
      </c>
      <c r="Y6" s="526">
        <f>-12-Y5</f>
        <v/>
      </c>
      <c r="Z6" s="526">
        <f>-12-Z5</f>
        <v/>
      </c>
      <c r="AA6" s="526">
        <f>-15-AA5</f>
        <v/>
      </c>
      <c r="AB6" s="526">
        <f>-9-AB5</f>
        <v/>
      </c>
      <c r="AC6" s="526">
        <f>6-AC5</f>
        <v/>
      </c>
      <c r="AD6" s="526">
        <f>-13-AD5</f>
        <v/>
      </c>
      <c r="AE6" s="526">
        <f>296-AE5-AE24</f>
        <v/>
      </c>
      <c r="AF6" s="526">
        <f>-6-AF5-AF24</f>
        <v/>
      </c>
      <c r="AG6" s="526">
        <f>-6-AG5-AG24</f>
        <v/>
      </c>
      <c r="AH6" s="526" t="n">
        <v>-12</v>
      </c>
      <c r="AI6" s="564">
        <f>AH6</f>
        <v/>
      </c>
      <c r="AJ6" s="564">
        <f>AI6</f>
        <v/>
      </c>
      <c r="AK6" s="564">
        <f>AJ6</f>
        <v/>
      </c>
      <c r="AL6" s="564">
        <f>AK6</f>
        <v/>
      </c>
      <c r="AM6" s="564">
        <f>AL6</f>
        <v/>
      </c>
      <c r="AN6" s="564">
        <f>AM6</f>
        <v/>
      </c>
      <c r="AQ6" s="131" t="n"/>
    </row>
    <row r="7">
      <c r="A7" s="43" t="inlineStr">
        <is>
          <t>Share of result - JV</t>
        </is>
      </c>
      <c r="O7" s="526">
        <f>282+127</f>
        <v/>
      </c>
      <c r="P7" s="526">
        <f>322+112</f>
        <v/>
      </c>
      <c r="Q7" s="526" t="n">
        <v>393</v>
      </c>
      <c r="R7" s="526" t="n">
        <v>133</v>
      </c>
      <c r="S7" s="564">
        <f>394+187</f>
        <v/>
      </c>
      <c r="T7" s="526" t="n">
        <v>392</v>
      </c>
      <c r="U7" s="564">
        <f>151-4+5</f>
        <v/>
      </c>
      <c r="V7" s="526" t="n">
        <v>262</v>
      </c>
      <c r="W7" s="526" t="n">
        <v>262</v>
      </c>
      <c r="X7" s="526" t="n">
        <v>321</v>
      </c>
      <c r="Y7" s="526" t="n">
        <v>322</v>
      </c>
      <c r="Z7" s="526" t="n">
        <v>283</v>
      </c>
      <c r="AA7" s="526" t="n">
        <v>171</v>
      </c>
      <c r="AB7" s="526" t="n">
        <v>170</v>
      </c>
      <c r="AC7" s="526" t="n">
        <v>329</v>
      </c>
      <c r="AD7" s="526" t="n">
        <v>399</v>
      </c>
      <c r="AE7" s="526" t="n">
        <v>194</v>
      </c>
      <c r="AF7" s="526" t="n">
        <v>19</v>
      </c>
      <c r="AG7" s="526" t="n">
        <v>315</v>
      </c>
      <c r="AH7" s="526" t="n">
        <v>270</v>
      </c>
      <c r="AI7" s="564">
        <f>AI8-AI5-AI6</f>
        <v/>
      </c>
      <c r="AJ7" s="564">
        <f>AJ8-AJ5-AJ6</f>
        <v/>
      </c>
      <c r="AK7" s="564">
        <f>AK8-AK5-AK6</f>
        <v/>
      </c>
      <c r="AL7" s="564">
        <f>AL8-AL5-AL6</f>
        <v/>
      </c>
      <c r="AM7" s="564">
        <f>AM8-AM5-AM6</f>
        <v/>
      </c>
      <c r="AN7" s="564">
        <f>AN8-AN5-AN6</f>
        <v/>
      </c>
      <c r="AQ7" s="131" t="n"/>
    </row>
    <row r="8">
      <c r="A8" s="109" t="inlineStr">
        <is>
          <t>EBITDAF</t>
        </is>
      </c>
      <c r="B8" s="109" t="n"/>
      <c r="C8" s="109" t="n"/>
      <c r="D8" s="109" t="n"/>
      <c r="E8" s="109" t="n"/>
      <c r="F8" s="109" t="n"/>
      <c r="G8" s="109" t="n"/>
      <c r="H8" s="109" t="n"/>
      <c r="I8" s="109" t="n"/>
      <c r="J8" s="605" t="n"/>
      <c r="K8" s="605" t="n"/>
      <c r="L8" s="605" t="n"/>
      <c r="M8" s="605" t="n"/>
      <c r="N8" s="605" t="n"/>
      <c r="O8" s="605">
        <f>O5+O6+O7</f>
        <v/>
      </c>
      <c r="P8" s="605">
        <f>P5+P6+P7</f>
        <v/>
      </c>
      <c r="Q8" s="605">
        <f>Q5+Q6+Q7</f>
        <v/>
      </c>
      <c r="R8" s="605">
        <f>R5+R6+R7</f>
        <v/>
      </c>
      <c r="S8" s="605">
        <f>S10-S9</f>
        <v/>
      </c>
      <c r="T8" s="605">
        <f>T5+T6+T7</f>
        <v/>
      </c>
      <c r="U8" s="605">
        <f>U10-U9</f>
        <v/>
      </c>
      <c r="V8" s="605">
        <f>V5+V6+V7</f>
        <v/>
      </c>
      <c r="W8" s="605">
        <f>W5+W6+W7</f>
        <v/>
      </c>
      <c r="X8" s="605">
        <f>X5+X6+X7</f>
        <v/>
      </c>
      <c r="Y8" s="605">
        <f>Y5+Y6+Y7</f>
        <v/>
      </c>
      <c r="Z8" s="605">
        <f>Z5+Z6+Z7</f>
        <v/>
      </c>
      <c r="AA8" s="605">
        <f>AA5+AA6+AA7</f>
        <v/>
      </c>
      <c r="AB8" s="605">
        <f>AB5+AB6+AB7</f>
        <v/>
      </c>
      <c r="AC8" s="605">
        <f>AC5+AC6+AC7</f>
        <v/>
      </c>
      <c r="AD8" s="605">
        <f>AD5+AD6+AD7</f>
        <v/>
      </c>
      <c r="AE8" s="605">
        <f>AE5+AE6+AE7</f>
        <v/>
      </c>
      <c r="AF8" s="605">
        <f>AF5+AF6+AF7</f>
        <v/>
      </c>
      <c r="AG8" s="605">
        <f>AG5+AG6+AG7</f>
        <v/>
      </c>
      <c r="AH8" s="605">
        <f>AH5+AH6+AH7</f>
        <v/>
      </c>
      <c r="AI8" s="608">
        <f>AI10-AI9</f>
        <v/>
      </c>
      <c r="AJ8" s="608">
        <f>AJ10-AJ9</f>
        <v/>
      </c>
      <c r="AK8" s="608">
        <f>AK10-AK9</f>
        <v/>
      </c>
      <c r="AL8" s="608">
        <f>AL10-AL9</f>
        <v/>
      </c>
      <c r="AM8" s="608">
        <f>AM10-AM9</f>
        <v/>
      </c>
      <c r="AN8" s="608">
        <f>AN10-AN9</f>
        <v/>
      </c>
      <c r="AQ8" s="131" t="n"/>
    </row>
    <row r="9">
      <c r="A9" s="43" t="inlineStr">
        <is>
          <t>D&amp;A</t>
        </is>
      </c>
      <c r="J9" s="564" t="n"/>
      <c r="K9" s="564" t="n"/>
      <c r="L9" s="564" t="n"/>
      <c r="M9" s="564" t="n"/>
      <c r="N9" s="564" t="n"/>
      <c r="O9" s="526" t="n">
        <v>-1</v>
      </c>
      <c r="P9" s="526" t="n">
        <v>-1</v>
      </c>
      <c r="Q9" s="526" t="n">
        <v>0</v>
      </c>
      <c r="R9" s="526" t="n">
        <v>0</v>
      </c>
      <c r="S9" s="526" t="n">
        <v>0</v>
      </c>
      <c r="T9" s="526" t="n">
        <v>0</v>
      </c>
      <c r="U9" s="526" t="n">
        <v>0</v>
      </c>
      <c r="V9" s="526" t="n">
        <v>0</v>
      </c>
      <c r="W9" s="526" t="n">
        <v>0</v>
      </c>
      <c r="X9" s="526" t="n">
        <v>0</v>
      </c>
      <c r="Y9" s="526" t="n">
        <v>0</v>
      </c>
      <c r="Z9" s="526" t="n">
        <v>0</v>
      </c>
      <c r="AA9" s="526" t="n">
        <v>0</v>
      </c>
      <c r="AB9" s="526">
        <f>AA9</f>
        <v/>
      </c>
      <c r="AC9" s="526">
        <f>AB9</f>
        <v/>
      </c>
      <c r="AD9" s="526">
        <f>AC9</f>
        <v/>
      </c>
      <c r="AE9" s="526">
        <f>AD9</f>
        <v/>
      </c>
      <c r="AF9" s="564">
        <f>AE9</f>
        <v/>
      </c>
      <c r="AG9" s="564">
        <f>AF9</f>
        <v/>
      </c>
      <c r="AH9" s="564">
        <f>AG9</f>
        <v/>
      </c>
      <c r="AI9" s="564">
        <f>AH9</f>
        <v/>
      </c>
      <c r="AJ9" s="564">
        <f>AI9</f>
        <v/>
      </c>
      <c r="AK9" s="564">
        <f>AJ9</f>
        <v/>
      </c>
      <c r="AL9" s="564">
        <f>AK9</f>
        <v/>
      </c>
      <c r="AM9" s="564">
        <f>AL9</f>
        <v/>
      </c>
      <c r="AN9" s="564">
        <f>AM9</f>
        <v/>
      </c>
      <c r="AQ9" s="131" t="n"/>
    </row>
    <row r="10">
      <c r="A10" s="109" t="inlineStr">
        <is>
          <t>EBITF (ACOI)</t>
        </is>
      </c>
      <c r="B10" s="109" t="n"/>
      <c r="C10" s="109" t="n"/>
      <c r="D10" s="109" t="n"/>
      <c r="E10" s="109" t="n"/>
      <c r="F10" s="109" t="n"/>
      <c r="G10" s="109" t="n"/>
      <c r="H10" s="109" t="n"/>
      <c r="I10" s="109" t="n"/>
      <c r="J10" s="605" t="n"/>
      <c r="K10" s="605" t="n"/>
      <c r="L10" s="605" t="n"/>
      <c r="M10" s="605" t="n"/>
      <c r="N10" s="605" t="n"/>
      <c r="O10" s="605">
        <f>O8+O9</f>
        <v/>
      </c>
      <c r="P10" s="605">
        <f>P8+P9</f>
        <v/>
      </c>
      <c r="Q10" s="605">
        <f>Q8+Q9</f>
        <v/>
      </c>
      <c r="R10" s="605">
        <f>R8+R9</f>
        <v/>
      </c>
      <c r="S10" s="605">
        <f>S16-S15</f>
        <v/>
      </c>
      <c r="T10" s="605">
        <f>T8+T9</f>
        <v/>
      </c>
      <c r="U10" s="605">
        <f>U16-U15</f>
        <v/>
      </c>
      <c r="V10" s="605">
        <f>V8+V9</f>
        <v/>
      </c>
      <c r="W10" s="605">
        <f>W8+W9</f>
        <v/>
      </c>
      <c r="X10" s="605">
        <f>X8+X9</f>
        <v/>
      </c>
      <c r="Y10" s="605">
        <f>Y8+Y9</f>
        <v/>
      </c>
      <c r="Z10" s="605">
        <f>Z8+Z9</f>
        <v/>
      </c>
      <c r="AA10" s="605">
        <f>AA8+AA9</f>
        <v/>
      </c>
      <c r="AB10" s="605">
        <f>AB8+AB9</f>
        <v/>
      </c>
      <c r="AC10" s="605">
        <f>AC8+AC9</f>
        <v/>
      </c>
      <c r="AD10" s="605">
        <f>AD8+AD9</f>
        <v/>
      </c>
      <c r="AE10" s="605">
        <f>AE8+AE9</f>
        <v/>
      </c>
      <c r="AF10" s="605">
        <f>AF8+AF9</f>
        <v/>
      </c>
      <c r="AG10" s="605">
        <f>AG8+AG9</f>
        <v/>
      </c>
      <c r="AH10" s="605">
        <f>SUM(AH11:AH14)</f>
        <v/>
      </c>
      <c r="AI10" s="608">
        <f>SUM(AI11:AI14)</f>
        <v/>
      </c>
      <c r="AJ10" s="608">
        <f>SUM(AJ11:AJ14)</f>
        <v/>
      </c>
      <c r="AK10" s="608">
        <f>SUM(AK11:AK14)</f>
        <v/>
      </c>
      <c r="AL10" s="608">
        <f>SUM(AL11:AL14)</f>
        <v/>
      </c>
      <c r="AM10" s="608">
        <f>SUM(AM11:AM14)</f>
        <v/>
      </c>
      <c r="AN10" s="608">
        <f>SUM(AN11:AN14)</f>
        <v/>
      </c>
      <c r="AQ10" s="131" t="n"/>
    </row>
    <row r="11">
      <c r="A11" s="111" t="inlineStr">
        <is>
          <t>Thermal (Taiwan, Ho-Ping)</t>
        </is>
      </c>
      <c r="W11" s="526" t="n">
        <v>223</v>
      </c>
      <c r="X11" s="526" t="n">
        <v>265</v>
      </c>
      <c r="Y11" s="526" t="n">
        <v>274</v>
      </c>
      <c r="Z11" s="526" t="n">
        <v>249</v>
      </c>
      <c r="AA11" s="526" t="n">
        <v>142</v>
      </c>
      <c r="AB11" s="526" t="n">
        <v>131</v>
      </c>
      <c r="AC11" s="526" t="n">
        <v>272</v>
      </c>
      <c r="AD11" s="526" t="n">
        <v>366</v>
      </c>
      <c r="AE11" s="526" t="n">
        <v>126</v>
      </c>
      <c r="AF11" s="526" t="n">
        <v>3</v>
      </c>
      <c r="AG11" s="526" t="n">
        <v>297</v>
      </c>
      <c r="AH11" s="526" t="n">
        <v>261</v>
      </c>
      <c r="AI11" s="564">
        <f>AI31*AI51*AI2</f>
        <v/>
      </c>
      <c r="AJ11" s="564">
        <f>AJ31*AJ51*AJ2</f>
        <v/>
      </c>
      <c r="AK11" s="564">
        <f>AK31*AK51*AK2</f>
        <v/>
      </c>
      <c r="AL11" s="564">
        <f>AL31*AL51*AL2</f>
        <v/>
      </c>
      <c r="AM11" s="564">
        <f>AM31*AM51*AM2</f>
        <v/>
      </c>
      <c r="AN11" s="564">
        <f>AN31*AN51*AN2</f>
        <v/>
      </c>
      <c r="AQ11" s="131" t="n"/>
    </row>
    <row r="12">
      <c r="A12" s="111" t="inlineStr">
        <is>
          <t>Renewables (Thailand, NED)</t>
        </is>
      </c>
      <c r="W12" s="526" t="n">
        <v>56</v>
      </c>
      <c r="X12" s="526" t="n">
        <v>74</v>
      </c>
      <c r="Y12" s="526" t="n">
        <v>65</v>
      </c>
      <c r="Z12" s="526" t="n">
        <v>60</v>
      </c>
      <c r="AA12" s="526" t="n">
        <v>65</v>
      </c>
      <c r="AB12" s="526" t="n">
        <v>69</v>
      </c>
      <c r="AC12" s="526" t="n">
        <v>80</v>
      </c>
      <c r="AD12" s="526" t="n">
        <v>63</v>
      </c>
      <c r="AE12" s="526" t="n">
        <v>61</v>
      </c>
      <c r="AF12" s="526" t="n">
        <v>18</v>
      </c>
      <c r="AG12" s="526" t="n">
        <v>17</v>
      </c>
      <c r="AH12" s="526" t="n">
        <v>10</v>
      </c>
      <c r="AI12" s="564">
        <f>AI32*AI52*AI3</f>
        <v/>
      </c>
      <c r="AJ12" s="564">
        <f>AJ32*AJ52*AJ3</f>
        <v/>
      </c>
      <c r="AK12" s="564">
        <f>AK32*AK52*AK3</f>
        <v/>
      </c>
      <c r="AL12" s="564">
        <f>AL32*AL52*AL3</f>
        <v/>
      </c>
      <c r="AM12" s="564">
        <f>AM32*AM52*AM3</f>
        <v/>
      </c>
      <c r="AN12" s="564">
        <f>AN32*AN52*AN3</f>
        <v/>
      </c>
      <c r="AQ12" s="131" t="n"/>
    </row>
    <row r="13">
      <c r="A13" s="111" t="inlineStr">
        <is>
          <t>Operating expenditure</t>
        </is>
      </c>
      <c r="W13" s="526" t="n">
        <v>-29</v>
      </c>
      <c r="X13" s="526" t="n">
        <v>-27</v>
      </c>
      <c r="Y13" s="526" t="n">
        <v>-12</v>
      </c>
      <c r="Z13" s="526" t="n">
        <v>-13</v>
      </c>
      <c r="AA13" s="526" t="n">
        <v>-13</v>
      </c>
      <c r="AB13" s="526" t="n">
        <v>-11</v>
      </c>
      <c r="AC13" s="526" t="n">
        <v>-16</v>
      </c>
      <c r="AD13" s="526" t="n">
        <v>0</v>
      </c>
      <c r="AE13" s="526">
        <f>AD13</f>
        <v/>
      </c>
      <c r="AF13" s="526">
        <f>AE13</f>
        <v/>
      </c>
      <c r="AG13" s="526">
        <f>AF13</f>
        <v/>
      </c>
      <c r="AH13" s="526">
        <f>AG13</f>
        <v/>
      </c>
      <c r="AI13" s="564">
        <f>AH13</f>
        <v/>
      </c>
      <c r="AJ13" s="564">
        <f>AI13</f>
        <v/>
      </c>
      <c r="AK13" s="564">
        <f>AJ13</f>
        <v/>
      </c>
      <c r="AL13" s="564">
        <f>AK13</f>
        <v/>
      </c>
      <c r="AM13" s="564">
        <f>AL13</f>
        <v/>
      </c>
      <c r="AN13" s="564">
        <f>AM13</f>
        <v/>
      </c>
      <c r="AQ13" s="131" t="n"/>
    </row>
    <row r="14">
      <c r="A14" s="111" t="inlineStr">
        <is>
          <t>Development expenditure</t>
        </is>
      </c>
      <c r="W14" s="526">
        <f>W10-SUM(W11:W13)</f>
        <v/>
      </c>
      <c r="X14" s="526" t="n">
        <v>-18</v>
      </c>
      <c r="Y14" s="526" t="n">
        <v>-17</v>
      </c>
      <c r="Z14" s="526" t="n">
        <v>-25</v>
      </c>
      <c r="AA14" s="526" t="n">
        <v>-38</v>
      </c>
      <c r="AB14" s="526" t="n">
        <v>-28</v>
      </c>
      <c r="AC14" s="526" t="n">
        <v>-1</v>
      </c>
      <c r="AD14" s="526" t="n">
        <v>-43</v>
      </c>
      <c r="AE14" s="526" t="n">
        <v>-14</v>
      </c>
      <c r="AF14" s="526" t="n">
        <v>-8</v>
      </c>
      <c r="AG14" s="526" t="n">
        <v>-5</v>
      </c>
      <c r="AH14" s="526" t="n">
        <v>-10</v>
      </c>
      <c r="AI14" s="564">
        <f>AH14</f>
        <v/>
      </c>
      <c r="AJ14" s="564">
        <f>AI14</f>
        <v/>
      </c>
      <c r="AK14" s="564">
        <f>AJ14</f>
        <v/>
      </c>
      <c r="AL14" s="564">
        <f>AK14</f>
        <v/>
      </c>
      <c r="AM14" s="564">
        <f>AL14</f>
        <v/>
      </c>
      <c r="AN14" s="564">
        <f>AM14</f>
        <v/>
      </c>
      <c r="AQ14" s="131" t="n"/>
    </row>
    <row r="15">
      <c r="A15" s="43" t="inlineStr">
        <is>
          <t>Net financial costs</t>
        </is>
      </c>
      <c r="O15" s="526" t="n">
        <v>0</v>
      </c>
      <c r="P15" s="526" t="n">
        <v>0</v>
      </c>
      <c r="Q15" s="526" t="n">
        <v>25</v>
      </c>
      <c r="R15" s="526" t="n">
        <v>5</v>
      </c>
      <c r="S15" s="526" t="n">
        <v>0</v>
      </c>
      <c r="T15" s="526" t="n">
        <v>0</v>
      </c>
      <c r="U15" s="526" t="n">
        <v>4</v>
      </c>
      <c r="V15" s="526" t="n">
        <v>5</v>
      </c>
      <c r="W15" s="526" t="n">
        <v>5</v>
      </c>
      <c r="X15" s="526" t="n">
        <v>3</v>
      </c>
      <c r="Y15" s="526" t="n">
        <v>2</v>
      </c>
      <c r="Z15" s="526" t="n">
        <v>3</v>
      </c>
      <c r="AA15" s="526">
        <f>4</f>
        <v/>
      </c>
      <c r="AB15" s="526" t="n">
        <v>1</v>
      </c>
      <c r="AC15" s="526" t="n">
        <v>0</v>
      </c>
      <c r="AD15" s="526" t="n">
        <v>0</v>
      </c>
      <c r="AE15" s="526" t="n">
        <v>0</v>
      </c>
      <c r="AF15" s="526">
        <f>AE15</f>
        <v/>
      </c>
      <c r="AG15" s="526">
        <f>AF15</f>
        <v/>
      </c>
      <c r="AH15" s="526">
        <f>AG15</f>
        <v/>
      </c>
      <c r="AI15" s="564">
        <f>AH15</f>
        <v/>
      </c>
      <c r="AJ15" s="564">
        <f>AI15</f>
        <v/>
      </c>
      <c r="AK15" s="564">
        <f>AJ15</f>
        <v/>
      </c>
      <c r="AL15" s="564">
        <f>AK15</f>
        <v/>
      </c>
      <c r="AM15" s="564">
        <f>AL15</f>
        <v/>
      </c>
      <c r="AN15" s="564">
        <f>AM15</f>
        <v/>
      </c>
      <c r="AQ15" s="131" t="n"/>
    </row>
    <row r="16">
      <c r="A16" s="109" t="inlineStr">
        <is>
          <t xml:space="preserve">PBT </t>
        </is>
      </c>
      <c r="B16" s="605" t="n"/>
      <c r="C16" s="605" t="n"/>
      <c r="D16" s="605" t="n"/>
      <c r="E16" s="605" t="n"/>
      <c r="F16" s="605" t="n"/>
      <c r="G16" s="605" t="n"/>
      <c r="H16" s="605" t="n"/>
      <c r="I16" s="605" t="n"/>
      <c r="J16" s="605" t="n"/>
      <c r="K16" s="605" t="n"/>
      <c r="L16" s="605" t="n"/>
      <c r="M16" s="605" t="n"/>
      <c r="N16" s="605" t="n"/>
      <c r="O16" s="605">
        <f>O10+O15</f>
        <v/>
      </c>
      <c r="P16" s="605">
        <f>P10+P15</f>
        <v/>
      </c>
      <c r="Q16" s="605">
        <f>Q10+Q15</f>
        <v/>
      </c>
      <c r="R16" s="605">
        <f>R10+R15</f>
        <v/>
      </c>
      <c r="S16" s="605">
        <f>S18-S17</f>
        <v/>
      </c>
      <c r="T16" s="605">
        <f>T10+T15</f>
        <v/>
      </c>
      <c r="U16" s="605">
        <f>U18-U17</f>
        <v/>
      </c>
      <c r="V16" s="605">
        <f>V10+V15</f>
        <v/>
      </c>
      <c r="W16" s="605">
        <f>W10+W15</f>
        <v/>
      </c>
      <c r="X16" s="605">
        <f>X10+X15</f>
        <v/>
      </c>
      <c r="Y16" s="605">
        <f>Y10+Y15</f>
        <v/>
      </c>
      <c r="Z16" s="605">
        <f>Z10+Z15</f>
        <v/>
      </c>
      <c r="AA16" s="605">
        <f>AA10+AA15</f>
        <v/>
      </c>
      <c r="AB16" s="605">
        <f>AB10+AB15</f>
        <v/>
      </c>
      <c r="AC16" s="605">
        <f>AC10+AC15</f>
        <v/>
      </c>
      <c r="AD16" s="605">
        <f>AD10+AD15</f>
        <v/>
      </c>
      <c r="AE16" s="605">
        <f>AE10+AE15</f>
        <v/>
      </c>
      <c r="AF16" s="605">
        <f>AF10+AF15</f>
        <v/>
      </c>
      <c r="AG16" s="605">
        <f>AG10+AG15</f>
        <v/>
      </c>
      <c r="AH16" s="605">
        <f>AH10+AH15</f>
        <v/>
      </c>
      <c r="AI16" s="605">
        <f>AI10+AI15</f>
        <v/>
      </c>
      <c r="AJ16" s="605">
        <f>AJ10+AJ15</f>
        <v/>
      </c>
      <c r="AK16" s="605">
        <f>AK10+AK15</f>
        <v/>
      </c>
      <c r="AL16" s="605">
        <f>AL10+AL15</f>
        <v/>
      </c>
      <c r="AM16" s="605">
        <f>AM10+AM15</f>
        <v/>
      </c>
      <c r="AN16" s="605">
        <f>AN10+AN15</f>
        <v/>
      </c>
      <c r="AQ16" s="131" t="n"/>
    </row>
    <row r="17">
      <c r="A17" s="43" t="inlineStr">
        <is>
          <t>Taxation</t>
        </is>
      </c>
      <c r="B17" s="526" t="n"/>
      <c r="C17" s="526" t="n"/>
      <c r="D17" s="526" t="n"/>
      <c r="E17" s="526" t="n"/>
      <c r="F17" s="526" t="n"/>
      <c r="G17" s="526" t="n"/>
      <c r="H17" s="526" t="n"/>
      <c r="I17" s="526" t="n"/>
      <c r="O17" s="526" t="n">
        <v>0</v>
      </c>
      <c r="P17" s="526" t="n">
        <v>0</v>
      </c>
      <c r="Q17" s="526" t="n">
        <v>0</v>
      </c>
      <c r="R17" s="526">
        <f>R18-R16</f>
        <v/>
      </c>
      <c r="S17" s="526" t="n">
        <v>-6</v>
      </c>
      <c r="T17" s="526" t="n">
        <v>-7</v>
      </c>
      <c r="U17" s="526" t="n">
        <v>-5</v>
      </c>
      <c r="V17" s="526" t="n">
        <v>0</v>
      </c>
      <c r="W17" s="526" t="n">
        <v>0</v>
      </c>
      <c r="X17" s="526" t="n">
        <v>0</v>
      </c>
      <c r="Y17" s="526" t="n">
        <v>0</v>
      </c>
      <c r="Z17" s="526" t="n">
        <v>0</v>
      </c>
      <c r="AA17" s="526" t="n">
        <v>0</v>
      </c>
      <c r="AB17" s="526">
        <f>AA17</f>
        <v/>
      </c>
      <c r="AC17" s="526">
        <f>AB17</f>
        <v/>
      </c>
      <c r="AD17" s="526">
        <f>AC17</f>
        <v/>
      </c>
      <c r="AE17" s="526" t="n">
        <v>-68</v>
      </c>
      <c r="AF17" s="526" t="n">
        <v>-2</v>
      </c>
      <c r="AG17" s="526" t="n">
        <v>-2</v>
      </c>
      <c r="AH17" s="526" t="n">
        <v>-1</v>
      </c>
      <c r="AI17" s="564">
        <f>AH17</f>
        <v/>
      </c>
      <c r="AJ17" s="564">
        <f>AI17</f>
        <v/>
      </c>
      <c r="AK17" s="564">
        <f>AJ17</f>
        <v/>
      </c>
      <c r="AL17" s="564">
        <f>AK17</f>
        <v/>
      </c>
      <c r="AM17" s="564">
        <f>AL17</f>
        <v/>
      </c>
      <c r="AN17" s="564">
        <f>AM17</f>
        <v/>
      </c>
      <c r="AQ17" s="131" t="n"/>
    </row>
    <row r="18">
      <c r="A18" s="109" t="inlineStr">
        <is>
          <t>Recurring NP</t>
        </is>
      </c>
      <c r="B18" s="605" t="n"/>
      <c r="C18" s="605" t="n"/>
      <c r="D18" s="605" t="n"/>
      <c r="E18" s="605" t="n"/>
      <c r="F18" s="605" t="n"/>
      <c r="G18" s="605" t="n"/>
      <c r="H18" s="605" t="n"/>
      <c r="I18" s="605" t="n"/>
      <c r="J18" s="605" t="n"/>
      <c r="K18" s="605" t="n"/>
      <c r="L18" s="605" t="n"/>
      <c r="M18" s="605" t="n"/>
      <c r="N18" s="605" t="n"/>
      <c r="O18" s="605">
        <f>O16+O17</f>
        <v/>
      </c>
      <c r="P18" s="605">
        <f>SUM(P19:P23)</f>
        <v/>
      </c>
      <c r="Q18" s="605">
        <f>SUM(Q19:Q23)</f>
        <v/>
      </c>
      <c r="R18" s="605" t="n">
        <v>116</v>
      </c>
      <c r="S18" s="605">
        <f>S25-S24</f>
        <v/>
      </c>
      <c r="T18" s="605">
        <f>T16+T17</f>
        <v/>
      </c>
      <c r="U18" s="605">
        <f>U25-U24</f>
        <v/>
      </c>
      <c r="V18" s="605">
        <f>V16+V17</f>
        <v/>
      </c>
      <c r="W18" s="605">
        <f>W16+W17</f>
        <v/>
      </c>
      <c r="X18" s="605">
        <f>X16+X17</f>
        <v/>
      </c>
      <c r="Y18" s="605">
        <f>Y16+Y17</f>
        <v/>
      </c>
      <c r="Z18" s="605">
        <f>Z16+Z17</f>
        <v/>
      </c>
      <c r="AA18" s="605">
        <f>AA16+AA17</f>
        <v/>
      </c>
      <c r="AB18" s="605">
        <f>AB16+AB17</f>
        <v/>
      </c>
      <c r="AC18" s="605">
        <f>AC16+AC17</f>
        <v/>
      </c>
      <c r="AD18" s="605">
        <f>AD16+AD17</f>
        <v/>
      </c>
      <c r="AE18" s="605">
        <f>AE16+AE17</f>
        <v/>
      </c>
      <c r="AF18" s="605">
        <f>AF16+AF17</f>
        <v/>
      </c>
      <c r="AG18" s="605">
        <f>AG16+AG17</f>
        <v/>
      </c>
      <c r="AH18" s="605">
        <f>AH16+AH17</f>
        <v/>
      </c>
      <c r="AI18" s="605">
        <f>AI16+AI17</f>
        <v/>
      </c>
      <c r="AJ18" s="605">
        <f>AJ16+AJ17</f>
        <v/>
      </c>
      <c r="AK18" s="605">
        <f>AK16+AK17</f>
        <v/>
      </c>
      <c r="AL18" s="605">
        <f>AL16+AL17</f>
        <v/>
      </c>
      <c r="AM18" s="605">
        <f>AM16+AM17</f>
        <v/>
      </c>
      <c r="AN18" s="605">
        <f>AN16+AN17</f>
        <v/>
      </c>
      <c r="AQ18" s="131" t="n"/>
    </row>
    <row r="19">
      <c r="A19" s="111" t="inlineStr">
        <is>
          <t>Thermal (Taiwan, Ho-Ping)</t>
        </is>
      </c>
      <c r="P19" s="526" t="n">
        <v>340</v>
      </c>
      <c r="Q19" s="526" t="n">
        <v>242</v>
      </c>
      <c r="R19" s="526" t="n">
        <v>72</v>
      </c>
      <c r="S19" s="526" t="n">
        <v>394</v>
      </c>
      <c r="T19" s="526" t="n">
        <v>272</v>
      </c>
      <c r="U19" s="526" t="n">
        <v>151</v>
      </c>
      <c r="V19" s="526" t="n">
        <v>251</v>
      </c>
      <c r="W19" s="526" t="n">
        <v>223</v>
      </c>
      <c r="X19" s="526" t="n">
        <v>265</v>
      </c>
      <c r="Y19" s="526" t="n">
        <v>274</v>
      </c>
      <c r="Z19" s="526" t="n">
        <v>249</v>
      </c>
      <c r="AA19" s="526" t="n">
        <v>142</v>
      </c>
      <c r="AB19" s="526" t="n">
        <v>131</v>
      </c>
      <c r="AC19" s="526" t="n">
        <v>272</v>
      </c>
      <c r="AD19" s="526" t="n">
        <v>366</v>
      </c>
      <c r="AE19" s="526" t="n">
        <v>126</v>
      </c>
      <c r="AF19" s="526" t="n">
        <v>3</v>
      </c>
      <c r="AG19" s="526" t="n">
        <v>297</v>
      </c>
      <c r="AH19" s="526" t="n">
        <v>261</v>
      </c>
    </row>
    <row r="20">
      <c r="A20" s="111" t="inlineStr">
        <is>
          <t>Renewables (Thailand, NED solar)</t>
        </is>
      </c>
      <c r="P20" s="526" t="n">
        <v>0</v>
      </c>
      <c r="Q20" s="526" t="n">
        <v>0</v>
      </c>
      <c r="R20" s="526" t="n">
        <v>0</v>
      </c>
      <c r="S20" s="526" t="n">
        <v>0</v>
      </c>
      <c r="T20" s="526" t="n">
        <v>-3</v>
      </c>
      <c r="U20" s="526" t="n">
        <v>-4</v>
      </c>
      <c r="V20" s="526" t="n">
        <v>38</v>
      </c>
      <c r="W20" s="526" t="n">
        <v>56</v>
      </c>
      <c r="X20" s="526" t="n">
        <v>74</v>
      </c>
      <c r="Y20" s="526" t="n">
        <v>65</v>
      </c>
      <c r="Z20" s="526" t="n">
        <v>60</v>
      </c>
      <c r="AA20" s="526" t="n">
        <v>65</v>
      </c>
      <c r="AB20" s="526" t="n">
        <v>69</v>
      </c>
      <c r="AC20" s="526" t="n">
        <v>80</v>
      </c>
      <c r="AD20" s="526" t="n">
        <v>-60</v>
      </c>
      <c r="AE20" s="526" t="n">
        <v>61</v>
      </c>
      <c r="AF20" s="526" t="n">
        <v>16</v>
      </c>
      <c r="AG20" s="526" t="n">
        <v>15</v>
      </c>
      <c r="AH20" s="526" t="n">
        <v>9</v>
      </c>
    </row>
    <row r="21">
      <c r="A21" s="111" t="inlineStr">
        <is>
          <t>EGCO (Thailand)</t>
        </is>
      </c>
      <c r="P21" s="526" t="n">
        <v>58</v>
      </c>
      <c r="Q21" s="526" t="n">
        <v>164</v>
      </c>
      <c r="R21" s="526" t="n">
        <v>119</v>
      </c>
      <c r="S21" s="526" t="n">
        <v>187</v>
      </c>
      <c r="T21" s="526" t="n">
        <v>173</v>
      </c>
      <c r="U21" s="526" t="n">
        <v>5</v>
      </c>
      <c r="V21" s="526" t="n">
        <v>0</v>
      </c>
      <c r="W21" s="526" t="n">
        <v>0</v>
      </c>
      <c r="X21" s="526" t="n">
        <v>0</v>
      </c>
      <c r="Y21" s="526" t="n">
        <v>0</v>
      </c>
      <c r="Z21" s="526" t="n">
        <v>0</v>
      </c>
      <c r="AA21" s="526" t="n">
        <v>0</v>
      </c>
      <c r="AB21" s="526" t="n">
        <v>0</v>
      </c>
      <c r="AC21" s="526" t="n">
        <v>0</v>
      </c>
      <c r="AD21" s="526" t="n">
        <v>0</v>
      </c>
      <c r="AE21" s="526" t="n">
        <v>0</v>
      </c>
      <c r="AF21" s="526" t="n">
        <v>0</v>
      </c>
      <c r="AG21" s="526" t="n">
        <v>0</v>
      </c>
      <c r="AH21" s="526" t="n">
        <v>0</v>
      </c>
    </row>
    <row r="22">
      <c r="A22" s="111" t="inlineStr">
        <is>
          <t>Operating expenditure</t>
        </is>
      </c>
      <c r="P22" s="564">
        <f>46-P23</f>
        <v/>
      </c>
      <c r="Q22" s="526">
        <f>-8+25</f>
        <v/>
      </c>
      <c r="R22" s="526">
        <f>-33+5</f>
        <v/>
      </c>
      <c r="S22" s="526" t="n">
        <v>-14</v>
      </c>
      <c r="T22" s="526" t="n">
        <v>-18</v>
      </c>
      <c r="U22" s="526" t="n">
        <v>-47</v>
      </c>
      <c r="V22" s="526" t="n">
        <v>-24</v>
      </c>
      <c r="W22" s="526" t="n">
        <v>-26</v>
      </c>
      <c r="X22" s="526" t="n">
        <v>-26</v>
      </c>
      <c r="Y22" s="526" t="n">
        <v>-12</v>
      </c>
      <c r="Z22" s="526" t="n">
        <v>-13</v>
      </c>
      <c r="AA22" s="526" t="n">
        <v>-13</v>
      </c>
      <c r="AB22" s="526" t="n">
        <v>-11</v>
      </c>
      <c r="AC22" s="526" t="n">
        <v>-16</v>
      </c>
      <c r="AD22" s="526" t="n">
        <v>-14</v>
      </c>
      <c r="AE22" s="526" t="n">
        <v>-14</v>
      </c>
      <c r="AF22" s="526" t="n">
        <v>-8</v>
      </c>
      <c r="AG22" s="526" t="n">
        <v>-5</v>
      </c>
      <c r="AH22" s="526" t="n">
        <v>-10</v>
      </c>
    </row>
    <row r="23">
      <c r="A23" s="111" t="inlineStr">
        <is>
          <t>Development expenditure</t>
        </is>
      </c>
      <c r="P23" s="564">
        <f>Q23</f>
        <v/>
      </c>
      <c r="Q23" s="526" t="n">
        <v>-14</v>
      </c>
      <c r="R23" s="526" t="n">
        <v>-47</v>
      </c>
      <c r="S23" s="526" t="n">
        <v>-42</v>
      </c>
      <c r="T23" s="526" t="n">
        <v>-34</v>
      </c>
      <c r="U23" s="526" t="n">
        <v>-19</v>
      </c>
      <c r="V23" s="526" t="n">
        <v>-22</v>
      </c>
      <c r="W23" s="526">
        <f>W18-SUM(W19:W22)</f>
        <v/>
      </c>
      <c r="X23" s="526" t="n">
        <v>-16</v>
      </c>
      <c r="Y23" s="526" t="n">
        <v>-15</v>
      </c>
      <c r="Z23" s="526" t="n">
        <v>-22</v>
      </c>
      <c r="AA23" s="526" t="n">
        <v>-34</v>
      </c>
      <c r="AB23" s="526" t="n">
        <v>-27</v>
      </c>
      <c r="AC23" s="526" t="n">
        <v>-1</v>
      </c>
      <c r="AD23" s="526" t="n">
        <v>94</v>
      </c>
      <c r="AE23" s="526" t="n">
        <v>0</v>
      </c>
      <c r="AF23" s="526" t="n">
        <v>0</v>
      </c>
      <c r="AG23" s="526" t="n">
        <v>0</v>
      </c>
      <c r="AH23" s="526" t="n">
        <v>0</v>
      </c>
    </row>
    <row r="24">
      <c r="A24" s="43" t="inlineStr">
        <is>
          <t>One-off/Discontinued earnings</t>
        </is>
      </c>
      <c r="O24" s="526" t="n">
        <v>0</v>
      </c>
      <c r="P24" s="526">
        <f>P25-P18</f>
        <v/>
      </c>
      <c r="Q24" s="526">
        <f>Q25-Q18</f>
        <v/>
      </c>
      <c r="R24" s="526" t="n">
        <v>0</v>
      </c>
      <c r="S24" s="526">
        <f>153-131</f>
        <v/>
      </c>
      <c r="T24" s="526" t="n">
        <v>0</v>
      </c>
      <c r="U24" s="526" t="n">
        <v>876</v>
      </c>
      <c r="V24" s="526" t="n">
        <v>0</v>
      </c>
      <c r="W24" s="526" t="n">
        <v>0</v>
      </c>
      <c r="X24" s="526" t="n">
        <v>0</v>
      </c>
      <c r="Y24" s="526" t="n">
        <v>0</v>
      </c>
      <c r="Z24" s="526" t="n">
        <v>0</v>
      </c>
      <c r="AA24" s="526" t="n">
        <v>0</v>
      </c>
      <c r="AB24" s="526" t="n">
        <v>0</v>
      </c>
      <c r="AC24" s="526">
        <f>AB24</f>
        <v/>
      </c>
      <c r="AD24" s="526">
        <f>AC24</f>
        <v/>
      </c>
      <c r="AE24" s="526" t="n">
        <v>249</v>
      </c>
      <c r="AF24" s="526" t="n">
        <v>0</v>
      </c>
      <c r="AG24" s="526" t="n">
        <v>0</v>
      </c>
      <c r="AH24" s="526">
        <f>AG24</f>
        <v/>
      </c>
      <c r="AI24" s="564">
        <f>AH24</f>
        <v/>
      </c>
      <c r="AJ24" s="564">
        <f>AI24</f>
        <v/>
      </c>
      <c r="AK24" s="564">
        <f>AJ24</f>
        <v/>
      </c>
      <c r="AL24" s="564">
        <f>AK24</f>
        <v/>
      </c>
      <c r="AM24" s="564">
        <f>AL24</f>
        <v/>
      </c>
      <c r="AN24" s="564">
        <f>AM24</f>
        <v/>
      </c>
    </row>
    <row r="25">
      <c r="A25" s="109" t="inlineStr">
        <is>
          <t>Reported NP</t>
        </is>
      </c>
      <c r="B25" s="605" t="n"/>
      <c r="C25" s="605" t="n"/>
      <c r="D25" s="605" t="n"/>
      <c r="E25" s="605" t="n"/>
      <c r="F25" s="605" t="n"/>
      <c r="G25" s="605" t="n"/>
      <c r="H25" s="605" t="n"/>
      <c r="I25" s="605" t="n"/>
      <c r="J25" s="605" t="n"/>
      <c r="K25" s="605" t="n"/>
      <c r="L25" s="605" t="n"/>
      <c r="M25" s="605" t="n"/>
      <c r="N25" s="605" t="n"/>
      <c r="O25" s="605">
        <f>O18+O24</f>
        <v/>
      </c>
      <c r="P25" s="605" t="n">
        <v>1668</v>
      </c>
      <c r="Q25" s="605" t="n">
        <v>1480</v>
      </c>
      <c r="R25" s="605">
        <f>R18+R24</f>
        <v/>
      </c>
      <c r="S25" s="605" t="n">
        <v>547</v>
      </c>
      <c r="T25" s="605">
        <f>T18+T24</f>
        <v/>
      </c>
      <c r="U25" s="605" t="n">
        <v>962</v>
      </c>
      <c r="V25" s="605">
        <f>V18+V24</f>
        <v/>
      </c>
      <c r="W25" s="605">
        <f>W18+W24</f>
        <v/>
      </c>
      <c r="X25" s="605">
        <f>X18+X24</f>
        <v/>
      </c>
      <c r="Y25" s="605">
        <f>Y18+Y24</f>
        <v/>
      </c>
      <c r="Z25" s="605">
        <f>Z18+Z24</f>
        <v/>
      </c>
      <c r="AA25" s="605">
        <f>AA18+AA24</f>
        <v/>
      </c>
      <c r="AB25" s="605">
        <f>AB18+AB24</f>
        <v/>
      </c>
      <c r="AC25" s="605">
        <f>AC18+AC24</f>
        <v/>
      </c>
      <c r="AD25" s="605">
        <f>AD18+AD24</f>
        <v/>
      </c>
      <c r="AE25" s="605">
        <f>AE18+AE24</f>
        <v/>
      </c>
      <c r="AF25" s="605">
        <f>AF18+AF24</f>
        <v/>
      </c>
      <c r="AG25" s="605">
        <f>AG18+AG24</f>
        <v/>
      </c>
      <c r="AH25" s="605">
        <f>AH18+AH24</f>
        <v/>
      </c>
      <c r="AI25" s="605">
        <f>AI18+AI24</f>
        <v/>
      </c>
      <c r="AJ25" s="605">
        <f>AJ18+AJ24</f>
        <v/>
      </c>
      <c r="AK25" s="605">
        <f>AK18+AK24</f>
        <v/>
      </c>
      <c r="AL25" s="605">
        <f>AL18+AL24</f>
        <v/>
      </c>
      <c r="AM25" s="605">
        <f>AM18+AM24</f>
        <v/>
      </c>
      <c r="AN25" s="605">
        <f>AN18+AN24</f>
        <v/>
      </c>
      <c r="AQ25" s="131" t="n"/>
    </row>
    <row r="27">
      <c r="A27" s="6" t="inlineStr">
        <is>
          <t>Key drivers</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row>
    <row r="28">
      <c r="A28" s="88" t="inlineStr">
        <is>
          <t>Unit EBIT (EBIT/MW)</t>
        </is>
      </c>
      <c r="B28" s="643" t="n"/>
      <c r="C28" s="643" t="n"/>
      <c r="D28" s="643" t="n"/>
      <c r="E28" s="643" t="n"/>
      <c r="F28" s="643" t="n"/>
      <c r="G28" s="643" t="n"/>
      <c r="H28" s="643" t="n"/>
      <c r="I28" s="643" t="n"/>
      <c r="J28" s="643" t="n"/>
      <c r="K28" s="643" t="n"/>
      <c r="L28" s="643" t="n"/>
      <c r="M28" s="643" t="n"/>
      <c r="N28" s="643" t="n"/>
      <c r="O28" s="643" t="n"/>
      <c r="P28" s="643" t="n"/>
      <c r="Q28" s="643" t="n"/>
      <c r="R28" s="643" t="n"/>
      <c r="S28" s="643" t="n"/>
      <c r="T28" s="643" t="n"/>
      <c r="U28" s="643" t="n"/>
      <c r="V28" s="643" t="n"/>
      <c r="W28" s="643" t="n"/>
      <c r="X28" s="643" t="n"/>
      <c r="Y28" s="643" t="n"/>
      <c r="Z28" s="643" t="n"/>
      <c r="AA28" s="643" t="n"/>
      <c r="AB28" s="643" t="n"/>
      <c r="AC28" s="643" t="n"/>
      <c r="AD28" s="643" t="n"/>
      <c r="AE28" s="643" t="n"/>
      <c r="AF28" s="643" t="n"/>
      <c r="AG28" s="643" t="n"/>
      <c r="AH28" s="643" t="n"/>
      <c r="AI28" s="643" t="n"/>
      <c r="AJ28" s="643" t="n"/>
      <c r="AK28" s="643" t="n"/>
      <c r="AL28" s="643" t="n"/>
      <c r="AM28" s="643" t="n"/>
      <c r="AN28" s="643" t="n"/>
    </row>
    <row r="29">
      <c r="A29" s="43" t="inlineStr">
        <is>
          <t>Ownership in Ho-Ping</t>
        </is>
      </c>
      <c r="P29" s="131">
        <f>P51/P36</f>
        <v/>
      </c>
      <c r="Q29" s="131">
        <f>Q51/Q36</f>
        <v/>
      </c>
      <c r="R29" s="131">
        <f>R51/R36</f>
        <v/>
      </c>
      <c r="S29" s="131">
        <f>S51/S36</f>
        <v/>
      </c>
      <c r="T29" s="131">
        <f>T51/T36</f>
        <v/>
      </c>
      <c r="U29" s="131">
        <f>U51/U36</f>
        <v/>
      </c>
      <c r="V29" s="131">
        <f>V51/V36</f>
        <v/>
      </c>
      <c r="W29" s="131">
        <f>W51/W36</f>
        <v/>
      </c>
      <c r="X29" s="131">
        <f>X51/X36</f>
        <v/>
      </c>
      <c r="Y29" s="131">
        <f>Y51/Y36</f>
        <v/>
      </c>
      <c r="Z29" s="131">
        <f>Z51/Z36</f>
        <v/>
      </c>
      <c r="AA29" s="131">
        <f>AA51/AA36</f>
        <v/>
      </c>
      <c r="AB29" s="131">
        <f>AB51/AB36</f>
        <v/>
      </c>
      <c r="AC29" s="131">
        <f>AC51/AC36</f>
        <v/>
      </c>
      <c r="AD29" s="131">
        <f>AD51/AD36</f>
        <v/>
      </c>
      <c r="AE29" s="131">
        <f>AE51/AE36</f>
        <v/>
      </c>
      <c r="AF29" s="131">
        <f>AF51/AF36</f>
        <v/>
      </c>
      <c r="AG29" s="131">
        <f>AG51/AG36</f>
        <v/>
      </c>
      <c r="AH29" s="131">
        <f>AH51/AH36</f>
        <v/>
      </c>
      <c r="AI29" s="230">
        <f>AH29</f>
        <v/>
      </c>
      <c r="AJ29" s="230">
        <f>AI29</f>
        <v/>
      </c>
      <c r="AK29" s="230">
        <f>AJ29</f>
        <v/>
      </c>
      <c r="AL29" s="230">
        <f>AK29</f>
        <v/>
      </c>
      <c r="AM29" s="230">
        <f>AL29</f>
        <v/>
      </c>
      <c r="AN29" s="230">
        <f>AM29</f>
        <v/>
      </c>
    </row>
    <row r="30">
      <c r="A30" s="43" t="inlineStr">
        <is>
          <t>Ownership in NED</t>
        </is>
      </c>
      <c r="U30" s="131">
        <f>U52/U37</f>
        <v/>
      </c>
      <c r="V30" s="131">
        <f>V52/V37</f>
        <v/>
      </c>
      <c r="W30" s="131">
        <f>W52/W37</f>
        <v/>
      </c>
      <c r="X30" s="131">
        <f>X52/X37</f>
        <v/>
      </c>
      <c r="Y30" s="131">
        <f>Y52/Y37</f>
        <v/>
      </c>
      <c r="Z30" s="131">
        <f>Z52/Z37</f>
        <v/>
      </c>
      <c r="AA30" s="131">
        <f>AA52/AA37</f>
        <v/>
      </c>
      <c r="AB30" s="131">
        <f>AB52/AB37</f>
        <v/>
      </c>
      <c r="AC30" s="131">
        <f>AC52/AC37</f>
        <v/>
      </c>
      <c r="AD30" s="131">
        <f>AD52/AD37</f>
        <v/>
      </c>
      <c r="AE30" s="131">
        <f>AE52/AE37</f>
        <v/>
      </c>
      <c r="AF30" s="131">
        <f>AF52/AF37</f>
        <v/>
      </c>
      <c r="AG30" s="131">
        <f>AG52/AG37</f>
        <v/>
      </c>
      <c r="AH30" s="131">
        <f>AH52/AH37</f>
        <v/>
      </c>
      <c r="AI30" s="230">
        <f>AH30</f>
        <v/>
      </c>
      <c r="AJ30" s="230">
        <f>AI30</f>
        <v/>
      </c>
      <c r="AK30" s="230">
        <f>AJ30</f>
        <v/>
      </c>
      <c r="AL30" s="230">
        <f>AK30</f>
        <v/>
      </c>
      <c r="AM30" s="230">
        <f>AL30</f>
        <v/>
      </c>
      <c r="AN30" s="230">
        <f>AM30</f>
        <v/>
      </c>
    </row>
    <row r="31">
      <c r="A31" s="111" t="inlineStr">
        <is>
          <t>Ho-Ping (TWD m/MW)</t>
        </is>
      </c>
      <c r="P31" s="679" t="n"/>
      <c r="Q31" s="679" t="n"/>
      <c r="R31" s="679" t="n"/>
      <c r="S31" s="679" t="n"/>
      <c r="T31" s="679" t="n"/>
      <c r="U31" s="679" t="n"/>
      <c r="V31" s="679" t="n"/>
      <c r="W31" s="679">
        <f>W11/W2/W51</f>
        <v/>
      </c>
      <c r="X31" s="679">
        <f>X11/X2/X51</f>
        <v/>
      </c>
      <c r="Y31" s="679">
        <f>Y11/Y2/Y51</f>
        <v/>
      </c>
      <c r="Z31" s="679">
        <f>Z11/Z2/Z51</f>
        <v/>
      </c>
      <c r="AA31" s="679">
        <f>AA11/AA2/AA51</f>
        <v/>
      </c>
      <c r="AB31" s="679">
        <f>AB11/AB2/AB51</f>
        <v/>
      </c>
      <c r="AC31" s="679">
        <f>AC11/AC2/AC51</f>
        <v/>
      </c>
      <c r="AD31" s="679">
        <f>AD11/AD2/AD51</f>
        <v/>
      </c>
      <c r="AE31" s="679">
        <f>AE11/AE2/AE51</f>
        <v/>
      </c>
      <c r="AF31" s="679">
        <f>AF11/AF2/AF51</f>
        <v/>
      </c>
      <c r="AG31" s="679">
        <f>AG11/AG2/AG51</f>
        <v/>
      </c>
      <c r="AH31" s="679">
        <f>AH11/AH2/AH51</f>
        <v/>
      </c>
      <c r="AI31" s="680">
        <f>AH31*0.5</f>
        <v/>
      </c>
      <c r="AJ31" s="680">
        <f>AI31</f>
        <v/>
      </c>
      <c r="AK31" s="680">
        <f>AJ31</f>
        <v/>
      </c>
      <c r="AL31" s="680">
        <f>AK31</f>
        <v/>
      </c>
      <c r="AM31" s="680">
        <f>AL31</f>
        <v/>
      </c>
      <c r="AN31" s="680">
        <f>AM31</f>
        <v/>
      </c>
      <c r="AQ31" s="131" t="n"/>
    </row>
    <row r="32">
      <c r="A32" s="111" t="inlineStr">
        <is>
          <t>NED (THB m/MW)</t>
        </is>
      </c>
      <c r="P32" s="679" t="n"/>
      <c r="Q32" s="679" t="n"/>
      <c r="R32" s="679" t="n"/>
      <c r="S32" s="679" t="n"/>
      <c r="T32" s="679" t="n"/>
      <c r="U32" s="679" t="n"/>
      <c r="V32" s="679" t="n"/>
      <c r="W32" s="679">
        <f>W12/W3/W52</f>
        <v/>
      </c>
      <c r="X32" s="679">
        <f>X12/X3/X52</f>
        <v/>
      </c>
      <c r="Y32" s="679">
        <f>Y12/Y3/Y52</f>
        <v/>
      </c>
      <c r="Z32" s="679">
        <f>Z12/Z3/Z52</f>
        <v/>
      </c>
      <c r="AA32" s="679">
        <f>AA12/AA3/AA52</f>
        <v/>
      </c>
      <c r="AB32" s="679">
        <f>AB12/AB3/AB52</f>
        <v/>
      </c>
      <c r="AC32" s="679">
        <f>AC12/AC3/AC52</f>
        <v/>
      </c>
      <c r="AD32" s="679">
        <f>AD12/AD3/AD52</f>
        <v/>
      </c>
      <c r="AE32" s="679">
        <f>AE12/AE3/AE52</f>
        <v/>
      </c>
      <c r="AF32" s="679">
        <f>AF12/AF3/AF52</f>
        <v/>
      </c>
      <c r="AG32" s="679">
        <f>AG12/AG3/AG52</f>
        <v/>
      </c>
      <c r="AH32" s="679">
        <f>AH12/AH3/AH52</f>
        <v/>
      </c>
      <c r="AI32" s="680">
        <f>AH32</f>
        <v/>
      </c>
      <c r="AJ32" s="680">
        <f>AI32</f>
        <v/>
      </c>
      <c r="AK32" s="680">
        <f>AJ32</f>
        <v/>
      </c>
      <c r="AL32" s="680">
        <f>AK32</f>
        <v/>
      </c>
      <c r="AM32" s="680">
        <f>AL32</f>
        <v/>
      </c>
      <c r="AN32" s="680">
        <f>AM32</f>
        <v/>
      </c>
      <c r="AQ32" s="131" t="n"/>
    </row>
    <row r="34" outlineLevel="1">
      <c r="A34" s="88" t="inlineStr">
        <is>
          <t>Consolidated Capacity (MW)</t>
        </is>
      </c>
      <c r="B34" s="643" t="n"/>
      <c r="C34" s="643" t="n"/>
      <c r="D34" s="643" t="n"/>
      <c r="E34" s="643" t="n"/>
      <c r="F34" s="643" t="n"/>
      <c r="G34" s="643" t="n"/>
      <c r="H34" s="643" t="n"/>
      <c r="I34" s="643" t="n"/>
      <c r="J34" s="643" t="n"/>
      <c r="K34" s="643" t="n"/>
      <c r="L34" s="643" t="n"/>
      <c r="M34" s="643" t="n"/>
      <c r="N34" s="643" t="n"/>
      <c r="O34" s="643" t="n"/>
      <c r="P34" s="643" t="n"/>
      <c r="Q34" s="643" t="n"/>
      <c r="R34" s="643" t="n"/>
      <c r="S34" s="643" t="n"/>
      <c r="T34" s="643" t="n"/>
      <c r="U34" s="643" t="n"/>
      <c r="V34" s="643" t="n"/>
      <c r="W34" s="643" t="n"/>
      <c r="X34" s="643" t="n"/>
      <c r="Y34" s="643" t="n"/>
      <c r="Z34" s="643" t="n"/>
      <c r="AA34" s="643" t="n"/>
      <c r="AB34" s="643" t="n"/>
      <c r="AC34" s="643" t="n"/>
      <c r="AD34" s="643" t="n"/>
      <c r="AE34" s="643" t="n"/>
      <c r="AF34" s="643" t="n"/>
      <c r="AG34" s="643" t="n"/>
      <c r="AH34" s="643" t="n"/>
      <c r="AI34" s="643" t="n"/>
      <c r="AJ34" s="643" t="n"/>
      <c r="AK34" s="643" t="n"/>
      <c r="AL34" s="643" t="n"/>
      <c r="AM34" s="643" t="n"/>
      <c r="AN34" s="643" t="n"/>
    </row>
    <row r="35" outlineLevel="1">
      <c r="A35" s="62" t="inlineStr">
        <is>
          <t>Operational capacity</t>
        </is>
      </c>
    </row>
    <row r="36" outlineLevel="1">
      <c r="A36" s="111" t="inlineStr">
        <is>
          <t>Thermal (Taiwan, Ho-Ping)</t>
        </is>
      </c>
      <c r="P36" s="526" t="n">
        <v>1320</v>
      </c>
      <c r="Q36" s="526" t="n">
        <v>1320</v>
      </c>
      <c r="R36" s="526" t="n">
        <v>1320</v>
      </c>
      <c r="S36" s="526" t="n">
        <v>1320</v>
      </c>
      <c r="T36" s="526" t="n">
        <v>1320</v>
      </c>
      <c r="U36" s="526" t="n">
        <v>1320</v>
      </c>
      <c r="V36" s="526" t="n">
        <v>1320</v>
      </c>
      <c r="W36" s="526" t="n">
        <v>1320</v>
      </c>
      <c r="X36" s="526" t="n">
        <v>1320</v>
      </c>
      <c r="Y36" s="526" t="n">
        <v>1320</v>
      </c>
      <c r="Z36" s="526" t="n">
        <v>1320</v>
      </c>
      <c r="AA36" s="526" t="n">
        <v>1320</v>
      </c>
      <c r="AB36" s="526" t="n">
        <v>1320</v>
      </c>
      <c r="AC36" s="526" t="n">
        <v>1320</v>
      </c>
      <c r="AD36" s="526" t="n">
        <v>1320</v>
      </c>
      <c r="AE36" s="526" t="n">
        <v>1320</v>
      </c>
      <c r="AF36" s="526" t="n">
        <v>1320</v>
      </c>
      <c r="AG36" s="526" t="n">
        <v>1320</v>
      </c>
      <c r="AH36" s="526" t="n">
        <v>1320</v>
      </c>
    </row>
    <row r="37" outlineLevel="1">
      <c r="A37" s="111" t="inlineStr">
        <is>
          <t>Renewables (Thailand, NED solar)</t>
        </is>
      </c>
      <c r="P37" s="526" t="n">
        <v>0</v>
      </c>
      <c r="Q37" s="526" t="n">
        <v>0</v>
      </c>
      <c r="R37" s="526" t="n">
        <v>0</v>
      </c>
      <c r="S37" s="526" t="n">
        <v>0</v>
      </c>
      <c r="T37" s="526" t="n">
        <v>0</v>
      </c>
      <c r="U37" s="526" t="n">
        <v>8</v>
      </c>
      <c r="V37" s="526" t="n">
        <v>55</v>
      </c>
      <c r="W37" s="526" t="n">
        <v>63</v>
      </c>
      <c r="X37" s="526" t="n">
        <v>63</v>
      </c>
      <c r="Y37" s="526" t="n">
        <v>63</v>
      </c>
      <c r="Z37" s="526" t="n">
        <v>63</v>
      </c>
      <c r="AA37" s="526" t="n">
        <v>63</v>
      </c>
      <c r="AB37" s="526" t="n">
        <v>63</v>
      </c>
      <c r="AC37" s="526" t="n">
        <v>63</v>
      </c>
      <c r="AD37" s="526" t="n">
        <v>63</v>
      </c>
      <c r="AE37" s="526" t="n">
        <v>63</v>
      </c>
      <c r="AF37" s="526" t="n">
        <v>63</v>
      </c>
      <c r="AG37" s="526" t="n">
        <v>63</v>
      </c>
      <c r="AH37" s="526" t="n">
        <v>63</v>
      </c>
    </row>
    <row r="38" outlineLevel="1">
      <c r="A38" s="111" t="inlineStr">
        <is>
          <t>EGCO (Thailand)</t>
        </is>
      </c>
      <c r="P38" s="526" t="n">
        <v>4429</v>
      </c>
      <c r="Q38" s="526" t="n">
        <v>5218</v>
      </c>
      <c r="R38" s="526" t="n">
        <v>6179</v>
      </c>
      <c r="S38" s="526" t="n">
        <v>6179</v>
      </c>
      <c r="T38" s="526" t="n">
        <v>7266</v>
      </c>
      <c r="U38" s="526" t="n">
        <v>0</v>
      </c>
      <c r="V38" s="526" t="n">
        <v>0</v>
      </c>
      <c r="W38" s="526" t="n">
        <v>0</v>
      </c>
      <c r="X38" s="526" t="n">
        <v>0</v>
      </c>
      <c r="Y38" s="526" t="n">
        <v>0</v>
      </c>
      <c r="Z38" s="526" t="n">
        <v>0</v>
      </c>
      <c r="AA38" s="526" t="n">
        <v>0</v>
      </c>
      <c r="AB38" s="526" t="n">
        <v>0</v>
      </c>
      <c r="AC38" s="526" t="n">
        <v>0</v>
      </c>
      <c r="AD38" s="526" t="n">
        <v>0</v>
      </c>
      <c r="AE38" s="526" t="n">
        <v>0</v>
      </c>
      <c r="AF38" s="526" t="n">
        <v>0</v>
      </c>
      <c r="AG38" s="526" t="n">
        <v>0</v>
      </c>
      <c r="AH38" s="526" t="n">
        <v>0</v>
      </c>
      <c r="AI38" s="526" t="n">
        <v>0</v>
      </c>
      <c r="AJ38" s="526" t="n">
        <v>0</v>
      </c>
      <c r="AK38" s="526" t="n">
        <v>0</v>
      </c>
      <c r="AL38" s="526" t="n">
        <v>0</v>
      </c>
      <c r="AM38" s="526" t="n">
        <v>0</v>
      </c>
      <c r="AN38" s="526" t="n">
        <v>0</v>
      </c>
    </row>
    <row r="39" outlineLevel="1">
      <c r="A39" s="109" t="inlineStr">
        <is>
          <t>Total operational capacity</t>
        </is>
      </c>
      <c r="B39" s="109" t="n"/>
      <c r="C39" s="109" t="n"/>
      <c r="D39" s="109" t="n"/>
      <c r="E39" s="109" t="n"/>
      <c r="F39" s="109" t="n"/>
      <c r="G39" s="109" t="n"/>
      <c r="H39" s="109" t="n"/>
      <c r="I39" s="109" t="n"/>
      <c r="J39" s="605" t="n"/>
      <c r="K39" s="605" t="n"/>
      <c r="L39" s="605" t="n"/>
      <c r="M39" s="605" t="n"/>
      <c r="N39" s="605" t="n"/>
      <c r="O39" s="605" t="n"/>
      <c r="P39" s="605">
        <f>SUM(P36:P38)</f>
        <v/>
      </c>
      <c r="Q39" s="605">
        <f>SUM(Q36:Q38)</f>
        <v/>
      </c>
      <c r="R39" s="605">
        <f>SUM(R36:R38)</f>
        <v/>
      </c>
      <c r="S39" s="605">
        <f>SUM(S36:S38)</f>
        <v/>
      </c>
      <c r="T39" s="605">
        <f>SUM(T36:T38)</f>
        <v/>
      </c>
      <c r="U39" s="605">
        <f>SUM(U36:U38)</f>
        <v/>
      </c>
      <c r="V39" s="605">
        <f>SUM(V36:V38)</f>
        <v/>
      </c>
      <c r="W39" s="605">
        <f>SUM(W36:W38)</f>
        <v/>
      </c>
      <c r="X39" s="605">
        <f>SUM(X36:X38)</f>
        <v/>
      </c>
      <c r="Y39" s="605">
        <f>SUM(Y36:Y38)</f>
        <v/>
      </c>
      <c r="Z39" s="605">
        <f>SUM(Z36:Z38)</f>
        <v/>
      </c>
      <c r="AA39" s="605">
        <f>SUM(AA36:AA38)</f>
        <v/>
      </c>
      <c r="AB39" s="605">
        <f>SUM(AB36:AB38)</f>
        <v/>
      </c>
      <c r="AC39" s="605">
        <f>SUM(AC36:AC38)</f>
        <v/>
      </c>
      <c r="AD39" s="605">
        <f>SUM(AD36:AD38)</f>
        <v/>
      </c>
      <c r="AE39" s="605">
        <f>SUM(AE36:AE38)</f>
        <v/>
      </c>
      <c r="AF39" s="605">
        <f>SUM(AF36:AF38)</f>
        <v/>
      </c>
      <c r="AG39" s="605">
        <f>SUM(AG36:AG38)</f>
        <v/>
      </c>
      <c r="AH39" s="605">
        <f>SUM(AH36:AH38)</f>
        <v/>
      </c>
      <c r="AI39" s="605">
        <f>SUM(AI36:AI38)</f>
        <v/>
      </c>
      <c r="AJ39" s="605">
        <f>SUM(AJ36:AJ38)</f>
        <v/>
      </c>
      <c r="AK39" s="605">
        <f>SUM(AK36:AK38)</f>
        <v/>
      </c>
      <c r="AL39" s="605">
        <f>SUM(AL36:AL38)</f>
        <v/>
      </c>
      <c r="AM39" s="605">
        <f>SUM(AM36:AM38)</f>
        <v/>
      </c>
      <c r="AN39" s="605">
        <f>SUM(AN36:AN38)</f>
        <v/>
      </c>
    </row>
    <row r="40" outlineLevel="1"/>
    <row r="41" outlineLevel="1">
      <c r="A41" s="62" t="inlineStr">
        <is>
          <t>Construction capacity</t>
        </is>
      </c>
    </row>
    <row r="42" outlineLevel="1">
      <c r="A42" s="111" t="inlineStr">
        <is>
          <t>Thermal (Taiwan, Ho-Ping)</t>
        </is>
      </c>
      <c r="P42" s="526" t="n">
        <v>0</v>
      </c>
      <c r="Q42" s="526" t="n">
        <v>0</v>
      </c>
      <c r="R42" s="526" t="n">
        <v>0</v>
      </c>
      <c r="S42" s="526" t="n">
        <v>0</v>
      </c>
      <c r="T42" s="526" t="n">
        <v>0</v>
      </c>
      <c r="U42" s="526" t="n">
        <v>0</v>
      </c>
      <c r="V42" s="526" t="n">
        <v>0</v>
      </c>
      <c r="W42" s="526" t="n">
        <v>0</v>
      </c>
      <c r="X42" s="526" t="n">
        <v>0</v>
      </c>
      <c r="Y42" s="526" t="n">
        <v>0</v>
      </c>
      <c r="Z42" s="526" t="n">
        <v>0</v>
      </c>
      <c r="AA42" s="526" t="n">
        <v>0</v>
      </c>
    </row>
    <row r="43" outlineLevel="1">
      <c r="A43" s="111" t="inlineStr">
        <is>
          <t>Renewables (Thailand, NED solar)</t>
        </is>
      </c>
      <c r="P43" s="526" t="n">
        <v>0</v>
      </c>
      <c r="Q43" s="526" t="n">
        <v>0</v>
      </c>
      <c r="R43" s="526" t="n">
        <v>0</v>
      </c>
      <c r="S43" s="526" t="n">
        <v>0</v>
      </c>
      <c r="T43" s="526" t="n">
        <v>55</v>
      </c>
      <c r="U43" s="526" t="n">
        <v>47</v>
      </c>
      <c r="V43" s="526" t="n">
        <v>8</v>
      </c>
      <c r="W43" s="526" t="n">
        <v>0</v>
      </c>
      <c r="X43" s="526" t="n">
        <v>0</v>
      </c>
      <c r="Y43" s="526" t="n">
        <v>0</v>
      </c>
      <c r="AA43" s="526" t="n">
        <v>0</v>
      </c>
    </row>
    <row r="44" outlineLevel="1">
      <c r="A44" s="111" t="inlineStr">
        <is>
          <t>EGCO (Thailand)</t>
        </is>
      </c>
      <c r="P44" s="526" t="n">
        <v>2593</v>
      </c>
      <c r="Q44" s="526" t="n">
        <v>1804</v>
      </c>
      <c r="R44" s="526" t="n">
        <v>1087</v>
      </c>
      <c r="S44" s="526" t="n">
        <v>1087</v>
      </c>
      <c r="T44" s="526" t="n">
        <v>0</v>
      </c>
      <c r="U44" s="526" t="n">
        <v>0</v>
      </c>
      <c r="V44" s="526" t="n">
        <v>0</v>
      </c>
      <c r="W44" s="526" t="n">
        <v>0</v>
      </c>
      <c r="X44" s="526" t="n">
        <v>0</v>
      </c>
      <c r="Y44" s="526" t="n">
        <v>0</v>
      </c>
      <c r="Z44" s="526" t="n">
        <v>0</v>
      </c>
      <c r="AA44" s="526" t="n">
        <v>0</v>
      </c>
      <c r="AB44" s="526" t="n">
        <v>0</v>
      </c>
      <c r="AC44" s="526" t="n">
        <v>0</v>
      </c>
      <c r="AD44" s="526" t="n">
        <v>0</v>
      </c>
      <c r="AE44" s="526" t="n">
        <v>0</v>
      </c>
      <c r="AF44" s="526" t="n">
        <v>0</v>
      </c>
      <c r="AG44" s="526" t="n">
        <v>0</v>
      </c>
      <c r="AH44" s="526" t="n">
        <v>0</v>
      </c>
      <c r="AI44" s="526" t="n">
        <v>0</v>
      </c>
      <c r="AJ44" s="526" t="n">
        <v>0</v>
      </c>
      <c r="AK44" s="526" t="n">
        <v>0</v>
      </c>
      <c r="AL44" s="526" t="n">
        <v>0</v>
      </c>
      <c r="AM44" s="526" t="n">
        <v>0</v>
      </c>
      <c r="AN44" s="526" t="n">
        <v>0</v>
      </c>
    </row>
    <row r="45" outlineLevel="1">
      <c r="A45" s="109" t="inlineStr">
        <is>
          <t>Total construction capacity</t>
        </is>
      </c>
      <c r="O45" s="605" t="n"/>
      <c r="P45" s="605">
        <f>SUM(P42:P44)</f>
        <v/>
      </c>
      <c r="Q45" s="605">
        <f>SUM(Q42:Q44)</f>
        <v/>
      </c>
      <c r="R45" s="605">
        <f>SUM(R42:R44)</f>
        <v/>
      </c>
      <c r="S45" s="605">
        <f>SUM(S42:S44)</f>
        <v/>
      </c>
      <c r="T45" s="605">
        <f>SUM(T42:T44)</f>
        <v/>
      </c>
      <c r="U45" s="605">
        <f>SUM(U42:U44)</f>
        <v/>
      </c>
      <c r="V45" s="605">
        <f>SUM(V42:V44)</f>
        <v/>
      </c>
      <c r="W45" s="605">
        <f>SUM(W42:W44)</f>
        <v/>
      </c>
      <c r="X45" s="605">
        <f>SUM(X42:X44)</f>
        <v/>
      </c>
      <c r="Y45" s="605">
        <f>SUM(Y42:Y44)</f>
        <v/>
      </c>
      <c r="Z45" s="605">
        <f>SUM(Z42:Z44)</f>
        <v/>
      </c>
      <c r="AA45" s="605">
        <f>SUM(AA42:AA44)</f>
        <v/>
      </c>
      <c r="AB45" s="605">
        <f>SUM(AB42:AB44)</f>
        <v/>
      </c>
      <c r="AC45" s="605">
        <f>SUM(AC42:AC44)</f>
        <v/>
      </c>
      <c r="AD45" s="605">
        <f>SUM(AD42:AD44)</f>
        <v/>
      </c>
      <c r="AE45" s="605">
        <f>SUM(AE42:AE44)</f>
        <v/>
      </c>
      <c r="AF45" s="605">
        <f>SUM(AF42:AF44)</f>
        <v/>
      </c>
      <c r="AG45" s="605">
        <f>SUM(AG42:AG44)</f>
        <v/>
      </c>
      <c r="AH45" s="605">
        <f>SUM(AH42:AH44)</f>
        <v/>
      </c>
      <c r="AI45" s="605">
        <f>SUM(AI42:AI44)</f>
        <v/>
      </c>
      <c r="AJ45" s="605">
        <f>SUM(AJ42:AJ44)</f>
        <v/>
      </c>
      <c r="AK45" s="605">
        <f>SUM(AK42:AK44)</f>
        <v/>
      </c>
      <c r="AL45" s="605">
        <f>SUM(AL42:AL44)</f>
        <v/>
      </c>
      <c r="AM45" s="605">
        <f>SUM(AM42:AM44)</f>
        <v/>
      </c>
      <c r="AN45" s="605">
        <f>SUM(AN42:AN44)</f>
        <v/>
      </c>
    </row>
    <row r="46" outlineLevel="1"/>
    <row r="47" outlineLevel="1">
      <c r="A47" s="109" t="inlineStr">
        <is>
          <t>Total Capacity</t>
        </is>
      </c>
      <c r="O47" s="605" t="n"/>
      <c r="P47" s="605">
        <f>P39+P45</f>
        <v/>
      </c>
      <c r="Q47" s="605">
        <f>Q39+Q45</f>
        <v/>
      </c>
      <c r="R47" s="605">
        <f>R39+R45</f>
        <v/>
      </c>
      <c r="S47" s="605">
        <f>S39+S45</f>
        <v/>
      </c>
      <c r="T47" s="605">
        <f>T39+T45</f>
        <v/>
      </c>
      <c r="U47" s="605">
        <f>U39+U45</f>
        <v/>
      </c>
      <c r="V47" s="605">
        <f>V39+V45</f>
        <v/>
      </c>
      <c r="W47" s="605">
        <f>W39+W45</f>
        <v/>
      </c>
      <c r="X47" s="605">
        <f>X39+X45</f>
        <v/>
      </c>
      <c r="Y47" s="605">
        <f>Y39+Y45</f>
        <v/>
      </c>
      <c r="Z47" s="605">
        <f>Z39+Z45</f>
        <v/>
      </c>
      <c r="AA47" s="605">
        <f>AA39+AA45</f>
        <v/>
      </c>
      <c r="AB47" s="605">
        <f>AB39+AB45</f>
        <v/>
      </c>
      <c r="AC47" s="605">
        <f>AC39+AC45</f>
        <v/>
      </c>
      <c r="AD47" s="605">
        <f>AD39+AD45</f>
        <v/>
      </c>
      <c r="AE47" s="605">
        <f>AE39+AE45</f>
        <v/>
      </c>
      <c r="AF47" s="605">
        <f>AF39+AF45</f>
        <v/>
      </c>
      <c r="AG47" s="605">
        <f>AG39+AG45</f>
        <v/>
      </c>
      <c r="AH47" s="605">
        <f>AH39+AH45</f>
        <v/>
      </c>
      <c r="AI47" s="605">
        <f>AI39+AI45</f>
        <v/>
      </c>
      <c r="AJ47" s="605">
        <f>AJ39+AJ45</f>
        <v/>
      </c>
      <c r="AK47" s="605">
        <f>AK39+AK45</f>
        <v/>
      </c>
      <c r="AL47" s="605">
        <f>AL39+AL45</f>
        <v/>
      </c>
      <c r="AM47" s="605">
        <f>AM39+AM45</f>
        <v/>
      </c>
      <c r="AN47" s="605">
        <f>AN39+AN45</f>
        <v/>
      </c>
    </row>
    <row r="48" outlineLevel="1"/>
    <row r="49">
      <c r="A49" s="88" t="inlineStr">
        <is>
          <t>Attributable Capacity (MW)</t>
        </is>
      </c>
      <c r="B49" s="643" t="n"/>
      <c r="C49" s="643" t="n"/>
      <c r="D49" s="643" t="n"/>
      <c r="E49" s="643" t="n"/>
      <c r="F49" s="643" t="n"/>
      <c r="G49" s="643" t="n"/>
      <c r="H49" s="643" t="n"/>
      <c r="I49" s="643" t="n"/>
      <c r="J49" s="643" t="n"/>
      <c r="K49" s="643" t="n"/>
      <c r="L49" s="643" t="n"/>
      <c r="M49" s="643" t="n"/>
      <c r="N49" s="643" t="n"/>
      <c r="O49" s="643" t="n"/>
      <c r="P49" s="643" t="n"/>
      <c r="Q49" s="643" t="n"/>
      <c r="R49" s="643" t="n"/>
      <c r="S49" s="643" t="n"/>
      <c r="T49" s="643" t="n"/>
      <c r="U49" s="643" t="n"/>
      <c r="V49" s="643" t="n"/>
      <c r="W49" s="643" t="n"/>
      <c r="X49" s="643" t="n"/>
      <c r="Y49" s="643" t="n"/>
      <c r="Z49" s="643" t="n"/>
      <c r="AA49" s="643" t="n"/>
      <c r="AB49" s="643" t="n"/>
      <c r="AC49" s="643" t="n"/>
      <c r="AD49" s="643" t="n"/>
      <c r="AE49" s="643" t="n"/>
      <c r="AF49" s="643" t="n"/>
      <c r="AG49" s="643" t="n"/>
      <c r="AH49" s="643" t="n"/>
      <c r="AI49" s="643" t="n"/>
      <c r="AJ49" s="643" t="n"/>
      <c r="AK49" s="643" t="n"/>
      <c r="AL49" s="643" t="n"/>
      <c r="AM49" s="643" t="n"/>
      <c r="AN49" s="643" t="n"/>
    </row>
    <row r="50">
      <c r="A50" s="62" t="inlineStr">
        <is>
          <t>Operational capacity</t>
        </is>
      </c>
    </row>
    <row r="51">
      <c r="A51" s="111" t="inlineStr">
        <is>
          <t>Thermal (Taiwan, Ho-Ping)</t>
        </is>
      </c>
      <c r="P51" s="526" t="n">
        <v>528</v>
      </c>
      <c r="Q51" s="526" t="n">
        <v>264</v>
      </c>
      <c r="R51" s="526" t="n">
        <v>264</v>
      </c>
      <c r="S51" s="526" t="n">
        <v>264</v>
      </c>
      <c r="T51" s="526" t="n">
        <v>264</v>
      </c>
      <c r="U51" s="526" t="n">
        <v>264</v>
      </c>
      <c r="V51" s="526" t="n">
        <v>264</v>
      </c>
      <c r="W51" s="526" t="n">
        <v>264</v>
      </c>
      <c r="X51" s="526" t="n">
        <v>264</v>
      </c>
      <c r="Y51" s="526" t="n">
        <v>264</v>
      </c>
      <c r="Z51" s="526" t="n">
        <v>264</v>
      </c>
      <c r="AA51" s="526" t="n">
        <v>264</v>
      </c>
      <c r="AB51" s="526" t="n">
        <v>264</v>
      </c>
      <c r="AC51" s="526" t="n">
        <v>264</v>
      </c>
      <c r="AD51" s="526" t="n">
        <v>264</v>
      </c>
      <c r="AE51" s="526" t="n">
        <v>264</v>
      </c>
      <c r="AF51" s="526" t="n">
        <v>264</v>
      </c>
      <c r="AG51" s="526" t="n">
        <v>264</v>
      </c>
      <c r="AH51" s="526" t="n">
        <v>264</v>
      </c>
      <c r="AI51" s="564">
        <f>AH51</f>
        <v/>
      </c>
      <c r="AJ51" s="564">
        <f>AI51</f>
        <v/>
      </c>
      <c r="AK51" s="564">
        <f>AJ51</f>
        <v/>
      </c>
      <c r="AL51" s="564">
        <f>AK51</f>
        <v/>
      </c>
      <c r="AM51" s="564">
        <f>AL51</f>
        <v/>
      </c>
      <c r="AN51" s="564">
        <f>AM51</f>
        <v/>
      </c>
      <c r="AQ51" s="131" t="n"/>
    </row>
    <row r="52">
      <c r="A52" s="111" t="inlineStr">
        <is>
          <t>Renewables (Thailand, NED solar)</t>
        </is>
      </c>
      <c r="P52" s="526" t="n">
        <v>0</v>
      </c>
      <c r="Q52" s="526" t="n">
        <v>0</v>
      </c>
      <c r="R52" s="526" t="n">
        <v>0</v>
      </c>
      <c r="S52" s="526" t="n">
        <v>0</v>
      </c>
      <c r="T52" s="526" t="n">
        <v>0</v>
      </c>
      <c r="U52" s="526" t="n">
        <v>3</v>
      </c>
      <c r="V52" s="526" t="n">
        <v>18</v>
      </c>
      <c r="W52" s="526" t="n">
        <v>21</v>
      </c>
      <c r="X52" s="526" t="n">
        <v>21</v>
      </c>
      <c r="Y52" s="526" t="n">
        <v>21</v>
      </c>
      <c r="Z52" s="526" t="n">
        <v>21</v>
      </c>
      <c r="AA52" s="526" t="n">
        <v>21</v>
      </c>
      <c r="AB52" s="526" t="n">
        <v>21</v>
      </c>
      <c r="AC52" s="526" t="n">
        <v>21</v>
      </c>
      <c r="AD52" s="526" t="n">
        <v>21</v>
      </c>
      <c r="AE52" s="526" t="n">
        <v>21</v>
      </c>
      <c r="AF52" s="526" t="n">
        <v>21</v>
      </c>
      <c r="AG52" s="526" t="n">
        <v>21</v>
      </c>
      <c r="AH52" s="526" t="n">
        <v>21</v>
      </c>
      <c r="AI52" s="564">
        <f>AH52</f>
        <v/>
      </c>
      <c r="AJ52" s="564">
        <f>AI52</f>
        <v/>
      </c>
      <c r="AK52" s="564">
        <f>AJ52</f>
        <v/>
      </c>
      <c r="AL52" s="564">
        <f>AK52</f>
        <v/>
      </c>
      <c r="AM52" s="564">
        <f>AL52</f>
        <v/>
      </c>
      <c r="AN52" s="564">
        <f>AM52</f>
        <v/>
      </c>
      <c r="AQ52" s="131" t="n"/>
    </row>
    <row r="53">
      <c r="A53" s="111" t="inlineStr">
        <is>
          <t>EGCO (Thailand)</t>
        </is>
      </c>
      <c r="P53" s="526" t="n">
        <v>351</v>
      </c>
      <c r="Q53" s="526" t="n">
        <v>393</v>
      </c>
      <c r="R53" s="526" t="n">
        <v>498</v>
      </c>
      <c r="S53" s="526" t="n">
        <v>532</v>
      </c>
      <c r="T53" s="526" t="n">
        <v>583</v>
      </c>
      <c r="U53" s="526" t="n">
        <v>0</v>
      </c>
      <c r="V53" s="526" t="n">
        <v>0</v>
      </c>
      <c r="W53" s="526" t="n">
        <v>0</v>
      </c>
      <c r="X53" s="526" t="n">
        <v>0</v>
      </c>
      <c r="Y53" s="526" t="n">
        <v>0</v>
      </c>
      <c r="Z53" s="526" t="n">
        <v>0</v>
      </c>
      <c r="AA53" s="526" t="n">
        <v>0</v>
      </c>
      <c r="AB53" s="526" t="n">
        <v>0</v>
      </c>
      <c r="AC53" s="526" t="n">
        <v>0</v>
      </c>
      <c r="AD53" s="526" t="n">
        <v>0</v>
      </c>
      <c r="AE53" s="526" t="n">
        <v>0</v>
      </c>
      <c r="AF53" s="526" t="n">
        <v>0</v>
      </c>
      <c r="AG53" s="526" t="n">
        <v>0</v>
      </c>
      <c r="AH53" s="526" t="n">
        <v>0</v>
      </c>
      <c r="AI53" s="526" t="n">
        <v>0</v>
      </c>
      <c r="AJ53" s="526" t="n">
        <v>0</v>
      </c>
      <c r="AK53" s="526" t="n">
        <v>0</v>
      </c>
      <c r="AL53" s="526" t="n">
        <v>0</v>
      </c>
      <c r="AM53" s="526" t="n">
        <v>0</v>
      </c>
      <c r="AN53" s="526" t="n">
        <v>0</v>
      </c>
      <c r="AQ53" s="131" t="n"/>
    </row>
    <row r="54">
      <c r="A54" s="109" t="inlineStr">
        <is>
          <t>Total operational capacity</t>
        </is>
      </c>
      <c r="B54" s="109" t="n"/>
      <c r="C54" s="109" t="n"/>
      <c r="D54" s="109" t="n"/>
      <c r="E54" s="109" t="n"/>
      <c r="F54" s="109" t="n"/>
      <c r="G54" s="109" t="n"/>
      <c r="H54" s="109" t="n"/>
      <c r="I54" s="109" t="n"/>
      <c r="J54" s="605" t="n"/>
      <c r="K54" s="605" t="n"/>
      <c r="L54" s="605" t="n"/>
      <c r="M54" s="605" t="n"/>
      <c r="N54" s="605" t="n"/>
      <c r="O54" s="605" t="n"/>
      <c r="P54" s="605">
        <f>SUM(P51:P53)</f>
        <v/>
      </c>
      <c r="Q54" s="605">
        <f>SUM(Q51:Q53)</f>
        <v/>
      </c>
      <c r="R54" s="605">
        <f>SUM(R51:R53)</f>
        <v/>
      </c>
      <c r="S54" s="605">
        <f>SUM(S51:S53)</f>
        <v/>
      </c>
      <c r="T54" s="605">
        <f>SUM(T51:T53)</f>
        <v/>
      </c>
      <c r="U54" s="605">
        <f>SUM(U51:U53)</f>
        <v/>
      </c>
      <c r="V54" s="605">
        <f>SUM(V51:V53)</f>
        <v/>
      </c>
      <c r="W54" s="605">
        <f>SUM(W51:W53)</f>
        <v/>
      </c>
      <c r="X54" s="605">
        <f>SUM(X51:X53)</f>
        <v/>
      </c>
      <c r="Y54" s="605">
        <f>SUM(Y51:Y53)</f>
        <v/>
      </c>
      <c r="Z54" s="605">
        <f>SUM(Z51:Z53)</f>
        <v/>
      </c>
      <c r="AA54" s="605">
        <f>SUM(AA51:AA53)</f>
        <v/>
      </c>
      <c r="AB54" s="605">
        <f>SUM(AB51:AB53)</f>
        <v/>
      </c>
      <c r="AC54" s="605">
        <f>SUM(AC51:AC53)</f>
        <v/>
      </c>
      <c r="AD54" s="605">
        <f>SUM(AD51:AD53)</f>
        <v/>
      </c>
      <c r="AE54" s="605">
        <f>SUM(AE51:AE53)</f>
        <v/>
      </c>
      <c r="AF54" s="605">
        <f>SUM(AF51:AF53)</f>
        <v/>
      </c>
      <c r="AG54" s="605">
        <f>SUM(AG51:AG53)</f>
        <v/>
      </c>
      <c r="AH54" s="605">
        <f>SUM(AH51:AH53)</f>
        <v/>
      </c>
      <c r="AI54" s="605">
        <f>SUM(AI51:AI53)</f>
        <v/>
      </c>
      <c r="AJ54" s="605">
        <f>SUM(AJ51:AJ53)</f>
        <v/>
      </c>
      <c r="AK54" s="605">
        <f>SUM(AK51:AK53)</f>
        <v/>
      </c>
      <c r="AL54" s="605">
        <f>SUM(AL51:AL53)</f>
        <v/>
      </c>
      <c r="AM54" s="605">
        <f>SUM(AM51:AM53)</f>
        <v/>
      </c>
      <c r="AN54" s="605">
        <f>SUM(AN51:AN53)</f>
        <v/>
      </c>
      <c r="AQ54" s="131" t="n"/>
    </row>
    <row r="56" outlineLevel="1">
      <c r="A56" s="62" t="inlineStr">
        <is>
          <t>Construction capacity</t>
        </is>
      </c>
    </row>
    <row r="57" outlineLevel="1">
      <c r="A57" s="111" t="inlineStr">
        <is>
          <t>Thermal (Taiwan, Ho-Ping)</t>
        </is>
      </c>
      <c r="P57" s="526" t="n">
        <v>0</v>
      </c>
      <c r="Q57" s="526" t="n">
        <v>0</v>
      </c>
      <c r="R57" s="526" t="n">
        <v>0</v>
      </c>
      <c r="S57" s="526" t="n">
        <v>0</v>
      </c>
      <c r="T57" s="526" t="n">
        <v>0</v>
      </c>
      <c r="U57" s="526" t="n">
        <v>0</v>
      </c>
      <c r="V57" s="526" t="n">
        <v>0</v>
      </c>
      <c r="W57" s="526" t="n">
        <v>0</v>
      </c>
      <c r="X57" s="526" t="n">
        <v>0</v>
      </c>
      <c r="Y57" s="526" t="n">
        <v>0</v>
      </c>
      <c r="Z57" s="526" t="n">
        <v>0</v>
      </c>
    </row>
    <row r="58" outlineLevel="1">
      <c r="A58" s="111" t="inlineStr">
        <is>
          <t>Renewables (Thailand, NED solar)</t>
        </is>
      </c>
      <c r="P58" s="526" t="n">
        <v>0</v>
      </c>
      <c r="Q58" s="526" t="n">
        <v>0</v>
      </c>
      <c r="R58" s="526" t="n">
        <v>0</v>
      </c>
      <c r="S58" s="526" t="n">
        <v>0</v>
      </c>
      <c r="T58" s="526" t="n">
        <v>21</v>
      </c>
      <c r="U58" s="526" t="n">
        <v>15</v>
      </c>
      <c r="V58" s="526" t="n">
        <v>3</v>
      </c>
      <c r="W58" s="526" t="n">
        <v>0</v>
      </c>
      <c r="X58" s="526" t="n">
        <v>0</v>
      </c>
      <c r="Y58" s="526" t="n">
        <v>0</v>
      </c>
    </row>
    <row r="59" outlineLevel="1">
      <c r="A59" s="111" t="inlineStr">
        <is>
          <t>EGCO (Thailand)</t>
        </is>
      </c>
      <c r="P59" s="526" t="n">
        <v>113</v>
      </c>
      <c r="Q59" s="526" t="n">
        <v>71</v>
      </c>
      <c r="R59" s="526" t="n">
        <v>34</v>
      </c>
      <c r="S59" s="526" t="n">
        <v>36</v>
      </c>
      <c r="T59" s="526" t="n">
        <v>0</v>
      </c>
      <c r="U59" s="526" t="n">
        <v>0</v>
      </c>
      <c r="V59" s="526" t="n">
        <v>0</v>
      </c>
      <c r="W59" s="526" t="n">
        <v>0</v>
      </c>
      <c r="X59" s="526" t="n">
        <v>0</v>
      </c>
      <c r="Y59" s="526" t="n">
        <v>0</v>
      </c>
      <c r="Z59" s="526" t="n">
        <v>0</v>
      </c>
      <c r="AA59" s="526" t="n">
        <v>0</v>
      </c>
      <c r="AB59" s="526" t="n">
        <v>0</v>
      </c>
      <c r="AC59" s="526" t="n">
        <v>0</v>
      </c>
      <c r="AD59" s="526" t="n">
        <v>0</v>
      </c>
      <c r="AE59" s="526" t="n">
        <v>0</v>
      </c>
      <c r="AF59" s="526" t="n">
        <v>0</v>
      </c>
      <c r="AG59" s="526" t="n">
        <v>0</v>
      </c>
      <c r="AH59" s="526" t="n">
        <v>0</v>
      </c>
      <c r="AI59" s="526" t="n">
        <v>0</v>
      </c>
      <c r="AJ59" s="526" t="n">
        <v>0</v>
      </c>
      <c r="AK59" s="526" t="n">
        <v>0</v>
      </c>
      <c r="AL59" s="526" t="n">
        <v>0</v>
      </c>
      <c r="AM59" s="526" t="n">
        <v>0</v>
      </c>
      <c r="AN59" s="526" t="n">
        <v>0</v>
      </c>
    </row>
    <row r="60" outlineLevel="1">
      <c r="A60" s="109" t="inlineStr">
        <is>
          <t>Total construction capacity</t>
        </is>
      </c>
      <c r="O60" s="605" t="n"/>
      <c r="P60" s="605">
        <f>SUM(P57:P59)</f>
        <v/>
      </c>
      <c r="Q60" s="605">
        <f>SUM(Q57:Q59)</f>
        <v/>
      </c>
      <c r="R60" s="605">
        <f>SUM(R57:R59)</f>
        <v/>
      </c>
      <c r="S60" s="605">
        <f>SUM(S57:S59)</f>
        <v/>
      </c>
      <c r="T60" s="605">
        <f>SUM(T57:T59)</f>
        <v/>
      </c>
      <c r="U60" s="605">
        <f>SUM(U57:U59)</f>
        <v/>
      </c>
      <c r="V60" s="605">
        <f>SUM(V57:V59)</f>
        <v/>
      </c>
      <c r="W60" s="605">
        <f>SUM(W57:W59)</f>
        <v/>
      </c>
      <c r="X60" s="605">
        <f>SUM(X57:X59)</f>
        <v/>
      </c>
      <c r="Y60" s="605">
        <f>SUM(Y57:Y59)</f>
        <v/>
      </c>
      <c r="Z60" s="605">
        <f>SUM(Z57:Z59)</f>
        <v/>
      </c>
      <c r="AA60" s="605">
        <f>SUM(AA57:AA59)</f>
        <v/>
      </c>
      <c r="AB60" s="605">
        <f>SUM(AB57:AB59)</f>
        <v/>
      </c>
      <c r="AC60" s="605">
        <f>SUM(AC57:AC59)</f>
        <v/>
      </c>
      <c r="AD60" s="605">
        <f>SUM(AD57:AD59)</f>
        <v/>
      </c>
      <c r="AE60" s="605">
        <f>SUM(AE57:AE59)</f>
        <v/>
      </c>
      <c r="AF60" s="605">
        <f>SUM(AF57:AF59)</f>
        <v/>
      </c>
      <c r="AG60" s="605">
        <f>SUM(AG57:AG59)</f>
        <v/>
      </c>
      <c r="AH60" s="605">
        <f>SUM(AH57:AH59)</f>
        <v/>
      </c>
      <c r="AI60" s="605">
        <f>SUM(AI57:AI59)</f>
        <v/>
      </c>
      <c r="AJ60" s="605">
        <f>SUM(AJ57:AJ59)</f>
        <v/>
      </c>
      <c r="AK60" s="605">
        <f>SUM(AK57:AK59)</f>
        <v/>
      </c>
      <c r="AL60" s="605">
        <f>SUM(AL57:AL59)</f>
        <v/>
      </c>
      <c r="AM60" s="605">
        <f>SUM(AM57:AM59)</f>
        <v/>
      </c>
      <c r="AN60" s="605">
        <f>SUM(AN57:AN59)</f>
        <v/>
      </c>
    </row>
    <row r="61" outlineLevel="1"/>
    <row r="62" outlineLevel="1">
      <c r="A62" s="109" t="inlineStr">
        <is>
          <t>Total Capacity</t>
        </is>
      </c>
      <c r="O62" s="605" t="n"/>
      <c r="P62" s="605">
        <f>P54+P60</f>
        <v/>
      </c>
      <c r="Q62" s="605">
        <f>Q54+Q60</f>
        <v/>
      </c>
      <c r="R62" s="605">
        <f>R54+R60</f>
        <v/>
      </c>
      <c r="S62" s="605">
        <f>S54+S60</f>
        <v/>
      </c>
      <c r="T62" s="605">
        <f>T54+T60</f>
        <v/>
      </c>
      <c r="U62" s="605">
        <f>U54+U60</f>
        <v/>
      </c>
      <c r="V62" s="605">
        <f>V54+V60</f>
        <v/>
      </c>
      <c r="W62" s="605">
        <f>W54+W60</f>
        <v/>
      </c>
      <c r="X62" s="605">
        <f>X54+X60</f>
        <v/>
      </c>
      <c r="Y62" s="605">
        <f>Y54+Y60</f>
        <v/>
      </c>
      <c r="Z62" s="605">
        <f>Z54+Z60</f>
        <v/>
      </c>
      <c r="AA62" s="605">
        <f>AA54+AA60</f>
        <v/>
      </c>
      <c r="AB62" s="605">
        <f>AB54+AB60</f>
        <v/>
      </c>
      <c r="AC62" s="605">
        <f>AC54+AC60</f>
        <v/>
      </c>
      <c r="AD62" s="605">
        <f>AD54+AD60</f>
        <v/>
      </c>
      <c r="AE62" s="605">
        <f>AE54+AE60</f>
        <v/>
      </c>
      <c r="AF62" s="605">
        <f>AF54+AF60</f>
        <v/>
      </c>
      <c r="AG62" s="605">
        <f>AG54+AG60</f>
        <v/>
      </c>
      <c r="AH62" s="605">
        <f>AH54+AH60</f>
        <v/>
      </c>
      <c r="AI62" s="605">
        <f>AI54+AI60</f>
        <v/>
      </c>
      <c r="AJ62" s="605">
        <f>AJ54+AJ60</f>
        <v/>
      </c>
      <c r="AK62" s="605">
        <f>AK54+AK60</f>
        <v/>
      </c>
      <c r="AL62" s="605">
        <f>AL54+AL60</f>
        <v/>
      </c>
      <c r="AM62" s="605">
        <f>AM54+AM60</f>
        <v/>
      </c>
      <c r="AN62" s="605">
        <f>AN54+AN60</f>
        <v/>
      </c>
    </row>
  </sheetData>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oldfiest</dc:creator>
  <dcterms:created xsi:type="dcterms:W3CDTF">2007-02-12T01:05:13Z</dcterms:created>
  <dcterms:modified xsi:type="dcterms:W3CDTF">2026-08-15T02:48:04Z</dcterms:modified>
  <cp:lastModifiedBy>Tang, Eason</cp:lastModifiedBy>
  <cp:lastPrinted>2025-08-05T04:48:44Z</cp:lastPrinted>
</cp:coreProperties>
</file>

<file path=docProps/custom.xml><?xml version="1.0" encoding="utf-8"?>
<Properties xmlns:vt="http://schemas.openxmlformats.org/officeDocument/2006/docPropsVTypes" xmlns="http://schemas.openxmlformats.org/officeDocument/2006/custom-properties">
  <property name="Language" fmtid="{D5CDD505-2E9C-101B-9397-08002B2CF9AE}" pid="2">
    <vt:lpwstr>1033</vt:lpwstr>
  </property>
  <property name="Create_Backup" fmtid="{D5CDD505-2E9C-101B-9397-08002B2CF9AE}" pid="3">
    <vt:lpwstr>3</vt:lpwstr>
  </property>
  <property name="Workbook_Font" fmtid="{D5CDD505-2E9C-101B-9397-08002B2CF9AE}" pid="4">
    <vt:lpwstr>Frutiger 45 Light</vt:lpwstr>
  </property>
  <property name="Workbook_FontSize" fmtid="{D5CDD505-2E9C-101B-9397-08002B2CF9AE}" pid="5">
    <vt:lpwstr>10</vt:lpwstr>
  </property>
  <property name="Average_Translated" fmtid="{D5CDD505-2E9C-101B-9397-08002B2CF9AE}" pid="6">
    <vt:lpwstr>Average</vt:lpwstr>
  </property>
  <property name="Thick_Lines" fmtid="{D5CDD505-2E9C-101B-9397-08002B2CF9AE}" pid="7">
    <vt:lpwstr>0</vt:lpwstr>
  </property>
  <property name="Num_Categories_On_XAxis" fmtid="{D5CDD505-2E9C-101B-9397-08002B2CF9AE}" pid="8">
    <vt:lpwstr>6</vt:lpwstr>
  </property>
  <property name="Share_PX_Label" fmtid="{D5CDD505-2E9C-101B-9397-08002B2CF9AE}" pid="9">
    <vt:lpwstr>Stock Price</vt:lpwstr>
  </property>
  <property name="Volume_Label" fmtid="{D5CDD505-2E9C-101B-9397-08002B2CF9AE}" pid="10">
    <vt:lpwstr>Volume (000s)</vt:lpwstr>
  </property>
  <property name="Stock_Volume_XAxis_Label" fmtid="{D5CDD505-2E9C-101B-9397-08002B2CF9AE}" pid="11">
    <vt:lpwstr>Closing Date</vt:lpwstr>
  </property>
  <property name="Pie_Chart_Labels" fmtid="{D5CDD505-2E9C-101B-9397-08002B2CF9AE}" pid="12">
    <vt:lpwstr>-1</vt:lpwstr>
  </property>
  <property name="Pie_Chart_Legend" fmtid="{D5CDD505-2E9C-101B-9397-08002B2CF9AE}" pid="13">
    <vt:lpwstr>0</vt:lpwstr>
  </property>
  <property name="Annotation_Add_Date" fmtid="{D5CDD505-2E9C-101B-9397-08002B2CF9AE}" pid="14">
    <vt:lpwstr>-1</vt:lpwstr>
  </property>
  <property name="Annotation_Date_Bold" fmtid="{D5CDD505-2E9C-101B-9397-08002B2CF9AE}" pid="15">
    <vt:lpwstr>-1</vt:lpwstr>
  </property>
  <property name="Annotation_Date_Format" fmtid="{D5CDD505-2E9C-101B-9397-08002B2CF9AE}" pid="16">
    <vt:lpwstr>F1</vt:lpwstr>
  </property>
  <property name="Chart_Format" fmtid="{D5CDD505-2E9C-101B-9397-08002B2CF9AE}" pid="17">
    <vt:lpwstr>1</vt:lpwstr>
  </property>
  <property name="AK_Version" fmtid="{D5CDD505-2E9C-101B-9397-08002B2CF9AE}" pid="18">
    <vt:lpwstr>2.0.8</vt:lpwstr>
  </property>
  <property name="UpgradeColorScheme" fmtid="{D5CDD505-2E9C-101B-9397-08002B2CF9AE}" pid="19">
    <vt:lpwstr>No</vt:lpwstr>
  </property>
  <property name="ShowGridlines" fmtid="{D5CDD505-2E9C-101B-9397-08002B2CF9AE}" pid="20">
    <vt:lpwstr>-1</vt:lpwstr>
  </property>
  <property name="ShowYAxis" fmtid="{D5CDD505-2E9C-101B-9397-08002B2CF9AE}" pid="21">
    <vt:lpwstr>-1</vt:lpwstr>
  </property>
  <property name="UseStackWhiteBorder" fmtid="{D5CDD505-2E9C-101B-9397-08002B2CF9AE}" pid="22">
    <vt:lpwstr>-1</vt:lpwstr>
  </property>
  <property name="UseDashStyle" fmtid="{D5CDD505-2E9C-101B-9397-08002B2CF9AE}" pid="23">
    <vt:lpwstr>0</vt:lpwstr>
  </property>
  <property name="_IQPDocumentId" fmtid="{D5CDD505-2E9C-101B-9397-08002B2CF9AE}" pid="24">
    <vt:lpwstr>1ab90bb8-370e-4657-a615-09069adb1152</vt:lpwstr>
  </property>
  <property name="Signature" fmtid="{D5CDD505-2E9C-101B-9397-08002B2CF9AE}" pid="25">
    <vt:lpwstr>qUV4EcfwHutLbLqke7YhsLkGq8OMe11bec7sMQy4M11QVKDzh5IjXw3P+bkO9B8zjYRn4vGpP2Qlb3Abme2mRA==</vt:lpwstr>
  </property>
  <property name="IQPDataClasses" fmtid="{D5CDD505-2E9C-101B-9397-08002B2CF9AE}" pid="26">
    <vt:lpwstr>Source Application: User Protected ADRMS File</vt:lpwstr>
  </property>
  <property name="IQP_Classification" fmtid="{D5CDD505-2E9C-101B-9397-08002B2CF9AE}" pid="27">
    <vt:lpwstr>Source Application: User Protected ADRMS File</vt:lpwstr>
  </property>
  <property name="_SIProp12DataClass+3e85fe31-88ae-45c0-b119-d46a58d89b14" fmtid="{D5CDD505-2E9C-101B-9397-08002B2CF9AE}" pid="28">
    <vt:lpwstr>v=1.2&gt;I=3e85fe31-88ae-45c0-b119-d46a58d89b14&amp;N=Source+Application%3a+User+Protected+ADRMS+File&amp;V=1.3&amp;U=System&amp;D=System&amp;A=Associated&amp;H=False</vt:lpwstr>
  </property>
  <property name="MSIP_Label_79c8d7f2-ca33-4e66-89fa-dd8f3c1a21f6_Enabled" fmtid="{D5CDD505-2E9C-101B-9397-08002B2CF9AE}" pid="29">
    <vt:lpwstr>true</vt:lpwstr>
  </property>
  <property name="MSIP_Label_79c8d7f2-ca33-4e66-89fa-dd8f3c1a21f6_SetDate" fmtid="{D5CDD505-2E9C-101B-9397-08002B2CF9AE}" pid="30">
    <vt:lpwstr>2023-11-01T05:25:35Z</vt:lpwstr>
  </property>
  <property name="MSIP_Label_79c8d7f2-ca33-4e66-89fa-dd8f3c1a21f6_Method" fmtid="{D5CDD505-2E9C-101B-9397-08002B2CF9AE}" pid="31">
    <vt:lpwstr>Privileged</vt:lpwstr>
  </property>
  <property name="MSIP_Label_79c8d7f2-ca33-4e66-89fa-dd8f3c1a21f6_Name" fmtid="{D5CDD505-2E9C-101B-9397-08002B2CF9AE}" pid="32">
    <vt:lpwstr>Internal-MayLeave</vt:lpwstr>
  </property>
  <property name="MSIP_Label_79c8d7f2-ca33-4e66-89fa-dd8f3c1a21f6_SiteId" fmtid="{D5CDD505-2E9C-101B-9397-08002B2CF9AE}" pid="33">
    <vt:lpwstr>fb6ea403-7cf1-4905-810a-fe5547e98204</vt:lpwstr>
  </property>
  <property name="MSIP_Label_79c8d7f2-ca33-4e66-89fa-dd8f3c1a21f6_ActionId" fmtid="{D5CDD505-2E9C-101B-9397-08002B2CF9AE}" pid="34">
    <vt:lpwstr>f6a569bf-65a7-4c08-8a0a-7c840aa42719</vt:lpwstr>
  </property>
  <property name="MSIP_Label_79c8d7f2-ca33-4e66-89fa-dd8f3c1a21f6_ContentBits" fmtid="{D5CDD505-2E9C-101B-9397-08002B2CF9AE}" pid="35">
    <vt:lpwstr>0</vt:lpwstr>
  </property>
</Properties>
</file>